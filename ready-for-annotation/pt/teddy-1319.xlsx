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<sst xmlns="http://schemas.openxmlformats.org/spreadsheetml/2006/main" count="13262" uniqueCount="2744">
  <si>
    <t>ID</t>
  </si>
  <si>
    <t>PRED_ID</t>
  </si>
  <si>
    <t>MARKER_AUTO</t>
  </si>
  <si>
    <t>PREDICATE</t>
  </si>
  <si>
    <t>TEXT</t>
  </si>
  <si>
    <t>SENTENCE</t>
  </si>
  <si>
    <t>MARKER</t>
  </si>
  <si>
    <t>TARGET</t>
  </si>
  <si>
    <t>RELATION</t>
  </si>
  <si>
    <t>COMMENT</t>
  </si>
  <si>
    <t>1</t>
  </si>
  <si>
    <t>_</t>
  </si>
  <si>
    <t>Chris</t>
  </si>
  <si>
    <t>Chris Anderson :</t>
  </si>
  <si>
    <t>file://conllu/pt/teddy-1319.conllu#s1_0</t>
  </si>
  <si>
    <t>2</t>
  </si>
  <si>
    <t>direito</t>
  </si>
  <si>
    <t>Os direitos dos de os cidadãos , o futuro da de a Internet .</t>
  </si>
  <si>
    <t>file://conllu/pt/teddy-1319.conllu#s2_0</t>
  </si>
  <si>
    <t>3</t>
  </si>
  <si>
    <t>gostar</t>
  </si>
  <si>
    <t>Gostaria de dar as boas-vindas no em o palco do de o TED ao a o homem por detrás destas de estas revelações , Ed Snowden .</t>
  </si>
  <si>
    <t>file://conllu/pt/teddy-1319.conllu#s3_0</t>
  </si>
  <si>
    <t>4</t>
  </si>
  <si>
    <t>5</t>
  </si>
  <si>
    <t>estar (estar longe)</t>
  </si>
  <si>
    <t>( Aplausos ) Ed está longe , algures na em a Rússia a controlar um robô no em o seu portátil , e pode ver as mesmas coisas que o robô vê .</t>
  </si>
  <si>
    <t>file://conllu/pt/teddy-1319.conllu#s4_0</t>
  </si>
  <si>
    <t>Ed</t>
  </si>
  <si>
    <t>Ed , seja bem-vindo ao a o palco do de o TED .</t>
  </si>
  <si>
    <t>file://conllu/pt/teddy-1319.conllu#s5_0</t>
  </si>
  <si>
    <t>6</t>
  </si>
  <si>
    <t>ser (ser que)</t>
  </si>
  <si>
    <t>que é que consegue ver ?</t>
  </si>
  <si>
    <t>file://conllu/pt/teddy-1319.conllu#s6_0</t>
  </si>
  <si>
    <t>7</t>
  </si>
  <si>
    <t>Edward</t>
  </si>
  <si>
    <t>Edward Snowden :</t>
  </si>
  <si>
    <t>file://conllu/pt/teddy-1319.conllu#s7_0</t>
  </si>
  <si>
    <t>9</t>
  </si>
  <si>
    <t>ser (ser incrível)</t>
  </si>
  <si>
    <t>Isto é incrível !</t>
  </si>
  <si>
    <t>file://conllu/pt/teddy-1319.conllu#s9_0</t>
  </si>
  <si>
    <t>10</t>
  </si>
  <si>
    <t>riso</t>
  </si>
  <si>
    <t>( Risos )</t>
  </si>
  <si>
    <t>file://conllu/pt/teddy-1319.conllu#s10_0</t>
  </si>
  <si>
    <t>11</t>
  </si>
  <si>
    <t>Ca</t>
  </si>
  <si>
    <t>CA : Ed , umas perguntas para si .</t>
  </si>
  <si>
    <t>file://conllu/pt/teddy-1319.conllu#s11_0</t>
  </si>
  <si>
    <t>14</t>
  </si>
  <si>
    <t>descrever</t>
  </si>
  <si>
    <t>Com que palavras se descreveria a si mesmo ?</t>
  </si>
  <si>
    <t>file://conllu/pt/teddy-1319.conllu#s14_0</t>
  </si>
  <si>
    <t>15</t>
  </si>
  <si>
    <t>e</t>
  </si>
  <si>
    <t>ES : Sabe , toda a gente que se envolveu neste em este debate tem andado a debater sobre mim e sobre a minha personalidade e em como me descrever .</t>
  </si>
  <si>
    <t>file://conllu/pt/teddy-1319.conllu#s15_0</t>
  </si>
  <si>
    <t>16</t>
  </si>
  <si>
    <t>8</t>
  </si>
  <si>
    <t>achar</t>
  </si>
  <si>
    <t>Mas quando eu penso nisso em isso , acho que não é essa a questão que devíamos debater .</t>
  </si>
  <si>
    <t>file://conllu/pt/teddy-1319.conllu#s16_0</t>
  </si>
  <si>
    <t>17</t>
  </si>
  <si>
    <t>Quem?</t>
  </si>
  <si>
    <t>interessar</t>
  </si>
  <si>
    <t>Não interessa quem eu sou realmente .</t>
  </si>
  <si>
    <t>file://conllu/pt/teddy-1319.conllu#s17_0</t>
  </si>
  <si>
    <t>18</t>
  </si>
  <si>
    <t>poder</t>
  </si>
  <si>
    <t>Se eu sou a pior pessoa do de o mundo , podem odiar-me odiar me e seguir em frente .</t>
  </si>
  <si>
    <t>file://conllu/pt/teddy-1319.conllu#s18_0</t>
  </si>
  <si>
    <t>19</t>
  </si>
  <si>
    <t>ser (ser questão)</t>
  </si>
  <si>
    <t>que realmente importa aqui são as questões .</t>
  </si>
  <si>
    <t>file://conllu/pt/teddy-1319.conllu#s19_0</t>
  </si>
  <si>
    <t>20</t>
  </si>
  <si>
    <t>ser (ser tipo)</t>
  </si>
  <si>
    <t>que realmente importa aqui é o tipo de governo que queremos , o tipo de Internet que queremos , o tipo de relacionamento entre as pessoas e as sociedades .</t>
  </si>
  <si>
    <t>file://conllu/pt/teddy-1319.conllu#s20_0</t>
  </si>
  <si>
    <t>21</t>
  </si>
  <si>
    <t>ser (ser o)</t>
  </si>
  <si>
    <t>E isso é o que eu espero que o debate promova e temos visto que ele aumenta com o tempo .</t>
  </si>
  <si>
    <t>file://conllu/pt/teddy-1319.conllu#s21_0</t>
  </si>
  <si>
    <t>22</t>
  </si>
  <si>
    <t>usar</t>
  </si>
  <si>
    <t>Se eu tivesse que me descrever , não usaria palavras como &amp;quot; herói &amp;quot; .</t>
  </si>
  <si>
    <t>file://conllu/pt/teddy-1319.conllu#s22_0</t>
  </si>
  <si>
    <t>23</t>
  </si>
  <si>
    <t>não usaria &amp;quot; patriota &amp;quot; e não usaria &amp;quot; traidor &amp;quot; .</t>
  </si>
  <si>
    <t>file://conllu/pt/teddy-1319.conllu#s23_0</t>
  </si>
  <si>
    <t>24</t>
  </si>
  <si>
    <t>dizer</t>
  </si>
  <si>
    <t>Diria que sou um americano e um cidadão , tal como toda a gente .</t>
  </si>
  <si>
    <t>file://conllu/pt/teddy-1319.conllu#s24_0</t>
  </si>
  <si>
    <t>25</t>
  </si>
  <si>
    <t>47</t>
  </si>
  <si>
    <t>ter</t>
  </si>
  <si>
    <t>CA : Então , só para contextualizar para quem que não conhece a história toda ... ... há um ano , você estava a viver no em o Havaí a trabalhar como consultor da de a NSA [ Agência de Segurança Nacional ] Enquanto administrador de sistemas , tinha acesso aos a os sistemas deles de eles , e começou a revelar certos documentos confidenciais a alguns jornalistas escolhidos a dedo abrindo o caminho para as revelações de junho .</t>
  </si>
  <si>
    <t>file://conllu/pt/teddy-1319.conllu#s25_0</t>
  </si>
  <si>
    <t>26</t>
  </si>
  <si>
    <t>o</t>
  </si>
  <si>
    <t>que o motivou a fazer isso ?</t>
  </si>
  <si>
    <t>file://conllu/pt/teddy-1319.conllu#s26_0</t>
  </si>
  <si>
    <t>27</t>
  </si>
  <si>
    <t>Sabe</t>
  </si>
  <si>
    <t>ES : Sabe ... quando eu estava no em o Havaí , e nos em os anos anteriores , quando estava a trabalhar para a comunidade de informações , vi muitas coisas que me perturbaram .</t>
  </si>
  <si>
    <t>file://conllu/pt/teddy-1319.conllu#s27_0</t>
  </si>
  <si>
    <t>29</t>
  </si>
  <si>
    <t>fazer</t>
  </si>
  <si>
    <t>Mas também fazemos coisas que vão longe demais .</t>
  </si>
  <si>
    <t>file://conllu/pt/teddy-1319.conllu#s29_0</t>
  </si>
  <si>
    <t>30</t>
  </si>
  <si>
    <t>haver</t>
  </si>
  <si>
    <t>Há coisas que não deviam ser feitas , e decisões que estavam a ser feitas secretamente sem o público saber , sem o consentimento do de o público , e sem que os nossos representantes no em o governo tivessem conhecimento desses de esses programas .</t>
  </si>
  <si>
    <t>file://conllu/pt/teddy-1319.conllu#s30_0</t>
  </si>
  <si>
    <t>31</t>
  </si>
  <si>
    <t>começar</t>
  </si>
  <si>
    <t>Quando eu comecei a deparar com essas questões , pensei com os meus botões como é que eu posso fazer isto de forma mais responsável , que maximize os benefícios do de o público enquanto minimiza os riscos ?</t>
  </si>
  <si>
    <t>file://conllu/pt/teddy-1319.conllu#s31_0</t>
  </si>
  <si>
    <t>32</t>
  </si>
  <si>
    <t>De todas as soluções que encontrei , sem ser recorrer ao a o Congresso , porque não havia leis , não havia proteção legal para um empregado privado , um contratado de informações como eu era , existia o risco de eu ser enterrado juntamente com essas informações e o público nunca viria a saber .</t>
  </si>
  <si>
    <t>file://conllu/pt/teddy-1319.conllu#s32_0</t>
  </si>
  <si>
    <t>33</t>
  </si>
  <si>
    <t>12</t>
  </si>
  <si>
    <t>garantir</t>
  </si>
  <si>
    <t>Mas a primeira emenda da de a Constituição dos de os Estados Unidos garante-nos garante nos liberdade de imprensa por uma razão , que é permitir uma imprensa com posições contrárias para contestar o governo , mas também para trabalhar em conjunto com o governo , ter um diálogo e um debate sobre como podemos informar o público sobre assuntos de importância vital sem colocar em risco a segurança nacional .</t>
  </si>
  <si>
    <t>file://conllu/pt/teddy-1319.conllu#s33_0</t>
  </si>
  <si>
    <t>34</t>
  </si>
  <si>
    <t>36</t>
  </si>
  <si>
    <t>E , ao a o trabalhar com jornalistas , ao a o passar todas as minhas informações para o povo Americano , em vez de confiar em mim mesmo para tomar a decisão de as publicar , tivemos um vigoroso debate com um profundo envolvimento do de o governo que eu acho que resultou num em um benefício para todos .</t>
  </si>
  <si>
    <t>file://conllu/pt/teddy-1319.conllu#s34_0</t>
  </si>
  <si>
    <t>35</t>
  </si>
  <si>
    <t>materializar</t>
  </si>
  <si>
    <t>E os riscos que se profetizavam , os riscos que foram invocados pelo por o governo nunca se materializaram .</t>
  </si>
  <si>
    <t>file://conllu/pt/teddy-1319.conllu#s35_0</t>
  </si>
  <si>
    <t>ver</t>
  </si>
  <si>
    <t>Nunca vimos nenhum indício de uma só situação de prejuízo especifico .</t>
  </si>
  <si>
    <t>file://conllu/pt/teddy-1319.conllu#s36_0</t>
  </si>
  <si>
    <t>37</t>
  </si>
  <si>
    <t>sentir</t>
  </si>
  <si>
    <t>Por causa disso de isso , sinto-me sinto me confortável com as decisões que tomei .</t>
  </si>
  <si>
    <t>file://conllu/pt/teddy-1319.conllu#s37_0</t>
  </si>
  <si>
    <t>38</t>
  </si>
  <si>
    <t>mostrar</t>
  </si>
  <si>
    <t>CA : Vou mostrar ao a o público alguns exemplos do de o que você revelou .</t>
  </si>
  <si>
    <t>file://conllu/pt/teddy-1319.conllu#s38_0</t>
  </si>
  <si>
    <t>39</t>
  </si>
  <si>
    <t>puder</t>
  </si>
  <si>
    <t>se pudermos ter uns slides ...</t>
  </si>
  <si>
    <t>file://conllu/pt/teddy-1319.conllu#s39_0</t>
  </si>
  <si>
    <t>40</t>
  </si>
  <si>
    <t>saber</t>
  </si>
  <si>
    <t>Ed , não sei se consegue ver , os slides estão aqui .</t>
  </si>
  <si>
    <t>file://conllu/pt/teddy-1319.conllu#s40_0</t>
  </si>
  <si>
    <t>41</t>
  </si>
  <si>
    <t>ser (ser slide)</t>
  </si>
  <si>
    <t>Este é um slide do de o programa PRISM .</t>
  </si>
  <si>
    <t>file://conllu/pt/teddy-1319.conllu#s41_0</t>
  </si>
  <si>
    <t>42</t>
  </si>
  <si>
    <t>Talvez possa contar ao a o público o que é que foi revelado .</t>
  </si>
  <si>
    <t>file://conllu/pt/teddy-1319.conllu#s42_0</t>
  </si>
  <si>
    <t>43</t>
  </si>
  <si>
    <t>ser (ser falar)</t>
  </si>
  <si>
    <t>ES : A melhor forma de perceber o PRISM , porque tem havido uma certa controvérsia , é falar primeiro sobre o que o PRISM não é .</t>
  </si>
  <si>
    <t>file://conllu/pt/teddy-1319.conllu#s43_0</t>
  </si>
  <si>
    <t>44</t>
  </si>
  <si>
    <t>ser (ser metadado)</t>
  </si>
  <si>
    <t>Grande parte da de a discussão nos em os EUA tem sido sobre os metadados .</t>
  </si>
  <si>
    <t>file://conllu/pt/teddy-1319.conllu#s44_0</t>
  </si>
  <si>
    <t>46</t>
  </si>
  <si>
    <t>viajar</t>
  </si>
  <si>
    <t>para onde viajamos .</t>
  </si>
  <si>
    <t>file://conllu/pt/teddy-1319.conllu#s46_0</t>
  </si>
  <si>
    <t>metadar</t>
  </si>
  <si>
    <t>Tudo isso são metadados .</t>
  </si>
  <si>
    <t>file://conllu/pt/teddy-1319.conllu#s47_0</t>
  </si>
  <si>
    <t>48</t>
  </si>
  <si>
    <t>ser (ser conteúdo)</t>
  </si>
  <si>
    <t>PRISM é sobre o conteúdo .</t>
  </si>
  <si>
    <t>file://conllu/pt/teddy-1319.conllu#s48_0</t>
  </si>
  <si>
    <t>49</t>
  </si>
  <si>
    <t>É um programa através do de o qual o governo pode forçar o mundo empresarial americano , pode encarregar o mundo empresarial americano de fazer o trabalho sujo da de a NSA .</t>
  </si>
  <si>
    <t>file://conllu/pt/teddy-1319.conllu#s49_0</t>
  </si>
  <si>
    <t>50</t>
  </si>
  <si>
    <t>pensar</t>
  </si>
  <si>
    <t>E , apesar de algumas dessas de essas empresas terem resistido , apesar de algumas delas de elas — penso que o Yahoo foi uma delas de elas — os terem contestado em tribunal , todas perderam , porque nunca houve um julgamento em audiência pública .</t>
  </si>
  <si>
    <t>file://conllu/pt/teddy-1319.conllu#s50_0</t>
  </si>
  <si>
    <t>51</t>
  </si>
  <si>
    <t>Só houve julgamento em tribunal à a a porta fechada .</t>
  </si>
  <si>
    <t>file://conllu/pt/teddy-1319.conllu#s51_0</t>
  </si>
  <si>
    <t>52</t>
  </si>
  <si>
    <t>coisa</t>
  </si>
  <si>
    <t>E uma coisa que temos visto , uma coisa sobre o programa PRISM , que muito me preocupa , há um ponto forte do de o governo dos de os EU em que disseram que 15 juízes federais analisaram estes programas e consideraram-nos consideraram nos legais , mas o que não nos em os dizem é que são juízes secretos num em um tribunal secreto com base em interpretações confidenciais da de a lei que analisaram 34 000 pedidos de mandatos ao a o longo de 33 anos e , durante esses 33 anos , só rejeitaram 11 pedidos do de o governo .</t>
  </si>
  <si>
    <t>file://conllu/pt/teddy-1319.conllu#s52_0</t>
  </si>
  <si>
    <t>53</t>
  </si>
  <si>
    <t>ser (ser pessoa)</t>
  </si>
  <si>
    <t>Estas não são as pessoas que queremos que decidam qual deve ser o papel do de o mundo empresarial americano numa em uma Internet livre e aberta .</t>
  </si>
  <si>
    <t>file://conllu/pt/teddy-1319.conllu#s53_0</t>
  </si>
  <si>
    <t>54</t>
  </si>
  <si>
    <t>CA : Este slide que estamos a mostrar mostra as datas em que diferentes empresas de tecnologia , empresas de Internet , alegadamente se juntaram ao a o programa , e onde se iniciou a colheita de dados a partir delas de elas .</t>
  </si>
  <si>
    <t>file://conllu/pt/teddy-1319.conllu#s54_0</t>
  </si>
  <si>
    <t>55</t>
  </si>
  <si>
    <t>negar</t>
  </si>
  <si>
    <t>Mas elas têm negado ter colaborado com a NSA .</t>
  </si>
  <si>
    <t>file://conllu/pt/teddy-1319.conllu#s55_0</t>
  </si>
  <si>
    <t>56</t>
  </si>
  <si>
    <t>recolher</t>
  </si>
  <si>
    <t>Como é que a NSA recolheu estes dados ?</t>
  </si>
  <si>
    <t>file://conllu/pt/teddy-1319.conllu#s56_0</t>
  </si>
  <si>
    <t>57</t>
  </si>
  <si>
    <t>ES : Certo .</t>
  </si>
  <si>
    <t>file://conllu/pt/teddy-1319.conllu#s57_0</t>
  </si>
  <si>
    <t>58</t>
  </si>
  <si>
    <t>referir</t>
  </si>
  <si>
    <t>Os próprios slides da de a NSA referem-se referem se a elas como um acesso direto .</t>
  </si>
  <si>
    <t>file://conllu/pt/teddy-1319.conllu#s58_0</t>
  </si>
  <si>
    <t>59</t>
  </si>
  <si>
    <t>Isso significa?</t>
  </si>
  <si>
    <t>que isso significa para um analista da de a NSA , alguém como eu , que estava a trabalhar como analista de informações à a a procura de piratas cibernéticos chineses , coisas desse de esse tipo , no em o Havaí , é que a origem dessas de essas informações vem diretamente dos de os seus servidores .</t>
  </si>
  <si>
    <t>file://conllu/pt/teddy-1319.conllu#s59_0</t>
  </si>
  <si>
    <t>60</t>
  </si>
  <si>
    <t>significar</t>
  </si>
  <si>
    <t>Isso não significa que exista um grupo de representantes de empresas sentados numa em uma sala cheia de fumo , com a NSA por detrás , a fazer acordos de bastidores sobre como irão passar essas informações .</t>
  </si>
  <si>
    <t>file://conllu/pt/teddy-1319.conllu#s60_0</t>
  </si>
  <si>
    <t>61</t>
  </si>
  <si>
    <t>empresa</t>
  </si>
  <si>
    <t>Cada empresa lida com isto de modos diferentes .</t>
  </si>
  <si>
    <t>file://conllu/pt/teddy-1319.conllu#s61_0</t>
  </si>
  <si>
    <t>62</t>
  </si>
  <si>
    <t>ser (ser responsável)</t>
  </si>
  <si>
    <t>Algumas são responsáveis .</t>
  </si>
  <si>
    <t>file://conllu/pt/teddy-1319.conllu#s62_0</t>
  </si>
  <si>
    <t>63</t>
  </si>
  <si>
    <t>Outras são menos responsáveis .</t>
  </si>
  <si>
    <t>file://conllu/pt/teddy-1319.conllu#s63_0</t>
  </si>
  <si>
    <t>64</t>
  </si>
  <si>
    <t>ser</t>
  </si>
  <si>
    <t>Mas o fundamental é que , quando falamos sobre a forma como esta informação é passada , está a vir dessas de essas empresas .</t>
  </si>
  <si>
    <t>file://conllu/pt/teddy-1319.conllu#s64_0</t>
  </si>
  <si>
    <t>65</t>
  </si>
  <si>
    <t>roubar</t>
  </si>
  <si>
    <t>Não é roubada nas em as linhas .</t>
  </si>
  <si>
    <t>file://conllu/pt/teddy-1319.conllu#s65_0</t>
  </si>
  <si>
    <t>66</t>
  </si>
  <si>
    <t>Há uma coisa importante que tem que ser referida aqui : apesar de as empresas terem sido pressionadas , apesar de elas terem exigido , &amp;quot; Vamos fazer isso com um mandado de busca , &amp;quot; vamos fazer isso &amp;quot; se tivermos algum tipo de cobertura legal , &amp;quot; alguma base para facultar estes dados de utilizadores &amp;quot; .</t>
  </si>
  <si>
    <t>file://conllu/pt/teddy-1319.conllu#s66_0</t>
  </si>
  <si>
    <t>67</t>
  </si>
  <si>
    <t>Vimos artigos no em o Washington Post no em o ano passado que não foram tão bem contados como a história do de o PRISM que diziam que a NSA interferiu no em o centro de dados de comunicações entre o Google e ela própria e entre o Yahoo e ela própria .</t>
  </si>
  <si>
    <t>file://conllu/pt/teddy-1319.conllu#s67_0</t>
  </si>
  <si>
    <t>68</t>
  </si>
  <si>
    <t>satisfazer</t>
  </si>
  <si>
    <t>Portanto , mesmo as empresas que estão a cooperar de forma forçada , mas pelo por o menos dentro da de a legalidade , segundo esperamos , com a NSA , não satisfazem a NSA .</t>
  </si>
  <si>
    <t>file://conllu/pt/teddy-1319.conllu#s68_0</t>
  </si>
  <si>
    <t>69</t>
  </si>
  <si>
    <t>precisar</t>
  </si>
  <si>
    <t>Por causa disso de isso , precisamos que as nossas empresas trabalhem esforçadamente para garantir que vão representar os interesses do de o utilizador , e defender também os direitos dos de os utilizadores .</t>
  </si>
  <si>
    <t>file://conllu/pt/teddy-1319.conllu#s69_0</t>
  </si>
  <si>
    <t>70</t>
  </si>
  <si>
    <t>E eu acho que , no em o ano passado , pudemos ver as empresas que estão referidas nos em os slides do de o PRISM fazer grandes esforços para isso .</t>
  </si>
  <si>
    <t>file://conllu/pt/teddy-1319.conllu#s70_0</t>
  </si>
  <si>
    <t>71</t>
  </si>
  <si>
    <t>querer</t>
  </si>
  <si>
    <t>Quero encorajá-las encorajá las a continuar .</t>
  </si>
  <si>
    <t>file://conllu/pt/teddy-1319.conllu#s71_0</t>
  </si>
  <si>
    <t>72</t>
  </si>
  <si>
    <t>CA : Que mais deveriam elas fazer ?</t>
  </si>
  <si>
    <t>file://conllu/pt/teddy-1319.conllu#s72_0</t>
  </si>
  <si>
    <t>73</t>
  </si>
  <si>
    <t>ES : A coisa mais importante que uma empresa de Internet pode fazer hoje , na em a América , neste em este preciso momento , sem ter que consultar advogados , para proteger os direitos dos de os utilizadores em todo o mundo , é permitir a cifragem de SSL [ Segurança de Transporte ] na em a Internet em cada página que visitamos .</t>
  </si>
  <si>
    <t>file://conllu/pt/teddy-1319.conllu#s73_0</t>
  </si>
  <si>
    <t>74</t>
  </si>
  <si>
    <t>A razão por que isso é importante , é que hoje , se formos ver uma cópia de &amp;quot;1984 &amp;quot; em amazon.com , a NSA pode ver um registo disso de isso , os serviços de informação da de a Rússia podem ver esse registo , os serviços de informações da de a China podem ver esse registo , os serviços franceses , os serviços alemães , os serviços de Andorra , todos eles podem ver , porque não está codificado .</t>
  </si>
  <si>
    <t>file://conllu/pt/teddy-1319.conllu#s74_0</t>
  </si>
  <si>
    <t>75</t>
  </si>
  <si>
    <t>ser (ser Amazon.com)</t>
  </si>
  <si>
    <t>A biblioteca mundial é a Amazon.com</t>
  </si>
  <si>
    <t>file://conllu/pt/teddy-1319.conllu#s75_0</t>
  </si>
  <si>
    <t>76</t>
  </si>
  <si>
    <t>oferecer</t>
  </si>
  <si>
    <t>, mas eles não só não oferecem uma codificação por defeito , como nós não podemos optar pela por a codificação quando navegamos pelos por os livros .</t>
  </si>
  <si>
    <t>file://conllu/pt/teddy-1319.conllu#s76_0</t>
  </si>
  <si>
    <t>77</t>
  </si>
  <si>
    <t>ser (ser eles)</t>
  </si>
  <si>
    <t>Isto é uma coisa que é preciso mudar , não só para a Amazon , não são só eles , mas eles são um bom exemplo .</t>
  </si>
  <si>
    <t>file://conllu/pt/teddy-1319.conllu#s77_0</t>
  </si>
  <si>
    <t>78</t>
  </si>
  <si>
    <t>Todas as empresas precisam de mudar para uma navegação codificada por defeito para todos os utilizadores que não desejem outra coisa , ou não escolham outro método por iniciativa própria .</t>
  </si>
  <si>
    <t>file://conllu/pt/teddy-1319.conllu#s78_0</t>
  </si>
  <si>
    <t>79</t>
  </si>
  <si>
    <t>aumentar</t>
  </si>
  <si>
    <t>Isso aumentará a privacidade e os direitos que as pessoas têm a nível mundial CA : Ed , venha comigo com mim até esta parte do de o palco .</t>
  </si>
  <si>
    <t>file://conllu/pt/teddy-1319.conllu#s79_0</t>
  </si>
  <si>
    <t>80</t>
  </si>
  <si>
    <t>mostrar (mostrar querer)</t>
  </si>
  <si>
    <t>Quero mostrar-lhe mostrar lhe outro slide .</t>
  </si>
  <si>
    <t>file://conllu/pt/teddy-1319.conllu#s80_0</t>
  </si>
  <si>
    <t>81</t>
  </si>
  <si>
    <t>ser (ser programa)</t>
  </si>
  <si>
    <t>Este é um programa chamado</t>
  </si>
  <si>
    <t>file://conllu/pt/teddy-1319.conllu#s81_0</t>
  </si>
  <si>
    <t>82</t>
  </si>
  <si>
    <t>Boundless</t>
  </si>
  <si>
    <t>Boundless Infomant</t>
  </si>
  <si>
    <t>file://conllu/pt/teddy-1319.conllu#s82_0</t>
  </si>
  <si>
    <t>83</t>
  </si>
  <si>
    <t>que é isto ?</t>
  </si>
  <si>
    <t>file://conllu/pt/teddy-1319.conllu#s83_0</t>
  </si>
  <si>
    <t>84</t>
  </si>
  <si>
    <t>ES : Tenho que reconhecer que a NSA lhe deu um nome apropriado .</t>
  </si>
  <si>
    <t>file://conllu/pt/teddy-1319.conllu#s84_0</t>
  </si>
  <si>
    <t>85</t>
  </si>
  <si>
    <t>ser (ser um)</t>
  </si>
  <si>
    <t>Este é um dos de os códigos da de a NSA que prefiro .</t>
  </si>
  <si>
    <t>file://conllu/pt/teddy-1319.conllu#s85_0</t>
  </si>
  <si>
    <t>86</t>
  </si>
  <si>
    <t>Boundless Infomant é um programa que a NSA escondeu do de o Congresso .</t>
  </si>
  <si>
    <t>file://conllu/pt/teddy-1319.conllu#s86_0</t>
  </si>
  <si>
    <t>87</t>
  </si>
  <si>
    <t>perguntar</t>
  </si>
  <si>
    <t>Congresso perguntou previamente à a a NSA se eles tinham alguma forma de avaliar , mesmo que aproximadamente , a quantidade de comunicações americanas que estavam a ser intercetadas .</t>
  </si>
  <si>
    <t>file://conllu/pt/teddy-1319.conllu#s87_0</t>
  </si>
  <si>
    <t>88</t>
  </si>
  <si>
    <t>Eles disseram que não .</t>
  </si>
  <si>
    <t>file://conllu/pt/teddy-1319.conllu#s88_0</t>
  </si>
  <si>
    <t>89</t>
  </si>
  <si>
    <t>Disseram : &amp;quot; Não controlamos essas estatísticas .</t>
  </si>
  <si>
    <t>file://conllu/pt/teddy-1319.conllu#s89_0</t>
  </si>
  <si>
    <t>90</t>
  </si>
  <si>
    <t>Não podemos controlar essas estatísticas .</t>
  </si>
  <si>
    <t>file://conllu/pt/teddy-1319.conllu#s90_0</t>
  </si>
  <si>
    <t>91</t>
  </si>
  <si>
    <t>&amp;quot; Não podemos dizer quantas comunicações estamos a intercetar a nível mundial , &amp;quot; porque dizer-vos dizer vos isso seria invadir a vossa privacidade &amp;quot; .</t>
  </si>
  <si>
    <t>file://conllu/pt/teddy-1319.conllu#s91_0</t>
  </si>
  <si>
    <t>92</t>
  </si>
  <si>
    <t>aprecio</t>
  </si>
  <si>
    <t>Aprecio verdadeiramente esse sentimento da de a parte deles de eles , mas , quando olhamos para esse slide , ele mostra que eles não só têm a capacidade , como essa capacidade já existe .</t>
  </si>
  <si>
    <t>file://conllu/pt/teddy-1319.conllu#s92_0</t>
  </si>
  <si>
    <t>93</t>
  </si>
  <si>
    <t>estar (estar vigor)</t>
  </si>
  <si>
    <t>Já está em vigor .</t>
  </si>
  <si>
    <t>file://conllu/pt/teddy-1319.conllu#s93_0</t>
  </si>
  <si>
    <t>94</t>
  </si>
  <si>
    <t>A NSA tem o seu próprio formato de dados internos que deteta as duas extremidades duma de uma comunicação , e , se ele diz , &amp;quot; Esta transmissão veio da de a América &amp;quot; , podem dizer ao a o Congresso quantas dessas de essas comunicações têm hoje , neste em este preciso momento .</t>
  </si>
  <si>
    <t>file://conllu/pt/teddy-1319.conllu#s94_0</t>
  </si>
  <si>
    <t>95</t>
  </si>
  <si>
    <t>Mas o que o Boundless Infomant nos em os diz é que há mais transmissões de americanos a ser intercetadas nos em os EU do de o que acontece na em a Rússia , em relação aos a os russos .</t>
  </si>
  <si>
    <t>file://conllu/pt/teddy-1319.conllu#s95_0</t>
  </si>
  <si>
    <t>96</t>
  </si>
  <si>
    <t>parecer</t>
  </si>
  <si>
    <t>Não me parece que seja isto o que uma agência de informações devia estar a procurar .</t>
  </si>
  <si>
    <t>file://conllu/pt/teddy-1319.conllu#s96_0</t>
  </si>
  <si>
    <t>97</t>
  </si>
  <si>
    <t>CA : Ed , houve uma notícia divulgada no em o Washington Post , mais uma vez a partir dos de os seus dados .</t>
  </si>
  <si>
    <t>file://conllu/pt/teddy-1319.conllu#s97_0</t>
  </si>
  <si>
    <t>98</t>
  </si>
  <si>
    <t>cabeçalho diz assim : &amp;quot; A NSA quebrou regras de privacidade &amp;quot; milhares de vezes por ano . &amp;quot; Fale-nos Fale nos sobre isso .</t>
  </si>
  <si>
    <t>file://conllu/pt/teddy-1319.conllu#s98_0</t>
  </si>
  <si>
    <t>99</t>
  </si>
  <si>
    <t>ES : Nós também ouvimos , no em o ano passado , no em o depoimento no em o Congresso , uma coisa incrível para alguém como eu , que vim da de a NSA e que vi os documentos internos , e sabia o que havia neles em eles , ver funcionários testemunhar sob juramento que não tinha havido abusos , e que não tinha havido violações às a as regras da de a NSA , quando sabíamos que esta história ia aparecer .</t>
  </si>
  <si>
    <t>file://conllu/pt/teddy-1319.conllu#s99_0</t>
  </si>
  <si>
    <t>100</t>
  </si>
  <si>
    <t>Mas o que é especialmente interessante nisto em isto tudo , sobre o facto de a NSA ter violado as suas próprias regras , as suas próprias leis , milhares de vezes num em um só ano , incluindo um determinado incidente , um incidente entre esses 2776 , que afetou mais de 3000 pessoas .</t>
  </si>
  <si>
    <t>file://conllu/pt/teddy-1319.conllu#s100_0</t>
  </si>
  <si>
    <t>102</t>
  </si>
  <si>
    <t>ser (ser facto)</t>
  </si>
  <si>
    <t>que é impressionante nisto em isto tudo , nesse em esse relatório , que não despertou muita atenção , é o facto de que não só tinha havido 2776 violações , como a presidente da de a Comissão de informações do de o Senado , Dianne Feinstein , não tinha visto esse relatório até o Washington Post a ter contactado , pedindo-lhe pedindo lhe um comentário sobre o relatório .</t>
  </si>
  <si>
    <t>file://conllu/pt/teddy-1319.conllu#s102_0</t>
  </si>
  <si>
    <t>103</t>
  </si>
  <si>
    <t>ver (ver solicitar)</t>
  </si>
  <si>
    <t>E só depois é que ela solicitou uma cópia à a a NSA e recebeu-a recebeu a , mas nunca a tinha visto antes disso de isso .</t>
  </si>
  <si>
    <t>file://conllu/pt/teddy-1319.conllu#s103_0</t>
  </si>
  <si>
    <t>104</t>
  </si>
  <si>
    <t>que é que isto nos em os revela sobre o estado de fiscalização das de as informações americanas , quando a presidente da de a Comissão de Informações do de o Senado não faz ideia de que as regras estão a ser quebradas milhares de vezes por ano ?</t>
  </si>
  <si>
    <t>file://conllu/pt/teddy-1319.conllu#s104_0</t>
  </si>
  <si>
    <t>105</t>
  </si>
  <si>
    <t>ser (ser este)</t>
  </si>
  <si>
    <t>CA : Ed , a resposta a todo este debate é esta :</t>
  </si>
  <si>
    <t>file://conllu/pt/teddy-1319.conllu#s105_0</t>
  </si>
  <si>
    <t>106</t>
  </si>
  <si>
    <t>dever</t>
  </si>
  <si>
    <t>Porque é que devemos preocupar-nos preocupar nos com toda essa vigilância , sinceramente ?</t>
  </si>
  <si>
    <t>file://conllu/pt/teddy-1319.conllu#s106_0</t>
  </si>
  <si>
    <t>107</t>
  </si>
  <si>
    <t>dizer (dizer querer)</t>
  </si>
  <si>
    <t>Quero dizer , se não fizemos nada de errado , não temos nada com que nos em os preocupar .</t>
  </si>
  <si>
    <t>file://conllu/pt/teddy-1319.conllu#s107_0</t>
  </si>
  <si>
    <t>109</t>
  </si>
  <si>
    <t>ES : Bem , a primeira coisa é que estamos a abdicar dos de os nossos direitos .</t>
  </si>
  <si>
    <t>file://conllu/pt/teddy-1319.conllu#s109_0</t>
  </si>
  <si>
    <t>110</t>
  </si>
  <si>
    <t>estar</t>
  </si>
  <si>
    <t>Dizemos : &amp;quot; Penso que não vou precisar disso de isso , portanto vou confiar nisso em isso , vamos livrar-nos livrar nos deles de eles , o resto não importa , estes tipos estão a fazer o que é preciso ' .</t>
  </si>
  <si>
    <t>file://conllu/pt/teddy-1319.conllu#s110_0</t>
  </si>
  <si>
    <t>111</t>
  </si>
  <si>
    <t>ser (ser importante)</t>
  </si>
  <si>
    <t>Os nossos direitos são importantes porque nunca sabemos quando vamos precisar deles de eles .</t>
  </si>
  <si>
    <t>file://conllu/pt/teddy-1319.conllu#s111_0</t>
  </si>
  <si>
    <t>112</t>
  </si>
  <si>
    <t>ser (ser parte)</t>
  </si>
  <si>
    <t>Além disso de isso , é uma parte da de a nossa identidade cultural , não só na em a América , mas nas em as sociedades ocidentais e nas em as sociedades democráticas em todo o mundo .</t>
  </si>
  <si>
    <t>file://conllu/pt/teddy-1319.conllu#s112_0</t>
  </si>
  <si>
    <t>113</t>
  </si>
  <si>
    <t>As pessoas deviam ter a liberdade de pegar no em o telefone e ligar para a família , de mandar uma mensagem escrita para os seus entes queridos , As pessoas deviam poder comprar um livro online , deviam poder viajar de comboio , deviam poder comprar uma passagem de avião sem se preocuparem se essas ações vão ser examinadas por um agente do de o governo , possivelmente , nem sequer do de o nosso governo , daqui de aqui a vários anos , se elas serão mal interpretadas e o que é que vão pensar quanto às a as nossas intenções .</t>
  </si>
  <si>
    <t>file://conllu/pt/teddy-1319.conllu#s113_0</t>
  </si>
  <si>
    <t>114</t>
  </si>
  <si>
    <t>Temos o direito à a a privacidade .</t>
  </si>
  <si>
    <t>file://conllu/pt/teddy-1319.conllu#s114_0</t>
  </si>
  <si>
    <t>115</t>
  </si>
  <si>
    <t>Exigir</t>
  </si>
  <si>
    <t>Exigimos que os mandados sejam baseados em causas prováveis ou nalgum tipo de suspeita individualizada porque reconhecemos que confiar a alguém , a qualquer autoridade do de o governo , todas as comunicações humanas em segredo e sem fiscalização é uma tentação demasiado boa para ser ignorada .</t>
  </si>
  <si>
    <t>file://conllu/pt/teddy-1319.conllu#s115_0</t>
  </si>
  <si>
    <t>116</t>
  </si>
  <si>
    <t>CA : Há pessoas furiosas com o que você fez .</t>
  </si>
  <si>
    <t>file://conllu/pt/teddy-1319.conllu#s116_0</t>
  </si>
  <si>
    <t>117</t>
  </si>
  <si>
    <t>ouvir</t>
  </si>
  <si>
    <t>Ouvi recentemente uma citação de Dick Cheney que disse que Julian Assange foi uma picada de mosquito e que Edward Snowden é o leão que arrancou a cabeça do de o cachorro .</t>
  </si>
  <si>
    <t>file://conllu/pt/teddy-1319.conllu#s117_0</t>
  </si>
  <si>
    <t>118</t>
  </si>
  <si>
    <t>Ele acha que você praticou um dos de os piores atos de traição da de a história americana .</t>
  </si>
  <si>
    <t>file://conllu/pt/teddy-1319.conllu#s118_0</t>
  </si>
  <si>
    <t>119</t>
  </si>
  <si>
    <t>que diria às a as pessoas que assim pensam ?</t>
  </si>
  <si>
    <t>file://conllu/pt/teddy-1319.conllu#s119_0</t>
  </si>
  <si>
    <t>120</t>
  </si>
  <si>
    <t>ES : Dick Cheney é realmente um cromo .</t>
  </si>
  <si>
    <t>file://conllu/pt/teddy-1319.conllu#s120_0</t>
  </si>
  <si>
    <t>121</t>
  </si>
  <si>
    <t>obrigar</t>
  </si>
  <si>
    <t>Obrigado .</t>
  </si>
  <si>
    <t>file://conllu/pt/teddy-1319.conllu#s121_0</t>
  </si>
  <si>
    <t>122</t>
  </si>
  <si>
    <t>Acho isso espantoso porque , na em a altura em que Julian Assange estava a fazer um dos de os seus melhores trabalhos , Dick Cheney dizia que ele ia acabar com os governos em todo o mundo , que os céus iam pegar fogo e os mares iam começar a ferver , e agora anda a dizer que é só uma picada de mosquito !</t>
  </si>
  <si>
    <t>file://conllu/pt/teddy-1319.conllu#s122_0</t>
  </si>
  <si>
    <t>123</t>
  </si>
  <si>
    <t>Devíamos desconfiar também do de o mesmo tipo de afirmações pretensiosas sobre os danos à a a segurança nacional vindas desse de esse tipo de funcionários .</t>
  </si>
  <si>
    <t>file://conllu/pt/teddy-1319.conllu#s123_0</t>
  </si>
  <si>
    <t>124</t>
  </si>
  <si>
    <t>partir</t>
  </si>
  <si>
    <t>Mas vamos partir do de o princípio que essas pessoas acreditam mesmo nisso em isso .</t>
  </si>
  <si>
    <t>file://conllu/pt/teddy-1319.conllu#s124_0</t>
  </si>
  <si>
    <t>125</t>
  </si>
  <si>
    <t>defender</t>
  </si>
  <si>
    <t>Eu defenderia que elas têm um certo conceito limitado quanto a segurança nacional .</t>
  </si>
  <si>
    <t>file://conllu/pt/teddy-1319.conllu#s125_0</t>
  </si>
  <si>
    <t>126</t>
  </si>
  <si>
    <t>tornar</t>
  </si>
  <si>
    <t>As prerrogativas de pessoas como Dick Cheney não tornam a nação mais segura .</t>
  </si>
  <si>
    <t>file://conllu/pt/teddy-1319.conllu#s126_0</t>
  </si>
  <si>
    <t>127</t>
  </si>
  <si>
    <t>ser (ser mesmo)</t>
  </si>
  <si>
    <t>interesse público não é sempre o mesmo que o interesse nacional .</t>
  </si>
  <si>
    <t>file://conllu/pt/teddy-1319.conllu#s127_0</t>
  </si>
  <si>
    <t>128</t>
  </si>
  <si>
    <t>entrar</t>
  </si>
  <si>
    <t>Entrar em guerra com pessoas que não são nossos inimigos em locais que não são uma ameaça não nos em os torna mais seguros , e isso tanto se aplica ao a o Iraque como à a a Internet .</t>
  </si>
  <si>
    <t>file://conllu/pt/teddy-1319.conllu#s128_0</t>
  </si>
  <si>
    <t>129</t>
  </si>
  <si>
    <t>ser (ser inimigo)</t>
  </si>
  <si>
    <t>A Internet não é o inimigo .</t>
  </si>
  <si>
    <t>file://conllu/pt/teddy-1319.conllu#s129_0</t>
  </si>
  <si>
    <t>130</t>
  </si>
  <si>
    <t>A nossa economia não é o inimigo .</t>
  </si>
  <si>
    <t>file://conllu/pt/teddy-1319.conllu#s130_0</t>
  </si>
  <si>
    <t>131</t>
  </si>
  <si>
    <t>mundo empresarial americano , o mundo empresarial chinês , e qualquer outra empresa no em o mundo fazem parte da de a nossa sociedade , fazem parte do de o nosso mundo interligado .</t>
  </si>
  <si>
    <t>file://conllu/pt/teddy-1319.conllu#s131_0</t>
  </si>
  <si>
    <t>132</t>
  </si>
  <si>
    <t>existir</t>
  </si>
  <si>
    <t>Existem laços de fraternidade que nos em os unem .</t>
  </si>
  <si>
    <t>file://conllu/pt/teddy-1319.conllu#s132_0</t>
  </si>
  <si>
    <t>133</t>
  </si>
  <si>
    <t>destruir</t>
  </si>
  <si>
    <t>Se nós destruirmos esses laços enfraquecendo as normas , a segurança , e as formas de comportamento , que as nações e os cidadãos do de o mundo inteiro esperam que nós respeitemos ...</t>
  </si>
  <si>
    <t>file://conllu/pt/teddy-1319.conllu#s133_0</t>
  </si>
  <si>
    <t>134</t>
  </si>
  <si>
    <t>CA :</t>
  </si>
  <si>
    <t>file://conllu/pt/teddy-1319.conllu#s134_0</t>
  </si>
  <si>
    <t>135</t>
  </si>
  <si>
    <t>afirmar</t>
  </si>
  <si>
    <t>Mas afirma-se afirma se que você &amp;quot;roubou &amp;quot; 1,7 milhões de documentos .</t>
  </si>
  <si>
    <t>file://conllu/pt/teddy-1319.conllu#s135_0</t>
  </si>
  <si>
    <t>136</t>
  </si>
  <si>
    <t>Parece que só algumas centenas deles de eles foram transmitidos a jornalistas até agora .</t>
  </si>
  <si>
    <t>file://conllu/pt/teddy-1319.conllu#s136_0</t>
  </si>
  <si>
    <t>137</t>
  </si>
  <si>
    <t>Há mais revelações para aparecer ?</t>
  </si>
  <si>
    <t>file://conllu/pt/teddy-1319.conllu#s137_0</t>
  </si>
  <si>
    <t>138</t>
  </si>
  <si>
    <t>ES : Realmente , existem mais informações para aparecer .</t>
  </si>
  <si>
    <t>file://conllu/pt/teddy-1319.conllu#s138_0</t>
  </si>
  <si>
    <t>139</t>
  </si>
  <si>
    <t>Mas eu penso que não há nenhuma questão mais importante que ainda venha a aparecer .</t>
  </si>
  <si>
    <t>file://conllu/pt/teddy-1319.conllu#s139_0</t>
  </si>
  <si>
    <t>140</t>
  </si>
  <si>
    <t>CA : Venha cá , porque quero fazer-lhe fazer lhe uma pergunta sobre esta revelação em especial .</t>
  </si>
  <si>
    <t>file://conllu/pt/teddy-1319.conllu#s140_0</t>
  </si>
  <si>
    <t>141</t>
  </si>
  <si>
    <t>vir</t>
  </si>
  <si>
    <t>Venha cá e dê uma olhadela nisto em isto .</t>
  </si>
  <si>
    <t>file://conllu/pt/teddy-1319.conllu#s141_0</t>
  </si>
  <si>
    <t>142</t>
  </si>
  <si>
    <t>ser (ser notícia)</t>
  </si>
  <si>
    <t>Esta é a notícia que , segundo penso , para a maioria dos de os técnicos nesta em esta sala é a coisa mais chocante que eles já ouviram nos em os últimos meses .</t>
  </si>
  <si>
    <t>file://conllu/pt/teddy-1319.conllu#s142_0</t>
  </si>
  <si>
    <t>143</t>
  </si>
  <si>
    <t>É sobre um programa chamado Bullrun .</t>
  </si>
  <si>
    <t>file://conllu/pt/teddy-1319.conllu#s143_0</t>
  </si>
  <si>
    <t>144</t>
  </si>
  <si>
    <t>Pode explicar do de o que se trata ?</t>
  </si>
  <si>
    <t>file://conllu/pt/teddy-1319.conllu#s144_0</t>
  </si>
  <si>
    <t>145</t>
  </si>
  <si>
    <t>ES : &amp;quot; Bullrun &amp;quot; e — mais uma vez , temos que agradecer à a a NSA a sua sinceridade — é um programa cujo nome corresponde a uma batalha da de a Guerra Civil .</t>
  </si>
  <si>
    <t>file://conllu/pt/teddy-1319.conllu#s145_0</t>
  </si>
  <si>
    <t>146</t>
  </si>
  <si>
    <t>chamar</t>
  </si>
  <si>
    <t>A contrapartida britânica chama-se chama se Edgehill , uma batalha da de a guerra civil no em o Reino Unido .</t>
  </si>
  <si>
    <t>file://conllu/pt/teddy-1319.conllu#s146_0</t>
  </si>
  <si>
    <t>147</t>
  </si>
  <si>
    <t>dar (dar acreditar)</t>
  </si>
  <si>
    <t>Acredito que lhe deram esse nome porque tem como alvo a nossa própria infraestrutura .</t>
  </si>
  <si>
    <t>file://conllu/pt/teddy-1319.conllu#s147_0</t>
  </si>
  <si>
    <t>148</t>
  </si>
  <si>
    <t>São programas através dos de os quais a NSA engana intencionalmente os parceiros empresariais .</t>
  </si>
  <si>
    <t>file://conllu/pt/teddy-1319.conllu#s148_0</t>
  </si>
  <si>
    <t>149</t>
  </si>
  <si>
    <t>Dizem aos a os parceiros empresariais que são padrões seguros .</t>
  </si>
  <si>
    <t>file://conllu/pt/teddy-1319.conllu#s149_0</t>
  </si>
  <si>
    <t>150</t>
  </si>
  <si>
    <t>Dizem que é preciso trabalhar em conjunto para proteger os sistemas , mas , na em a verdade , estão a dar um mau conselho a essas empresas , o que faz com que elas enfraqueçam a segurança dos de os seus serviços .</t>
  </si>
  <si>
    <t>file://conllu/pt/teddy-1319.conllu#s150_0</t>
  </si>
  <si>
    <t>151</t>
  </si>
  <si>
    <t>Estão a construir nos em os bastidores coisas que não é só a NSA que pode explorar mas qualquer um que tenha tempo e dinheiro para procurar e encontrar e depois pode usar para entrar no em o mundo das de as comunicações mundiais .</t>
  </si>
  <si>
    <t>file://conllu/pt/teddy-1319.conllu#s151_0</t>
  </si>
  <si>
    <t>152</t>
  </si>
  <si>
    <t>ser (ser perigoso)</t>
  </si>
  <si>
    <t>E isso é realmente muito perigoso porque , se perdermos um único padrão , se perdermos a confiança de uma coisa como o SSL , que foi o alvo específico do de o programa Bullrun , passamos a viver num em um mundo global menos seguro .</t>
  </si>
  <si>
    <t>file://conllu/pt/teddy-1319.conllu#s152_0</t>
  </si>
  <si>
    <t>153</t>
  </si>
  <si>
    <t>Não poderemos aceder aos a os nosso bancos e não poderemos aceder ao a o comércio sem nos em os preocuparmos quanto às a as pessoas que fiscalizam essas informações ou que as subvertem para os seus próprios fins .</t>
  </si>
  <si>
    <t>file://conllu/pt/teddy-1319.conllu#s153_0</t>
  </si>
  <si>
    <t>154</t>
  </si>
  <si>
    <t>CA : E essas decisões também podem abrir a América a ataques cibernéticos de outras origens ?</t>
  </si>
  <si>
    <t>file://conllu/pt/teddy-1319.conllu#s154_0</t>
  </si>
  <si>
    <t>155</t>
  </si>
  <si>
    <t>ES : Com toda a certeza .</t>
  </si>
  <si>
    <t>file://conllu/pt/teddy-1319.conllu#s155_0</t>
  </si>
  <si>
    <t>156</t>
  </si>
  <si>
    <t>Um dos de os problemas , uma das de as heranças perigosas que temos visto na em a era pós 11/Set , é que a NSA costuma usar dois chapéus .</t>
  </si>
  <si>
    <t>file://conllu/pt/teddy-1319.conllu#s156_0</t>
  </si>
  <si>
    <t>157</t>
  </si>
  <si>
    <t>Tem sido responsável pelas por as operações ofensivas , ou seja a pirataria , mas também tem sido responsável pelas por as operações defensivas , e habitualmente tem dado sempre prioridade à a a defesa sobre o ataque , baseando-se baseando se no em o princípio de que os segredos americanos valem mais , pura e simplesmente .</t>
  </si>
  <si>
    <t>file://conllu/pt/teddy-1319.conllu#s157_0</t>
  </si>
  <si>
    <t>158</t>
  </si>
  <si>
    <t>Se nós piratearmos uma empresa chinesa e roubarmos os seus segredos , se piratearmos um gabinete governamental em Berlim isso tem menos valor para o povo americano do de o que ter a garantia de que os chineses não podem ter acesso aos a os nossos segredos .</t>
  </si>
  <si>
    <t>file://conllu/pt/teddy-1319.conllu#s158_0</t>
  </si>
  <si>
    <t>159</t>
  </si>
  <si>
    <t>Por isso , ao a o reduzir a segurança das de as nossas comunicações , não só estão a colocar em risco o mundo , como estão a colocar em risco a América , porque a propriedade intelectual é a base , é o principio da de a nossa economia .</t>
  </si>
  <si>
    <t>file://conllu/pt/teddy-1319.conllu#s159_0</t>
  </si>
  <si>
    <t>160</t>
  </si>
  <si>
    <t>pagar</t>
  </si>
  <si>
    <t>Se a pusermos em risco através do de o enfraquecimento da de a segurança , vamos pagar por isso durante muitos anos .</t>
  </si>
  <si>
    <t>file://conllu/pt/teddy-1319.conllu#s160_0</t>
  </si>
  <si>
    <t>161</t>
  </si>
  <si>
    <t>CA : Mas eles fizeram um cálculo de que valia a pena fazer isso para a defesa da de a América contra o terrorismo .</t>
  </si>
  <si>
    <t>file://conllu/pt/teddy-1319.conllu#s161_0</t>
  </si>
  <si>
    <t>162</t>
  </si>
  <si>
    <t>ser (ser preço)</t>
  </si>
  <si>
    <t>Sem dúvida que isso é um preço que vale a pena pagar .</t>
  </si>
  <si>
    <t>file://conllu/pt/teddy-1319.conllu#s162_0</t>
  </si>
  <si>
    <t>163</t>
  </si>
  <si>
    <t>ES : Bem , quando olhamos para os resultados desses de esses programas para acabar com o terrorismo , vemos que eles não têm fundamento , e não precisam de acreditar na em a minha palavra porque tivemos a primeira audiência aberta , o primeiro tribunal federal que analisou isso , fora dos de os acordos secretos , que classificou esses programas de orwellianos e provavelmente inconstitucionais .</t>
  </si>
  <si>
    <t>file://conllu/pt/teddy-1319.conllu#s163_0</t>
  </si>
  <si>
    <t>164</t>
  </si>
  <si>
    <t>Congresso</t>
  </si>
  <si>
    <t>Congresso , que acabou por ser informado sobre essas coisas — e agora deseja continuar a ser — produziu projetos de lei para reformar isso .</t>
  </si>
  <si>
    <t>file://conllu/pt/teddy-1319.conllu#s164_0</t>
  </si>
  <si>
    <t>165</t>
  </si>
  <si>
    <t>Dois painéis independentes da de a Casa Branca , que verificaram todas as provas confidenciais , disseram que esses programas nunca impediram um único ataque terrorista que estivesse prestes a acontecer nos em os Estados Unidos .</t>
  </si>
  <si>
    <t>file://conllu/pt/teddy-1319.conllu#s165_0</t>
  </si>
  <si>
    <t>166</t>
  </si>
  <si>
    <t>ser (ser terrorismo)</t>
  </si>
  <si>
    <t>Então , é realmente o terrorismo que estamos a evitar ?</t>
  </si>
  <si>
    <t>file://conllu/pt/teddy-1319.conllu#s166_0</t>
  </si>
  <si>
    <t>167</t>
  </si>
  <si>
    <t>Esses programas têm algum valor ?</t>
  </si>
  <si>
    <t>file://conllu/pt/teddy-1319.conllu#s167_0</t>
  </si>
  <si>
    <t>168</t>
  </si>
  <si>
    <t>dizer (dizer dizer)</t>
  </si>
  <si>
    <t>Eu digo que não , e os três ramos do de o governo americano também dizem que não .</t>
  </si>
  <si>
    <t>file://conllu/pt/teddy-1319.conllu#s168_0</t>
  </si>
  <si>
    <t>169</t>
  </si>
  <si>
    <t>CA : Você acha que eles têm uma motivação mais profunda do de o que a guerra contra o terrorismo ?</t>
  </si>
  <si>
    <t>file://conllu/pt/teddy-1319.conllu#s169_0</t>
  </si>
  <si>
    <t>170</t>
  </si>
  <si>
    <t>ES : Desculpe , não ouvi , pode repetir ?</t>
  </si>
  <si>
    <t>file://conllu/pt/teddy-1319.conllu#s170_0</t>
  </si>
  <si>
    <t>171</t>
  </si>
  <si>
    <t>CA : Desculpe .</t>
  </si>
  <si>
    <t>file://conllu/pt/teddy-1319.conllu#s171_0</t>
  </si>
  <si>
    <t>172</t>
  </si>
  <si>
    <t>Pensa que eles têm ES : Sim .</t>
  </si>
  <si>
    <t>file://conllu/pt/teddy-1319.conllu#s172_0</t>
  </si>
  <si>
    <t>173</t>
  </si>
  <si>
    <t>ponto de partida é que o terrorismo tem sido sempre o que nós , no em o mundo das de as informações , chamamos uma &amp;quot; cobertura para a ação &amp;quot; .</t>
  </si>
  <si>
    <t>file://conllu/pt/teddy-1319.conllu#s173_0</t>
  </si>
  <si>
    <t>174</t>
  </si>
  <si>
    <t>ser (ser coisa)</t>
  </si>
  <si>
    <t>terrorismo é uma coisa que provoca uma resposta emocional que permite que as pessoas racionalizem a autorização de poderes e programas que não concederiam de outro modo , programas do de o tipo do de o Bullrun e do de o Edgehill .</t>
  </si>
  <si>
    <t>file://conllu/pt/teddy-1319.conllu#s174_0</t>
  </si>
  <si>
    <t>175</t>
  </si>
  <si>
    <t>pedir</t>
  </si>
  <si>
    <t>A NSA pediu esses poderes nos em os anos 90 .</t>
  </si>
  <si>
    <t>file://conllu/pt/teddy-1319.conllu#s175_0</t>
  </si>
  <si>
    <t>176</t>
  </si>
  <si>
    <t>defender (defender pedir)</t>
  </si>
  <si>
    <t>Pediram ao a o FBI para ir ao a o Congresso e defender a ideia .</t>
  </si>
  <si>
    <t>file://conllu/pt/teddy-1319.conllu#s176_0</t>
  </si>
  <si>
    <t>177</t>
  </si>
  <si>
    <t>FBI foi a Congresso e defendeu a ideia , mas o Congresso e o povo americano disseram que não .</t>
  </si>
  <si>
    <t>file://conllu/pt/teddy-1319.conllu#s177_0</t>
  </si>
  <si>
    <t>178</t>
  </si>
  <si>
    <t>Disseram que não compensava o risco para a economia .</t>
  </si>
  <si>
    <t>file://conllu/pt/teddy-1319.conllu#s178_0</t>
  </si>
  <si>
    <t>179</t>
  </si>
  <si>
    <t>Disseram que os prejuízos para a sociedade eram demasiado grandes para justificar os ganhos .</t>
  </si>
  <si>
    <t>file://conllu/pt/teddy-1319.conllu#s179_0</t>
  </si>
  <si>
    <t>180</t>
  </si>
  <si>
    <t>usar (usar usar)</t>
  </si>
  <si>
    <t>Mas o que vimos na em a era pós 11/Set foi que usaram o sigilo e usaram a justificação do de o terrorismo para iniciar esses programas em segredo sem solicitar autorização do de o Congresso , sem perguntar ao a o povo americano .</t>
  </si>
  <si>
    <t>file://conllu/pt/teddy-1319.conllu#s180_0</t>
  </si>
  <si>
    <t>181</t>
  </si>
  <si>
    <t>É contra este tipo de governo de bastidores que nós precisamos de lutar , porque diminui a nossa segurança e não oferece nenhum valor em troca .</t>
  </si>
  <si>
    <t>file://conllu/pt/teddy-1319.conllu#s181_0</t>
  </si>
  <si>
    <t>182</t>
  </si>
  <si>
    <t>CA : Ok , venha aqui por um segundo porque tenho uma pergunta mais pessoal para si , falando de terrorismo .</t>
  </si>
  <si>
    <t>file://conllu/pt/teddy-1319.conllu#s182_0</t>
  </si>
  <si>
    <t>183</t>
  </si>
  <si>
    <t>A maioria das de as pessoas acharia a situação em que você se encontra agora , na em a Rússia , bastante assustadora .</t>
  </si>
  <si>
    <t>file://conllu/pt/teddy-1319.conllu#s183_0</t>
  </si>
  <si>
    <t>184</t>
  </si>
  <si>
    <t>Obviamente você soube o que aconteceu , qual o tratamento que teve Bradley Manning , que agora se chama Chelsea Manning , e há um artigo no em o Buzzfeed que diz que há pessoas na em a comunidade das de as informações que querem vê-lo vê lo morto .</t>
  </si>
  <si>
    <t>file://conllu/pt/teddy-1319.conllu#s184_0</t>
  </si>
  <si>
    <t>185</t>
  </si>
  <si>
    <t>encarar</t>
  </si>
  <si>
    <t>Como é que encara isso ?</t>
  </si>
  <si>
    <t>file://conllu/pt/teddy-1319.conllu#s185_0</t>
  </si>
  <si>
    <t>186</t>
  </si>
  <si>
    <t>Como é que se está a dar com o medo ?</t>
  </si>
  <si>
    <t>file://conllu/pt/teddy-1319.conllu#s186_0</t>
  </si>
  <si>
    <t>187</t>
  </si>
  <si>
    <t>ES :</t>
  </si>
  <si>
    <t>file://conllu/pt/teddy-1319.conllu#s187_0</t>
  </si>
  <si>
    <t>188</t>
  </si>
  <si>
    <t>ser (ser mistério)</t>
  </si>
  <si>
    <t>Não é nenhum mistério que há governos por aí que querem ver-me ver me morto .</t>
  </si>
  <si>
    <t>file://conllu/pt/teddy-1319.conllu#s188_0</t>
  </si>
  <si>
    <t>189</t>
  </si>
  <si>
    <t>deixar</t>
  </si>
  <si>
    <t>Eu deixei claro , vezes sem conta , que adormeço todos os dias a pensar no em o que é que posso fazer pelo por o povo americano .</t>
  </si>
  <si>
    <t>file://conllu/pt/teddy-1319.conllu#s189_0</t>
  </si>
  <si>
    <t>190</t>
  </si>
  <si>
    <t>Não quero prejudicar o meu governo .</t>
  </si>
  <si>
    <t>file://conllu/pt/teddy-1319.conllu#s190_0</t>
  </si>
  <si>
    <t>191</t>
  </si>
  <si>
    <t>ajudar (ajudar querer)</t>
  </si>
  <si>
    <t>Quero ajudar o meu governo .</t>
  </si>
  <si>
    <t>file://conllu/pt/teddy-1319.conllu#s191_0</t>
  </si>
  <si>
    <t>192</t>
  </si>
  <si>
    <t>28</t>
  </si>
  <si>
    <t>Mas o facto de eles estarem dispostos a ignorar totalmente os procedimentos devidos , de estarem dispostos a declarar-me declarar me culpado sem sequer existir um julgamento , são coisas contra as quais temos que lutar enquanto sociedade , e dizer &amp;quot; isso não é apropriado &amp;quot; .</t>
  </si>
  <si>
    <t>file://conllu/pt/teddy-1319.conllu#s192_0</t>
  </si>
  <si>
    <t>193</t>
  </si>
  <si>
    <t>Não devíamos ameaçar dissidentes .</t>
  </si>
  <si>
    <t>file://conllu/pt/teddy-1319.conllu#s193_0</t>
  </si>
  <si>
    <t>194</t>
  </si>
  <si>
    <t>Não devíamos criminalizar o jornalismo .</t>
  </si>
  <si>
    <t>file://conllu/pt/teddy-1319.conllu#s194_0</t>
  </si>
  <si>
    <t>195</t>
  </si>
  <si>
    <t>E tudo o que eu puder fazer para acabar com isso , fá-lo-ei com todo o gosto , apesar dos de os riscos .</t>
  </si>
  <si>
    <t>file://conllu/pt/teddy-1319.conllu#s195_0</t>
  </si>
  <si>
    <t>196</t>
  </si>
  <si>
    <t>CA : Gostava de obter algum feedback desta de esta audiência porque sei que há reações muito diversas em relação a Edward Snowden .</t>
  </si>
  <si>
    <t>file://conllu/pt/teddy-1319.conllu#s196_0</t>
  </si>
  <si>
    <t>197</t>
  </si>
  <si>
    <t>Suponhar</t>
  </si>
  <si>
    <t>Suponham que têm as duas opções seguintes , ok ?</t>
  </si>
  <si>
    <t>file://conllu/pt/teddy-1319.conllu#s197_0</t>
  </si>
  <si>
    <t>198</t>
  </si>
  <si>
    <t>considerar</t>
  </si>
  <si>
    <t>Consideram o que ele fez como um ato que , essencialmente , pôs em perigo a América ou consideram-no consideram no como um ato essencialmente heroico que pode ajudar a América e o bem mundial a longo prazo ?</t>
  </si>
  <si>
    <t>file://conllu/pt/teddy-1319.conllu#s198_0</t>
  </si>
  <si>
    <t>199</t>
  </si>
  <si>
    <t>ser (ser opção)</t>
  </si>
  <si>
    <t>São as duas opções que vos dou .</t>
  </si>
  <si>
    <t>file://conllu/pt/teddy-1319.conllu#s199_0</t>
  </si>
  <si>
    <t>200</t>
  </si>
  <si>
    <t>Tenho curiosidade em ver quem está disposto a votar pela por a primeira , ou seja , que é um ato irrefletido ?</t>
  </si>
  <si>
    <t>file://conllu/pt/teddy-1319.conllu#s200_0</t>
  </si>
  <si>
    <t>201</t>
  </si>
  <si>
    <t>Há algumas mãos no em o ar .</t>
  </si>
  <si>
    <t>file://conllu/pt/teddy-1319.conllu#s201_0</t>
  </si>
  <si>
    <t>202</t>
  </si>
  <si>
    <t>mão</t>
  </si>
  <si>
    <t>Algumas mãos no em o ar .</t>
  </si>
  <si>
    <t>file://conllu/pt/teddy-1319.conllu#s202_0</t>
  </si>
  <si>
    <t>203</t>
  </si>
  <si>
    <t>ser (ser difícil)</t>
  </si>
  <si>
    <t>É difícil pôr a mão no em o ar quando o homem está mesmo aqui à a a nossa frente , mas eu estou a vê-las vê las .</t>
  </si>
  <si>
    <t>file://conllu/pt/teddy-1319.conllu#s203_0</t>
  </si>
  <si>
    <t>204</t>
  </si>
  <si>
    <t>file://conllu/pt/teddy-1319.conllu#s204_0</t>
  </si>
  <si>
    <t>205</t>
  </si>
  <si>
    <t>vejo</t>
  </si>
  <si>
    <t>Eu também vejo .</t>
  </si>
  <si>
    <t>file://conllu/pt/teddy-1319.conllu#s205_0</t>
  </si>
  <si>
    <t>206</t>
  </si>
  <si>
    <t>CA : E quem está a favor da de a segunda opção , ou seja , um ato essencialmente heroico ?</t>
  </si>
  <si>
    <t>file://conllu/pt/teddy-1319.conllu#s206_0</t>
  </si>
  <si>
    <t>207</t>
  </si>
  <si>
    <t>Penso que é correto dizer que há muitas pessoas que não levantaram a mão .</t>
  </si>
  <si>
    <t>file://conllu/pt/teddy-1319.conllu#s207_0</t>
  </si>
  <si>
    <t>208</t>
  </si>
  <si>
    <t>Acho que ainda estão a pensar porque me parece que o debate à a a sua volta não se divide de acordo com as tradicionais linhas políticas .</t>
  </si>
  <si>
    <t>file://conllu/pt/teddy-1319.conllu#s208_0</t>
  </si>
  <si>
    <t>209</t>
  </si>
  <si>
    <t>Não é uma questão de esquerda ou de direita , não se trata de ser pró-governo , libertário , ou não .</t>
  </si>
  <si>
    <t>file://conllu/pt/teddy-1319.conllu#s209_0</t>
  </si>
  <si>
    <t>210</t>
  </si>
  <si>
    <t>Parte dela de ela é quase uma questão geracional .</t>
  </si>
  <si>
    <t>file://conllu/pt/teddy-1319.conllu#s210_0</t>
  </si>
  <si>
    <t>211</t>
  </si>
  <si>
    <t>Fazemos parte de uma geração que cresceu com a Internet , e parece que nos em os ofendemos a um nível quase visceral quando vemos fazer qualquer coisa que achamos vai prejudicar a Internet .</t>
  </si>
  <si>
    <t>file://conllu/pt/teddy-1319.conllu#s211_0</t>
  </si>
  <si>
    <t>212</t>
  </si>
  <si>
    <t>Haverá nisto em isto alguma verdade ?</t>
  </si>
  <si>
    <t>file://conllu/pt/teddy-1319.conllu#s212_0</t>
  </si>
  <si>
    <t>213</t>
  </si>
  <si>
    <t>ES : Há .</t>
  </si>
  <si>
    <t>file://conllu/pt/teddy-1319.conllu#s213_0</t>
  </si>
  <si>
    <t>214</t>
  </si>
  <si>
    <t>Acho que é verdade .</t>
  </si>
  <si>
    <t>file://conllu/pt/teddy-1319.conllu#s214_0</t>
  </si>
  <si>
    <t>215</t>
  </si>
  <si>
    <t>Isto não é uma questão de esquerda ou de direita .</t>
  </si>
  <si>
    <t>file://conllu/pt/teddy-1319.conllu#s215_0</t>
  </si>
  <si>
    <t>216</t>
  </si>
  <si>
    <t>As nossas liberdades básicas — e quando digo nossas , não me refiro apenas aos a os americanos , refiro-me refiro me a todas as pessoas no em o mundo — não são uma questão partidária .</t>
  </si>
  <si>
    <t>file://conllu/pt/teddy-1319.conllu#s216_0</t>
  </si>
  <si>
    <t>217</t>
  </si>
  <si>
    <t>São coisas em que toda a gente acredita , e cabe-nos cabe nos a todos nós protegê-las protegê las , e às a as pessoas que viram e beneficiaram de uma Internet livre e aberta .</t>
  </si>
  <si>
    <t>file://conllu/pt/teddy-1319.conllu#s217_0</t>
  </si>
  <si>
    <t>219</t>
  </si>
  <si>
    <t>E se?</t>
  </si>
  <si>
    <t>mudar</t>
  </si>
  <si>
    <t>E se não mudarmos as coisas , se não nos em os erguermos para fazer as mudanças que é preciso fazer para manter uma Internet segura , não apenas para nós , mas para toda a gente , vamos perder isso .</t>
  </si>
  <si>
    <t>file://conllu/pt/teddy-1319.conllu#s219_0</t>
  </si>
  <si>
    <t>220</t>
  </si>
  <si>
    <t>ser (ser perda)</t>
  </si>
  <si>
    <t>Seria uma perda terrível , não só para nós , mas para o mundo inteiro .</t>
  </si>
  <si>
    <t>file://conllu/pt/teddy-1319.conllu#s220_0</t>
  </si>
  <si>
    <t>221</t>
  </si>
  <si>
    <t>CA : Bem , há pouco tempo ouvi um palavreado semelhante ao a o fundador da de a wide web mundial , que , segundo penso , está aqui presente :</t>
  </si>
  <si>
    <t>file://conllu/pt/teddy-1319.conllu#s221_0</t>
  </si>
  <si>
    <t>222</t>
  </si>
  <si>
    <t>Sir</t>
  </si>
  <si>
    <t>Sir Tim Berners-Lee .</t>
  </si>
  <si>
    <t>file://conllu/pt/teddy-1319.conllu#s222_0</t>
  </si>
  <si>
    <t>223</t>
  </si>
  <si>
    <t>Tim , quer vir aqui e dizer — arranjam um microfone para Tim ?</t>
  </si>
  <si>
    <t>file://conllu/pt/teddy-1319.conllu#s223_0</t>
  </si>
  <si>
    <t>224</t>
  </si>
  <si>
    <t>prazer</t>
  </si>
  <si>
    <t>Tim , prazer em vê-lo vê lo .</t>
  </si>
  <si>
    <t>file://conllu/pt/teddy-1319.conllu#s224_0</t>
  </si>
  <si>
    <t>225</t>
  </si>
  <si>
    <t>Venha cá acima .</t>
  </si>
  <si>
    <t>file://conllu/pt/teddy-1319.conllu#s225_0</t>
  </si>
  <si>
    <t>226</t>
  </si>
  <si>
    <t>propósito</t>
  </si>
  <si>
    <t>A propósito , em que campo se situa , traidor , herói ?</t>
  </si>
  <si>
    <t>file://conllu/pt/teddy-1319.conllu#s226_0</t>
  </si>
  <si>
    <t>227</t>
  </si>
  <si>
    <t>Eu tenho uma teoria , mas ...</t>
  </si>
  <si>
    <t>file://conllu/pt/teddy-1319.conllu#s227_0</t>
  </si>
  <si>
    <t>228</t>
  </si>
  <si>
    <t>Tim</t>
  </si>
  <si>
    <t>Tim Berners-Lee :</t>
  </si>
  <si>
    <t>file://conllu/pt/teddy-1319.conllu#s228_0</t>
  </si>
  <si>
    <t>229</t>
  </si>
  <si>
    <t>Podia dar uma resposta muito mais longa , mas ... &amp;quot; herói &amp;quot; , já que sou obrigado a escolher entre as duas .</t>
  </si>
  <si>
    <t>file://conllu/pt/teddy-1319.conllu#s229_0</t>
  </si>
  <si>
    <t>230</t>
  </si>
  <si>
    <t>CA : Ed , acho que leu a proposta de que Sir</t>
  </si>
  <si>
    <t>file://conllu/pt/teddy-1319.conllu#s230_0</t>
  </si>
  <si>
    <t>231</t>
  </si>
  <si>
    <t>recuperar (recuperar falar)</t>
  </si>
  <si>
    <t>Tim falou sobre uma nova Magna Carta para recuperar a Internet .</t>
  </si>
  <si>
    <t>file://conllu/pt/teddy-1319.conllu#s231_0</t>
  </si>
  <si>
    <t>232</t>
  </si>
  <si>
    <t>Acha que é uma coisa que faz sentido ?</t>
  </si>
  <si>
    <t>file://conllu/pt/teddy-1319.conllu#s232_0</t>
  </si>
  <si>
    <t>233</t>
  </si>
  <si>
    <t>ES : Obviamente .</t>
  </si>
  <si>
    <t>file://conllu/pt/teddy-1319.conllu#s233_0</t>
  </si>
  <si>
    <t>234</t>
  </si>
  <si>
    <t>geração</t>
  </si>
  <si>
    <t>A minha geração ...</t>
  </si>
  <si>
    <t>file://conllu/pt/teddy-1319.conllu#s234_0</t>
  </si>
  <si>
    <t>235</t>
  </si>
  <si>
    <t>crescer</t>
  </si>
  <si>
    <t>Eu não cresci a pensar na em a Internet , eu cresci dentro da de a Internet e , embora não estivesse à a a espera de ter a hipótese de defendê-la defendê la de modo tão direto e prático e corporizá-la corporizá la deste de este modo invulgar , quase avatar , acho que há algo de poético no em o facto de um dos de os filhos da de a Internet se ter tornado íntimo da de a Internet em consequência da de a sua expressão política .</t>
  </si>
  <si>
    <t>file://conllu/pt/teddy-1319.conllu#s235_0</t>
  </si>
  <si>
    <t>236</t>
  </si>
  <si>
    <t>E acho que uma Magna Carta para a Internet é exatamente aquilo de que precisamos .</t>
  </si>
  <si>
    <t>file://conllu/pt/teddy-1319.conllu#s236_0</t>
  </si>
  <si>
    <t>237</t>
  </si>
  <si>
    <t>Precisamos de um código para os nossos valores não apenas por escrito mas inserido na em a estrutura da de a Internet , e é uma coisa que desejo .</t>
  </si>
  <si>
    <t>file://conllu/pt/teddy-1319.conllu#s237_0</t>
  </si>
  <si>
    <t>238</t>
  </si>
  <si>
    <t>audiência</t>
  </si>
  <si>
    <t>Convido toda a audiência , não apenas aqui em Vancouver , mas em todo o mundo , a aderir e a participar .</t>
  </si>
  <si>
    <t>file://conllu/pt/teddy-1319.conllu#s238_0</t>
  </si>
  <si>
    <t>239</t>
  </si>
  <si>
    <t>CA : Tem alguma pergunta a fazer a Ed? TBL :</t>
  </si>
  <si>
    <t>file://conllu/pt/teddy-1319.conllu#s239_0</t>
  </si>
  <si>
    <t>240</t>
  </si>
  <si>
    <t>Duas perguntas , uma pergunta de ordem geral ... CA : Ed , ainda está a ouvir-nos ouvir nos ?</t>
  </si>
  <si>
    <t>file://conllu/pt/teddy-1319.conllu#s240_0</t>
  </si>
  <si>
    <t>241</t>
  </si>
  <si>
    <t>ES : Estou , estou a ouvir .</t>
  </si>
  <si>
    <t>file://conllu/pt/teddy-1319.conllu#s241_0</t>
  </si>
  <si>
    <t>242</t>
  </si>
  <si>
    <t>CA : Oh , já voltou .</t>
  </si>
  <si>
    <t>file://conllu/pt/teddy-1319.conllu#s242_0</t>
  </si>
  <si>
    <t>243</t>
  </si>
  <si>
    <t>TBL : A escuta na em a sua linha teve uma pequena interferência por momentos .</t>
  </si>
  <si>
    <t>file://conllu/pt/teddy-1319.conllu#s243_0</t>
  </si>
  <si>
    <t>244</t>
  </si>
  <si>
    <t>ES : É um pouco problemático com a NSA .</t>
  </si>
  <si>
    <t>file://conllu/pt/teddy-1319.conllu#s244_0</t>
  </si>
  <si>
    <t>245</t>
  </si>
  <si>
    <t>olhar</t>
  </si>
  <si>
    <t>TBL : Ao A o longo destes de estes 25 anos , olhando para trás e refletindo , o que é que acha que será o melhor que podemos conseguir de todos os debates que temos tido sobre a web que queremos ?</t>
  </si>
  <si>
    <t>file://conllu/pt/teddy-1319.conllu#s245_0</t>
  </si>
  <si>
    <t>246</t>
  </si>
  <si>
    <t>file://conllu/pt/teddy-1319.conllu#s246_0</t>
  </si>
  <si>
    <t>247</t>
  </si>
  <si>
    <t>Se pensarmos até onde podemos chegar , penso que é uma questão que só está limitada pelo por o que estamos dispostos a aceitar .</t>
  </si>
  <si>
    <t>file://conllu/pt/teddy-1319.conllu#s247_0</t>
  </si>
  <si>
    <t>248</t>
  </si>
  <si>
    <t>Penso que a Internet de que beneficiámos no em o passado é exatamente aquilo de que precisamos , não só enquanto nação , mas para as pessoas do de o mundo inteiro .</t>
  </si>
  <si>
    <t>file://conllu/pt/teddy-1319.conllu#s248_0</t>
  </si>
  <si>
    <t>249</t>
  </si>
  <si>
    <t>envolver</t>
  </si>
  <si>
    <t>E , cooperando , envolvendo não só as partes técnicas da de a sociedade mas , como você disse , os utilizadores .</t>
  </si>
  <si>
    <t>file://conllu/pt/teddy-1319.conllu#s249_0</t>
  </si>
  <si>
    <t>250</t>
  </si>
  <si>
    <t>pessoa</t>
  </si>
  <si>
    <t>as pessoas do de o mundo inteiro que contribuem através da de a Internet , através das de as redes sociais , as que apenas verificam o tempo , as que confiam nela em ela todos os dias , como fazendo parte da de a sua vida , para defender isso .</t>
  </si>
  <si>
    <t>file://conllu/pt/teddy-1319.conllu#s250_0</t>
  </si>
  <si>
    <t>251</t>
  </si>
  <si>
    <t>obter</t>
  </si>
  <si>
    <t>Não só obteremos a Internet que tínhamos , mas uma Internet melhor , ainda melhor , uma coisa que podemos usar para construir um futuro que será melhor não apenas do de o que esperávamos mas melhor do de o que podíamos imaginar .</t>
  </si>
  <si>
    <t>file://conllu/pt/teddy-1319.conllu#s251_0</t>
  </si>
  <si>
    <t>252</t>
  </si>
  <si>
    <t>CA : Há 30 anos que foi fundada a TED , em 1984 .</t>
  </si>
  <si>
    <t>file://conllu/pt/teddy-1319.conllu#s252_0</t>
  </si>
  <si>
    <t>253</t>
  </si>
  <si>
    <t>Desde então tem havido muitas conversas sempre orientadas na em a linha de que George Orwell afinal estava errado .</t>
  </si>
  <si>
    <t>file://conllu/pt/teddy-1319.conllu#s253_0</t>
  </si>
  <si>
    <t>254</t>
  </si>
  <si>
    <t>Não é o Big Brother que nos em os está a vigiar .</t>
  </si>
  <si>
    <t>file://conllu/pt/teddy-1319.conllu#s254_0</t>
  </si>
  <si>
    <t>255</t>
  </si>
  <si>
    <t>ser (ser nós)</t>
  </si>
  <si>
    <t>Somos nós , pelo por o poder da de a web e da de a transparência , que estamos a vigiar o Big Brother .</t>
  </si>
  <si>
    <t>file://conllu/pt/teddy-1319.conllu#s255_0</t>
  </si>
  <si>
    <t>256</t>
  </si>
  <si>
    <t>ser (ser estaca)</t>
  </si>
  <si>
    <t>As suas revelações foram como uma estaca cravada no em o coração dessa de essa perspetiva bastante otimista , mas você ainda acredita que há forma de fazer algo sobre isso .</t>
  </si>
  <si>
    <t>file://conllu/pt/teddy-1319.conllu#s256_0</t>
  </si>
  <si>
    <t>257</t>
  </si>
  <si>
    <t>você</t>
  </si>
  <si>
    <t>E você também .</t>
  </si>
  <si>
    <t>file://conllu/pt/teddy-1319.conllu#s257_0</t>
  </si>
  <si>
    <t>258</t>
  </si>
  <si>
    <t>reconhecer</t>
  </si>
  <si>
    <t>ES : Certo , há que reconhecer que os poderes do de o Big Brother aumentaram imenso .</t>
  </si>
  <si>
    <t>file://conllu/pt/teddy-1319.conllu#s258_0</t>
  </si>
  <si>
    <t>259</t>
  </si>
  <si>
    <t>aparecer</t>
  </si>
  <si>
    <t>Apareceu recentemente um artigo em Yale que estabeleceu uma coisa chamada o Princípio de Bankston-Soltani , que diz que a nossa expetativa de privacidade é violada quando a capacidade de vigilância do de o governo se torna inferior numa em uma ordem de grandeza , e , cada vez que isso acontece , precisamos de rever e de reequilibrar os nossos direitos de privacidade .</t>
  </si>
  <si>
    <t>file://conllu/pt/teddy-1319.conllu#s259_0</t>
  </si>
  <si>
    <t>260</t>
  </si>
  <si>
    <t>acontecer</t>
  </si>
  <si>
    <t>Ora , isso não tem acontecido desde que os poderes aumentaram vários graus de grandeza , e é por isso que nos em os deparamos agora com este problema mas ainda há esperança , porque o poder dos de os indivíduos também tem aumentado através da de a tecnologia .</t>
  </si>
  <si>
    <t>file://conllu/pt/teddy-1319.conllu#s260_0</t>
  </si>
  <si>
    <t>261</t>
  </si>
  <si>
    <t>ser (ser prova)</t>
  </si>
  <si>
    <t>Eu sou uma prova viva de que um indivíduo pode erguer-se erguer se em pé de igualdade contra os adversários mais poderosos e contra as mais poderosas organizações de informações em todo o mundo , e ganhar .</t>
  </si>
  <si>
    <t>file://conllu/pt/teddy-1319.conllu#s261_0</t>
  </si>
  <si>
    <t>262</t>
  </si>
  <si>
    <t>E penso que isso é uma coisa que nos em os permite ter esperança Precisamos de construi-la construi la para torná-la torná la acessível , não apenas aos a os especialistas técnicos , mas ao a o cidadão ordinário no em o mundo inteiro .</t>
  </si>
  <si>
    <t>file://conllu/pt/teddy-1319.conllu#s262_0</t>
  </si>
  <si>
    <t>263</t>
  </si>
  <si>
    <t>ser (ser crime)</t>
  </si>
  <si>
    <t>jornalismo não é um crime , a comunicação não é um crime , e não devemos ser vigiados nas em as nossas atividades quotidianas .</t>
  </si>
  <si>
    <t>file://conllu/pt/teddy-1319.conllu#s263_0</t>
  </si>
  <si>
    <t>264</t>
  </si>
  <si>
    <t>CA : Não sei muito bem como se aperta a mão a um robô .</t>
  </si>
  <si>
    <t>file://conllu/pt/teddy-1319.conllu#s264_0</t>
  </si>
  <si>
    <t>265</t>
  </si>
  <si>
    <t>julgar</t>
  </si>
  <si>
    <t>mas julgo que a mão está aqui .</t>
  </si>
  <si>
    <t>file://conllu/pt/teddy-1319.conllu#s265_0</t>
  </si>
  <si>
    <t>266</t>
  </si>
  <si>
    <t>Tbl</t>
  </si>
  <si>
    <t>TBL : Em breve aparecerá .</t>
  </si>
  <si>
    <t>file://conllu/pt/teddy-1319.conllu#s266_0</t>
  </si>
  <si>
    <t>267</t>
  </si>
  <si>
    <t>ser (ser prazer)</t>
  </si>
  <si>
    <t>ES : Foi um prazer conhecê-los conhecê los , e espero que a minha imagem seja tão boa como a que eu tenho de todos vós .</t>
  </si>
  <si>
    <t>file://conllu/pt/teddy-1319.conllu#s267_0</t>
  </si>
  <si>
    <t>268</t>
  </si>
  <si>
    <t>CA : Obrigado , Tim .</t>
  </si>
  <si>
    <t>file://conllu/pt/teddy-1319.conllu#s268_0</t>
  </si>
  <si>
    <t>269</t>
  </si>
  <si>
    <t>New York Times recentemente pediu uma amnistia para si .</t>
  </si>
  <si>
    <t>file://conllu/pt/teddy-1319.conllu#s269_0</t>
  </si>
  <si>
    <t>270</t>
  </si>
  <si>
    <t>Gostaria de ter hipótese de voltar à a a América ?</t>
  </si>
  <si>
    <t>file://conllu/pt/teddy-1319.conllu#s270_0</t>
  </si>
  <si>
    <t>271</t>
  </si>
  <si>
    <t>ES : Claro .</t>
  </si>
  <si>
    <t>file://conllu/pt/teddy-1319.conllu#s271_0</t>
  </si>
  <si>
    <t>273</t>
  </si>
  <si>
    <t>Penso que é uma coisa que deve ser o público a decidir .</t>
  </si>
  <si>
    <t>file://conllu/pt/teddy-1319.conllu#s273_0</t>
  </si>
  <si>
    <t>274</t>
  </si>
  <si>
    <t>querer (querer entender dar)</t>
  </si>
  <si>
    <t>Mas , ao a o mesmo tempo , o governo deu a entender que quer uma espécie de acordo , quer que eu comprometa os jornalistas com quem tenho estado a trabalhar , para poder voltar .</t>
  </si>
  <si>
    <t>file://conllu/pt/teddy-1319.conllu#s274_0</t>
  </si>
  <si>
    <t>275</t>
  </si>
  <si>
    <t>Quero deixar muito claro que não fiz isto para ficar em segurança .</t>
  </si>
  <si>
    <t>file://conllu/pt/teddy-1319.conllu#s275_0</t>
  </si>
  <si>
    <t>276</t>
  </si>
  <si>
    <t>Fiz isto para fazer o que estava certo , e não vou parar com o meu trabalho do de o interesse do de o público só para tirar daí de aí benefícios .</t>
  </si>
  <si>
    <t>file://conllu/pt/teddy-1319.conllu#s276_0</t>
  </si>
  <si>
    <t>277</t>
  </si>
  <si>
    <t>CA : Entretanto , graças à a a Internet e a esta tecnologia , você voltou aqui , à a a América do de o Norte , não propriamente aos a os EUA , mas ao a o Canadá , sob esta forma .</t>
  </si>
  <si>
    <t>file://conllu/pt/teddy-1319.conllu#s277_0</t>
  </si>
  <si>
    <t>278</t>
  </si>
  <si>
    <t>sinto</t>
  </si>
  <si>
    <t>Sinto curiosidade , qual é a sensação ?</t>
  </si>
  <si>
    <t>file://conllu/pt/teddy-1319.conllu#s278_0</t>
  </si>
  <si>
    <t>279</t>
  </si>
  <si>
    <t>ES : Canadá é diferente do de o que eu esperava .</t>
  </si>
  <si>
    <t>file://conllu/pt/teddy-1319.conllu#s279_0</t>
  </si>
  <si>
    <t>280</t>
  </si>
  <si>
    <t>ser (ser quente)</t>
  </si>
  <si>
    <t>É muito mais quente .</t>
  </si>
  <si>
    <t>file://conllu/pt/teddy-1319.conllu#s280_0</t>
  </si>
  <si>
    <t>281</t>
  </si>
  <si>
    <t>ser (ser ideia)</t>
  </si>
  <si>
    <t>CA : No Em o TED , a missão é &amp;quot; ideias que vale a pena espalhar &amp;quot; .</t>
  </si>
  <si>
    <t>file://conllu/pt/teddy-1319.conllu#s281_0</t>
  </si>
  <si>
    <t>282</t>
  </si>
  <si>
    <t>conseguir</t>
  </si>
  <si>
    <t>Se conseguisse resumir isso numa em uma única ideia , qual é a sua ideia que vale a pena espalhar neste em este preciso momento ?</t>
  </si>
  <si>
    <t>file://conllu/pt/teddy-1319.conllu#s282_0</t>
  </si>
  <si>
    <t>283</t>
  </si>
  <si>
    <t>ES : Diria que o ano passado foi uma chamada de atenção para o facto de a democracia poder morrer por detrás de portas fechadas , mas nós , enquanto indivíduos , nascemos por detrás dessas de essas mesmas portas fechadas , e não temos que abdicar da de a nossa privacidade para termos um bom governo .</t>
  </si>
  <si>
    <t>file://conllu/pt/teddy-1319.conllu#s283_0</t>
  </si>
  <si>
    <t>284</t>
  </si>
  <si>
    <t>Não temos que abdicar da de a nossa liberdade para ter segurança .</t>
  </si>
  <si>
    <t>file://conllu/pt/teddy-1319.conllu#s284_0</t>
  </si>
  <si>
    <t>285</t>
  </si>
  <si>
    <t>E penso que , trabalhando em conjunto , podemos ter um governo aberto mas também vidas privadas .</t>
  </si>
  <si>
    <t>file://conllu/pt/teddy-1319.conllu#s285_0</t>
  </si>
  <si>
    <t>286</t>
  </si>
  <si>
    <t>esperar</t>
  </si>
  <si>
    <t>E espero poder trabalhar com toda a gente em todo o mundo para ver isso acontecer .</t>
  </si>
  <si>
    <t>file://conllu/pt/teddy-1319.conllu#s286_0</t>
  </si>
  <si>
    <t>287</t>
  </si>
  <si>
    <t>obrigado</t>
  </si>
  <si>
    <t>Muito obrigado .</t>
  </si>
  <si>
    <t>file://conllu/pt/teddy-1319.conllu#s287_0</t>
  </si>
  <si>
    <t>288</t>
  </si>
  <si>
    <t>CA : Ed , obrigado .</t>
  </si>
  <si>
    <t>file://conllu/pt/teddy-1319.conllu#s288_0</t>
  </si>
  <si>
    <t>WORD</t>
  </si>
  <si>
    <t>GR</t>
  </si>
  <si>
    <t>NP_TYPE</t>
  </si>
  <si>
    <t>REF_AUTO</t>
  </si>
  <si>
    <t>COREF</t>
  </si>
  <si>
    <t>REF</t>
  </si>
  <si>
    <t>IS</t>
  </si>
  <si>
    <t>CB</t>
  </si>
  <si>
    <t>GR_ANTE</t>
  </si>
  <si>
    <t>REF_DIST</t>
  </si>
  <si>
    <t>REF_DIST_ANTE</t>
  </si>
  <si>
    <t># text = Chris Anderson:</t>
  </si>
  <si>
    <t>other</t>
  </si>
  <si>
    <t>ne</t>
  </si>
  <si>
    <t>?OLD</t>
  </si>
  <si>
    <t>Anderson</t>
  </si>
  <si>
    <t>:</t>
  </si>
  <si>
    <t># text = Os direitos dos cidadãos, o futuro da Internet.</t>
  </si>
  <si>
    <t>Os</t>
  </si>
  <si>
    <t>direitos</t>
  </si>
  <si>
    <t>def-np.poss</t>
  </si>
  <si>
    <t>de</t>
  </si>
  <si>
    <t>os</t>
  </si>
  <si>
    <t>cidadãos</t>
  </si>
  <si>
    <t>def-np.the</t>
  </si>
  <si>
    <t>,</t>
  </si>
  <si>
    <t>futuro</t>
  </si>
  <si>
    <t>a</t>
  </si>
  <si>
    <t>Internet</t>
  </si>
  <si>
    <t>other_2</t>
  </si>
  <si>
    <t>.</t>
  </si>
  <si>
    <t># text = Gostaria de dar as boas-vindas no palco do TED ao homem por detrás destas revelações, Ed Snowden.</t>
  </si>
  <si>
    <t>Gostaria</t>
  </si>
  <si>
    <t>dar</t>
  </si>
  <si>
    <t>as</t>
  </si>
  <si>
    <t>boas-vindas</t>
  </si>
  <si>
    <t>OBJ_2</t>
  </si>
  <si>
    <t>em</t>
  </si>
  <si>
    <t>palco</t>
  </si>
  <si>
    <t>TED</t>
  </si>
  <si>
    <t>other_3</t>
  </si>
  <si>
    <t>homem</t>
  </si>
  <si>
    <t>other_4</t>
  </si>
  <si>
    <t>por</t>
  </si>
  <si>
    <t>detrás</t>
  </si>
  <si>
    <t>estas</t>
  </si>
  <si>
    <t>revelações</t>
  </si>
  <si>
    <t>other_6</t>
  </si>
  <si>
    <t>def-np.dem</t>
  </si>
  <si>
    <t>other_7</t>
  </si>
  <si>
    <t>Snowden</t>
  </si>
  <si>
    <t>other_8</t>
  </si>
  <si>
    <t># text = (Aplausos) Ed está longe, algures na Rússia a controlar um robô no seu portátil, e pode ver as mesmas coisas que o robô vê.</t>
  </si>
  <si>
    <t>(</t>
  </si>
  <si>
    <t>Aplausos</t>
  </si>
  <si>
    <t>indef-np.bare</t>
  </si>
  <si>
    <t>)</t>
  </si>
  <si>
    <t>SBJ</t>
  </si>
  <si>
    <t>está</t>
  </si>
  <si>
    <t>longe</t>
  </si>
  <si>
    <t>algures</t>
  </si>
  <si>
    <t>Rússia</t>
  </si>
  <si>
    <t>controlar</t>
  </si>
  <si>
    <t>um</t>
  </si>
  <si>
    <t>robô</t>
  </si>
  <si>
    <t>seu</t>
  </si>
  <si>
    <t>pron.ppos</t>
  </si>
  <si>
    <t>portátil</t>
  </si>
  <si>
    <t>pode</t>
  </si>
  <si>
    <t>mesmas</t>
  </si>
  <si>
    <t>coisas</t>
  </si>
  <si>
    <t>OBJ_4</t>
  </si>
  <si>
    <t>que</t>
  </si>
  <si>
    <t>OBJ_6</t>
  </si>
  <si>
    <t>SBJ_6</t>
  </si>
  <si>
    <t>vê</t>
  </si>
  <si>
    <t># text = Ed, seja bem-vindo ao palco do TED.</t>
  </si>
  <si>
    <t>seja</t>
  </si>
  <si>
    <t>bem-vindo</t>
  </si>
  <si>
    <t># text = O que é que consegue ver?</t>
  </si>
  <si>
    <t>pron.pds</t>
  </si>
  <si>
    <t>pron.pint</t>
  </si>
  <si>
    <t>é</t>
  </si>
  <si>
    <t>consegue</t>
  </si>
  <si>
    <t>?</t>
  </si>
  <si>
    <t># text = Edward Snowden:</t>
  </si>
  <si>
    <t># text = Consigo ver toda a gente.</t>
  </si>
  <si>
    <t>Com</t>
  </si>
  <si>
    <t>si</t>
  </si>
  <si>
    <t>pron.pper</t>
  </si>
  <si>
    <t>toda</t>
  </si>
  <si>
    <t>gente</t>
  </si>
  <si>
    <t>OBJ</t>
  </si>
  <si>
    <t>pron.pind</t>
  </si>
  <si>
    <t># text = Isto é incrível!</t>
  </si>
  <si>
    <t>Isto</t>
  </si>
  <si>
    <t>incrível</t>
  </si>
  <si>
    <t>!</t>
  </si>
  <si>
    <t># text = (Risos)</t>
  </si>
  <si>
    <t>Risos</t>
  </si>
  <si>
    <t># text = CA: Ed, umas perguntas para si.</t>
  </si>
  <si>
    <t>CA</t>
  </si>
  <si>
    <t>umas</t>
  </si>
  <si>
    <t>perguntas</t>
  </si>
  <si>
    <t>para</t>
  </si>
  <si>
    <t># text = Têm-lhe chamado muitas coisas nos últimos meses.</t>
  </si>
  <si>
    <t>Têm</t>
  </si>
  <si>
    <t>lhe</t>
  </si>
  <si>
    <t>chamado</t>
  </si>
  <si>
    <t>muitas</t>
  </si>
  <si>
    <t>indef-np</t>
  </si>
  <si>
    <t>últimos</t>
  </si>
  <si>
    <t>meses</t>
  </si>
  <si>
    <t># text = Têm-lhe chamado... delator... traidor... um herói.</t>
  </si>
  <si>
    <t>...</t>
  </si>
  <si>
    <t>delator</t>
  </si>
  <si>
    <t>traidor</t>
  </si>
  <si>
    <t>herói</t>
  </si>
  <si>
    <t>indef-np.a</t>
  </si>
  <si>
    <t># text = Com que palavras se descreveria a si mesmo?</t>
  </si>
  <si>
    <t>palavras</t>
  </si>
  <si>
    <t>se</t>
  </si>
  <si>
    <t>descreveria</t>
  </si>
  <si>
    <t>mesmo</t>
  </si>
  <si>
    <t># text = ES: Sabe, toda a gente que se envolveu neste debate tem andado a debater sobre mim e sobre a minha personalidade e em como me descrever.</t>
  </si>
  <si>
    <t>ES</t>
  </si>
  <si>
    <t>SBJ_2</t>
  </si>
  <si>
    <t>SBJ_4</t>
  </si>
  <si>
    <t>envolveu</t>
  </si>
  <si>
    <t>este</t>
  </si>
  <si>
    <t>debate</t>
  </si>
  <si>
    <t>tem</t>
  </si>
  <si>
    <t>andado</t>
  </si>
  <si>
    <t>debater</t>
  </si>
  <si>
    <t>sobre</t>
  </si>
  <si>
    <t>mim</t>
  </si>
  <si>
    <t>minha</t>
  </si>
  <si>
    <t>other_5</t>
  </si>
  <si>
    <t>personalidade</t>
  </si>
  <si>
    <t>como</t>
  </si>
  <si>
    <t>me</t>
  </si>
  <si>
    <t>OBJ_5</t>
  </si>
  <si>
    <t># text = Mas quando eu penso nisso, acho que não é essa a questão que devíamos debater.</t>
  </si>
  <si>
    <t>Mas</t>
  </si>
  <si>
    <t>quando</t>
  </si>
  <si>
    <t>eu</t>
  </si>
  <si>
    <t>penso</t>
  </si>
  <si>
    <t>isso</t>
  </si>
  <si>
    <t>acho</t>
  </si>
  <si>
    <t>não</t>
  </si>
  <si>
    <t>essa</t>
  </si>
  <si>
    <t>questão</t>
  </si>
  <si>
    <t>devíamos</t>
  </si>
  <si>
    <t># text = Não interessa quem eu sou realmente.</t>
  </si>
  <si>
    <t>Não</t>
  </si>
  <si>
    <t>interessa</t>
  </si>
  <si>
    <t>quem</t>
  </si>
  <si>
    <t>sou</t>
  </si>
  <si>
    <t>realmente</t>
  </si>
  <si>
    <t># text = Se eu sou a pior pessoa do mundo, podem odiar-me e seguir em frente.</t>
  </si>
  <si>
    <t>Se</t>
  </si>
  <si>
    <t>SBJ_3</t>
  </si>
  <si>
    <t>pior</t>
  </si>
  <si>
    <t>mundo</t>
  </si>
  <si>
    <t>podem</t>
  </si>
  <si>
    <t>odiar</t>
  </si>
  <si>
    <t>seguir</t>
  </si>
  <si>
    <t>frente</t>
  </si>
  <si>
    <t># text = O que realmente importa aqui são as questões.</t>
  </si>
  <si>
    <t>importa</t>
  </si>
  <si>
    <t>aqui</t>
  </si>
  <si>
    <t>são</t>
  </si>
  <si>
    <t>questões</t>
  </si>
  <si>
    <t># text = O que realmente importa aqui é o tipo de governo que queremos, o tipo de Internet que queremos, o tipo de relacionamento entre as pessoas e as sociedades.</t>
  </si>
  <si>
    <t>tipo</t>
  </si>
  <si>
    <t>governo</t>
  </si>
  <si>
    <t>queremos</t>
  </si>
  <si>
    <t>relacionamento</t>
  </si>
  <si>
    <t>entre</t>
  </si>
  <si>
    <t>pessoas</t>
  </si>
  <si>
    <t>sociedades</t>
  </si>
  <si>
    <t># text = E isso é o que eu espero que o debate promova e temos visto que ele aumenta com o tempo.</t>
  </si>
  <si>
    <t>E</t>
  </si>
  <si>
    <t>espero</t>
  </si>
  <si>
    <t>promova</t>
  </si>
  <si>
    <t>temos</t>
  </si>
  <si>
    <t>visto</t>
  </si>
  <si>
    <t>ele</t>
  </si>
  <si>
    <t>aumenta</t>
  </si>
  <si>
    <t>com</t>
  </si>
  <si>
    <t>tempo</t>
  </si>
  <si>
    <t>--</t>
  </si>
  <si>
    <t># text = Se eu tivesse que me descrever, não usaria palavras como \"herói\".</t>
  </si>
  <si>
    <t>tivesse</t>
  </si>
  <si>
    <t>OBJ_3</t>
  </si>
  <si>
    <t>usaria</t>
  </si>
  <si>
    <t>&amp;quot;</t>
  </si>
  <si>
    <t># text = não usaria \"patriota\" e não usaria \"traidor\".</t>
  </si>
  <si>
    <t>patriota</t>
  </si>
  <si>
    <t># text = Diria que sou um americano e um cidadão, tal como toda a gente.</t>
  </si>
  <si>
    <t>Diria</t>
  </si>
  <si>
    <t>americano</t>
  </si>
  <si>
    <t>cidadão</t>
  </si>
  <si>
    <t>tal</t>
  </si>
  <si>
    <t># text = CA: Então, só para contextualizar para quem que não conhece a história toda... ... há um ano , você estava a viver no Havaí a trabalhar como consultor da NSA [Agência de Segurança Nacional] Enquanto administrador de sistemas, tinha acesso aos sistemas deles, e começou a revelar certos documentos confidenciais a alguns jornalistas escolhidos a dedo abrindo o caminho para as revelações de junho.</t>
  </si>
  <si>
    <t>Então</t>
  </si>
  <si>
    <t>só</t>
  </si>
  <si>
    <t>contextualizar</t>
  </si>
  <si>
    <t>conhece</t>
  </si>
  <si>
    <t>história</t>
  </si>
  <si>
    <t>há</t>
  </si>
  <si>
    <t>ano</t>
  </si>
  <si>
    <t>indef-np.quant</t>
  </si>
  <si>
    <t>estava</t>
  </si>
  <si>
    <t>viver</t>
  </si>
  <si>
    <t>Havaí</t>
  </si>
  <si>
    <t>trabalhar</t>
  </si>
  <si>
    <t>consultor</t>
  </si>
  <si>
    <t>NSA</t>
  </si>
  <si>
    <t>[</t>
  </si>
  <si>
    <t>Agência</t>
  </si>
  <si>
    <t>Segurança</t>
  </si>
  <si>
    <t>other_9</t>
  </si>
  <si>
    <t>Nacional</t>
  </si>
  <si>
    <t>other_10</t>
  </si>
  <si>
    <t>]</t>
  </si>
  <si>
    <t>Enquanto</t>
  </si>
  <si>
    <t>administrador</t>
  </si>
  <si>
    <t>sistemas</t>
  </si>
  <si>
    <t>tinha</t>
  </si>
  <si>
    <t>acesso</t>
  </si>
  <si>
    <t>eles</t>
  </si>
  <si>
    <t>começou</t>
  </si>
  <si>
    <t>revelar</t>
  </si>
  <si>
    <t>certos</t>
  </si>
  <si>
    <t>documentos</t>
  </si>
  <si>
    <t>confidenciais</t>
  </si>
  <si>
    <t>alguns</t>
  </si>
  <si>
    <t>jornalistas</t>
  </si>
  <si>
    <t>escolhidos</t>
  </si>
  <si>
    <t>dedo</t>
  </si>
  <si>
    <t>abrindo</t>
  </si>
  <si>
    <t>caminho</t>
  </si>
  <si>
    <t>junho</t>
  </si>
  <si>
    <t># text = O que o motivou a fazer isso?</t>
  </si>
  <si>
    <t>motivou</t>
  </si>
  <si>
    <t># text = ES: Sabe... quando eu estava no Havaí, e nos anos anteriores, quando estava a trabalhar para a comunidade de informações, vi muitas coisas que me perturbaram.</t>
  </si>
  <si>
    <t>anos</t>
  </si>
  <si>
    <t>anteriores</t>
  </si>
  <si>
    <t>comunidade</t>
  </si>
  <si>
    <t>informações</t>
  </si>
  <si>
    <t>vi</t>
  </si>
  <si>
    <t>perturbaram</t>
  </si>
  <si>
    <t># text = Na comunidade de informações, fazemos muitas coisas boas, coisas que é preciso fazer, e coisas que ajudam toda a gente.</t>
  </si>
  <si>
    <t>Em</t>
  </si>
  <si>
    <t>fazemos</t>
  </si>
  <si>
    <t>boas</t>
  </si>
  <si>
    <t>preciso</t>
  </si>
  <si>
    <t>SBJ_7</t>
  </si>
  <si>
    <t>ajudam</t>
  </si>
  <si>
    <t>OBJ_7</t>
  </si>
  <si>
    <t># text = Mas também fazemos coisas que vão longe demais.</t>
  </si>
  <si>
    <t>também</t>
  </si>
  <si>
    <t>vão</t>
  </si>
  <si>
    <t>demais</t>
  </si>
  <si>
    <t># text = Há coisas que não deviam ser feitas, e decisões que estavam a ser feitas secretamente sem o público saber, sem o consentimento do público, e sem que os nossos representantes no governo tivessem conhecimento desses programas.</t>
  </si>
  <si>
    <t>Há</t>
  </si>
  <si>
    <t>deviam</t>
  </si>
  <si>
    <t>feitas</t>
  </si>
  <si>
    <t>decisões</t>
  </si>
  <si>
    <t>SBJ_5</t>
  </si>
  <si>
    <t>estavam</t>
  </si>
  <si>
    <t>secretamente</t>
  </si>
  <si>
    <t>sem</t>
  </si>
  <si>
    <t>público</t>
  </si>
  <si>
    <t>consentimento</t>
  </si>
  <si>
    <t>nossos</t>
  </si>
  <si>
    <t>representantes</t>
  </si>
  <si>
    <t>tivessem</t>
  </si>
  <si>
    <t>conhecimento</t>
  </si>
  <si>
    <t>esses</t>
  </si>
  <si>
    <t>programas</t>
  </si>
  <si>
    <t># text = Quando eu comecei a deparar com essas questões, pensei com os meus botões como é que eu posso fazer isto de forma mais responsável, que maximize os benefícios do público enquanto minimiza os riscos?</t>
  </si>
  <si>
    <t>Quando</t>
  </si>
  <si>
    <t>comecei</t>
  </si>
  <si>
    <t>deparar</t>
  </si>
  <si>
    <t>essas</t>
  </si>
  <si>
    <t>pensei</t>
  </si>
  <si>
    <t>meus</t>
  </si>
  <si>
    <t>botões</t>
  </si>
  <si>
    <t>posso</t>
  </si>
  <si>
    <t>isto</t>
  </si>
  <si>
    <t>forma</t>
  </si>
  <si>
    <t>mais</t>
  </si>
  <si>
    <t>responsável</t>
  </si>
  <si>
    <t>maximize</t>
  </si>
  <si>
    <t>benefícios</t>
  </si>
  <si>
    <t>enquanto</t>
  </si>
  <si>
    <t>minimiza</t>
  </si>
  <si>
    <t>riscos</t>
  </si>
  <si>
    <t># text = De todas as soluções que encontrei, sem ser recorrer ao Congresso, porque não havia leis, não havia proteção legal para um empregado privado, um contratado de informações como eu era, existia o risco de eu ser enterrado juntamente com essas informações e o público nunca viria a saber.</t>
  </si>
  <si>
    <t>De</t>
  </si>
  <si>
    <t>todas</t>
  </si>
  <si>
    <t>soluções</t>
  </si>
  <si>
    <t>encontrei</t>
  </si>
  <si>
    <t>recorrer</t>
  </si>
  <si>
    <t>porque</t>
  </si>
  <si>
    <t>havia</t>
  </si>
  <si>
    <t>leis</t>
  </si>
  <si>
    <t>proteção</t>
  </si>
  <si>
    <t>legal</t>
  </si>
  <si>
    <t>empregado</t>
  </si>
  <si>
    <t>privado</t>
  </si>
  <si>
    <t>contratado</t>
  </si>
  <si>
    <t>era</t>
  </si>
  <si>
    <t>existia</t>
  </si>
  <si>
    <t>risco</t>
  </si>
  <si>
    <t>enterrado</t>
  </si>
  <si>
    <t>juntamente</t>
  </si>
  <si>
    <t>nunca</t>
  </si>
  <si>
    <t>viria</t>
  </si>
  <si>
    <t># text = Mas a primeira emenda da Constituição dos Estados Unidos garante-nos liberdade de imprensa por uma razão, que é permitir uma imprensa com posições contrárias para contestar o governo, mas também para trabalhar em conjunto com o governo, ter um diálogo e um debate sobre como podemos informar o público sobre assuntos de importância vital sem colocar em risco a segurança nacional.</t>
  </si>
  <si>
    <t>primeira</t>
  </si>
  <si>
    <t>emenda</t>
  </si>
  <si>
    <t>Constituição</t>
  </si>
  <si>
    <t>Estados</t>
  </si>
  <si>
    <t>Unidos</t>
  </si>
  <si>
    <t>garante</t>
  </si>
  <si>
    <t>nos</t>
  </si>
  <si>
    <t>liberdade</t>
  </si>
  <si>
    <t>imprensa</t>
  </si>
  <si>
    <t>uma</t>
  </si>
  <si>
    <t>razão</t>
  </si>
  <si>
    <t>permitir</t>
  </si>
  <si>
    <t>posições</t>
  </si>
  <si>
    <t>contrárias</t>
  </si>
  <si>
    <t>contestar</t>
  </si>
  <si>
    <t>mas</t>
  </si>
  <si>
    <t>conjunto</t>
  </si>
  <si>
    <t>diálogo</t>
  </si>
  <si>
    <t>podemos</t>
  </si>
  <si>
    <t>informar</t>
  </si>
  <si>
    <t>assuntos</t>
  </si>
  <si>
    <t>importância</t>
  </si>
  <si>
    <t>vital</t>
  </si>
  <si>
    <t>colocar</t>
  </si>
  <si>
    <t>segurança</t>
  </si>
  <si>
    <t>nacional</t>
  </si>
  <si>
    <t># text = E, ao trabalhar com jornalistas, ao passar todas as minhas informações para o povo Americano, em vez de confiar em mim mesmo para tomar a decisão de as publicar, tivemos um vigoroso debate com um profundo envolvimento do governo que eu acho que resultou num benefício para todos.</t>
  </si>
  <si>
    <t>passar</t>
  </si>
  <si>
    <t>minhas</t>
  </si>
  <si>
    <t>povo</t>
  </si>
  <si>
    <t>Americano</t>
  </si>
  <si>
    <t>vez</t>
  </si>
  <si>
    <t>confiar</t>
  </si>
  <si>
    <t>tomar</t>
  </si>
  <si>
    <t>decisão</t>
  </si>
  <si>
    <t>publicar</t>
  </si>
  <si>
    <t>tivemos</t>
  </si>
  <si>
    <t>vigoroso</t>
  </si>
  <si>
    <t>profundo</t>
  </si>
  <si>
    <t>envolvimento</t>
  </si>
  <si>
    <t>resultou</t>
  </si>
  <si>
    <t>benefício</t>
  </si>
  <si>
    <t>todos</t>
  </si>
  <si>
    <t>pron</t>
  </si>
  <si>
    <t># text = E os riscos que se profetizavam, os riscos que foram invocados pelo governo nunca se materializaram.</t>
  </si>
  <si>
    <t>profetizavam</t>
  </si>
  <si>
    <t>foram</t>
  </si>
  <si>
    <t>invocados</t>
  </si>
  <si>
    <t>materializaram</t>
  </si>
  <si>
    <t># text = Nunca vimos nenhum indício de uma só situação de prejuízo especifico.</t>
  </si>
  <si>
    <t>Nunca</t>
  </si>
  <si>
    <t>vimos</t>
  </si>
  <si>
    <t>nenhum</t>
  </si>
  <si>
    <t>indício</t>
  </si>
  <si>
    <t>situação</t>
  </si>
  <si>
    <t>prejuízo</t>
  </si>
  <si>
    <t>especifico</t>
  </si>
  <si>
    <t># text = Por causa disso, sinto-me confortável com as decisões que tomei.</t>
  </si>
  <si>
    <t>Por</t>
  </si>
  <si>
    <t>causa</t>
  </si>
  <si>
    <t>confortável</t>
  </si>
  <si>
    <t>tomei</t>
  </si>
  <si>
    <t># text = CA: Vou mostrar ao público alguns exemplos do que você revelou.</t>
  </si>
  <si>
    <t>Vou</t>
  </si>
  <si>
    <t>exemplos</t>
  </si>
  <si>
    <t>revelou</t>
  </si>
  <si>
    <t># text = se pudermos ter uns slides...</t>
  </si>
  <si>
    <t>pudermos</t>
  </si>
  <si>
    <t>uns</t>
  </si>
  <si>
    <t>slides</t>
  </si>
  <si>
    <t># text = Ed, não sei se consegue ver, os slides estão aqui.</t>
  </si>
  <si>
    <t>sei</t>
  </si>
  <si>
    <t>estão</t>
  </si>
  <si>
    <t># text = Este é um slide do programa PRISM.</t>
  </si>
  <si>
    <t>Este</t>
  </si>
  <si>
    <t>slide</t>
  </si>
  <si>
    <t>programa</t>
  </si>
  <si>
    <t>PRISM</t>
  </si>
  <si>
    <t># text = Talvez possa contar ao público o que é que foi revelado.</t>
  </si>
  <si>
    <t>Talvez</t>
  </si>
  <si>
    <t>possa</t>
  </si>
  <si>
    <t>contar</t>
  </si>
  <si>
    <t>foi</t>
  </si>
  <si>
    <t>revelado</t>
  </si>
  <si>
    <t># text = ES: A melhor forma de perceber o PRISM, porque tem havido uma certa controvérsia, é falar primeiro sobre o que o PRISM não é.</t>
  </si>
  <si>
    <t>A</t>
  </si>
  <si>
    <t>melhor</t>
  </si>
  <si>
    <t>perceber</t>
  </si>
  <si>
    <t>havido</t>
  </si>
  <si>
    <t>certa</t>
  </si>
  <si>
    <t>controvérsia</t>
  </si>
  <si>
    <t>falar</t>
  </si>
  <si>
    <t>primeiro</t>
  </si>
  <si>
    <t># text = Grande parte da discussão nos EUA tem sido sobre os metadados.</t>
  </si>
  <si>
    <t>Grande</t>
  </si>
  <si>
    <t>parte</t>
  </si>
  <si>
    <t>discussão</t>
  </si>
  <si>
    <t>EUA</t>
  </si>
  <si>
    <t>sido</t>
  </si>
  <si>
    <t>metadados</t>
  </si>
  <si>
    <t># text = Tem-se dito que são só metadados, são só metadados, e tem-se falado sobre uma autoridade legal especifica chamada Secção 215 da Lei Patriótica, que permite um certo tipo de escuta sem mandato, uma vigilância de massas das chamadas telefónicas de todo o país , esse tipo de coisas, — com quem estamos a falar, quando é que falamos com quem.</t>
  </si>
  <si>
    <t>Tem</t>
  </si>
  <si>
    <t>dito</t>
  </si>
  <si>
    <t>falado</t>
  </si>
  <si>
    <t>autoridade</t>
  </si>
  <si>
    <t>especifica</t>
  </si>
  <si>
    <t>chamada</t>
  </si>
  <si>
    <t>Secção</t>
  </si>
  <si>
    <t>Lei</t>
  </si>
  <si>
    <t>Patriótica</t>
  </si>
  <si>
    <t>permite</t>
  </si>
  <si>
    <t>certo</t>
  </si>
  <si>
    <t>escuta</t>
  </si>
  <si>
    <t>mandato</t>
  </si>
  <si>
    <t>vigilância</t>
  </si>
  <si>
    <t>massas</t>
  </si>
  <si>
    <t>chamadas</t>
  </si>
  <si>
    <t>telefónicas</t>
  </si>
  <si>
    <t>todo</t>
  </si>
  <si>
    <t>país</t>
  </si>
  <si>
    <t>esse</t>
  </si>
  <si>
    <t>—</t>
  </si>
  <si>
    <t>SBJ_8</t>
  </si>
  <si>
    <t>estamos</t>
  </si>
  <si>
    <t>falamos</t>
  </si>
  <si>
    <t>OBJ_9</t>
  </si>
  <si>
    <t># text = para onde viajamos.</t>
  </si>
  <si>
    <t>onde</t>
  </si>
  <si>
    <t>viajamos</t>
  </si>
  <si>
    <t># text = Tudo isso são metadados.</t>
  </si>
  <si>
    <t>Tudo</t>
  </si>
  <si>
    <t># text = O PRISM é sobre o conteúdo.</t>
  </si>
  <si>
    <t>conteúdo</t>
  </si>
  <si>
    <t># text = É um programa através do qual o governo pode forçar o mundo empresarial americano, pode encarregar o mundo empresarial americano de fazer o trabalho sujo da NSA.</t>
  </si>
  <si>
    <t>É</t>
  </si>
  <si>
    <t>através</t>
  </si>
  <si>
    <t>qual</t>
  </si>
  <si>
    <t>forçar</t>
  </si>
  <si>
    <t>empresarial</t>
  </si>
  <si>
    <t>encarregar</t>
  </si>
  <si>
    <t>trabalho</t>
  </si>
  <si>
    <t>sujo</t>
  </si>
  <si>
    <t># text = E, apesar de algumas dessas empresas terem resistido, apesar de algumas delas — penso que o Yahoo foi uma delas — os terem contestado em tribunal, todas perderam, porque nunca houve um julgamento em audiência pública.</t>
  </si>
  <si>
    <t>apesar</t>
  </si>
  <si>
    <t>algumas</t>
  </si>
  <si>
    <t>empresas</t>
  </si>
  <si>
    <t>terem</t>
  </si>
  <si>
    <t>resistido</t>
  </si>
  <si>
    <t>elas</t>
  </si>
  <si>
    <t>Yahoo</t>
  </si>
  <si>
    <t>contestado</t>
  </si>
  <si>
    <t>tribunal</t>
  </si>
  <si>
    <t>perderam</t>
  </si>
  <si>
    <t>houve</t>
  </si>
  <si>
    <t>julgamento</t>
  </si>
  <si>
    <t>pública</t>
  </si>
  <si>
    <t># text = Só houve julgamento em tribunal à porta fechada.</t>
  </si>
  <si>
    <t>Só</t>
  </si>
  <si>
    <t>porta</t>
  </si>
  <si>
    <t>fechada</t>
  </si>
  <si>
    <t># text = E uma coisa que temos visto, uma coisa sobre o programa PRISM, que muito me preocupa, há um ponto forte do governo dos EU em que disseram que 15 juízes federais analisaram estes programas e consideraram-nos legais, mas o que não nos dizem é que são juízes secretos num tribunal secreto com base em interpretações confidenciais da lei que analisaram 34 000 pedidos de mandatos ao longo de 33 anos e, durante esses 33 anos, só rejeitaram 11 pedidos do governo.</t>
  </si>
  <si>
    <t>muito</t>
  </si>
  <si>
    <t>preocupa</t>
  </si>
  <si>
    <t>ponto</t>
  </si>
  <si>
    <t>forte</t>
  </si>
  <si>
    <t>EU</t>
  </si>
  <si>
    <t>disseram</t>
  </si>
  <si>
    <t>juízes</t>
  </si>
  <si>
    <t>federais</t>
  </si>
  <si>
    <t>analisaram</t>
  </si>
  <si>
    <t>estes</t>
  </si>
  <si>
    <t>consideraram</t>
  </si>
  <si>
    <t>OBJ_8</t>
  </si>
  <si>
    <t>legais</t>
  </si>
  <si>
    <t>SBJ_9</t>
  </si>
  <si>
    <t>dizem</t>
  </si>
  <si>
    <t>secretos</t>
  </si>
  <si>
    <t>secreto</t>
  </si>
  <si>
    <t>base</t>
  </si>
  <si>
    <t>interpretações</t>
  </si>
  <si>
    <t>lei</t>
  </si>
  <si>
    <t>000</t>
  </si>
  <si>
    <t>pedidos</t>
  </si>
  <si>
    <t>mandatos</t>
  </si>
  <si>
    <t>longo</t>
  </si>
  <si>
    <t>durante</t>
  </si>
  <si>
    <t>rejeitaram</t>
  </si>
  <si>
    <t># text = Estas não são as pessoas que queremos que decidam qual deve ser o papel do mundo empresarial americano numa Internet livre e aberta.</t>
  </si>
  <si>
    <t>Estas</t>
  </si>
  <si>
    <t>decidam</t>
  </si>
  <si>
    <t>deve</t>
  </si>
  <si>
    <t>papel</t>
  </si>
  <si>
    <t>livre</t>
  </si>
  <si>
    <t>aberta</t>
  </si>
  <si>
    <t># text = CA: Este slide que estamos a mostrar mostra as datas em que diferentes empresas de tecnologia, empresas de Internet, alegadamente se juntaram ao programa, e onde se iniciou a colheita de dados a partir delas.</t>
  </si>
  <si>
    <t>mostra</t>
  </si>
  <si>
    <t>datas</t>
  </si>
  <si>
    <t>diferentes</t>
  </si>
  <si>
    <t>tecnologia</t>
  </si>
  <si>
    <t>alegadamente</t>
  </si>
  <si>
    <t>juntaram</t>
  </si>
  <si>
    <t>iniciou</t>
  </si>
  <si>
    <t>colheita</t>
  </si>
  <si>
    <t>dados</t>
  </si>
  <si>
    <t># text = Mas elas têm negado ter colaborado com a NSA.</t>
  </si>
  <si>
    <t>têm</t>
  </si>
  <si>
    <t>negado</t>
  </si>
  <si>
    <t>colaborado</t>
  </si>
  <si>
    <t># text = Como é que a NSA recolheu estes dados?</t>
  </si>
  <si>
    <t>Como</t>
  </si>
  <si>
    <t>recolheu</t>
  </si>
  <si>
    <t># text = ES: Certo.</t>
  </si>
  <si>
    <t>Certo</t>
  </si>
  <si>
    <t># text = Os próprios slides da NSA referem-se a elas como um acesso direto.</t>
  </si>
  <si>
    <t>próprios</t>
  </si>
  <si>
    <t>referem</t>
  </si>
  <si>
    <t>direto</t>
  </si>
  <si>
    <t># text = O que isso significa para um analista da NSA, alguém como eu, que estava a trabalhar como analista de informações à procura de piratas cibernéticos chineses, coisas desse tipo, no Havaí, é que a origem dessas informações vem diretamente dos seus servidores.</t>
  </si>
  <si>
    <t>significa</t>
  </si>
  <si>
    <t>analista</t>
  </si>
  <si>
    <t>alguém</t>
  </si>
  <si>
    <t>procura</t>
  </si>
  <si>
    <t>piratas</t>
  </si>
  <si>
    <t>cibernéticos</t>
  </si>
  <si>
    <t>chineses</t>
  </si>
  <si>
    <t>other_11</t>
  </si>
  <si>
    <t>origem</t>
  </si>
  <si>
    <t>vem</t>
  </si>
  <si>
    <t>diretamente</t>
  </si>
  <si>
    <t>seus</t>
  </si>
  <si>
    <t>servidores</t>
  </si>
  <si>
    <t># text = Isso não significa que exista um grupo de representantes de empresas sentados numa sala cheia de fumo, com a NSA por detrás, a fazer acordos de bastidores sobre como irão passar essas informações.</t>
  </si>
  <si>
    <t>Isso</t>
  </si>
  <si>
    <t>exista</t>
  </si>
  <si>
    <t>grupo</t>
  </si>
  <si>
    <t>sentados</t>
  </si>
  <si>
    <t>sala</t>
  </si>
  <si>
    <t>cheia</t>
  </si>
  <si>
    <t>fumo</t>
  </si>
  <si>
    <t>acordos</t>
  </si>
  <si>
    <t>bastidores</t>
  </si>
  <si>
    <t>irão</t>
  </si>
  <si>
    <t># text = Cada empresa lida com isto de modos diferentes.</t>
  </si>
  <si>
    <t>Cada</t>
  </si>
  <si>
    <t>lida</t>
  </si>
  <si>
    <t>modos</t>
  </si>
  <si>
    <t># text = Algumas são responsáveis.</t>
  </si>
  <si>
    <t>Algumas</t>
  </si>
  <si>
    <t>responsáveis</t>
  </si>
  <si>
    <t># text = Outras são menos responsáveis.</t>
  </si>
  <si>
    <t>Outras</t>
  </si>
  <si>
    <t>menos</t>
  </si>
  <si>
    <t># text = Mas o fundamental é que, quando falamos sobre a forma como esta informação é passada, está a vir dessas empresas.</t>
  </si>
  <si>
    <t>fundamental</t>
  </si>
  <si>
    <t>esta</t>
  </si>
  <si>
    <t>informação</t>
  </si>
  <si>
    <t>passada</t>
  </si>
  <si>
    <t># text = Não é roubada nas linhas.</t>
  </si>
  <si>
    <t>roubada</t>
  </si>
  <si>
    <t>linhas</t>
  </si>
  <si>
    <t># text = Há uma coisa importante que tem que ser referida aqui: apesar de as empresas terem sido pressionadas, apesar de elas terem exigido, "Vamos fazer isso com um mandado de busca, "vamos fazer isso "se tivermos algum tipo de cobertura legal, "alguma base para facultar estes dados de utilizadores".</t>
  </si>
  <si>
    <t>importante</t>
  </si>
  <si>
    <t>referida</t>
  </si>
  <si>
    <t>pressionadas</t>
  </si>
  <si>
    <t>exigido</t>
  </si>
  <si>
    <t>Vamos</t>
  </si>
  <si>
    <t>mandado</t>
  </si>
  <si>
    <t>busca</t>
  </si>
  <si>
    <t>vamos</t>
  </si>
  <si>
    <t>tivermos</t>
  </si>
  <si>
    <t>algum</t>
  </si>
  <si>
    <t>cobertura</t>
  </si>
  <si>
    <t>alguma</t>
  </si>
  <si>
    <t>facultar</t>
  </si>
  <si>
    <t>utilizadores</t>
  </si>
  <si>
    <t># text = Vimos artigos no Washington Post no ano passado que não foram tão bem contados como a história do PRISM que diziam que a NSA interferiu no centro de dados de comunicações entre o Google e ela própria e entre o Yahoo e ela própria.</t>
  </si>
  <si>
    <t>Vimos</t>
  </si>
  <si>
    <t>artigos</t>
  </si>
  <si>
    <t>Washington</t>
  </si>
  <si>
    <t>Post</t>
  </si>
  <si>
    <t>passado</t>
  </si>
  <si>
    <t>tão</t>
  </si>
  <si>
    <t>bem</t>
  </si>
  <si>
    <t>contados</t>
  </si>
  <si>
    <t>diziam</t>
  </si>
  <si>
    <t>interferiu</t>
  </si>
  <si>
    <t>centro</t>
  </si>
  <si>
    <t>comunicações</t>
  </si>
  <si>
    <t>Google</t>
  </si>
  <si>
    <t>ela</t>
  </si>
  <si>
    <t>própria</t>
  </si>
  <si>
    <t># text = Portanto, mesmo as empresas que estão a cooperar de forma forçada, mas pelo menos dentro da legalidade, segundo esperamos, com a NSA, não satisfazem a NSA.</t>
  </si>
  <si>
    <t>Portanto</t>
  </si>
  <si>
    <t>cooperar</t>
  </si>
  <si>
    <t>forçada</t>
  </si>
  <si>
    <t>dentro</t>
  </si>
  <si>
    <t>legalidade</t>
  </si>
  <si>
    <t>segundo</t>
  </si>
  <si>
    <t>esperamos</t>
  </si>
  <si>
    <t>satisfazem</t>
  </si>
  <si>
    <t># text = Por causa disso, precisamos que as nossas empresas trabalhem esforçadamente para garantir que vão representar os interesses do utilizador, e defender também os direitos dos utilizadores.</t>
  </si>
  <si>
    <t>precisamos</t>
  </si>
  <si>
    <t>nossas</t>
  </si>
  <si>
    <t>trabalhem</t>
  </si>
  <si>
    <t>esforçadamente</t>
  </si>
  <si>
    <t>representar</t>
  </si>
  <si>
    <t>interesses</t>
  </si>
  <si>
    <t>utilizador</t>
  </si>
  <si>
    <t># text = E eu acho que, no ano passado, pudemos ver as empresas que estão referidas nos slides do PRISM fazer grandes esforços para isso.</t>
  </si>
  <si>
    <t>pudemos</t>
  </si>
  <si>
    <t>referidas</t>
  </si>
  <si>
    <t>grandes</t>
  </si>
  <si>
    <t>esforços</t>
  </si>
  <si>
    <t># text = Quero encorajá-las a continuar.</t>
  </si>
  <si>
    <t>Quero</t>
  </si>
  <si>
    <t>encorajá</t>
  </si>
  <si>
    <t>las</t>
  </si>
  <si>
    <t>continuar</t>
  </si>
  <si>
    <t># text = CA: Que mais deveriam elas fazer?</t>
  </si>
  <si>
    <t>Que</t>
  </si>
  <si>
    <t>deveriam</t>
  </si>
  <si>
    <t># text = ES: A coisa mais importante que uma empresa de Internet pode fazer hoje, na América, neste preciso momento, sem ter que consultar advogados, para proteger os direitos dos utilizadores em todo o mundo, é permitir a cifragem de SSL [Segurança de Transporte] na Internet em cada página que visitamos.</t>
  </si>
  <si>
    <t>hoje</t>
  </si>
  <si>
    <t>América</t>
  </si>
  <si>
    <t>momento</t>
  </si>
  <si>
    <t>consultar</t>
  </si>
  <si>
    <t>advogados</t>
  </si>
  <si>
    <t>proteger</t>
  </si>
  <si>
    <t>cifragem</t>
  </si>
  <si>
    <t>SSL</t>
  </si>
  <si>
    <t>Transporte</t>
  </si>
  <si>
    <t>cada</t>
  </si>
  <si>
    <t>página</t>
  </si>
  <si>
    <t>visitamos</t>
  </si>
  <si>
    <t># text = A razão por que isso é importante, é que hoje, se formos ver uma cópia de \"1984\" em amazon.com, a NSA pode ver um registo disso, os serviços de informação da Rússia podem ver esse registo , os serviços de informações da China podem ver esse registo, os serviços franceses, os serviços alemães, os serviços de Andorra, todos eles podem ver, porque não está codificado.</t>
  </si>
  <si>
    <t>formos</t>
  </si>
  <si>
    <t>cópia</t>
  </si>
  <si>
    <t>&amp;quot;1984</t>
  </si>
  <si>
    <t>amazon.com</t>
  </si>
  <si>
    <t>registo</t>
  </si>
  <si>
    <t>serviços</t>
  </si>
  <si>
    <t>China</t>
  </si>
  <si>
    <t>franceses</t>
  </si>
  <si>
    <t>alemães</t>
  </si>
  <si>
    <t>Andorra</t>
  </si>
  <si>
    <t>codificado</t>
  </si>
  <si>
    <t># text = A biblioteca mundial é a Amazon.com</t>
  </si>
  <si>
    <t>biblioteca</t>
  </si>
  <si>
    <t>mundial</t>
  </si>
  <si>
    <t>Amazon.com</t>
  </si>
  <si>
    <t># text = , mas eles não só não oferecem uma codificação por defeito, como nós não podemos optar pela codificação quando navegamos pelos livros.</t>
  </si>
  <si>
    <t>oferecem</t>
  </si>
  <si>
    <t>codificação</t>
  </si>
  <si>
    <t>defeito</t>
  </si>
  <si>
    <t>nós</t>
  </si>
  <si>
    <t>optar</t>
  </si>
  <si>
    <t>navegamos</t>
  </si>
  <si>
    <t>livros</t>
  </si>
  <si>
    <t># text = Isto é uma coisa que é preciso mudar, não só para a Amazon, não são só eles, mas eles são um bom exemplo.</t>
  </si>
  <si>
    <t>Amazon</t>
  </si>
  <si>
    <t>bom</t>
  </si>
  <si>
    <t>exemplo</t>
  </si>
  <si>
    <t># text = Todas as empresas precisam de mudar para uma navegação codificada por defeito para todos os utilizadores que não desejem outra coisa, ou não escolham outro método por iniciativa própria.</t>
  </si>
  <si>
    <t>Todas</t>
  </si>
  <si>
    <t>precisam</t>
  </si>
  <si>
    <t>navegação</t>
  </si>
  <si>
    <t>codificada</t>
  </si>
  <si>
    <t>desejem</t>
  </si>
  <si>
    <t>outra</t>
  </si>
  <si>
    <t>ou</t>
  </si>
  <si>
    <t>escolham</t>
  </si>
  <si>
    <t>outro</t>
  </si>
  <si>
    <t>método</t>
  </si>
  <si>
    <t>iniciativa</t>
  </si>
  <si>
    <t># text = Isso aumentará a privacidade e os direitos que as pessoas têm a nível mundial CA: Ed, venha comigo até esta parte do palco.</t>
  </si>
  <si>
    <t>aumentará</t>
  </si>
  <si>
    <t>privacidade</t>
  </si>
  <si>
    <t>nível</t>
  </si>
  <si>
    <t>venha</t>
  </si>
  <si>
    <t>até</t>
  </si>
  <si>
    <t># text = Quero mostrar-lhe outro slide.</t>
  </si>
  <si>
    <t># text = Este é um programa chamado</t>
  </si>
  <si>
    <t># text = Boundless Infomant</t>
  </si>
  <si>
    <t>Infomant</t>
  </si>
  <si>
    <t># text = O que é isto?</t>
  </si>
  <si>
    <t># text = ES: Tenho que reconhecer que a NSA lhe deu um nome apropriado.</t>
  </si>
  <si>
    <t>Tenho</t>
  </si>
  <si>
    <t>deu</t>
  </si>
  <si>
    <t>nome</t>
  </si>
  <si>
    <t>apropriado</t>
  </si>
  <si>
    <t># text = Este é um dos códigos da NSA que prefiro.</t>
  </si>
  <si>
    <t>códigos</t>
  </si>
  <si>
    <t>prefiro</t>
  </si>
  <si>
    <t># text = O Boundless Infomant é um programa que a NSA escondeu do Congresso.</t>
  </si>
  <si>
    <t>escondeu</t>
  </si>
  <si>
    <t># text = O Congresso perguntou previamente à NSA se eles tinham alguma forma de avaliar, mesmo que aproximadamente, a quantidade de comunicações americanas que estavam a ser intercetadas.</t>
  </si>
  <si>
    <t>perguntou</t>
  </si>
  <si>
    <t>previamente</t>
  </si>
  <si>
    <t>tinham</t>
  </si>
  <si>
    <t>avaliar</t>
  </si>
  <si>
    <t>aproximadamente</t>
  </si>
  <si>
    <t>quantidade</t>
  </si>
  <si>
    <t>americanas</t>
  </si>
  <si>
    <t>intercetadas</t>
  </si>
  <si>
    <t># text = Eles disseram que não.</t>
  </si>
  <si>
    <t>Eles</t>
  </si>
  <si>
    <t># text = Disseram: \"Não controlamos essas estatísticas.</t>
  </si>
  <si>
    <t>Disseram</t>
  </si>
  <si>
    <t>controlamos</t>
  </si>
  <si>
    <t>estatísticas</t>
  </si>
  <si>
    <t># text = Não podemos controlar essas estatísticas.</t>
  </si>
  <si>
    <t># text = \"Não podemos dizer quantas comunicações estamos a intercetar a nível mundial, \"porque dizer-vos isso seria invadir a vossa privacidade\".</t>
  </si>
  <si>
    <t>quantas</t>
  </si>
  <si>
    <t>intercetar</t>
  </si>
  <si>
    <t>vos</t>
  </si>
  <si>
    <t>seria</t>
  </si>
  <si>
    <t>invadir</t>
  </si>
  <si>
    <t>vossa</t>
  </si>
  <si>
    <t># text = Aprecio verdadeiramente esse sentimento da parte deles, mas, quando olhamos para esse slide, ele mostra que eles não só têm a capacidade, como essa capacidade já existe.</t>
  </si>
  <si>
    <t>Aprecio</t>
  </si>
  <si>
    <t>verdadeiramente</t>
  </si>
  <si>
    <t>sentimento</t>
  </si>
  <si>
    <t>olhamos</t>
  </si>
  <si>
    <t>capacidade</t>
  </si>
  <si>
    <t>já</t>
  </si>
  <si>
    <t>existe</t>
  </si>
  <si>
    <t># text = Já está em vigor.</t>
  </si>
  <si>
    <t>Já</t>
  </si>
  <si>
    <t>vigor</t>
  </si>
  <si>
    <t># text = A NSA tem o seu próprio formato de dados internos que deteta as duas extremidades duma comunicação, e, se ele diz, \"Esta transmissão veio da América\", podem dizer ao Congresso quantas dessas comunicações têm hoje, neste preciso momento.</t>
  </si>
  <si>
    <t>próprio</t>
  </si>
  <si>
    <t>formato</t>
  </si>
  <si>
    <t>internos</t>
  </si>
  <si>
    <t>deteta</t>
  </si>
  <si>
    <t>duas</t>
  </si>
  <si>
    <t>extremidades</t>
  </si>
  <si>
    <t>comunicação</t>
  </si>
  <si>
    <t>diz</t>
  </si>
  <si>
    <t>Esta</t>
  </si>
  <si>
    <t>transmissão</t>
  </si>
  <si>
    <t>veio</t>
  </si>
  <si>
    <t># text = Mas o que o Boundless Infomant nos diz é que há mais transmissões de americanos a ser intercetadas nos EU do que acontece na Rússia, em relação aos russos.</t>
  </si>
  <si>
    <t>transmissões</t>
  </si>
  <si>
    <t>americanos</t>
  </si>
  <si>
    <t>acontece</t>
  </si>
  <si>
    <t>relação</t>
  </si>
  <si>
    <t>russos</t>
  </si>
  <si>
    <t># text = Não me parece que seja isto o que uma agência de informações devia estar a procurar.</t>
  </si>
  <si>
    <t>parece</t>
  </si>
  <si>
    <t>agência</t>
  </si>
  <si>
    <t>devia</t>
  </si>
  <si>
    <t>procurar</t>
  </si>
  <si>
    <t># text = CA: Ed, houve uma notícia divulgada no Washington Post, mais uma vez a partir dos seus dados.</t>
  </si>
  <si>
    <t>notícia</t>
  </si>
  <si>
    <t>divulgada</t>
  </si>
  <si>
    <t># text = O cabeçalho diz assim: "A NSA quebrou regras de privacidade "milhares de vezes por ano." Fale-nos sobre isso.</t>
  </si>
  <si>
    <t>cabeçalho</t>
  </si>
  <si>
    <t>assim</t>
  </si>
  <si>
    <t>quebrou</t>
  </si>
  <si>
    <t>regras</t>
  </si>
  <si>
    <t>milhares</t>
  </si>
  <si>
    <t>vezes</t>
  </si>
  <si>
    <t>Fale</t>
  </si>
  <si>
    <t># text = ES: Nós também ouvimos, no ano passado, no depoimento no Congresso, uma coisa incrível para alguém como eu, que vim da NSA e que vi os documentos internos, e sabia o que havia neles, ver funcionários testemunhar sob juramento que não tinha havido abusos, e que não tinha havido violações às regras da NSA, quando sabíamos que esta história ia aparecer.</t>
  </si>
  <si>
    <t>Nós</t>
  </si>
  <si>
    <t>ouvimos</t>
  </si>
  <si>
    <t>depoimento</t>
  </si>
  <si>
    <t>vim</t>
  </si>
  <si>
    <t>sabia</t>
  </si>
  <si>
    <t>funcionários</t>
  </si>
  <si>
    <t>testemunhar</t>
  </si>
  <si>
    <t>sob</t>
  </si>
  <si>
    <t>juramento</t>
  </si>
  <si>
    <t>abusos</t>
  </si>
  <si>
    <t>OBJ_11</t>
  </si>
  <si>
    <t>violações</t>
  </si>
  <si>
    <t>OBJ_12</t>
  </si>
  <si>
    <t>other_13</t>
  </si>
  <si>
    <t>other_14</t>
  </si>
  <si>
    <t>sabíamos</t>
  </si>
  <si>
    <t>SBJ_12</t>
  </si>
  <si>
    <t>ia</t>
  </si>
  <si>
    <t># text = Mas o que é especialmente interessante nisto tudo, sobre o facto de a NSA ter violado as suas próprias regras, as suas próprias leis, milhares de vezes num só ano, incluindo um determinado incidente, um incidente entre esses 2776, que afetou mais de 3000 pessoas.</t>
  </si>
  <si>
    <t>especialmente</t>
  </si>
  <si>
    <t>interessante</t>
  </si>
  <si>
    <t>tudo</t>
  </si>
  <si>
    <t>facto</t>
  </si>
  <si>
    <t>violado</t>
  </si>
  <si>
    <t>suas</t>
  </si>
  <si>
    <t>próprias</t>
  </si>
  <si>
    <t>incluindo</t>
  </si>
  <si>
    <t>determinado</t>
  </si>
  <si>
    <t>incidente</t>
  </si>
  <si>
    <t>2776</t>
  </si>
  <si>
    <t>afetou</t>
  </si>
  <si>
    <t>3000</t>
  </si>
  <si>
    <t># text = Noutro incidente, eles intercetaram, por acaso, todas as chamadas em Washington, D.C.</t>
  </si>
  <si>
    <t>intercetaram</t>
  </si>
  <si>
    <t>acaso</t>
  </si>
  <si>
    <t>D.C</t>
  </si>
  <si>
    <t># text = O que é impressionante nisto tudo, nesse relatório, que não despertou muita atenção, é o facto de que não só tinha havido 2776 violações, como a presidente da Comissão de informações do Senado , Dianne Feinstein, não tinha visto esse relatório até o Washington Post a ter contactado, pedindo-lhe um comentário sobre o relatório.</t>
  </si>
  <si>
    <t>impressionante</t>
  </si>
  <si>
    <t>relatório</t>
  </si>
  <si>
    <t>despertou</t>
  </si>
  <si>
    <t>muita</t>
  </si>
  <si>
    <t>atenção</t>
  </si>
  <si>
    <t>presidente</t>
  </si>
  <si>
    <t>Comissão</t>
  </si>
  <si>
    <t>Senado</t>
  </si>
  <si>
    <t>Dianne</t>
  </si>
  <si>
    <t>Feinstein</t>
  </si>
  <si>
    <t>contactado</t>
  </si>
  <si>
    <t>pedindo</t>
  </si>
  <si>
    <t>comentário</t>
  </si>
  <si>
    <t># text = E só depois é que ela solicitou uma cópia à NSA e recebeu-a, mas nunca a tinha visto antes disso.</t>
  </si>
  <si>
    <t>depois</t>
  </si>
  <si>
    <t>solicitou</t>
  </si>
  <si>
    <t>recebeu</t>
  </si>
  <si>
    <t>antes</t>
  </si>
  <si>
    <t># text = O que é que isto nos revela sobre o estado de fiscalização das informações americanas, quando a presidente da Comissão de Informações do Senado não faz ideia de que as regras estão a ser quebradas milhares de vezes por ano?</t>
  </si>
  <si>
    <t>revela</t>
  </si>
  <si>
    <t>estado</t>
  </si>
  <si>
    <t>fiscalização</t>
  </si>
  <si>
    <t>Informações</t>
  </si>
  <si>
    <t>faz</t>
  </si>
  <si>
    <t>ideia</t>
  </si>
  <si>
    <t>quebradas</t>
  </si>
  <si>
    <t># text = CA: Ed, a resposta a todo este debate é esta:</t>
  </si>
  <si>
    <t>resposta</t>
  </si>
  <si>
    <t># text = Porque é que devemos preocupar-nos com toda essa vigilância, sinceramente?</t>
  </si>
  <si>
    <t>Porque</t>
  </si>
  <si>
    <t>devemos</t>
  </si>
  <si>
    <t>preocupar</t>
  </si>
  <si>
    <t>sinceramente</t>
  </si>
  <si>
    <t># text = Quero dizer, se não fizemos nada de errado, não temos nada com que nos preocupar.</t>
  </si>
  <si>
    <t>fizemos</t>
  </si>
  <si>
    <t>nada</t>
  </si>
  <si>
    <t>errado</t>
  </si>
  <si>
    <t># text = Deste ponto de vista, qual é o mal?</t>
  </si>
  <si>
    <t>vista</t>
  </si>
  <si>
    <t>mal</t>
  </si>
  <si>
    <t># text = ES: Bem, a primeira coisa é que estamos a abdicar dos nossos direitos.</t>
  </si>
  <si>
    <t>Bem</t>
  </si>
  <si>
    <t>abdicar</t>
  </si>
  <si>
    <t># text = Dizemos: \"Penso que não vou precisar disso, portanto vou confiar nisso, vamos livrar-nos deles, o resto não importa, estes tipos estão a fazer o que é preciso'.</t>
  </si>
  <si>
    <t>Dizemos</t>
  </si>
  <si>
    <t>Penso</t>
  </si>
  <si>
    <t>vou</t>
  </si>
  <si>
    <t>portanto</t>
  </si>
  <si>
    <t>livrar</t>
  </si>
  <si>
    <t>resto</t>
  </si>
  <si>
    <t>tipos</t>
  </si>
  <si>
    <t>'</t>
  </si>
  <si>
    <t># text = Os nossos direitos são importantes porque nunca sabemos quando vamos precisar deles.</t>
  </si>
  <si>
    <t>importantes</t>
  </si>
  <si>
    <t>sabemos</t>
  </si>
  <si>
    <t># text = Além disso, é uma parte da nossa identidade cultural, não só na América, mas nas sociedades ocidentais e nas sociedades democráticas em todo o mundo.</t>
  </si>
  <si>
    <t>Além</t>
  </si>
  <si>
    <t>nossa</t>
  </si>
  <si>
    <t>identidade</t>
  </si>
  <si>
    <t>cultural</t>
  </si>
  <si>
    <t>ocidentais</t>
  </si>
  <si>
    <t>democráticas</t>
  </si>
  <si>
    <t># text = As pessoas deviam ter a liberdade de pegar no telefone e ligar para a família, de mandar uma mensagem escrita para os seus entes queridos, As pessoas deviam poder comprar um livro online, deviam poder viajar de comboio, deviam poder comprar uma passagem de avião sem se preocuparem se essas ações vão ser examinadas por um agente do governo, possivelmente, nem sequer do nosso governo, daqui a vários anos, se elas serão mal interpretadas e o que é que vão pensar quanto às nossas intenções.</t>
  </si>
  <si>
    <t>As</t>
  </si>
  <si>
    <t>pegar</t>
  </si>
  <si>
    <t>telefone</t>
  </si>
  <si>
    <t>ligar</t>
  </si>
  <si>
    <t>família</t>
  </si>
  <si>
    <t>mandar</t>
  </si>
  <si>
    <t>mensagem</t>
  </si>
  <si>
    <t>escrita</t>
  </si>
  <si>
    <t>entes</t>
  </si>
  <si>
    <t>queridos</t>
  </si>
  <si>
    <t>comprar</t>
  </si>
  <si>
    <t>livro</t>
  </si>
  <si>
    <t>online</t>
  </si>
  <si>
    <t>comboio</t>
  </si>
  <si>
    <t>passagem</t>
  </si>
  <si>
    <t>avião</t>
  </si>
  <si>
    <t>preocuparem</t>
  </si>
  <si>
    <t>ações</t>
  </si>
  <si>
    <t>examinadas</t>
  </si>
  <si>
    <t>agente</t>
  </si>
  <si>
    <t>possivelmente</t>
  </si>
  <si>
    <t>nem</t>
  </si>
  <si>
    <t>sequer</t>
  </si>
  <si>
    <t>nosso</t>
  </si>
  <si>
    <t>vários</t>
  </si>
  <si>
    <t>serão</t>
  </si>
  <si>
    <t>interpretadas</t>
  </si>
  <si>
    <t>quanto</t>
  </si>
  <si>
    <t>intenções</t>
  </si>
  <si>
    <t># text = Temos o direito à privacidade.</t>
  </si>
  <si>
    <t>Temos</t>
  </si>
  <si>
    <t># text = Exigimos que os mandados sejam baseados em causas prováveis ou nalgum tipo de suspeita individualizada porque reconhecemos que confiar a alguém, a qualquer autoridade do governo, todas as comunicações humanas em segredo e sem fiscalização é uma tentação demasiado boa para ser ignorada.</t>
  </si>
  <si>
    <t>Exigimos</t>
  </si>
  <si>
    <t>mandados</t>
  </si>
  <si>
    <t>sejam</t>
  </si>
  <si>
    <t>baseados</t>
  </si>
  <si>
    <t>causas</t>
  </si>
  <si>
    <t>prováveis</t>
  </si>
  <si>
    <t>nalgum</t>
  </si>
  <si>
    <t>suspeita</t>
  </si>
  <si>
    <t>individualizada</t>
  </si>
  <si>
    <t>reconhecemos</t>
  </si>
  <si>
    <t>qualquer</t>
  </si>
  <si>
    <t>humanas</t>
  </si>
  <si>
    <t>segredo</t>
  </si>
  <si>
    <t>tentação</t>
  </si>
  <si>
    <t>demasiado</t>
  </si>
  <si>
    <t>boa</t>
  </si>
  <si>
    <t>ignorada</t>
  </si>
  <si>
    <t># text = CA: Há pessoas furiosas com o que você fez.</t>
  </si>
  <si>
    <t>furiosas</t>
  </si>
  <si>
    <t>fez</t>
  </si>
  <si>
    <t># text = Ouvi recentemente uma citação de Dick Cheney que disse que Julian Assange foi uma picada de mosquito e que Edward Snowden é o leão que arrancou a cabeça do cachorro.</t>
  </si>
  <si>
    <t>Ouvi</t>
  </si>
  <si>
    <t>recentemente</t>
  </si>
  <si>
    <t>citação</t>
  </si>
  <si>
    <t>Dick</t>
  </si>
  <si>
    <t>Cheney</t>
  </si>
  <si>
    <t>disse</t>
  </si>
  <si>
    <t>Julian</t>
  </si>
  <si>
    <t>Assange</t>
  </si>
  <si>
    <t>picada</t>
  </si>
  <si>
    <t>mosquito</t>
  </si>
  <si>
    <t>leão</t>
  </si>
  <si>
    <t>arrancou</t>
  </si>
  <si>
    <t>cabeça</t>
  </si>
  <si>
    <t>cachorro</t>
  </si>
  <si>
    <t># text = Ele acha que você praticou um dos piores atos de traição da história americana.</t>
  </si>
  <si>
    <t>Ele</t>
  </si>
  <si>
    <t>acha</t>
  </si>
  <si>
    <t>praticou</t>
  </si>
  <si>
    <t>piores</t>
  </si>
  <si>
    <t>atos</t>
  </si>
  <si>
    <t>traição</t>
  </si>
  <si>
    <t>americana</t>
  </si>
  <si>
    <t># text = O que diria às pessoas que assim pensam?</t>
  </si>
  <si>
    <t>diria</t>
  </si>
  <si>
    <t>pensam</t>
  </si>
  <si>
    <t># text = ES: Dick Cheney é realmente um cromo.</t>
  </si>
  <si>
    <t>cromo</t>
  </si>
  <si>
    <t># text = Obrigado.</t>
  </si>
  <si>
    <t>Obrigado</t>
  </si>
  <si>
    <t># text = Acho isso espantoso porque, na altura em que Julian Assange estava a fazer um dos seus melhores trabalhos, Dick Cheney dizia que ele ia acabar com os governos em todo o mundo, que os céus iam pegar fogo e os mares iam começar a ferver, e agora anda a dizer que é só uma picada de mosquito!</t>
  </si>
  <si>
    <t>Acho</t>
  </si>
  <si>
    <t>espantoso</t>
  </si>
  <si>
    <t>altura</t>
  </si>
  <si>
    <t>melhores</t>
  </si>
  <si>
    <t>trabalhos</t>
  </si>
  <si>
    <t>dizia</t>
  </si>
  <si>
    <t>SBJ_11</t>
  </si>
  <si>
    <t>acabar</t>
  </si>
  <si>
    <t>governos</t>
  </si>
  <si>
    <t>OBJ_13</t>
  </si>
  <si>
    <t>céus</t>
  </si>
  <si>
    <t>SBJ_13</t>
  </si>
  <si>
    <t>iam</t>
  </si>
  <si>
    <t>fogo</t>
  </si>
  <si>
    <t>mares</t>
  </si>
  <si>
    <t>ferver</t>
  </si>
  <si>
    <t>agora</t>
  </si>
  <si>
    <t>anda</t>
  </si>
  <si>
    <t># text = Devíamos desconfiar também do mesmo tipo de afirmações pretensiosas sobre os danos à segurança nacional vindas desse tipo de funcionários.</t>
  </si>
  <si>
    <t>Devíamos</t>
  </si>
  <si>
    <t>desconfiar</t>
  </si>
  <si>
    <t>afirmações</t>
  </si>
  <si>
    <t>pretensiosas</t>
  </si>
  <si>
    <t>danos</t>
  </si>
  <si>
    <t>vindas</t>
  </si>
  <si>
    <t># text = Mas vamos partir do princípio que essas pessoas acreditam mesmo nisso.</t>
  </si>
  <si>
    <t>princípio</t>
  </si>
  <si>
    <t>acreditam</t>
  </si>
  <si>
    <t># text = Eu defenderia que elas têm um certo conceito limitado quanto a segurança nacional.</t>
  </si>
  <si>
    <t>Eu</t>
  </si>
  <si>
    <t>defenderia</t>
  </si>
  <si>
    <t>conceito</t>
  </si>
  <si>
    <t>limitado</t>
  </si>
  <si>
    <t># text = As prerrogativas de pessoas como Dick Cheney não tornam a nação mais segura .</t>
  </si>
  <si>
    <t>prerrogativas</t>
  </si>
  <si>
    <t>tornam</t>
  </si>
  <si>
    <t>nação</t>
  </si>
  <si>
    <t>segura</t>
  </si>
  <si>
    <t># text = O interesse público não é sempre o mesmo que o interesse nacional.</t>
  </si>
  <si>
    <t>interesse</t>
  </si>
  <si>
    <t>sempre</t>
  </si>
  <si>
    <t># text = Entrar em guerra com pessoas que não são nossos inimigos em locais que não são uma ameaça não nos torna mais seguros, e isso tanto se aplica ao Iraque como à Internet.</t>
  </si>
  <si>
    <t>Entrar</t>
  </si>
  <si>
    <t>guerra</t>
  </si>
  <si>
    <t>inimigos</t>
  </si>
  <si>
    <t>locais</t>
  </si>
  <si>
    <t>ameaça</t>
  </si>
  <si>
    <t>torna</t>
  </si>
  <si>
    <t>seguros</t>
  </si>
  <si>
    <t>tanto</t>
  </si>
  <si>
    <t>aplica</t>
  </si>
  <si>
    <t>Iraque</t>
  </si>
  <si>
    <t># text = A Internet não é o inimigo.</t>
  </si>
  <si>
    <t>inimigo</t>
  </si>
  <si>
    <t># text = A nossa economia não é o inimigo.</t>
  </si>
  <si>
    <t>economia</t>
  </si>
  <si>
    <t># text = O mundo empresarial americano, o mundo empresarial chinês, e qualquer outra empresa no mundo fazem parte da nossa sociedade, fazem parte do nosso mundo interligado.</t>
  </si>
  <si>
    <t>chinês</t>
  </si>
  <si>
    <t>fazem</t>
  </si>
  <si>
    <t>sociedade</t>
  </si>
  <si>
    <t>interligado</t>
  </si>
  <si>
    <t># text = Existem laços de fraternidade que nos unem.</t>
  </si>
  <si>
    <t>Existem</t>
  </si>
  <si>
    <t>laços</t>
  </si>
  <si>
    <t>fraternidade</t>
  </si>
  <si>
    <t>unem</t>
  </si>
  <si>
    <t># text = Se nós destruirmos esses laços enfraquecendo as normas, a segurança, e as formas de comportamento, que as nações e os cidadãos do mundo inteiro esperam que nós respeitemos...</t>
  </si>
  <si>
    <t>destruirmos</t>
  </si>
  <si>
    <t>enfraquecendo</t>
  </si>
  <si>
    <t>normas</t>
  </si>
  <si>
    <t>formas</t>
  </si>
  <si>
    <t>comportamento</t>
  </si>
  <si>
    <t>nações</t>
  </si>
  <si>
    <t>inteiro</t>
  </si>
  <si>
    <t>esperam</t>
  </si>
  <si>
    <t>respeitemos</t>
  </si>
  <si>
    <t># text = CA:</t>
  </si>
  <si>
    <t># text = Mas afirma-se que você \"roubou\" 1,7 milhões de documentos.</t>
  </si>
  <si>
    <t>afirma</t>
  </si>
  <si>
    <t>&amp;quot;roubou</t>
  </si>
  <si>
    <t>1,7</t>
  </si>
  <si>
    <t>milhões</t>
  </si>
  <si>
    <t># text = Parece que só algumas centenas deles foram transmitidos a jornalistas até agora.</t>
  </si>
  <si>
    <t>Parece</t>
  </si>
  <si>
    <t>centenas</t>
  </si>
  <si>
    <t>transmitidos</t>
  </si>
  <si>
    <t># text = Há mais revelações para aparecer?</t>
  </si>
  <si>
    <t># text = ES: Realmente, existem mais informações para aparecer.</t>
  </si>
  <si>
    <t>Realmente</t>
  </si>
  <si>
    <t>existem</t>
  </si>
  <si>
    <t># text = Mas eu penso que não há nenhuma questão mais importante que ainda venha a aparecer.</t>
  </si>
  <si>
    <t>nenhuma</t>
  </si>
  <si>
    <t>ainda</t>
  </si>
  <si>
    <t># text = CA: Venha cá, porque quero fazer-lhe uma pergunta sobre esta revelação em especial.</t>
  </si>
  <si>
    <t>Venha</t>
  </si>
  <si>
    <t>cá</t>
  </si>
  <si>
    <t>quero</t>
  </si>
  <si>
    <t>pergunta</t>
  </si>
  <si>
    <t>revelação</t>
  </si>
  <si>
    <t>especial</t>
  </si>
  <si>
    <t># text = Venha cá e dê uma olhadela nisto.</t>
  </si>
  <si>
    <t>dê</t>
  </si>
  <si>
    <t>olhadela</t>
  </si>
  <si>
    <t># text = Esta é a notícia que, segundo penso, para a maioria dos técnicos nesta sala é a coisa mais chocante que eles já ouviram nos últimos meses.</t>
  </si>
  <si>
    <t>maioria</t>
  </si>
  <si>
    <t>técnicos</t>
  </si>
  <si>
    <t>chocante</t>
  </si>
  <si>
    <t>ouviram</t>
  </si>
  <si>
    <t># text = É sobre um programa chamado Bullrun.</t>
  </si>
  <si>
    <t>Bullrun</t>
  </si>
  <si>
    <t># text = Pode explicar do que se trata?</t>
  </si>
  <si>
    <t>Pode</t>
  </si>
  <si>
    <t>explicar</t>
  </si>
  <si>
    <t>trata</t>
  </si>
  <si>
    <t># text = ES: O \"Bullrun\" e — mais uma vez, temos que agradecer à NSA a sua sinceridade — é um programa cujo nome corresponde a uma batalha da Guerra Civil.</t>
  </si>
  <si>
    <t>agradecer</t>
  </si>
  <si>
    <t>sua</t>
  </si>
  <si>
    <t>sinceridade</t>
  </si>
  <si>
    <t>cujo</t>
  </si>
  <si>
    <t>corresponde</t>
  </si>
  <si>
    <t>batalha</t>
  </si>
  <si>
    <t>Guerra</t>
  </si>
  <si>
    <t>Civil</t>
  </si>
  <si>
    <t># text = A contrapartida britânica chama-se Edgehill, uma batalha da guerra civil no Reino Unido.</t>
  </si>
  <si>
    <t>contrapartida</t>
  </si>
  <si>
    <t>britânica</t>
  </si>
  <si>
    <t>chama</t>
  </si>
  <si>
    <t>Edgehill</t>
  </si>
  <si>
    <t>civil</t>
  </si>
  <si>
    <t>Reino</t>
  </si>
  <si>
    <t>Unido</t>
  </si>
  <si>
    <t># text = Acredito que lhe deram esse nome porque tem como alvo a nossa própria infraestrutura.</t>
  </si>
  <si>
    <t>Acredito</t>
  </si>
  <si>
    <t>deram</t>
  </si>
  <si>
    <t>alvo</t>
  </si>
  <si>
    <t>infraestrutura</t>
  </si>
  <si>
    <t># text = São programas através dos quais a NSA engana intencionalmente os parceiros empresariais.</t>
  </si>
  <si>
    <t>São</t>
  </si>
  <si>
    <t>quais</t>
  </si>
  <si>
    <t>engana</t>
  </si>
  <si>
    <t>intencionalmente</t>
  </si>
  <si>
    <t>parceiros</t>
  </si>
  <si>
    <t>empresariais</t>
  </si>
  <si>
    <t># text = Dizem aos parceiros empresariais que são padrões seguros.</t>
  </si>
  <si>
    <t>Dizem</t>
  </si>
  <si>
    <t>padrões</t>
  </si>
  <si>
    <t># text = Dizem que é preciso trabalhar em conjunto para proteger os sistemas, mas, na verdade, estão a dar um mau conselho a essas empresas, o que faz com que elas enfraqueçam a segurança dos seus serviços.</t>
  </si>
  <si>
    <t>verdade</t>
  </si>
  <si>
    <t>mau</t>
  </si>
  <si>
    <t>conselho</t>
  </si>
  <si>
    <t>enfraqueçam</t>
  </si>
  <si>
    <t># text = Estão a construir nos bastidores coisas que não é só a NSA que pode explorar mas qualquer um que tenha tempo e dinheiro para procurar e encontrar e depois pode usar para entrar no mundo das comunicações mundiais.</t>
  </si>
  <si>
    <t>Estão</t>
  </si>
  <si>
    <t>construir</t>
  </si>
  <si>
    <t>explorar</t>
  </si>
  <si>
    <t>tenha</t>
  </si>
  <si>
    <t>dinheiro</t>
  </si>
  <si>
    <t>encontrar</t>
  </si>
  <si>
    <t>mundiais</t>
  </si>
  <si>
    <t># text = E isso é realmente muito perigoso porque, se perdermos um único padrão, se perdermos a confiança de uma coisa como o SSL, que foi o alvo específico do programa Bullrun, passamos a viver num mundo global menos seguro.</t>
  </si>
  <si>
    <t>perigoso</t>
  </si>
  <si>
    <t>perdermos</t>
  </si>
  <si>
    <t>único</t>
  </si>
  <si>
    <t>padrão</t>
  </si>
  <si>
    <t>confiança</t>
  </si>
  <si>
    <t>específico</t>
  </si>
  <si>
    <t>passamos</t>
  </si>
  <si>
    <t>global</t>
  </si>
  <si>
    <t>seguro</t>
  </si>
  <si>
    <t># text = Não poderemos aceder aos nosso bancos e não poderemos aceder ao comércio sem nos preocuparmos quanto às pessoas que fiscalizam essas informações ou que as subvertem para os seus próprios fins.</t>
  </si>
  <si>
    <t>poderemos</t>
  </si>
  <si>
    <t>aceder</t>
  </si>
  <si>
    <t>bancos</t>
  </si>
  <si>
    <t>comércio</t>
  </si>
  <si>
    <t>preocuparmos</t>
  </si>
  <si>
    <t>fiscalizam</t>
  </si>
  <si>
    <t>subvertem</t>
  </si>
  <si>
    <t>fins</t>
  </si>
  <si>
    <t># text = CA: E essas decisões também podem abrir a América a ataques cibernéticos de outras origens?</t>
  </si>
  <si>
    <t>abrir</t>
  </si>
  <si>
    <t>ataques</t>
  </si>
  <si>
    <t>outras</t>
  </si>
  <si>
    <t>origens</t>
  </si>
  <si>
    <t># text = ES: Com toda a certeza.</t>
  </si>
  <si>
    <t>certeza</t>
  </si>
  <si>
    <t># text = Um dos problemas, uma das heranças perigosas que temos visto na era pós 11/Set , é que a NSA costuma usar dois chapéus.</t>
  </si>
  <si>
    <t>Um</t>
  </si>
  <si>
    <t>problemas</t>
  </si>
  <si>
    <t>heranças</t>
  </si>
  <si>
    <t>perigosas</t>
  </si>
  <si>
    <t>pós</t>
  </si>
  <si>
    <t>11/Set</t>
  </si>
  <si>
    <t>costuma</t>
  </si>
  <si>
    <t>dois</t>
  </si>
  <si>
    <t>chapéus</t>
  </si>
  <si>
    <t># text = Tem sido responsável pelas operações ofensivas, ou seja a pirataria, mas também tem sido responsável pelas operações defensivas, e habitualmente tem dado sempre prioridade à defesa sobre o ataque, baseando-se no princípio de que os segredos americanos valem mais, pura e simplesmente.</t>
  </si>
  <si>
    <t>operações</t>
  </si>
  <si>
    <t>ofensivas</t>
  </si>
  <si>
    <t>pirataria</t>
  </si>
  <si>
    <t>defensivas</t>
  </si>
  <si>
    <t>habitualmente</t>
  </si>
  <si>
    <t>dado</t>
  </si>
  <si>
    <t>prioridade</t>
  </si>
  <si>
    <t>defesa</t>
  </si>
  <si>
    <t>ataque</t>
  </si>
  <si>
    <t>baseando</t>
  </si>
  <si>
    <t>segredos</t>
  </si>
  <si>
    <t>valem</t>
  </si>
  <si>
    <t>pura</t>
  </si>
  <si>
    <t>simplesmente</t>
  </si>
  <si>
    <t># text = Se nós piratearmos uma empresa chinesa e roubarmos os seus segredos, se piratearmos um gabinete governamental em Berlim isso tem menos valor para o povo americano do que ter a garantia de que os chineses não podem ter acesso aos nossos segredos.</t>
  </si>
  <si>
    <t>piratearmos</t>
  </si>
  <si>
    <t>chinesa</t>
  </si>
  <si>
    <t>roubarmos</t>
  </si>
  <si>
    <t>gabinete</t>
  </si>
  <si>
    <t>governamental</t>
  </si>
  <si>
    <t>Berlim</t>
  </si>
  <si>
    <t>valor</t>
  </si>
  <si>
    <t>garantia</t>
  </si>
  <si>
    <t># text = Por isso, ao reduzir a segurança das nossas comunicações, não só estão a colocar em risco o mundo, como estão a colocar em risco a América, porque a propriedade intelectual é a base, é o principio da nossa economia.</t>
  </si>
  <si>
    <t>reduzir</t>
  </si>
  <si>
    <t>propriedade</t>
  </si>
  <si>
    <t>intelectual</t>
  </si>
  <si>
    <t>principio</t>
  </si>
  <si>
    <t># text = Se a pusermos em risco através do enfraquecimento da segurança, vamos pagar por isso durante muitos anos.</t>
  </si>
  <si>
    <t>pusermos</t>
  </si>
  <si>
    <t>enfraquecimento</t>
  </si>
  <si>
    <t>muitos</t>
  </si>
  <si>
    <t># text = CA: Mas eles fizeram um cálculo de que valia a pena fazer isso para a defesa da América contra o terrorismo.</t>
  </si>
  <si>
    <t>fizeram</t>
  </si>
  <si>
    <t>cálculo</t>
  </si>
  <si>
    <t>valia</t>
  </si>
  <si>
    <t>pena</t>
  </si>
  <si>
    <t>contra</t>
  </si>
  <si>
    <t>terrorismo</t>
  </si>
  <si>
    <t># text = Sem dúvida que isso é um preço que vale a pena pagar.</t>
  </si>
  <si>
    <t>Sem</t>
  </si>
  <si>
    <t>dúvida</t>
  </si>
  <si>
    <t>preço</t>
  </si>
  <si>
    <t>vale</t>
  </si>
  <si>
    <t># text = ES: Bem, quando olhamos para os resultados desses programas para acabar com o terrorismo, vemos que eles não têm fundamento, e não precisam de acreditar na minha palavra porque tivemos a primeira audiência aberta, o primeiro tribunal federal que analisou isso, fora dos acordos secretos, que classificou esses programas de orwellianos e provavelmente inconstitucionais.</t>
  </si>
  <si>
    <t>resultados</t>
  </si>
  <si>
    <t>vemos</t>
  </si>
  <si>
    <t>fundamento</t>
  </si>
  <si>
    <t>acreditar</t>
  </si>
  <si>
    <t>palavra</t>
  </si>
  <si>
    <t>federal</t>
  </si>
  <si>
    <t>analisou</t>
  </si>
  <si>
    <t>fora</t>
  </si>
  <si>
    <t>classificou</t>
  </si>
  <si>
    <t>orwellianos</t>
  </si>
  <si>
    <t>provavelmente</t>
  </si>
  <si>
    <t>inconstitucionais</t>
  </si>
  <si>
    <t># text = O Congresso, que acabou por ser informado sobre essas coisas — e agora deseja continuar a ser — produziu projetos de lei para reformar isso.</t>
  </si>
  <si>
    <t>acabou</t>
  </si>
  <si>
    <t>informado</t>
  </si>
  <si>
    <t>deseja</t>
  </si>
  <si>
    <t>produziu</t>
  </si>
  <si>
    <t>projetos</t>
  </si>
  <si>
    <t>reformar</t>
  </si>
  <si>
    <t># text = Dois painéis independentes da Casa Branca, que verificaram todas as provas confidenciais, disseram que esses programas nunca impediram um único ataque terrorista que estivesse prestes a acontecer nos Estados Unidos.</t>
  </si>
  <si>
    <t>Dois</t>
  </si>
  <si>
    <t>painéis</t>
  </si>
  <si>
    <t>independentes</t>
  </si>
  <si>
    <t>Casa</t>
  </si>
  <si>
    <t>Branca</t>
  </si>
  <si>
    <t>verificaram</t>
  </si>
  <si>
    <t>provas</t>
  </si>
  <si>
    <t>impediram</t>
  </si>
  <si>
    <t>terrorista</t>
  </si>
  <si>
    <t>estivesse</t>
  </si>
  <si>
    <t>prestes</t>
  </si>
  <si>
    <t># text = Então, é realmente o terrorismo que estamos a evitar?</t>
  </si>
  <si>
    <t>evitar</t>
  </si>
  <si>
    <t># text = Esses programas têm algum valor?</t>
  </si>
  <si>
    <t>Esses</t>
  </si>
  <si>
    <t># text = Eu digo que não, e os três ramos do governo americano também dizem que não.</t>
  </si>
  <si>
    <t>digo</t>
  </si>
  <si>
    <t>três</t>
  </si>
  <si>
    <t>ramos</t>
  </si>
  <si>
    <t># text = CA: Você acha que eles têm uma motivação mais profunda do que a guerra contra o terrorismo?</t>
  </si>
  <si>
    <t>Você</t>
  </si>
  <si>
    <t>motivação</t>
  </si>
  <si>
    <t>profunda</t>
  </si>
  <si>
    <t># text = ES: Desculpe, não ouvi, pode repetir?</t>
  </si>
  <si>
    <t>Desculpe</t>
  </si>
  <si>
    <t>ouvi</t>
  </si>
  <si>
    <t>repetir</t>
  </si>
  <si>
    <t># text = CA: Desculpe.</t>
  </si>
  <si>
    <t># text = Pensa que eles têm ES: Sim.</t>
  </si>
  <si>
    <t>Pensa</t>
  </si>
  <si>
    <t>Sim</t>
  </si>
  <si>
    <t># text = O ponto de partida é que o terrorismo tem sido sempre o que nós, no mundo das informações, chamamos uma "cobertura para a ação".</t>
  </si>
  <si>
    <t>partida</t>
  </si>
  <si>
    <t>chamamos</t>
  </si>
  <si>
    <t>ação</t>
  </si>
  <si>
    <t># text = O terrorismo é uma coisa que provoca uma resposta emocional que permite que as pessoas racionalizem a autorização de poderes e programas que não concederiam de outro modo, programas do tipo do Bullrun e do Edgehill.</t>
  </si>
  <si>
    <t>provoca</t>
  </si>
  <si>
    <t>emocional</t>
  </si>
  <si>
    <t>racionalizem</t>
  </si>
  <si>
    <t>autorização</t>
  </si>
  <si>
    <t>poderes</t>
  </si>
  <si>
    <t>concederiam</t>
  </si>
  <si>
    <t>modo</t>
  </si>
  <si>
    <t># text = A NSA pediu esses poderes nos anos 90.</t>
  </si>
  <si>
    <t>pediu</t>
  </si>
  <si>
    <t>def-np.quant</t>
  </si>
  <si>
    <t># text = Pediram ao FBI para ir ao Congresso e defender a ideia.</t>
  </si>
  <si>
    <t>Pediram</t>
  </si>
  <si>
    <t>FBI</t>
  </si>
  <si>
    <t>ir</t>
  </si>
  <si>
    <t># text = O FBI foi a Congresso e defendeu a ideia, mas o Congresso e o povo americano disseram que não.</t>
  </si>
  <si>
    <t>defendeu</t>
  </si>
  <si>
    <t># text = Disseram que não compensava o risco para a economia.</t>
  </si>
  <si>
    <t>compensava</t>
  </si>
  <si>
    <t># text = Disseram que os prejuízos para a sociedade eram demasiado grandes para justificar os ganhos .</t>
  </si>
  <si>
    <t>prejuízos</t>
  </si>
  <si>
    <t>eram</t>
  </si>
  <si>
    <t>justificar</t>
  </si>
  <si>
    <t>ganhos</t>
  </si>
  <si>
    <t># text = Mas o que vimos na era pós 11/Set foi que usaram o sigilo e usaram a justificação do terrorismo para iniciar esses programas em segredo sem solicitar autorização do Congresso, sem perguntar ao povo americano.</t>
  </si>
  <si>
    <t>usaram</t>
  </si>
  <si>
    <t>sigilo</t>
  </si>
  <si>
    <t>justificação</t>
  </si>
  <si>
    <t>iniciar</t>
  </si>
  <si>
    <t>solicitar</t>
  </si>
  <si>
    <t># text = É contra este tipo de governo de bastidores que nós precisamos de lutar, porque diminui a nossa segurança e não oferece nenhum valor em troca.</t>
  </si>
  <si>
    <t>lutar</t>
  </si>
  <si>
    <t>diminui</t>
  </si>
  <si>
    <t>oferece</t>
  </si>
  <si>
    <t>troca</t>
  </si>
  <si>
    <t># text = CA: Ok, venha aqui por um segundo porque tenho uma pergunta mais pessoal para si, falando de terrorismo.</t>
  </si>
  <si>
    <t>Ok</t>
  </si>
  <si>
    <t>tenho</t>
  </si>
  <si>
    <t>pessoal</t>
  </si>
  <si>
    <t>falando</t>
  </si>
  <si>
    <t># text = A maioria das pessoas acharia a situação em que você se encontra agora, na Rússia, bastante assustadora.</t>
  </si>
  <si>
    <t>acharia</t>
  </si>
  <si>
    <t>encontra</t>
  </si>
  <si>
    <t>bastante</t>
  </si>
  <si>
    <t>assustadora</t>
  </si>
  <si>
    <t># text = Obviamente você soube o que aconteceu, qual o tratamento que teve Bradley Manning , que agora se chama Chelsea Manning, e há um artigo no Buzzfeed que diz que há pessoas na comunidade das informações que querem vê-lo morto.</t>
  </si>
  <si>
    <t>Obviamente</t>
  </si>
  <si>
    <t>soube</t>
  </si>
  <si>
    <t>aconteceu</t>
  </si>
  <si>
    <t>tratamento</t>
  </si>
  <si>
    <t>teve</t>
  </si>
  <si>
    <t>Bradley</t>
  </si>
  <si>
    <t>Manning</t>
  </si>
  <si>
    <t>Chelsea</t>
  </si>
  <si>
    <t>artigo</t>
  </si>
  <si>
    <t>Buzzfeed</t>
  </si>
  <si>
    <t>SBJ_10</t>
  </si>
  <si>
    <t>other_12</t>
  </si>
  <si>
    <t>SBJ_15</t>
  </si>
  <si>
    <t>querem</t>
  </si>
  <si>
    <t>lo</t>
  </si>
  <si>
    <t>OBJ_16</t>
  </si>
  <si>
    <t>morto</t>
  </si>
  <si>
    <t># text = Como é que encara isso?</t>
  </si>
  <si>
    <t>encara</t>
  </si>
  <si>
    <t># text = Como é que se está a dar com o medo?</t>
  </si>
  <si>
    <t>medo</t>
  </si>
  <si>
    <t># text = ES:</t>
  </si>
  <si>
    <t># text = Não é nenhum mistério que há governos por aí que querem ver-me morto.</t>
  </si>
  <si>
    <t>mistério</t>
  </si>
  <si>
    <t>aí</t>
  </si>
  <si>
    <t># text = Eu deixei claro, vezes sem conta, que adormeço todos os dias a pensar no que é que posso fazer pelo povo americano.</t>
  </si>
  <si>
    <t>deixei</t>
  </si>
  <si>
    <t>claro</t>
  </si>
  <si>
    <t>conta</t>
  </si>
  <si>
    <t>adormeço</t>
  </si>
  <si>
    <t>dias</t>
  </si>
  <si>
    <t># text = Não quero prejudicar o meu governo.</t>
  </si>
  <si>
    <t>prejudicar</t>
  </si>
  <si>
    <t>meu</t>
  </si>
  <si>
    <t># text = Quero ajudar o meu governo.</t>
  </si>
  <si>
    <t>ajudar</t>
  </si>
  <si>
    <t># text = Mas o facto de eles estarem dispostos a ignorar totalmente os procedimentos devidos, de estarem dispostos a declarar-me culpado sem sequer existir um julgamento, são coisas contra as quais temos que lutar enquanto sociedade, e dizer "isso não é apropriado".</t>
  </si>
  <si>
    <t>estarem</t>
  </si>
  <si>
    <t>dispostos</t>
  </si>
  <si>
    <t>ignorar</t>
  </si>
  <si>
    <t>totalmente</t>
  </si>
  <si>
    <t>procedimentos</t>
  </si>
  <si>
    <t>devidos</t>
  </si>
  <si>
    <t>declarar</t>
  </si>
  <si>
    <t>culpado</t>
  </si>
  <si>
    <t># text = Não devíamos ameaçar dissidentes.</t>
  </si>
  <si>
    <t>ameaçar</t>
  </si>
  <si>
    <t>dissidentes</t>
  </si>
  <si>
    <t># text = Não devíamos criminalizar o jornalismo.</t>
  </si>
  <si>
    <t>criminalizar</t>
  </si>
  <si>
    <t>jornalismo</t>
  </si>
  <si>
    <t># text = E tudo o que eu puder fazer para acabar com isso, fá-lo-ei com todo o gosto, apesar dos riscos.</t>
  </si>
  <si>
    <t>fá-lo-ei</t>
  </si>
  <si>
    <t>gosto</t>
  </si>
  <si>
    <t># text = CA: Gostava de obter algum feedback desta audiência porque sei que há reações muito diversas em relação a Edward Snowden.</t>
  </si>
  <si>
    <t>Gostava</t>
  </si>
  <si>
    <t>feedback</t>
  </si>
  <si>
    <t>reações</t>
  </si>
  <si>
    <t>diversas</t>
  </si>
  <si>
    <t># text = Suponham que têm as duas opções seguintes, ok?</t>
  </si>
  <si>
    <t>Suponham</t>
  </si>
  <si>
    <t>opções</t>
  </si>
  <si>
    <t>seguintes</t>
  </si>
  <si>
    <t>ok</t>
  </si>
  <si>
    <t># text = Consideram o que ele fez como um ato que, essencialmente, pôs em perigo a América ou consideram-no como um ato essencialmente heroico que pode ajudar a América e o bem mundial a longo prazo?</t>
  </si>
  <si>
    <t>Consideram</t>
  </si>
  <si>
    <t>ato</t>
  </si>
  <si>
    <t>essencialmente</t>
  </si>
  <si>
    <t>pôs</t>
  </si>
  <si>
    <t>perigo</t>
  </si>
  <si>
    <t>consideram</t>
  </si>
  <si>
    <t>no</t>
  </si>
  <si>
    <t>heroico</t>
  </si>
  <si>
    <t>prazo</t>
  </si>
  <si>
    <t># text = São as duas opções que vos dou.</t>
  </si>
  <si>
    <t>dou</t>
  </si>
  <si>
    <t># text = Tenho curiosidade em ver quem está disposto a votar pela primeira, ou seja, que é um ato irrefletido?</t>
  </si>
  <si>
    <t>curiosidade</t>
  </si>
  <si>
    <t>disposto</t>
  </si>
  <si>
    <t>votar</t>
  </si>
  <si>
    <t>irrefletido</t>
  </si>
  <si>
    <t># text = Há algumas mãos no ar.</t>
  </si>
  <si>
    <t>mãos</t>
  </si>
  <si>
    <t>ar</t>
  </si>
  <si>
    <t># text = Algumas mãos no ar.</t>
  </si>
  <si>
    <t># text = É difícil pôr a mão no ar quando o homem está mesmo aqui à nossa frente, mas eu estou a vê-las.</t>
  </si>
  <si>
    <t>difícil</t>
  </si>
  <si>
    <t>pôr</t>
  </si>
  <si>
    <t>estou</t>
  </si>
  <si>
    <t># text = Eu também vejo.</t>
  </si>
  <si>
    <t># text = CA: E quem está a favor da segunda opção, ou seja, um ato essencialmente heroico?</t>
  </si>
  <si>
    <t>favor</t>
  </si>
  <si>
    <t>segunda</t>
  </si>
  <si>
    <t>opção</t>
  </si>
  <si>
    <t># text = Penso que é correto dizer que há muitas pessoas que não levantaram a mão.</t>
  </si>
  <si>
    <t>correto</t>
  </si>
  <si>
    <t>levantaram</t>
  </si>
  <si>
    <t># text = Acho que ainda estão a pensar porque me parece que o debate à sua volta não se divide de acordo com as tradicionais linhas políticas.</t>
  </si>
  <si>
    <t>volta</t>
  </si>
  <si>
    <t>divide</t>
  </si>
  <si>
    <t>acordo</t>
  </si>
  <si>
    <t>tradicionais</t>
  </si>
  <si>
    <t>políticas</t>
  </si>
  <si>
    <t># text = Não é uma questão de esquerda ou de direita, não se trata de ser pró-governo, libertário, ou não.</t>
  </si>
  <si>
    <t>esquerda</t>
  </si>
  <si>
    <t>direita</t>
  </si>
  <si>
    <t>pró-governo</t>
  </si>
  <si>
    <t>libertário</t>
  </si>
  <si>
    <t># text = Parte dela é quase uma questão geracional.</t>
  </si>
  <si>
    <t>Parte</t>
  </si>
  <si>
    <t>quase</t>
  </si>
  <si>
    <t>geracional</t>
  </si>
  <si>
    <t># text = Fazemos parte de uma geração que cresceu com a Internet, e parece que nos ofendemos a um nível quase visceral quando vemos fazer qualquer coisa que achamos vai prejudicar a Internet.</t>
  </si>
  <si>
    <t>Fazemos</t>
  </si>
  <si>
    <t>cresceu</t>
  </si>
  <si>
    <t>ofendemos</t>
  </si>
  <si>
    <t>visceral</t>
  </si>
  <si>
    <t>achamos</t>
  </si>
  <si>
    <t>vai</t>
  </si>
  <si>
    <t># text = Haverá nisto alguma verdade?</t>
  </si>
  <si>
    <t>Haverá</t>
  </si>
  <si>
    <t># text = ES: Há.</t>
  </si>
  <si>
    <t># text = Acho que é verdade.</t>
  </si>
  <si>
    <t># text = Isto não é uma questão de esquerda ou de direita.</t>
  </si>
  <si>
    <t># text = As nossas liberdades básicas — e quando digo nossas, não me refiro apenas aos americanos, refiro-me a todas as pessoas no mundo — não são uma questão partidária.</t>
  </si>
  <si>
    <t>liberdades</t>
  </si>
  <si>
    <t>básicas</t>
  </si>
  <si>
    <t>refiro</t>
  </si>
  <si>
    <t>apenas</t>
  </si>
  <si>
    <t>partidária</t>
  </si>
  <si>
    <t># text = São coisas em que toda a gente acredita, e cabe-nos a todos nós protegê-las, e às pessoas que viram e beneficiaram de uma Internet livre e aberta.</t>
  </si>
  <si>
    <t>acredita</t>
  </si>
  <si>
    <t>cabe</t>
  </si>
  <si>
    <t>protegê</t>
  </si>
  <si>
    <t>viram</t>
  </si>
  <si>
    <t>beneficiaram</t>
  </si>
  <si>
    <t># text = Cabe-nos a nós preservar essa liberdade, para que a próxima geração dela beneficie.</t>
  </si>
  <si>
    <t>Cabe</t>
  </si>
  <si>
    <t>preservar</t>
  </si>
  <si>
    <t>próxima</t>
  </si>
  <si>
    <t>beneficie</t>
  </si>
  <si>
    <t># text = E se não mudarmos as coisas, se não nos erguermos para fazer as mudanças que é preciso fazer para manter uma Internet segura, não apenas para nós, mas para toda a gente, vamos perder isso.</t>
  </si>
  <si>
    <t>mudarmos</t>
  </si>
  <si>
    <t>erguermos</t>
  </si>
  <si>
    <t>mudanças</t>
  </si>
  <si>
    <t>manter</t>
  </si>
  <si>
    <t>perder</t>
  </si>
  <si>
    <t>OBJ_10</t>
  </si>
  <si>
    <t># text = Seria uma perda terrível, não só para nós, mas para o mundo inteiro.</t>
  </si>
  <si>
    <t>Seria</t>
  </si>
  <si>
    <t>perda</t>
  </si>
  <si>
    <t>terrível</t>
  </si>
  <si>
    <t># text = CA: Bem, há pouco tempo ouvi um palavreado semelhante ao fundador da wide web mundial, que, segundo penso, está aqui presente:</t>
  </si>
  <si>
    <t>pouco</t>
  </si>
  <si>
    <t>palavreado</t>
  </si>
  <si>
    <t>semelhante</t>
  </si>
  <si>
    <t>fundador</t>
  </si>
  <si>
    <t>wide</t>
  </si>
  <si>
    <t>web</t>
  </si>
  <si>
    <t>presente</t>
  </si>
  <si>
    <t># text = Sir Tim Berners-Lee.</t>
  </si>
  <si>
    <t>Berners-Lee</t>
  </si>
  <si>
    <t># text = Tim, quer vir aqui e dizer — arranjam um microfone para Tim?</t>
  </si>
  <si>
    <t>quer</t>
  </si>
  <si>
    <t>arranjam</t>
  </si>
  <si>
    <t>microfone</t>
  </si>
  <si>
    <t># text = Tim, prazer em vê-lo.</t>
  </si>
  <si>
    <t># text = Venha cá acima.</t>
  </si>
  <si>
    <t>acima</t>
  </si>
  <si>
    <t># text = A propósito, em que campo se situa, traidor, herói?</t>
  </si>
  <si>
    <t>campo</t>
  </si>
  <si>
    <t>situa</t>
  </si>
  <si>
    <t># text = Eu tenho uma teoria, mas...</t>
  </si>
  <si>
    <t>teoria</t>
  </si>
  <si>
    <t># text = Tim Berners-Lee:</t>
  </si>
  <si>
    <t># text = Podia dar uma resposta muito mais longa, mas... "herói", já que sou obrigado a escolher entre as duas.</t>
  </si>
  <si>
    <t>Podia</t>
  </si>
  <si>
    <t>longa</t>
  </si>
  <si>
    <t>escolher</t>
  </si>
  <si>
    <t># text = CA: Ed, acho que leu a proposta de que Sir</t>
  </si>
  <si>
    <t>leu</t>
  </si>
  <si>
    <t>proposta</t>
  </si>
  <si>
    <t># text = Tim falou sobre uma nova Magna Carta para recuperar a Internet.</t>
  </si>
  <si>
    <t>falou</t>
  </si>
  <si>
    <t>nova</t>
  </si>
  <si>
    <t>Magna</t>
  </si>
  <si>
    <t>Carta</t>
  </si>
  <si>
    <t>recuperar</t>
  </si>
  <si>
    <t># text = Acha que é uma coisa que faz sentido?</t>
  </si>
  <si>
    <t>Acha</t>
  </si>
  <si>
    <t>sentido</t>
  </si>
  <si>
    <t># text = ES: Obviamente.</t>
  </si>
  <si>
    <t># text = A minha geração...</t>
  </si>
  <si>
    <t># text = Eu não cresci a pensar na Internet, eu cresci dentro da Internet e, embora não estivesse à espera de ter a hipótese de defendê-la de modo tão direto e prático e corporizá-la deste modo invulgar, quase avatar, acho que há algo de poético no facto de um dos filhos da Internet se ter tornado íntimo da Internet em consequência da sua expressão política.</t>
  </si>
  <si>
    <t>cresci</t>
  </si>
  <si>
    <t>embora</t>
  </si>
  <si>
    <t>espera</t>
  </si>
  <si>
    <t>hipótese</t>
  </si>
  <si>
    <t>defendê</t>
  </si>
  <si>
    <t>la</t>
  </si>
  <si>
    <t>prático</t>
  </si>
  <si>
    <t>corporizá</t>
  </si>
  <si>
    <t>invulgar</t>
  </si>
  <si>
    <t>avatar</t>
  </si>
  <si>
    <t>algo</t>
  </si>
  <si>
    <t>poético</t>
  </si>
  <si>
    <t>filhos</t>
  </si>
  <si>
    <t>tornado</t>
  </si>
  <si>
    <t>íntimo</t>
  </si>
  <si>
    <t>consequência</t>
  </si>
  <si>
    <t>expressão</t>
  </si>
  <si>
    <t>política</t>
  </si>
  <si>
    <t># text = E acho que uma Magna Carta para a Internet é exatamente aquilo de que precisamos.</t>
  </si>
  <si>
    <t>exatamente</t>
  </si>
  <si>
    <t>aquilo</t>
  </si>
  <si>
    <t># text = Precisamos de um código para os nossos valores não apenas por escrito mas inserido na estrutura da Internet, e é uma coisa que desejo.</t>
  </si>
  <si>
    <t>Precisamos</t>
  </si>
  <si>
    <t>código</t>
  </si>
  <si>
    <t>valores</t>
  </si>
  <si>
    <t>escrito</t>
  </si>
  <si>
    <t>inserido</t>
  </si>
  <si>
    <t>estrutura</t>
  </si>
  <si>
    <t>desejo</t>
  </si>
  <si>
    <t># text = Convido toda a audiência, não apenas aqui em Vancouver, mas em todo o mundo, a aderir e a participar.</t>
  </si>
  <si>
    <t>Convido</t>
  </si>
  <si>
    <t>Vancouver</t>
  </si>
  <si>
    <t>aderir</t>
  </si>
  <si>
    <t>participar</t>
  </si>
  <si>
    <t># text = CA: Tem alguma pergunta a fazer a Ed? TBL:</t>
  </si>
  <si>
    <t>Ed?</t>
  </si>
  <si>
    <t>TBL</t>
  </si>
  <si>
    <t># text = Duas perguntas, uma pergunta de ordem geral... CA: Ed, ainda está a ouvir-nos?</t>
  </si>
  <si>
    <t>Duas</t>
  </si>
  <si>
    <t>ordem</t>
  </si>
  <si>
    <t>geral</t>
  </si>
  <si>
    <t># text = ES: Estou, estou a ouvir.</t>
  </si>
  <si>
    <t>Estou</t>
  </si>
  <si>
    <t># text = CA: Oh, já voltou.</t>
  </si>
  <si>
    <t>Oh</t>
  </si>
  <si>
    <t>voltou</t>
  </si>
  <si>
    <t># text = TBL: A escuta na sua linha teve uma pequena interferência por momentos.</t>
  </si>
  <si>
    <t>linha</t>
  </si>
  <si>
    <t>pequena</t>
  </si>
  <si>
    <t>interferência</t>
  </si>
  <si>
    <t>momentos</t>
  </si>
  <si>
    <t># text = ES: É um pouco problemático com a NSA.</t>
  </si>
  <si>
    <t>problemático</t>
  </si>
  <si>
    <t># text = TBL: Ao longo destes 25 anos, olhando para trás e refletindo, o que é que acha que será o melhor que podemos conseguir de todos os debates que temos tido sobre a web que queremos?</t>
  </si>
  <si>
    <t>olhando</t>
  </si>
  <si>
    <t>trás</t>
  </si>
  <si>
    <t>refletindo</t>
  </si>
  <si>
    <t>será</t>
  </si>
  <si>
    <t>debates</t>
  </si>
  <si>
    <t>tido</t>
  </si>
  <si>
    <t># text = Se pensarmos até onde podemos chegar, penso que é uma questão que só está limitada pelo que estamos dispostos a aceitar.</t>
  </si>
  <si>
    <t>pensarmos</t>
  </si>
  <si>
    <t>chegar</t>
  </si>
  <si>
    <t>limitada</t>
  </si>
  <si>
    <t>aceitar</t>
  </si>
  <si>
    <t># text = Penso que a Internet de que beneficiámos no passado é exatamente aquilo de que precisamos, não só enquanto nação, mas para as pessoas do mundo inteiro.</t>
  </si>
  <si>
    <t>beneficiámos</t>
  </si>
  <si>
    <t># text = E, cooperando, envolvendo não só as partes técnicas da sociedade mas, como você disse, os utilizadores.</t>
  </si>
  <si>
    <t>cooperando</t>
  </si>
  <si>
    <t>envolvendo</t>
  </si>
  <si>
    <t>partes</t>
  </si>
  <si>
    <t>técnicas</t>
  </si>
  <si>
    <t># text = as pessoas do mundo inteiro que contribuem através da Internet, através das redes sociais, as que apenas verificam o tempo, as que confiam nela todos os dias, como fazendo parte da sua vida, para defender isso.</t>
  </si>
  <si>
    <t>contribuem</t>
  </si>
  <si>
    <t>redes</t>
  </si>
  <si>
    <t>sociais</t>
  </si>
  <si>
    <t>verificam</t>
  </si>
  <si>
    <t>confiam</t>
  </si>
  <si>
    <t>fazendo</t>
  </si>
  <si>
    <t>vida</t>
  </si>
  <si>
    <t># text = Não só obteremos a Internet que tínhamos, mas uma Internet melhor, ainda melhor, uma coisa que podemos usar para construir um futuro que será melhor não apenas do que esperávamos mas melhor do que podíamos imaginar.</t>
  </si>
  <si>
    <t>obteremos</t>
  </si>
  <si>
    <t>tínhamos</t>
  </si>
  <si>
    <t>esperávamos</t>
  </si>
  <si>
    <t>podíamos</t>
  </si>
  <si>
    <t>imaginar</t>
  </si>
  <si>
    <t># text = CA: Há 30 anos que foi fundada a TED, em 1984.</t>
  </si>
  <si>
    <t>fundada</t>
  </si>
  <si>
    <t>1984</t>
  </si>
  <si>
    <t># text = Desde então tem havido muitas conversas sempre orientadas na linha de que George Orwell afinal estava errado.</t>
  </si>
  <si>
    <t>Desde</t>
  </si>
  <si>
    <t>então</t>
  </si>
  <si>
    <t>conversas</t>
  </si>
  <si>
    <t>orientadas</t>
  </si>
  <si>
    <t>George</t>
  </si>
  <si>
    <t>Orwell</t>
  </si>
  <si>
    <t>afinal</t>
  </si>
  <si>
    <t># text = Não é o Big Brother que nos está a vigiar.</t>
  </si>
  <si>
    <t>Big</t>
  </si>
  <si>
    <t>Brother</t>
  </si>
  <si>
    <t>vigiar</t>
  </si>
  <si>
    <t># text = Somos nós, pelo poder da web e da transparência, que estamos a vigiar o Big Brother.</t>
  </si>
  <si>
    <t>Somos</t>
  </si>
  <si>
    <t>transparência</t>
  </si>
  <si>
    <t># text = As suas revelações foram como uma estaca cravada no coração dessa perspetiva bastante otimista, mas você ainda acredita que há forma de fazer algo sobre isso.</t>
  </si>
  <si>
    <t>estaca</t>
  </si>
  <si>
    <t>cravada</t>
  </si>
  <si>
    <t>coração</t>
  </si>
  <si>
    <t>perspetiva</t>
  </si>
  <si>
    <t>otimista</t>
  </si>
  <si>
    <t># text = E você também.</t>
  </si>
  <si>
    <t># text = ES: Certo, há que reconhecer que os poderes do Big Brother aumentaram imenso.</t>
  </si>
  <si>
    <t>aumentaram</t>
  </si>
  <si>
    <t>imenso</t>
  </si>
  <si>
    <t># text = Apareceu recentemente um artigo em Yale que estabeleceu uma coisa chamada o Princípio de Bankston-Soltani, que diz que a nossa expetativa de privacidade é violada quando a capacidade de vigilância do governo se torna inferior numa ordem de grandeza, e, cada vez que isso acontece, precisamos de rever e de reequilibrar os nossos direitos de privacidade.</t>
  </si>
  <si>
    <t>Apareceu</t>
  </si>
  <si>
    <t>Yale</t>
  </si>
  <si>
    <t>estabeleceu</t>
  </si>
  <si>
    <t>Princípio</t>
  </si>
  <si>
    <t>Bankston-Soltani</t>
  </si>
  <si>
    <t>expetativa</t>
  </si>
  <si>
    <t>violada</t>
  </si>
  <si>
    <t>inferior</t>
  </si>
  <si>
    <t>grandeza</t>
  </si>
  <si>
    <t>rever</t>
  </si>
  <si>
    <t>reequilibrar</t>
  </si>
  <si>
    <t># text = Ora, isso não tem acontecido desde que os poderes aumentaram vários graus de grandeza, e é por isso que nos deparamos agora com este problema mas ainda há esperança, porque o poder dos indivíduos também tem aumentado através da tecnologia.</t>
  </si>
  <si>
    <t>Ora</t>
  </si>
  <si>
    <t>acontecido</t>
  </si>
  <si>
    <t>desde</t>
  </si>
  <si>
    <t>graus</t>
  </si>
  <si>
    <t>deparamos</t>
  </si>
  <si>
    <t>problema</t>
  </si>
  <si>
    <t>esperança</t>
  </si>
  <si>
    <t>indivíduos</t>
  </si>
  <si>
    <t>aumentado</t>
  </si>
  <si>
    <t># text = Eu sou uma prova viva de que um indivíduo pode erguer-se em pé de igualdade contra os adversários mais poderosos e contra as mais poderosas organizações de informações em todo o mundo, e ganhar.</t>
  </si>
  <si>
    <t>prova</t>
  </si>
  <si>
    <t>viva</t>
  </si>
  <si>
    <t>indivíduo</t>
  </si>
  <si>
    <t>erguer</t>
  </si>
  <si>
    <t>pé</t>
  </si>
  <si>
    <t>igualdade</t>
  </si>
  <si>
    <t>adversários</t>
  </si>
  <si>
    <t>poderosos</t>
  </si>
  <si>
    <t>poderosas</t>
  </si>
  <si>
    <t>organizações</t>
  </si>
  <si>
    <t>ganhar</t>
  </si>
  <si>
    <t># text = E penso que isso é uma coisa que nos permite ter esperança Precisamos de construi-la para torná-la acessível, não apenas aos especialistas técnicos, mas ao cidadão ordinário no mundo inteiro.</t>
  </si>
  <si>
    <t>construi</t>
  </si>
  <si>
    <t>torná</t>
  </si>
  <si>
    <t>acessível</t>
  </si>
  <si>
    <t>especialistas</t>
  </si>
  <si>
    <t>ordinário</t>
  </si>
  <si>
    <t># text = O jornalismo não é um crime, a comunicação não é um crime, e não devemos ser vigiados nas nossas atividades quotidianas.</t>
  </si>
  <si>
    <t>crime</t>
  </si>
  <si>
    <t>vigiados</t>
  </si>
  <si>
    <t>atividades</t>
  </si>
  <si>
    <t>quotidianas</t>
  </si>
  <si>
    <t># text = CA: Não sei muito bem como se aperta a mão a um robô.</t>
  </si>
  <si>
    <t>aperta</t>
  </si>
  <si>
    <t># text = mas julgo que a mão está aqui.</t>
  </si>
  <si>
    <t>julgo</t>
  </si>
  <si>
    <t># text = TBL: Em breve aparecerá.</t>
  </si>
  <si>
    <t>breve</t>
  </si>
  <si>
    <t>aparecerá</t>
  </si>
  <si>
    <t># text = ES: Foi um prazer conhecê-los, e espero que a minha imagem seja tão boa como a que eu tenho de todos vós.</t>
  </si>
  <si>
    <t>Foi</t>
  </si>
  <si>
    <t>conhecê</t>
  </si>
  <si>
    <t>los</t>
  </si>
  <si>
    <t>imagem</t>
  </si>
  <si>
    <t>vós</t>
  </si>
  <si>
    <t># text = CA: Obrigado, Tim.</t>
  </si>
  <si>
    <t># text = O New York Times recentemente pediu uma amnistia para si.</t>
  </si>
  <si>
    <t>New</t>
  </si>
  <si>
    <t>York</t>
  </si>
  <si>
    <t>Times</t>
  </si>
  <si>
    <t>amnistia</t>
  </si>
  <si>
    <t># text = Gostaria de ter hipótese de voltar à América?</t>
  </si>
  <si>
    <t>voltar</t>
  </si>
  <si>
    <t># text = ES: Claro.</t>
  </si>
  <si>
    <t>Claro</t>
  </si>
  <si>
    <t># text = Na verdade não há dúvida de que os princípios que estiveram na base deste projeto foram do interesse público e dos princípios subjacentes à instituição jornalística nos Estados Unidos e em todo o mundo, e penso que, se a imprensa anda agora a dizer, "apoiamos isso", é uma coisa que precisava de acontecer, é um argumento poderoso, mas não é o argumento final.</t>
  </si>
  <si>
    <t>princípios</t>
  </si>
  <si>
    <t>estiveram</t>
  </si>
  <si>
    <t>projeto</t>
  </si>
  <si>
    <t>subjacentes</t>
  </si>
  <si>
    <t>instituição</t>
  </si>
  <si>
    <t>jornalística</t>
  </si>
  <si>
    <t>apoiamos</t>
  </si>
  <si>
    <t>precisava</t>
  </si>
  <si>
    <t>argumento</t>
  </si>
  <si>
    <t>poderoso</t>
  </si>
  <si>
    <t>final</t>
  </si>
  <si>
    <t># text = Penso que é uma coisa que deve ser o público a decidir.</t>
  </si>
  <si>
    <t>decidir</t>
  </si>
  <si>
    <t># text = Mas, ao mesmo tempo, o governo deu a entender que quer uma espécie de acordo, quer que eu comprometa os jornalistas com quem tenho estado a trabalhar, para poder voltar.</t>
  </si>
  <si>
    <t>entender</t>
  </si>
  <si>
    <t>espécie</t>
  </si>
  <si>
    <t>comprometa</t>
  </si>
  <si>
    <t># text = Quero deixar muito claro que não fiz isto para ficar em segurança.</t>
  </si>
  <si>
    <t>fiz</t>
  </si>
  <si>
    <t>ficar</t>
  </si>
  <si>
    <t># text = Fiz isto para fazer o que estava certo, e não vou parar com o meu trabalho do interesse do público só para tirar daí benefícios.</t>
  </si>
  <si>
    <t>Fiz</t>
  </si>
  <si>
    <t>parar</t>
  </si>
  <si>
    <t>tirar</t>
  </si>
  <si>
    <t># text = CA: Entretanto, graças à Internet e a esta tecnologia, você voltou aqui, à América do Norte, não propriamente aos EUA, mas ao Canadá, sob esta forma.</t>
  </si>
  <si>
    <t>Entretanto</t>
  </si>
  <si>
    <t>graças</t>
  </si>
  <si>
    <t>Norte</t>
  </si>
  <si>
    <t>propriamente</t>
  </si>
  <si>
    <t>Canadá</t>
  </si>
  <si>
    <t># text = Sinto curiosidade, qual é a sensação?</t>
  </si>
  <si>
    <t>Sinto</t>
  </si>
  <si>
    <t>sensação</t>
  </si>
  <si>
    <t># text = ES: O Canadá é diferente do que eu esperava.</t>
  </si>
  <si>
    <t>diferente</t>
  </si>
  <si>
    <t>esperava</t>
  </si>
  <si>
    <t># text = É muito mais quente.</t>
  </si>
  <si>
    <t>quente</t>
  </si>
  <si>
    <t># text = CA: No TED, a missão é \"ideias que vale a pena espalhar\".</t>
  </si>
  <si>
    <t>missão</t>
  </si>
  <si>
    <t>ideias</t>
  </si>
  <si>
    <t>espalhar</t>
  </si>
  <si>
    <t># text = Se conseguisse resumir isso numa única ideia, qual é a sua ideia que vale a pena espalhar neste preciso momento?</t>
  </si>
  <si>
    <t>conseguisse</t>
  </si>
  <si>
    <t>resumir</t>
  </si>
  <si>
    <t>única</t>
  </si>
  <si>
    <t># text = ES: Diria que o ano passado foi uma chamada de atenção para o facto de a democracia poder morrer por detrás de portas fechadas, mas nós, enquanto indivíduos, nascemos por detrás dessas mesmas portas fechadas, e não temos que abdicar da nossa privacidade para termos um bom governo.</t>
  </si>
  <si>
    <t>democracia</t>
  </si>
  <si>
    <t>morrer</t>
  </si>
  <si>
    <t>portas</t>
  </si>
  <si>
    <t>fechadas</t>
  </si>
  <si>
    <t>nascemos</t>
  </si>
  <si>
    <t>termos</t>
  </si>
  <si>
    <t># text = Não temos que abdicar da nossa liberdade para ter segurança.</t>
  </si>
  <si>
    <t># text = E penso que, trabalhando em conjunto, podemos ter um governo aberto mas também vidas privadas.</t>
  </si>
  <si>
    <t>trabalhando</t>
  </si>
  <si>
    <t>aberto</t>
  </si>
  <si>
    <t>vidas</t>
  </si>
  <si>
    <t>privadas</t>
  </si>
  <si>
    <t># text = E espero poder trabalhar com toda a gente em todo o mundo para ver isso acontecer.</t>
  </si>
  <si>
    <t># text = Muito obrigado.</t>
  </si>
  <si>
    <t>Muito</t>
  </si>
  <si>
    <t># text = CA: Ed, obrigado.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</si>
</sst>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10</v>
      </c>
      <c r="C4" s="6" t="s">
        <v>11</v>
      </c>
      <c r="D4" s="7" t="s">
        <v>20</v>
      </c>
      <c r="E4" s="8" t="s">
        <v>21</v>
      </c>
      <c r="F4" s="6" t="s">
        <v>22</v>
      </c>
      <c r="G4" s="9">
        <f>IF(A4=1,"_",IF(C4="_","???",C4))</f>
        <v/>
      </c>
      <c r="H4" s="10" t="s">
        <v>11</v>
      </c>
      <c r="I4" s="11" t="s">
        <v>11</v>
      </c>
      <c r="J4" s="12"/>
    </row>
    <row r="5" spans="1:10" ht="60" customHeight="1">
      <c r="A5" s="6" t="s">
        <v>23</v>
      </c>
      <c r="B5" s="6" t="s">
        <v>24</v>
      </c>
      <c r="C5" s="6" t="s">
        <v>11</v>
      </c>
      <c r="D5" s="7" t="s">
        <v>25</v>
      </c>
      <c r="E5" s="8" t="s">
        <v>26</v>
      </c>
      <c r="F5" s="6" t="s">
        <v>27</v>
      </c>
      <c r="G5" s="9">
        <f>IF(A5=1,"_",IF(C5="_","???",C5))</f>
        <v/>
      </c>
      <c r="H5" s="10" t="s">
        <v>11</v>
      </c>
      <c r="I5" s="11" t="s">
        <v>11</v>
      </c>
      <c r="J5" s="12"/>
    </row>
    <row r="6" spans="1:10" ht="60" customHeight="1">
      <c r="A6" s="6" t="s">
        <v>24</v>
      </c>
      <c r="B6" s="6" t="s">
        <v>10</v>
      </c>
      <c r="C6" s="6" t="s">
        <v>11</v>
      </c>
      <c r="D6" s="7" t="s">
        <v>28</v>
      </c>
      <c r="E6" s="8" t="s">
        <v>29</v>
      </c>
      <c r="F6" s="6" t="s">
        <v>30</v>
      </c>
      <c r="G6" s="9">
        <f>IF(A6=1,"_",IF(C6="_","???",C6))</f>
        <v/>
      </c>
      <c r="H6" s="10" t="s">
        <v>11</v>
      </c>
      <c r="I6" s="11" t="s">
        <v>11</v>
      </c>
      <c r="J6" s="12"/>
    </row>
    <row r="7" spans="1:10" ht="60" customHeight="1">
      <c r="A7" s="6" t="s">
        <v>31</v>
      </c>
      <c r="B7" s="6" t="s">
        <v>19</v>
      </c>
      <c r="C7" s="6" t="s">
        <v>11</v>
      </c>
      <c r="D7" s="7" t="s">
        <v>32</v>
      </c>
      <c r="E7" s="8" t="s">
        <v>33</v>
      </c>
      <c r="F7" s="6" t="s">
        <v>34</v>
      </c>
      <c r="G7" s="9">
        <f>IF(A7=1,"_",IF(C7="_","???",C7))</f>
        <v/>
      </c>
      <c r="H7" s="10" t="s">
        <v>11</v>
      </c>
      <c r="I7" s="11" t="s">
        <v>11</v>
      </c>
      <c r="J7" s="12"/>
    </row>
    <row r="8" spans="1:10" ht="60" customHeight="1">
      <c r="A8" s="6" t="s">
        <v>35</v>
      </c>
      <c r="B8" s="6" t="s">
        <v>10</v>
      </c>
      <c r="C8" s="6" t="s">
        <v>11</v>
      </c>
      <c r="D8" s="7" t="s">
        <v>36</v>
      </c>
      <c r="E8" s="8" t="s">
        <v>37</v>
      </c>
      <c r="F8" s="6" t="s">
        <v>38</v>
      </c>
      <c r="G8" s="9">
        <f>IF(A8=1,"_",IF(C8="_","???",C8))</f>
        <v/>
      </c>
      <c r="H8" s="10" t="s">
        <v>11</v>
      </c>
      <c r="I8" s="11" t="s">
        <v>11</v>
      </c>
      <c r="J8" s="12"/>
    </row>
    <row r="9" spans="1:10" ht="60" customHeight="1">
      <c r="A9" s="6" t="s">
        <v>39</v>
      </c>
      <c r="B9" s="6" t="s">
        <v>15</v>
      </c>
      <c r="C9" s="6" t="s">
        <v>11</v>
      </c>
      <c r="D9" s="7" t="s">
        <v>40</v>
      </c>
      <c r="E9" s="8" t="s">
        <v>41</v>
      </c>
      <c r="F9" s="6" t="s">
        <v>42</v>
      </c>
      <c r="G9" s="9">
        <f>IF(A9=1,"_",IF(C9="_","???",C9))</f>
        <v/>
      </c>
      <c r="H9" s="10" t="s">
        <v>11</v>
      </c>
      <c r="I9" s="11" t="s">
        <v>11</v>
      </c>
      <c r="J9" s="12"/>
    </row>
    <row r="10" spans="1:10" ht="60" customHeight="1">
      <c r="A10" s="6" t="s">
        <v>43</v>
      </c>
      <c r="B10" s="6" t="s">
        <v>15</v>
      </c>
      <c r="C10" s="6" t="s">
        <v>11</v>
      </c>
      <c r="D10" s="7" t="s">
        <v>44</v>
      </c>
      <c r="E10" s="8" t="s">
        <v>45</v>
      </c>
      <c r="F10" s="6" t="s">
        <v>46</v>
      </c>
      <c r="G10" s="9">
        <f>IF(A10=1,"_",IF(C10="_","???",C10))</f>
        <v/>
      </c>
      <c r="H10" s="10" t="s">
        <v>11</v>
      </c>
      <c r="I10" s="11" t="s">
        <v>11</v>
      </c>
      <c r="J10" s="12"/>
    </row>
    <row r="11" spans="1:10" ht="60" customHeight="1">
      <c r="A11" s="6" t="s">
        <v>47</v>
      </c>
      <c r="B11" s="6" t="s">
        <v>10</v>
      </c>
      <c r="C11" s="6" t="s">
        <v>11</v>
      </c>
      <c r="D11" s="7" t="s">
        <v>48</v>
      </c>
      <c r="E11" s="8" t="s">
        <v>49</v>
      </c>
      <c r="F11" s="6" t="s">
        <v>50</v>
      </c>
      <c r="G11" s="9">
        <f>IF(A11=1,"_",IF(C11="_","???",C11))</f>
        <v/>
      </c>
      <c r="H11" s="10" t="s">
        <v>11</v>
      </c>
      <c r="I11" s="11" t="s">
        <v>11</v>
      </c>
      <c r="J11" s="12"/>
    </row>
    <row r="12" spans="1:10" ht="60" customHeight="1">
      <c r="A12" s="6" t="s">
        <v>51</v>
      </c>
      <c r="B12" s="6" t="s">
        <v>24</v>
      </c>
      <c r="C12" s="6" t="s">
        <v>11</v>
      </c>
      <c r="D12" s="7" t="s">
        <v>52</v>
      </c>
      <c r="E12" s="8" t="s">
        <v>53</v>
      </c>
      <c r="F12" s="6" t="s">
        <v>54</v>
      </c>
      <c r="G12" s="9">
        <f>IF(A12=1,"_",IF(C12="_","???",C12))</f>
        <v/>
      </c>
      <c r="H12" s="10" t="s">
        <v>11</v>
      </c>
      <c r="I12" s="11" t="s">
        <v>11</v>
      </c>
      <c r="J12" s="12"/>
    </row>
    <row r="13" spans="1:10" ht="60" customHeight="1">
      <c r="A13" s="6" t="s">
        <v>55</v>
      </c>
      <c r="B13" s="6" t="s">
        <v>10</v>
      </c>
      <c r="C13" s="6" t="s">
        <v>11</v>
      </c>
      <c r="D13" s="7" t="s">
        <v>56</v>
      </c>
      <c r="E13" s="8" t="s">
        <v>57</v>
      </c>
      <c r="F13" s="6" t="s">
        <v>58</v>
      </c>
      <c r="G13" s="9">
        <f>IF(A13=1,"_",IF(C13="_","???",C13))</f>
        <v/>
      </c>
      <c r="H13" s="10" t="s">
        <v>11</v>
      </c>
      <c r="I13" s="11" t="s">
        <v>11</v>
      </c>
      <c r="J13" s="12"/>
    </row>
    <row r="14" spans="1:10" ht="60" customHeight="1">
      <c r="A14" s="6" t="s">
        <v>59</v>
      </c>
      <c r="B14" s="6" t="s">
        <v>60</v>
      </c>
      <c r="C14" s="6" t="s">
        <v>11</v>
      </c>
      <c r="D14" s="7" t="s">
        <v>61</v>
      </c>
      <c r="E14" s="8" t="s">
        <v>62</v>
      </c>
      <c r="F14" s="6" t="s">
        <v>63</v>
      </c>
      <c r="G14" s="9">
        <f>IF(A14=1,"_",IF(C14="_","???",C14))</f>
        <v/>
      </c>
      <c r="H14" s="10" t="s">
        <v>11</v>
      </c>
      <c r="I14" s="11" t="s">
        <v>11</v>
      </c>
      <c r="J14" s="12"/>
    </row>
    <row r="15" spans="1:10" ht="60" customHeight="1">
      <c r="A15" s="6" t="s">
        <v>64</v>
      </c>
      <c r="B15" s="6" t="s">
        <v>15</v>
      </c>
      <c r="C15" s="6" t="s">
        <v>65</v>
      </c>
      <c r="D15" s="7" t="s">
        <v>66</v>
      </c>
      <c r="E15" s="8" t="s">
        <v>67</v>
      </c>
      <c r="F15" s="6" t="s">
        <v>68</v>
      </c>
      <c r="G15" s="9">
        <f>IF(A15=1,"_",IF(C15="_","???",C15))</f>
        <v/>
      </c>
      <c r="H15" s="10" t="s">
        <v>11</v>
      </c>
      <c r="I15" s="11" t="s">
        <v>11</v>
      </c>
      <c r="J15" s="12"/>
    </row>
    <row r="16" spans="1:10" ht="60" customHeight="1">
      <c r="A16" s="6" t="s">
        <v>69</v>
      </c>
      <c r="B16" s="6" t="s">
        <v>47</v>
      </c>
      <c r="C16" s="6" t="s">
        <v>11</v>
      </c>
      <c r="D16" s="7" t="s">
        <v>70</v>
      </c>
      <c r="E16" s="8" t="s">
        <v>71</v>
      </c>
      <c r="F16" s="6" t="s">
        <v>72</v>
      </c>
      <c r="G16" s="9">
        <f>IF(A16=1,"_",IF(C16="_","???",C16))</f>
        <v/>
      </c>
      <c r="H16" s="10" t="s">
        <v>11</v>
      </c>
      <c r="I16" s="11" t="s">
        <v>11</v>
      </c>
      <c r="J16" s="12"/>
    </row>
    <row r="17" spans="1:10" ht="60" customHeight="1">
      <c r="A17" s="6" t="s">
        <v>73</v>
      </c>
      <c r="B17" s="6" t="s">
        <v>31</v>
      </c>
      <c r="C17" s="6" t="s">
        <v>11</v>
      </c>
      <c r="D17" s="7" t="s">
        <v>74</v>
      </c>
      <c r="E17" s="8" t="s">
        <v>75</v>
      </c>
      <c r="F17" s="6" t="s">
        <v>76</v>
      </c>
      <c r="G17" s="9">
        <f>IF(A17=1,"_",IF(C17="_","???",C17))</f>
        <v/>
      </c>
      <c r="H17" s="10" t="s">
        <v>11</v>
      </c>
      <c r="I17" s="11" t="s">
        <v>11</v>
      </c>
      <c r="J17" s="12"/>
    </row>
    <row r="18" spans="1:10" ht="60" customHeight="1">
      <c r="A18" s="6" t="s">
        <v>77</v>
      </c>
      <c r="B18" s="6" t="s">
        <v>31</v>
      </c>
      <c r="C18" s="6" t="s">
        <v>11</v>
      </c>
      <c r="D18" s="7" t="s">
        <v>78</v>
      </c>
      <c r="E18" s="8" t="s">
        <v>79</v>
      </c>
      <c r="F18" s="6" t="s">
        <v>80</v>
      </c>
      <c r="G18" s="9">
        <f>IF(A18=1,"_",IF(C18="_","???",C18))</f>
        <v/>
      </c>
      <c r="H18" s="10" t="s">
        <v>11</v>
      </c>
      <c r="I18" s="11" t="s">
        <v>11</v>
      </c>
      <c r="J18" s="12"/>
    </row>
    <row r="19" spans="1:10" ht="60" customHeight="1">
      <c r="A19" s="6" t="s">
        <v>81</v>
      </c>
      <c r="B19" s="6" t="s">
        <v>19</v>
      </c>
      <c r="C19" s="6" t="s">
        <v>11</v>
      </c>
      <c r="D19" s="7" t="s">
        <v>82</v>
      </c>
      <c r="E19" s="8" t="s">
        <v>83</v>
      </c>
      <c r="F19" s="6" t="s">
        <v>84</v>
      </c>
      <c r="G19" s="9">
        <f>IF(A19=1,"_",IF(C19="_","???",C19))</f>
        <v/>
      </c>
      <c r="H19" s="10" t="s">
        <v>11</v>
      </c>
      <c r="I19" s="11" t="s">
        <v>11</v>
      </c>
      <c r="J19" s="12"/>
    </row>
    <row r="20" spans="1:10" ht="60" customHeight="1">
      <c r="A20" s="6" t="s">
        <v>85</v>
      </c>
      <c r="B20" s="6" t="s">
        <v>39</v>
      </c>
      <c r="C20" s="6" t="s">
        <v>11</v>
      </c>
      <c r="D20" s="7" t="s">
        <v>86</v>
      </c>
      <c r="E20" s="8" t="s">
        <v>87</v>
      </c>
      <c r="F20" s="6" t="s">
        <v>88</v>
      </c>
      <c r="G20" s="9">
        <f>IF(A20=1,"_",IF(C20="_","???",C20))</f>
        <v/>
      </c>
      <c r="H20" s="10" t="s">
        <v>11</v>
      </c>
      <c r="I20" s="11" t="s">
        <v>11</v>
      </c>
      <c r="J20" s="12"/>
    </row>
    <row r="21" spans="1:10" ht="60" customHeight="1">
      <c r="A21" s="6" t="s">
        <v>89</v>
      </c>
      <c r="B21" s="6" t="s">
        <v>15</v>
      </c>
      <c r="C21" s="6" t="s">
        <v>11</v>
      </c>
      <c r="D21" s="7" t="s">
        <v>86</v>
      </c>
      <c r="E21" s="8" t="s">
        <v>90</v>
      </c>
      <c r="F21" s="6" t="s">
        <v>91</v>
      </c>
      <c r="G21" s="9">
        <f>IF(A21=1,"_",IF(C21="_","???",C21))</f>
        <v/>
      </c>
      <c r="H21" s="10" t="s">
        <v>11</v>
      </c>
      <c r="I21" s="11" t="s">
        <v>11</v>
      </c>
      <c r="J21" s="12"/>
    </row>
    <row r="22" spans="1:10" ht="60" customHeight="1">
      <c r="A22" s="6" t="s">
        <v>92</v>
      </c>
      <c r="B22" s="6" t="s">
        <v>10</v>
      </c>
      <c r="C22" s="6" t="s">
        <v>11</v>
      </c>
      <c r="D22" s="7" t="s">
        <v>93</v>
      </c>
      <c r="E22" s="8" t="s">
        <v>94</v>
      </c>
      <c r="F22" s="6" t="s">
        <v>95</v>
      </c>
      <c r="G22" s="9">
        <f>IF(A22=1,"_",IF(C22="_","???",C22))</f>
        <v/>
      </c>
      <c r="H22" s="10" t="s">
        <v>11</v>
      </c>
      <c r="I22" s="11" t="s">
        <v>11</v>
      </c>
      <c r="J22" s="12"/>
    </row>
    <row r="23" spans="1:10" ht="60" customHeight="1">
      <c r="A23" s="6" t="s">
        <v>96</v>
      </c>
      <c r="B23" s="6" t="s">
        <v>97</v>
      </c>
      <c r="C23" s="6" t="s">
        <v>11</v>
      </c>
      <c r="D23" s="7" t="s">
        <v>98</v>
      </c>
      <c r="E23" s="8" t="s">
        <v>99</v>
      </c>
      <c r="F23" s="6" t="s">
        <v>100</v>
      </c>
      <c r="G23" s="9">
        <f>IF(A23=1,"_",IF(C23="_","???",C23))</f>
        <v/>
      </c>
      <c r="H23" s="10" t="s">
        <v>11</v>
      </c>
      <c r="I23" s="11" t="s">
        <v>11</v>
      </c>
      <c r="J23" s="12"/>
    </row>
    <row r="24" spans="1:10" ht="60" customHeight="1">
      <c r="A24" s="6" t="s">
        <v>101</v>
      </c>
      <c r="B24" s="6" t="s">
        <v>10</v>
      </c>
      <c r="C24" s="6" t="s">
        <v>11</v>
      </c>
      <c r="D24" s="7" t="s">
        <v>102</v>
      </c>
      <c r="E24" s="8" t="s">
        <v>103</v>
      </c>
      <c r="F24" s="6" t="s">
        <v>104</v>
      </c>
      <c r="G24" s="9">
        <f>IF(A24=1,"_",IF(C24="_","???",C24))</f>
        <v/>
      </c>
      <c r="H24" s="10" t="s">
        <v>11</v>
      </c>
      <c r="I24" s="11" t="s">
        <v>11</v>
      </c>
      <c r="J24" s="12"/>
    </row>
    <row r="25" spans="1:10" ht="60" customHeight="1">
      <c r="A25" s="6" t="s">
        <v>105</v>
      </c>
      <c r="B25" s="6" t="s">
        <v>19</v>
      </c>
      <c r="C25" s="6" t="s">
        <v>11</v>
      </c>
      <c r="D25" s="7" t="s">
        <v>106</v>
      </c>
      <c r="E25" s="8" t="s">
        <v>107</v>
      </c>
      <c r="F25" s="6" t="s">
        <v>108</v>
      </c>
      <c r="G25" s="9">
        <f>IF(A25=1,"_",IF(C25="_","???",C25))</f>
        <v/>
      </c>
      <c r="H25" s="10" t="s">
        <v>11</v>
      </c>
      <c r="I25" s="11" t="s">
        <v>11</v>
      </c>
      <c r="J25" s="12"/>
    </row>
    <row r="26" spans="1:10" ht="60" customHeight="1">
      <c r="A26" s="6" t="s">
        <v>109</v>
      </c>
      <c r="B26" s="6" t="s">
        <v>19</v>
      </c>
      <c r="C26" s="6" t="s">
        <v>11</v>
      </c>
      <c r="D26" s="7" t="s">
        <v>110</v>
      </c>
      <c r="E26" s="8" t="s">
        <v>111</v>
      </c>
      <c r="F26" s="6" t="s">
        <v>112</v>
      </c>
      <c r="G26" s="9">
        <f>IF(A26=1,"_",IF(C26="_","???",C26))</f>
        <v/>
      </c>
      <c r="H26" s="10" t="s">
        <v>11</v>
      </c>
      <c r="I26" s="11" t="s">
        <v>11</v>
      </c>
      <c r="J26" s="12"/>
    </row>
    <row r="27" spans="1:10" ht="60" customHeight="1">
      <c r="A27" s="6" t="s">
        <v>113</v>
      </c>
      <c r="B27" s="6" t="s">
        <v>10</v>
      </c>
      <c r="C27" s="6" t="s">
        <v>11</v>
      </c>
      <c r="D27" s="7" t="s">
        <v>114</v>
      </c>
      <c r="E27" s="8" t="s">
        <v>115</v>
      </c>
      <c r="F27" s="6" t="s">
        <v>116</v>
      </c>
      <c r="G27" s="9">
        <f>IF(A27=1,"_",IF(C27="_","???",C27))</f>
        <v/>
      </c>
      <c r="H27" s="10" t="s">
        <v>11</v>
      </c>
      <c r="I27" s="11" t="s">
        <v>11</v>
      </c>
      <c r="J27" s="12"/>
    </row>
    <row r="28" spans="1:10" ht="60" customHeight="1">
      <c r="A28" s="6" t="s">
        <v>117</v>
      </c>
      <c r="B28" s="6" t="s">
        <v>19</v>
      </c>
      <c r="C28" s="6" t="s">
        <v>11</v>
      </c>
      <c r="D28" s="7" t="s">
        <v>118</v>
      </c>
      <c r="E28" s="8" t="s">
        <v>119</v>
      </c>
      <c r="F28" s="6" t="s">
        <v>120</v>
      </c>
      <c r="G28" s="9">
        <f>IF(A28=1,"_",IF(C28="_","???",C28))</f>
        <v/>
      </c>
      <c r="H28" s="10" t="s">
        <v>11</v>
      </c>
      <c r="I28" s="11" t="s">
        <v>11</v>
      </c>
      <c r="J28" s="12"/>
    </row>
    <row r="29" spans="1:10" ht="60" customHeight="1">
      <c r="A29" s="6" t="s">
        <v>121</v>
      </c>
      <c r="B29" s="6" t="s">
        <v>81</v>
      </c>
      <c r="C29" s="6" t="s">
        <v>11</v>
      </c>
      <c r="D29" s="7" t="s">
        <v>114</v>
      </c>
      <c r="E29" s="8" t="s">
        <v>122</v>
      </c>
      <c r="F29" s="6" t="s">
        <v>123</v>
      </c>
      <c r="G29" s="9">
        <f>IF(A29=1,"_",IF(C29="_","???",C29))</f>
        <v/>
      </c>
      <c r="H29" s="10" t="s">
        <v>11</v>
      </c>
      <c r="I29" s="11" t="s">
        <v>11</v>
      </c>
      <c r="J29" s="12"/>
    </row>
    <row r="30" spans="1:10" ht="60" customHeight="1">
      <c r="A30" s="6" t="s">
        <v>124</v>
      </c>
      <c r="B30" s="6" t="s">
        <v>125</v>
      </c>
      <c r="C30" s="6" t="s">
        <v>11</v>
      </c>
      <c r="D30" s="7" t="s">
        <v>126</v>
      </c>
      <c r="E30" s="8" t="s">
        <v>127</v>
      </c>
      <c r="F30" s="6" t="s">
        <v>128</v>
      </c>
      <c r="G30" s="9">
        <f>IF(A30=1,"_",IF(C30="_","???",C30))</f>
        <v/>
      </c>
      <c r="H30" s="10" t="s">
        <v>11</v>
      </c>
      <c r="I30" s="11" t="s">
        <v>11</v>
      </c>
      <c r="J30" s="12"/>
    </row>
    <row r="31" spans="1:10" ht="60" customHeight="1">
      <c r="A31" s="6" t="s">
        <v>129</v>
      </c>
      <c r="B31" s="6" t="s">
        <v>130</v>
      </c>
      <c r="C31" s="6" t="s">
        <v>11</v>
      </c>
      <c r="D31" s="7" t="s">
        <v>98</v>
      </c>
      <c r="E31" s="8" t="s">
        <v>131</v>
      </c>
      <c r="F31" s="6" t="s">
        <v>132</v>
      </c>
      <c r="G31" s="9">
        <f>IF(A31=1,"_",IF(C31="_","???",C31))</f>
        <v/>
      </c>
      <c r="H31" s="10" t="s">
        <v>11</v>
      </c>
      <c r="I31" s="11" t="s">
        <v>11</v>
      </c>
      <c r="J31" s="12"/>
    </row>
    <row r="32" spans="1:10" ht="60" customHeight="1">
      <c r="A32" s="6" t="s">
        <v>133</v>
      </c>
      <c r="B32" s="6" t="s">
        <v>69</v>
      </c>
      <c r="C32" s="6" t="s">
        <v>11</v>
      </c>
      <c r="D32" s="7" t="s">
        <v>134</v>
      </c>
      <c r="E32" s="8" t="s">
        <v>135</v>
      </c>
      <c r="F32" s="6" t="s">
        <v>136</v>
      </c>
      <c r="G32" s="9">
        <f>IF(A32=1,"_",IF(C32="_","???",C32))</f>
        <v/>
      </c>
      <c r="H32" s="10" t="s">
        <v>11</v>
      </c>
      <c r="I32" s="11" t="s">
        <v>11</v>
      </c>
      <c r="J32" s="12"/>
    </row>
    <row r="33" spans="1:10" ht="60" customHeight="1">
      <c r="A33" s="6" t="s">
        <v>130</v>
      </c>
      <c r="B33" s="6" t="s">
        <v>15</v>
      </c>
      <c r="C33" s="6" t="s">
        <v>11</v>
      </c>
      <c r="D33" s="7" t="s">
        <v>137</v>
      </c>
      <c r="E33" s="8" t="s">
        <v>138</v>
      </c>
      <c r="F33" s="6" t="s">
        <v>139</v>
      </c>
      <c r="G33" s="9">
        <f>IF(A33=1,"_",IF(C33="_","???",C33))</f>
        <v/>
      </c>
      <c r="H33" s="10" t="s">
        <v>11</v>
      </c>
      <c r="I33" s="11" t="s">
        <v>11</v>
      </c>
      <c r="J33" s="12"/>
    </row>
    <row r="34" spans="1:10" ht="60" customHeight="1">
      <c r="A34" s="6" t="s">
        <v>140</v>
      </c>
      <c r="B34" s="6" t="s">
        <v>31</v>
      </c>
      <c r="C34" s="6" t="s">
        <v>11</v>
      </c>
      <c r="D34" s="7" t="s">
        <v>141</v>
      </c>
      <c r="E34" s="8" t="s">
        <v>142</v>
      </c>
      <c r="F34" s="6" t="s">
        <v>143</v>
      </c>
      <c r="G34" s="9">
        <f>IF(A34=1,"_",IF(C34="_","???",C34))</f>
        <v/>
      </c>
      <c r="H34" s="10" t="s">
        <v>11</v>
      </c>
      <c r="I34" s="11" t="s">
        <v>11</v>
      </c>
      <c r="J34" s="12"/>
    </row>
    <row r="35" spans="1:10" ht="60" customHeight="1">
      <c r="A35" s="6" t="s">
        <v>144</v>
      </c>
      <c r="B35" s="6" t="s">
        <v>23</v>
      </c>
      <c r="C35" s="6" t="s">
        <v>11</v>
      </c>
      <c r="D35" s="7" t="s">
        <v>145</v>
      </c>
      <c r="E35" s="8" t="s">
        <v>146</v>
      </c>
      <c r="F35" s="6" t="s">
        <v>147</v>
      </c>
      <c r="G35" s="9">
        <f>IF(A35=1,"_",IF(C35="_","???",C35))</f>
        <v/>
      </c>
      <c r="H35" s="10" t="s">
        <v>11</v>
      </c>
      <c r="I35" s="11" t="s">
        <v>11</v>
      </c>
      <c r="J35" s="12"/>
    </row>
    <row r="36" spans="1:10" ht="60" customHeight="1">
      <c r="A36" s="6" t="s">
        <v>148</v>
      </c>
      <c r="B36" s="6" t="s">
        <v>15</v>
      </c>
      <c r="C36" s="6" t="s">
        <v>11</v>
      </c>
      <c r="D36" s="7" t="s">
        <v>149</v>
      </c>
      <c r="E36" s="8" t="s">
        <v>150</v>
      </c>
      <c r="F36" s="6" t="s">
        <v>151</v>
      </c>
      <c r="G36" s="9">
        <f>IF(A36=1,"_",IF(C36="_","???",C36))</f>
        <v/>
      </c>
      <c r="H36" s="10" t="s">
        <v>11</v>
      </c>
      <c r="I36" s="11" t="s">
        <v>11</v>
      </c>
      <c r="J36" s="12"/>
    </row>
    <row r="37" spans="1:10" ht="60" customHeight="1">
      <c r="A37" s="6" t="s">
        <v>152</v>
      </c>
      <c r="B37" s="6" t="s">
        <v>23</v>
      </c>
      <c r="C37" s="6" t="s">
        <v>11</v>
      </c>
      <c r="D37" s="7" t="s">
        <v>153</v>
      </c>
      <c r="E37" s="8" t="s">
        <v>154</v>
      </c>
      <c r="F37" s="6" t="s">
        <v>155</v>
      </c>
      <c r="G37" s="9">
        <f>IF(A37=1,"_",IF(C37="_","???",C37))</f>
        <v/>
      </c>
      <c r="H37" s="10" t="s">
        <v>11</v>
      </c>
      <c r="I37" s="11" t="s">
        <v>11</v>
      </c>
      <c r="J37" s="12"/>
    </row>
    <row r="38" spans="1:10" ht="60" customHeight="1">
      <c r="A38" s="6" t="s">
        <v>156</v>
      </c>
      <c r="B38" s="6" t="s">
        <v>15</v>
      </c>
      <c r="C38" s="6" t="s">
        <v>11</v>
      </c>
      <c r="D38" s="7" t="s">
        <v>157</v>
      </c>
      <c r="E38" s="8" t="s">
        <v>158</v>
      </c>
      <c r="F38" s="6" t="s">
        <v>159</v>
      </c>
      <c r="G38" s="9">
        <f>IF(A38=1,"_",IF(C38="_","???",C38))</f>
        <v/>
      </c>
      <c r="H38" s="10" t="s">
        <v>11</v>
      </c>
      <c r="I38" s="11" t="s">
        <v>11</v>
      </c>
      <c r="J38" s="12"/>
    </row>
    <row r="39" spans="1:10" ht="60" customHeight="1">
      <c r="A39" s="6" t="s">
        <v>160</v>
      </c>
      <c r="B39" s="6" t="s">
        <v>15</v>
      </c>
      <c r="C39" s="6" t="s">
        <v>11</v>
      </c>
      <c r="D39" s="7" t="s">
        <v>70</v>
      </c>
      <c r="E39" s="8" t="s">
        <v>161</v>
      </c>
      <c r="F39" s="6" t="s">
        <v>162</v>
      </c>
      <c r="G39" s="9">
        <f>IF(A39=1,"_",IF(C39="_","???",C39))</f>
        <v/>
      </c>
      <c r="H39" s="10" t="s">
        <v>11</v>
      </c>
      <c r="I39" s="11" t="s">
        <v>11</v>
      </c>
      <c r="J39" s="12"/>
    </row>
    <row r="40" spans="1:10" ht="60" customHeight="1">
      <c r="A40" s="6" t="s">
        <v>163</v>
      </c>
      <c r="B40" s="6" t="s">
        <v>69</v>
      </c>
      <c r="C40" s="6" t="s">
        <v>11</v>
      </c>
      <c r="D40" s="7" t="s">
        <v>164</v>
      </c>
      <c r="E40" s="8" t="s">
        <v>165</v>
      </c>
      <c r="F40" s="6" t="s">
        <v>166</v>
      </c>
      <c r="G40" s="9">
        <f>IF(A40=1,"_",IF(C40="_","???",C40))</f>
        <v/>
      </c>
      <c r="H40" s="10" t="s">
        <v>11</v>
      </c>
      <c r="I40" s="11" t="s">
        <v>11</v>
      </c>
      <c r="J40" s="12"/>
    </row>
    <row r="41" spans="1:10" ht="60" customHeight="1">
      <c r="A41" s="6" t="s">
        <v>167</v>
      </c>
      <c r="B41" s="6" t="s">
        <v>43</v>
      </c>
      <c r="C41" s="6" t="s">
        <v>11</v>
      </c>
      <c r="D41" s="7" t="s">
        <v>168</v>
      </c>
      <c r="E41" s="8" t="s">
        <v>169</v>
      </c>
      <c r="F41" s="6" t="s">
        <v>170</v>
      </c>
      <c r="G41" s="9">
        <f>IF(A41=1,"_",IF(C41="_","???",C41))</f>
        <v/>
      </c>
      <c r="H41" s="10" t="s">
        <v>11</v>
      </c>
      <c r="I41" s="11" t="s">
        <v>11</v>
      </c>
      <c r="J41" s="12"/>
    </row>
    <row r="42" spans="1:10" ht="60" customHeight="1">
      <c r="A42" s="6" t="s">
        <v>171</v>
      </c>
      <c r="B42" s="6" t="s">
        <v>19</v>
      </c>
      <c r="C42" s="6" t="s">
        <v>11</v>
      </c>
      <c r="D42" s="7" t="s">
        <v>172</v>
      </c>
      <c r="E42" s="8" t="s">
        <v>173</v>
      </c>
      <c r="F42" s="6" t="s">
        <v>174</v>
      </c>
      <c r="G42" s="9">
        <f>IF(A42=1,"_",IF(C42="_","???",C42))</f>
        <v/>
      </c>
      <c r="H42" s="10" t="s">
        <v>11</v>
      </c>
      <c r="I42" s="11" t="s">
        <v>11</v>
      </c>
      <c r="J42" s="12"/>
    </row>
    <row r="43" spans="1:10" ht="60" customHeight="1">
      <c r="A43" s="6" t="s">
        <v>97</v>
      </c>
      <c r="B43" s="6" t="s">
        <v>23</v>
      </c>
      <c r="C43" s="6" t="s">
        <v>11</v>
      </c>
      <c r="D43" s="7" t="s">
        <v>175</v>
      </c>
      <c r="E43" s="8" t="s">
        <v>176</v>
      </c>
      <c r="F43" s="6" t="s">
        <v>177</v>
      </c>
      <c r="G43" s="9">
        <f>IF(A43=1,"_",IF(C43="_","???",C43))</f>
        <v/>
      </c>
      <c r="H43" s="10" t="s">
        <v>11</v>
      </c>
      <c r="I43" s="11" t="s">
        <v>11</v>
      </c>
      <c r="J43" s="12"/>
    </row>
    <row r="44" spans="1:10" ht="60" customHeight="1">
      <c r="A44" s="6" t="s">
        <v>178</v>
      </c>
      <c r="B44" s="6" t="s">
        <v>19</v>
      </c>
      <c r="C44" s="6" t="s">
        <v>11</v>
      </c>
      <c r="D44" s="7" t="s">
        <v>179</v>
      </c>
      <c r="E44" s="8" t="s">
        <v>180</v>
      </c>
      <c r="F44" s="6" t="s">
        <v>181</v>
      </c>
      <c r="G44" s="9">
        <f>IF(A44=1,"_",IF(C44="_","???",C44))</f>
        <v/>
      </c>
      <c r="H44" s="10" t="s">
        <v>11</v>
      </c>
      <c r="I44" s="11" t="s">
        <v>11</v>
      </c>
      <c r="J44" s="12"/>
    </row>
    <row r="45" spans="1:10" ht="60" customHeight="1">
      <c r="A45" s="6" t="s">
        <v>182</v>
      </c>
      <c r="B45" s="6" t="s">
        <v>43</v>
      </c>
      <c r="C45" s="6" t="s">
        <v>11</v>
      </c>
      <c r="D45" s="7" t="s">
        <v>70</v>
      </c>
      <c r="E45" s="8" t="s">
        <v>183</v>
      </c>
      <c r="F45" s="6" t="s">
        <v>184</v>
      </c>
      <c r="G45" s="9">
        <f>IF(A45=1,"_",IF(C45="_","???",C45))</f>
        <v/>
      </c>
      <c r="H45" s="10" t="s">
        <v>11</v>
      </c>
      <c r="I45" s="11" t="s">
        <v>11</v>
      </c>
      <c r="J45" s="12"/>
    </row>
    <row r="46" spans="1:10" ht="60" customHeight="1">
      <c r="A46" s="6" t="s">
        <v>185</v>
      </c>
      <c r="B46" s="6" t="s">
        <v>69</v>
      </c>
      <c r="C46" s="6" t="s">
        <v>11</v>
      </c>
      <c r="D46" s="7" t="s">
        <v>186</v>
      </c>
      <c r="E46" s="8" t="s">
        <v>187</v>
      </c>
      <c r="F46" s="6" t="s">
        <v>188</v>
      </c>
      <c r="G46" s="9">
        <f>IF(A46=1,"_",IF(C46="_","???",C46))</f>
        <v/>
      </c>
      <c r="H46" s="10" t="s">
        <v>11</v>
      </c>
      <c r="I46" s="11" t="s">
        <v>11</v>
      </c>
      <c r="J46" s="12"/>
    </row>
    <row r="47" spans="1:10" ht="60" customHeight="1">
      <c r="A47" s="6" t="s">
        <v>189</v>
      </c>
      <c r="B47" s="6" t="s">
        <v>15</v>
      </c>
      <c r="C47" s="6" t="s">
        <v>11</v>
      </c>
      <c r="D47" s="7" t="s">
        <v>114</v>
      </c>
      <c r="E47" s="8" t="s">
        <v>190</v>
      </c>
      <c r="F47" s="6" t="s">
        <v>191</v>
      </c>
      <c r="G47" s="9">
        <f>IF(A47=1,"_",IF(C47="_","???",C47))</f>
        <v/>
      </c>
      <c r="H47" s="10" t="s">
        <v>11</v>
      </c>
      <c r="I47" s="11" t="s">
        <v>11</v>
      </c>
      <c r="J47" s="12"/>
    </row>
    <row r="48" spans="1:10" ht="60" customHeight="1">
      <c r="A48" s="6" t="s">
        <v>192</v>
      </c>
      <c r="B48" s="6" t="s">
        <v>19</v>
      </c>
      <c r="C48" s="6" t="s">
        <v>11</v>
      </c>
      <c r="D48" s="7" t="s">
        <v>193</v>
      </c>
      <c r="E48" s="8" t="s">
        <v>194</v>
      </c>
      <c r="F48" s="6" t="s">
        <v>195</v>
      </c>
      <c r="G48" s="9">
        <f>IF(A48=1,"_",IF(C48="_","???",C48))</f>
        <v/>
      </c>
      <c r="H48" s="10" t="s">
        <v>11</v>
      </c>
      <c r="I48" s="11" t="s">
        <v>11</v>
      </c>
      <c r="J48" s="12"/>
    </row>
    <row r="49" spans="1:10" ht="60" customHeight="1">
      <c r="A49" s="6" t="s">
        <v>196</v>
      </c>
      <c r="B49" s="6" t="s">
        <v>19</v>
      </c>
      <c r="C49" s="6" t="s">
        <v>11</v>
      </c>
      <c r="D49" s="7" t="s">
        <v>197</v>
      </c>
      <c r="E49" s="8" t="s">
        <v>198</v>
      </c>
      <c r="F49" s="6" t="s">
        <v>199</v>
      </c>
      <c r="G49" s="9">
        <f>IF(A49=1,"_",IF(C49="_","???",C49))</f>
        <v/>
      </c>
      <c r="H49" s="10" t="s">
        <v>11</v>
      </c>
      <c r="I49" s="11" t="s">
        <v>11</v>
      </c>
      <c r="J49" s="12"/>
    </row>
    <row r="50" spans="1:10" ht="60" customHeight="1">
      <c r="A50" s="6" t="s">
        <v>200</v>
      </c>
      <c r="B50" s="6" t="s">
        <v>10</v>
      </c>
      <c r="C50" s="6" t="s">
        <v>11</v>
      </c>
      <c r="D50" s="7" t="s">
        <v>48</v>
      </c>
      <c r="E50" s="8" t="s">
        <v>201</v>
      </c>
      <c r="F50" s="6" t="s">
        <v>202</v>
      </c>
      <c r="G50" s="9">
        <f>IF(A50=1,"_",IF(C50="_","???",C50))</f>
        <v/>
      </c>
      <c r="H50" s="10" t="s">
        <v>11</v>
      </c>
      <c r="I50" s="11" t="s">
        <v>11</v>
      </c>
      <c r="J50" s="12"/>
    </row>
    <row r="51" spans="1:10" ht="60" customHeight="1">
      <c r="A51" s="6" t="s">
        <v>203</v>
      </c>
      <c r="B51" s="6" t="s">
        <v>23</v>
      </c>
      <c r="C51" s="6" t="s">
        <v>11</v>
      </c>
      <c r="D51" s="7" t="s">
        <v>204</v>
      </c>
      <c r="E51" s="8" t="s">
        <v>205</v>
      </c>
      <c r="F51" s="6" t="s">
        <v>206</v>
      </c>
      <c r="G51" s="9">
        <f>IF(A51=1,"_",IF(C51="_","???",C51))</f>
        <v/>
      </c>
      <c r="H51" s="10" t="s">
        <v>11</v>
      </c>
      <c r="I51" s="11" t="s">
        <v>11</v>
      </c>
      <c r="J51" s="12"/>
    </row>
    <row r="52" spans="1:10" ht="60" customHeight="1">
      <c r="A52" s="6" t="s">
        <v>207</v>
      </c>
      <c r="B52" s="6" t="s">
        <v>31</v>
      </c>
      <c r="C52" s="6" t="s">
        <v>11</v>
      </c>
      <c r="D52" s="7" t="s">
        <v>208</v>
      </c>
      <c r="E52" s="8" t="s">
        <v>209</v>
      </c>
      <c r="F52" s="6" t="s">
        <v>210</v>
      </c>
      <c r="G52" s="9">
        <f>IF(A52=1,"_",IF(C52="_","???",C52))</f>
        <v/>
      </c>
      <c r="H52" s="10" t="s">
        <v>11</v>
      </c>
      <c r="I52" s="11" t="s">
        <v>11</v>
      </c>
      <c r="J52" s="12"/>
    </row>
    <row r="53" spans="1:10" ht="60" customHeight="1">
      <c r="A53" s="6" t="s">
        <v>211</v>
      </c>
      <c r="B53" s="6" t="s">
        <v>10</v>
      </c>
      <c r="C53" s="6" t="s">
        <v>11</v>
      </c>
      <c r="D53" s="7" t="s">
        <v>56</v>
      </c>
      <c r="E53" s="8" t="s">
        <v>212</v>
      </c>
      <c r="F53" s="6" t="s">
        <v>213</v>
      </c>
      <c r="G53" s="9">
        <f>IF(A53=1,"_",IF(C53="_","???",C53))</f>
        <v/>
      </c>
      <c r="H53" s="10" t="s">
        <v>11</v>
      </c>
      <c r="I53" s="11" t="s">
        <v>11</v>
      </c>
      <c r="J53" s="12"/>
    </row>
    <row r="54" spans="1:10" ht="60" customHeight="1">
      <c r="A54" s="6" t="s">
        <v>214</v>
      </c>
      <c r="B54" s="6" t="s">
        <v>35</v>
      </c>
      <c r="C54" s="6" t="s">
        <v>11</v>
      </c>
      <c r="D54" s="7" t="s">
        <v>215</v>
      </c>
      <c r="E54" s="8" t="s">
        <v>216</v>
      </c>
      <c r="F54" s="6" t="s">
        <v>217</v>
      </c>
      <c r="G54" s="9">
        <f>IF(A54=1,"_",IF(C54="_","???",C54))</f>
        <v/>
      </c>
      <c r="H54" s="10" t="s">
        <v>11</v>
      </c>
      <c r="I54" s="11" t="s">
        <v>11</v>
      </c>
      <c r="J54" s="12"/>
    </row>
    <row r="55" spans="1:10" ht="60" customHeight="1">
      <c r="A55" s="6" t="s">
        <v>218</v>
      </c>
      <c r="B55" s="6" t="s">
        <v>10</v>
      </c>
      <c r="C55" s="6" t="s">
        <v>219</v>
      </c>
      <c r="D55" s="7" t="s">
        <v>102</v>
      </c>
      <c r="E55" s="8" t="s">
        <v>220</v>
      </c>
      <c r="F55" s="6" t="s">
        <v>221</v>
      </c>
      <c r="G55" s="9">
        <f>IF(A55=1,"_",IF(C55="_","???",C55))</f>
        <v/>
      </c>
      <c r="H55" s="10" t="s">
        <v>11</v>
      </c>
      <c r="I55" s="11" t="s">
        <v>11</v>
      </c>
      <c r="J55" s="12"/>
    </row>
    <row r="56" spans="1:10" ht="60" customHeight="1">
      <c r="A56" s="6" t="s">
        <v>222</v>
      </c>
      <c r="B56" s="6" t="s">
        <v>19</v>
      </c>
      <c r="C56" s="6" t="s">
        <v>11</v>
      </c>
      <c r="D56" s="7" t="s">
        <v>223</v>
      </c>
      <c r="E56" s="8" t="s">
        <v>224</v>
      </c>
      <c r="F56" s="6" t="s">
        <v>225</v>
      </c>
      <c r="G56" s="9">
        <f>IF(A56=1,"_",IF(C56="_","???",C56))</f>
        <v/>
      </c>
      <c r="H56" s="10" t="s">
        <v>11</v>
      </c>
      <c r="I56" s="11" t="s">
        <v>11</v>
      </c>
      <c r="J56" s="12"/>
    </row>
    <row r="57" spans="1:10" ht="60" customHeight="1">
      <c r="A57" s="6" t="s">
        <v>226</v>
      </c>
      <c r="B57" s="6" t="s">
        <v>15</v>
      </c>
      <c r="C57" s="6" t="s">
        <v>11</v>
      </c>
      <c r="D57" s="7" t="s">
        <v>227</v>
      </c>
      <c r="E57" s="8" t="s">
        <v>228</v>
      </c>
      <c r="F57" s="6" t="s">
        <v>229</v>
      </c>
      <c r="G57" s="9">
        <f>IF(A57=1,"_",IF(C57="_","???",C57))</f>
        <v/>
      </c>
      <c r="H57" s="10" t="s">
        <v>11</v>
      </c>
      <c r="I57" s="11" t="s">
        <v>11</v>
      </c>
      <c r="J57" s="12"/>
    </row>
    <row r="58" spans="1:10" ht="60" customHeight="1">
      <c r="A58" s="6" t="s">
        <v>230</v>
      </c>
      <c r="B58" s="6" t="s">
        <v>15</v>
      </c>
      <c r="C58" s="6" t="s">
        <v>11</v>
      </c>
      <c r="D58" s="7" t="s">
        <v>231</v>
      </c>
      <c r="E58" s="8" t="s">
        <v>232</v>
      </c>
      <c r="F58" s="6" t="s">
        <v>233</v>
      </c>
      <c r="G58" s="9">
        <f>IF(A58=1,"_",IF(C58="_","???",C58))</f>
        <v/>
      </c>
      <c r="H58" s="10" t="s">
        <v>11</v>
      </c>
      <c r="I58" s="11" t="s">
        <v>11</v>
      </c>
      <c r="J58" s="12"/>
    </row>
    <row r="59" spans="1:10" ht="60" customHeight="1">
      <c r="A59" s="6" t="s">
        <v>234</v>
      </c>
      <c r="B59" s="6" t="s">
        <v>15</v>
      </c>
      <c r="C59" s="6" t="s">
        <v>11</v>
      </c>
      <c r="D59" s="7" t="s">
        <v>231</v>
      </c>
      <c r="E59" s="8" t="s">
        <v>235</v>
      </c>
      <c r="F59" s="6" t="s">
        <v>236</v>
      </c>
      <c r="G59" s="9">
        <f>IF(A59=1,"_",IF(C59="_","???",C59))</f>
        <v/>
      </c>
      <c r="H59" s="10" t="s">
        <v>11</v>
      </c>
      <c r="I59" s="11" t="s">
        <v>11</v>
      </c>
      <c r="J59" s="12"/>
    </row>
    <row r="60" spans="1:10" ht="60" customHeight="1">
      <c r="A60" s="6" t="s">
        <v>237</v>
      </c>
      <c r="B60" s="6" t="s">
        <v>23</v>
      </c>
      <c r="C60" s="6" t="s">
        <v>11</v>
      </c>
      <c r="D60" s="7" t="s">
        <v>238</v>
      </c>
      <c r="E60" s="8" t="s">
        <v>239</v>
      </c>
      <c r="F60" s="6" t="s">
        <v>240</v>
      </c>
      <c r="G60" s="9">
        <f>IF(A60=1,"_",IF(C60="_","???",C60))</f>
        <v/>
      </c>
      <c r="H60" s="10" t="s">
        <v>11</v>
      </c>
      <c r="I60" s="11" t="s">
        <v>11</v>
      </c>
      <c r="J60" s="12"/>
    </row>
    <row r="61" spans="1:10" ht="60" customHeight="1">
      <c r="A61" s="6" t="s">
        <v>241</v>
      </c>
      <c r="B61" s="6" t="s">
        <v>19</v>
      </c>
      <c r="C61" s="6" t="s">
        <v>11</v>
      </c>
      <c r="D61" s="7" t="s">
        <v>242</v>
      </c>
      <c r="E61" s="8" t="s">
        <v>243</v>
      </c>
      <c r="F61" s="6" t="s">
        <v>244</v>
      </c>
      <c r="G61" s="9">
        <f>IF(A61=1,"_",IF(C61="_","???",C61))</f>
        <v/>
      </c>
      <c r="H61" s="10" t="s">
        <v>11</v>
      </c>
      <c r="I61" s="11" t="s">
        <v>11</v>
      </c>
      <c r="J61" s="12"/>
    </row>
    <row r="62" spans="1:10" ht="60" customHeight="1">
      <c r="A62" s="6" t="s">
        <v>245</v>
      </c>
      <c r="B62" s="6" t="s">
        <v>10</v>
      </c>
      <c r="C62" s="6" t="s">
        <v>11</v>
      </c>
      <c r="D62" s="7" t="s">
        <v>114</v>
      </c>
      <c r="E62" s="8" t="s">
        <v>246</v>
      </c>
      <c r="F62" s="6" t="s">
        <v>247</v>
      </c>
      <c r="G62" s="9">
        <f>IF(A62=1,"_",IF(C62="_","???",C62))</f>
        <v/>
      </c>
      <c r="H62" s="10" t="s">
        <v>11</v>
      </c>
      <c r="I62" s="11" t="s">
        <v>11</v>
      </c>
      <c r="J62" s="12"/>
    </row>
    <row r="63" spans="1:10" ht="60" customHeight="1">
      <c r="A63" s="6" t="s">
        <v>248</v>
      </c>
      <c r="B63" s="6" t="s">
        <v>10</v>
      </c>
      <c r="C63" s="6" t="s">
        <v>11</v>
      </c>
      <c r="D63" s="7" t="s">
        <v>137</v>
      </c>
      <c r="E63" s="8" t="s">
        <v>249</v>
      </c>
      <c r="F63" s="6" t="s">
        <v>250</v>
      </c>
      <c r="G63" s="9">
        <f>IF(A63=1,"_",IF(C63="_","???",C63))</f>
        <v/>
      </c>
      <c r="H63" s="10" t="s">
        <v>11</v>
      </c>
      <c r="I63" s="11" t="s">
        <v>11</v>
      </c>
      <c r="J63" s="12"/>
    </row>
    <row r="64" spans="1:10" ht="60" customHeight="1">
      <c r="A64" s="6" t="s">
        <v>251</v>
      </c>
      <c r="B64" s="6" t="s">
        <v>117</v>
      </c>
      <c r="C64" s="6" t="s">
        <v>11</v>
      </c>
      <c r="D64" s="7" t="s">
        <v>252</v>
      </c>
      <c r="E64" s="8" t="s">
        <v>253</v>
      </c>
      <c r="F64" s="6" t="s">
        <v>254</v>
      </c>
      <c r="G64" s="9">
        <f>IF(A64=1,"_",IF(C64="_","???",C64))</f>
        <v/>
      </c>
      <c r="H64" s="10" t="s">
        <v>11</v>
      </c>
      <c r="I64" s="11" t="s">
        <v>11</v>
      </c>
      <c r="J64" s="12"/>
    </row>
    <row r="65" spans="1:10" ht="60" customHeight="1">
      <c r="A65" s="6" t="s">
        <v>255</v>
      </c>
      <c r="B65" s="6" t="s">
        <v>31</v>
      </c>
      <c r="C65" s="6" t="s">
        <v>11</v>
      </c>
      <c r="D65" s="7" t="s">
        <v>256</v>
      </c>
      <c r="E65" s="8" t="s">
        <v>257</v>
      </c>
      <c r="F65" s="6" t="s">
        <v>258</v>
      </c>
      <c r="G65" s="9">
        <f>IF(A65=1,"_",IF(C65="_","???",C65))</f>
        <v/>
      </c>
      <c r="H65" s="10" t="s">
        <v>11</v>
      </c>
      <c r="I65" s="11" t="s">
        <v>11</v>
      </c>
      <c r="J65" s="12"/>
    </row>
    <row r="66" spans="1:10" ht="60" customHeight="1">
      <c r="A66" s="6" t="s">
        <v>259</v>
      </c>
      <c r="B66" s="6" t="s">
        <v>19</v>
      </c>
      <c r="C66" s="6" t="s">
        <v>11</v>
      </c>
      <c r="D66" s="7" t="s">
        <v>61</v>
      </c>
      <c r="E66" s="8" t="s">
        <v>260</v>
      </c>
      <c r="F66" s="6" t="s">
        <v>261</v>
      </c>
      <c r="G66" s="9">
        <f>IF(A66=1,"_",IF(C66="_","???",C66))</f>
        <v/>
      </c>
      <c r="H66" s="10" t="s">
        <v>11</v>
      </c>
      <c r="I66" s="11" t="s">
        <v>11</v>
      </c>
      <c r="J66" s="12"/>
    </row>
    <row r="67" spans="1:10" ht="60" customHeight="1">
      <c r="A67" s="6" t="s">
        <v>262</v>
      </c>
      <c r="B67" s="6" t="s">
        <v>10</v>
      </c>
      <c r="C67" s="6" t="s">
        <v>11</v>
      </c>
      <c r="D67" s="7" t="s">
        <v>263</v>
      </c>
      <c r="E67" s="8" t="s">
        <v>264</v>
      </c>
      <c r="F67" s="6" t="s">
        <v>265</v>
      </c>
      <c r="G67" s="9">
        <f>IF(A67=1,"_",IF(C67="_","???",C67))</f>
        <v/>
      </c>
      <c r="H67" s="10" t="s">
        <v>11</v>
      </c>
      <c r="I67" s="11" t="s">
        <v>11</v>
      </c>
      <c r="J67" s="12"/>
    </row>
    <row r="68" spans="1:10" ht="60" customHeight="1">
      <c r="A68" s="6" t="s">
        <v>266</v>
      </c>
      <c r="B68" s="6" t="s">
        <v>10</v>
      </c>
      <c r="C68" s="6" t="s">
        <v>11</v>
      </c>
      <c r="D68" s="7" t="s">
        <v>48</v>
      </c>
      <c r="E68" s="8" t="s">
        <v>267</v>
      </c>
      <c r="F68" s="6" t="s">
        <v>268</v>
      </c>
      <c r="G68" s="9">
        <f>IF(A68=1,"_",IF(C68="_","???",C68))</f>
        <v/>
      </c>
      <c r="H68" s="10" t="s">
        <v>11</v>
      </c>
      <c r="I68" s="11" t="s">
        <v>11</v>
      </c>
      <c r="J68" s="12"/>
    </row>
    <row r="69" spans="1:10" ht="60" customHeight="1">
      <c r="A69" s="6" t="s">
        <v>269</v>
      </c>
      <c r="B69" s="6" t="s">
        <v>10</v>
      </c>
      <c r="C69" s="6" t="s">
        <v>11</v>
      </c>
      <c r="D69" s="7" t="s">
        <v>56</v>
      </c>
      <c r="E69" s="8" t="s">
        <v>270</v>
      </c>
      <c r="F69" s="6" t="s">
        <v>271</v>
      </c>
      <c r="G69" s="9">
        <f>IF(A69=1,"_",IF(C69="_","???",C69))</f>
        <v/>
      </c>
      <c r="H69" s="10" t="s">
        <v>11</v>
      </c>
      <c r="I69" s="11" t="s">
        <v>11</v>
      </c>
      <c r="J69" s="12"/>
    </row>
    <row r="70" spans="1:10" ht="60" customHeight="1">
      <c r="A70" s="6" t="s">
        <v>272</v>
      </c>
      <c r="B70" s="6" t="s">
        <v>39</v>
      </c>
      <c r="C70" s="6" t="s">
        <v>11</v>
      </c>
      <c r="D70" s="7" t="s">
        <v>238</v>
      </c>
      <c r="E70" s="8" t="s">
        <v>273</v>
      </c>
      <c r="F70" s="6" t="s">
        <v>274</v>
      </c>
      <c r="G70" s="9">
        <f>IF(A70=1,"_",IF(C70="_","???",C70))</f>
        <v/>
      </c>
      <c r="H70" s="10" t="s">
        <v>11</v>
      </c>
      <c r="I70" s="11" t="s">
        <v>11</v>
      </c>
      <c r="J70" s="12"/>
    </row>
    <row r="71" spans="1:10" ht="60" customHeight="1">
      <c r="A71" s="6" t="s">
        <v>275</v>
      </c>
      <c r="B71" s="6" t="s">
        <v>23</v>
      </c>
      <c r="C71" s="6" t="s">
        <v>11</v>
      </c>
      <c r="D71" s="7" t="s">
        <v>276</v>
      </c>
      <c r="E71" s="8" t="s">
        <v>277</v>
      </c>
      <c r="F71" s="6" t="s">
        <v>278</v>
      </c>
      <c r="G71" s="9">
        <f>IF(A71=1,"_",IF(C71="_","???",C71))</f>
        <v/>
      </c>
      <c r="H71" s="10" t="s">
        <v>11</v>
      </c>
      <c r="I71" s="11" t="s">
        <v>11</v>
      </c>
      <c r="J71" s="12"/>
    </row>
    <row r="72" spans="1:10" ht="60" customHeight="1">
      <c r="A72" s="6" t="s">
        <v>279</v>
      </c>
      <c r="B72" s="6" t="s">
        <v>35</v>
      </c>
      <c r="C72" s="6" t="s">
        <v>11</v>
      </c>
      <c r="D72" s="7" t="s">
        <v>280</v>
      </c>
      <c r="E72" s="8" t="s">
        <v>281</v>
      </c>
      <c r="F72" s="6" t="s">
        <v>282</v>
      </c>
      <c r="G72" s="9">
        <f>IF(A72=1,"_",IF(C72="_","???",C72))</f>
        <v/>
      </c>
      <c r="H72" s="10" t="s">
        <v>11</v>
      </c>
      <c r="I72" s="11" t="s">
        <v>11</v>
      </c>
      <c r="J72" s="12"/>
    </row>
    <row r="73" spans="1:10" ht="60" customHeight="1">
      <c r="A73" s="6" t="s">
        <v>283</v>
      </c>
      <c r="B73" s="6" t="s">
        <v>64</v>
      </c>
      <c r="C73" s="6" t="s">
        <v>11</v>
      </c>
      <c r="D73" s="7" t="s">
        <v>284</v>
      </c>
      <c r="E73" s="8" t="s">
        <v>285</v>
      </c>
      <c r="F73" s="6" t="s">
        <v>286</v>
      </c>
      <c r="G73" s="9">
        <f>IF(A73=1,"_",IF(C73="_","???",C73))</f>
        <v/>
      </c>
      <c r="H73" s="10" t="s">
        <v>11</v>
      </c>
      <c r="I73" s="11" t="s">
        <v>11</v>
      </c>
      <c r="J73" s="12"/>
    </row>
    <row r="74" spans="1:10" ht="60" customHeight="1">
      <c r="A74" s="6" t="s">
        <v>287</v>
      </c>
      <c r="B74" s="6" t="s">
        <v>23</v>
      </c>
      <c r="C74" s="6" t="s">
        <v>11</v>
      </c>
      <c r="D74" s="7" t="s">
        <v>256</v>
      </c>
      <c r="E74" s="8" t="s">
        <v>288</v>
      </c>
      <c r="F74" s="6" t="s">
        <v>289</v>
      </c>
      <c r="G74" s="9">
        <f>IF(A74=1,"_",IF(C74="_","???",C74))</f>
        <v/>
      </c>
      <c r="H74" s="10" t="s">
        <v>11</v>
      </c>
      <c r="I74" s="11" t="s">
        <v>11</v>
      </c>
      <c r="J74" s="12"/>
    </row>
    <row r="75" spans="1:10" ht="60" customHeight="1">
      <c r="A75" s="6" t="s">
        <v>290</v>
      </c>
      <c r="B75" s="6" t="s">
        <v>15</v>
      </c>
      <c r="C75" s="6" t="s">
        <v>11</v>
      </c>
      <c r="D75" s="7" t="s">
        <v>291</v>
      </c>
      <c r="E75" s="8" t="s">
        <v>292</v>
      </c>
      <c r="F75" s="6" t="s">
        <v>293</v>
      </c>
      <c r="G75" s="9">
        <f>IF(A75=1,"_",IF(C75="_","???",C75))</f>
        <v/>
      </c>
      <c r="H75" s="10" t="s">
        <v>11</v>
      </c>
      <c r="I75" s="11" t="s">
        <v>11</v>
      </c>
      <c r="J75" s="12"/>
    </row>
    <row r="76" spans="1:10" ht="60" customHeight="1">
      <c r="A76" s="6" t="s">
        <v>294</v>
      </c>
      <c r="B76" s="6" t="s">
        <v>15</v>
      </c>
      <c r="C76" s="6" t="s">
        <v>11</v>
      </c>
      <c r="D76" s="7" t="s">
        <v>295</v>
      </c>
      <c r="E76" s="8" t="s">
        <v>296</v>
      </c>
      <c r="F76" s="6" t="s">
        <v>297</v>
      </c>
      <c r="G76" s="9">
        <f>IF(A76=1,"_",IF(C76="_","???",C76))</f>
        <v/>
      </c>
      <c r="H76" s="10" t="s">
        <v>11</v>
      </c>
      <c r="I76" s="11" t="s">
        <v>11</v>
      </c>
      <c r="J76" s="12"/>
    </row>
    <row r="77" spans="1:10" ht="60" customHeight="1">
      <c r="A77" s="6" t="s">
        <v>298</v>
      </c>
      <c r="B77" s="6" t="s">
        <v>15</v>
      </c>
      <c r="C77" s="6" t="s">
        <v>11</v>
      </c>
      <c r="D77" s="7" t="s">
        <v>299</v>
      </c>
      <c r="E77" s="8" t="s">
        <v>300</v>
      </c>
      <c r="F77" s="6" t="s">
        <v>301</v>
      </c>
      <c r="G77" s="9">
        <f>IF(A77=1,"_",IF(C77="_","???",C77))</f>
        <v/>
      </c>
      <c r="H77" s="10" t="s">
        <v>11</v>
      </c>
      <c r="I77" s="11" t="s">
        <v>11</v>
      </c>
      <c r="J77" s="12"/>
    </row>
    <row r="78" spans="1:10" ht="60" customHeight="1">
      <c r="A78" s="6" t="s">
        <v>302</v>
      </c>
      <c r="B78" s="6" t="s">
        <v>10</v>
      </c>
      <c r="C78" s="6" t="s">
        <v>11</v>
      </c>
      <c r="D78" s="7" t="s">
        <v>303</v>
      </c>
      <c r="E78" s="8" t="s">
        <v>304</v>
      </c>
      <c r="F78" s="6" t="s">
        <v>305</v>
      </c>
      <c r="G78" s="9">
        <f>IF(A78=1,"_",IF(C78="_","???",C78))</f>
        <v/>
      </c>
      <c r="H78" s="10" t="s">
        <v>11</v>
      </c>
      <c r="I78" s="11" t="s">
        <v>11</v>
      </c>
      <c r="J78" s="12"/>
    </row>
    <row r="79" spans="1:10" ht="60" customHeight="1">
      <c r="A79" s="6" t="s">
        <v>306</v>
      </c>
      <c r="B79" s="6" t="s">
        <v>10</v>
      </c>
      <c r="C79" s="6" t="s">
        <v>11</v>
      </c>
      <c r="D79" s="7" t="s">
        <v>102</v>
      </c>
      <c r="E79" s="8" t="s">
        <v>307</v>
      </c>
      <c r="F79" s="6" t="s">
        <v>308</v>
      </c>
      <c r="G79" s="9">
        <f>IF(A79=1,"_",IF(C79="_","???",C79))</f>
        <v/>
      </c>
      <c r="H79" s="10" t="s">
        <v>11</v>
      </c>
      <c r="I79" s="11" t="s">
        <v>11</v>
      </c>
      <c r="J79" s="12"/>
    </row>
    <row r="80" spans="1:10" ht="60" customHeight="1">
      <c r="A80" s="6" t="s">
        <v>309</v>
      </c>
      <c r="B80" s="6" t="s">
        <v>10</v>
      </c>
      <c r="C80" s="6" t="s">
        <v>11</v>
      </c>
      <c r="D80" s="7" t="s">
        <v>56</v>
      </c>
      <c r="E80" s="8" t="s">
        <v>310</v>
      </c>
      <c r="F80" s="6" t="s">
        <v>311</v>
      </c>
      <c r="G80" s="9">
        <f>IF(A80=1,"_",IF(C80="_","???",C80))</f>
        <v/>
      </c>
      <c r="H80" s="10" t="s">
        <v>11</v>
      </c>
      <c r="I80" s="11" t="s">
        <v>11</v>
      </c>
      <c r="J80" s="12"/>
    </row>
    <row r="81" spans="1:10" ht="60" customHeight="1">
      <c r="A81" s="6" t="s">
        <v>312</v>
      </c>
      <c r="B81" s="6" t="s">
        <v>15</v>
      </c>
      <c r="C81" s="6" t="s">
        <v>11</v>
      </c>
      <c r="D81" s="7" t="s">
        <v>313</v>
      </c>
      <c r="E81" s="8" t="s">
        <v>314</v>
      </c>
      <c r="F81" s="6" t="s">
        <v>315</v>
      </c>
      <c r="G81" s="9">
        <f>IF(A81=1,"_",IF(C81="_","???",C81))</f>
        <v/>
      </c>
      <c r="H81" s="10" t="s">
        <v>11</v>
      </c>
      <c r="I81" s="11" t="s">
        <v>11</v>
      </c>
      <c r="J81" s="12"/>
    </row>
    <row r="82" spans="1:10" ht="60" customHeight="1">
      <c r="A82" s="6" t="s">
        <v>316</v>
      </c>
      <c r="B82" s="6" t="s">
        <v>23</v>
      </c>
      <c r="C82" s="6" t="s">
        <v>11</v>
      </c>
      <c r="D82" s="7" t="s">
        <v>299</v>
      </c>
      <c r="E82" s="8" t="s">
        <v>317</v>
      </c>
      <c r="F82" s="6" t="s">
        <v>318</v>
      </c>
      <c r="G82" s="9">
        <f>IF(A82=1,"_",IF(C82="_","???",C82))</f>
        <v/>
      </c>
      <c r="H82" s="10" t="s">
        <v>11</v>
      </c>
      <c r="I82" s="11" t="s">
        <v>11</v>
      </c>
      <c r="J82" s="12"/>
    </row>
    <row r="83" spans="1:10" ht="60" customHeight="1">
      <c r="A83" s="6" t="s">
        <v>319</v>
      </c>
      <c r="B83" s="6" t="s">
        <v>19</v>
      </c>
      <c r="C83" s="6" t="s">
        <v>11</v>
      </c>
      <c r="D83" s="7" t="s">
        <v>320</v>
      </c>
      <c r="E83" s="8" t="s">
        <v>321</v>
      </c>
      <c r="F83" s="6" t="s">
        <v>322</v>
      </c>
      <c r="G83" s="9">
        <f>IF(A83=1,"_",IF(C83="_","???",C83))</f>
        <v/>
      </c>
      <c r="H83" s="10" t="s">
        <v>11</v>
      </c>
      <c r="I83" s="11" t="s">
        <v>11</v>
      </c>
      <c r="J83" s="12"/>
    </row>
    <row r="84" spans="1:10" ht="60" customHeight="1">
      <c r="A84" s="6" t="s">
        <v>323</v>
      </c>
      <c r="B84" s="6" t="s">
        <v>15</v>
      </c>
      <c r="C84" s="6" t="s">
        <v>11</v>
      </c>
      <c r="D84" s="7" t="s">
        <v>93</v>
      </c>
      <c r="E84" s="8" t="s">
        <v>324</v>
      </c>
      <c r="F84" s="6" t="s">
        <v>325</v>
      </c>
      <c r="G84" s="9">
        <f>IF(A84=1,"_",IF(C84="_","???",C84))</f>
        <v/>
      </c>
      <c r="H84" s="10" t="s">
        <v>11</v>
      </c>
      <c r="I84" s="11" t="s">
        <v>11</v>
      </c>
      <c r="J84" s="12"/>
    </row>
    <row r="85" spans="1:10" ht="60" customHeight="1">
      <c r="A85" s="6" t="s">
        <v>326</v>
      </c>
      <c r="B85" s="6" t="s">
        <v>10</v>
      </c>
      <c r="C85" s="6" t="s">
        <v>11</v>
      </c>
      <c r="D85" s="7" t="s">
        <v>93</v>
      </c>
      <c r="E85" s="8" t="s">
        <v>327</v>
      </c>
      <c r="F85" s="6" t="s">
        <v>328</v>
      </c>
      <c r="G85" s="9">
        <f>IF(A85=1,"_",IF(C85="_","???",C85))</f>
        <v/>
      </c>
      <c r="H85" s="10" t="s">
        <v>11</v>
      </c>
      <c r="I85" s="11" t="s">
        <v>11</v>
      </c>
      <c r="J85" s="12"/>
    </row>
    <row r="86" spans="1:10" ht="60" customHeight="1">
      <c r="A86" s="6" t="s">
        <v>329</v>
      </c>
      <c r="B86" s="6" t="s">
        <v>15</v>
      </c>
      <c r="C86" s="6" t="s">
        <v>11</v>
      </c>
      <c r="D86" s="7" t="s">
        <v>70</v>
      </c>
      <c r="E86" s="8" t="s">
        <v>330</v>
      </c>
      <c r="F86" s="6" t="s">
        <v>331</v>
      </c>
      <c r="G86" s="9">
        <f>IF(A86=1,"_",IF(C86="_","???",C86))</f>
        <v/>
      </c>
      <c r="H86" s="10" t="s">
        <v>11</v>
      </c>
      <c r="I86" s="11" t="s">
        <v>11</v>
      </c>
      <c r="J86" s="12"/>
    </row>
    <row r="87" spans="1:10" ht="60" customHeight="1">
      <c r="A87" s="6" t="s">
        <v>332</v>
      </c>
      <c r="B87" s="6" t="s">
        <v>19</v>
      </c>
      <c r="C87" s="6" t="s">
        <v>11</v>
      </c>
      <c r="D87" s="7" t="s">
        <v>70</v>
      </c>
      <c r="E87" s="8" t="s">
        <v>333</v>
      </c>
      <c r="F87" s="6" t="s">
        <v>334</v>
      </c>
      <c r="G87" s="9">
        <f>IF(A87=1,"_",IF(C87="_","???",C87))</f>
        <v/>
      </c>
      <c r="H87" s="10" t="s">
        <v>11</v>
      </c>
      <c r="I87" s="11" t="s">
        <v>11</v>
      </c>
      <c r="J87" s="12"/>
    </row>
    <row r="88" spans="1:10" ht="60" customHeight="1">
      <c r="A88" s="6" t="s">
        <v>335</v>
      </c>
      <c r="B88" s="6" t="s">
        <v>10</v>
      </c>
      <c r="C88" s="6" t="s">
        <v>11</v>
      </c>
      <c r="D88" s="7" t="s">
        <v>336</v>
      </c>
      <c r="E88" s="8" t="s">
        <v>337</v>
      </c>
      <c r="F88" s="6" t="s">
        <v>338</v>
      </c>
      <c r="G88" s="9">
        <f>IF(A88=1,"_",IF(C88="_","???",C88))</f>
        <v/>
      </c>
      <c r="H88" s="10" t="s">
        <v>11</v>
      </c>
      <c r="I88" s="11" t="s">
        <v>11</v>
      </c>
      <c r="J88" s="12"/>
    </row>
    <row r="89" spans="1:10" ht="60" customHeight="1">
      <c r="A89" s="6" t="s">
        <v>339</v>
      </c>
      <c r="B89" s="6" t="s">
        <v>15</v>
      </c>
      <c r="C89" s="6" t="s">
        <v>11</v>
      </c>
      <c r="D89" s="7" t="s">
        <v>340</v>
      </c>
      <c r="E89" s="8" t="s">
        <v>341</v>
      </c>
      <c r="F89" s="6" t="s">
        <v>342</v>
      </c>
      <c r="G89" s="9">
        <f>IF(A89=1,"_",IF(C89="_","???",C89))</f>
        <v/>
      </c>
      <c r="H89" s="10" t="s">
        <v>11</v>
      </c>
      <c r="I89" s="11" t="s">
        <v>11</v>
      </c>
      <c r="J89" s="12"/>
    </row>
    <row r="90" spans="1:10" ht="60" customHeight="1">
      <c r="A90" s="6" t="s">
        <v>343</v>
      </c>
      <c r="B90" s="6" t="s">
        <v>19</v>
      </c>
      <c r="C90" s="6" t="s">
        <v>11</v>
      </c>
      <c r="D90" s="7" t="s">
        <v>98</v>
      </c>
      <c r="E90" s="8" t="s">
        <v>344</v>
      </c>
      <c r="F90" s="6" t="s">
        <v>345</v>
      </c>
      <c r="G90" s="9">
        <f>IF(A90=1,"_",IF(C90="_","???",C90))</f>
        <v/>
      </c>
      <c r="H90" s="10" t="s">
        <v>11</v>
      </c>
      <c r="I90" s="11" t="s">
        <v>11</v>
      </c>
      <c r="J90" s="12"/>
    </row>
    <row r="91" spans="1:10" ht="60" customHeight="1">
      <c r="A91" s="6" t="s">
        <v>346</v>
      </c>
      <c r="B91" s="6" t="s">
        <v>125</v>
      </c>
      <c r="C91" s="6" t="s">
        <v>11</v>
      </c>
      <c r="D91" s="7" t="s">
        <v>114</v>
      </c>
      <c r="E91" s="8" t="s">
        <v>347</v>
      </c>
      <c r="F91" s="6" t="s">
        <v>348</v>
      </c>
      <c r="G91" s="9">
        <f>IF(A91=1,"_",IF(C91="_","???",C91))</f>
        <v/>
      </c>
      <c r="H91" s="10" t="s">
        <v>11</v>
      </c>
      <c r="I91" s="11" t="s">
        <v>11</v>
      </c>
      <c r="J91" s="12"/>
    </row>
    <row r="92" spans="1:10" ht="60" customHeight="1">
      <c r="A92" s="6" t="s">
        <v>349</v>
      </c>
      <c r="B92" s="6" t="s">
        <v>19</v>
      </c>
      <c r="C92" s="6" t="s">
        <v>11</v>
      </c>
      <c r="D92" s="7" t="s">
        <v>350</v>
      </c>
      <c r="E92" s="8" t="s">
        <v>351</v>
      </c>
      <c r="F92" s="6" t="s">
        <v>352</v>
      </c>
      <c r="G92" s="9">
        <f>IF(A92=1,"_",IF(C92="_","???",C92))</f>
        <v/>
      </c>
      <c r="H92" s="10" t="s">
        <v>11</v>
      </c>
      <c r="I92" s="11" t="s">
        <v>11</v>
      </c>
      <c r="J92" s="12"/>
    </row>
    <row r="93" spans="1:10" ht="60" customHeight="1">
      <c r="A93" s="6" t="s">
        <v>353</v>
      </c>
      <c r="B93" s="6" t="s">
        <v>10</v>
      </c>
      <c r="C93" s="6" t="s">
        <v>11</v>
      </c>
      <c r="D93" s="7" t="s">
        <v>48</v>
      </c>
      <c r="E93" s="8" t="s">
        <v>354</v>
      </c>
      <c r="F93" s="6" t="s">
        <v>355</v>
      </c>
      <c r="G93" s="9">
        <f>IF(A93=1,"_",IF(C93="_","???",C93))</f>
        <v/>
      </c>
      <c r="H93" s="10" t="s">
        <v>11</v>
      </c>
      <c r="I93" s="11" t="s">
        <v>11</v>
      </c>
      <c r="J93" s="12"/>
    </row>
    <row r="94" spans="1:10" ht="60" customHeight="1">
      <c r="A94" s="6" t="s">
        <v>356</v>
      </c>
      <c r="B94" s="6" t="s">
        <v>19</v>
      </c>
      <c r="C94" s="6" t="s">
        <v>11</v>
      </c>
      <c r="D94" s="7" t="s">
        <v>93</v>
      </c>
      <c r="E94" s="8" t="s">
        <v>357</v>
      </c>
      <c r="F94" s="6" t="s">
        <v>358</v>
      </c>
      <c r="G94" s="9">
        <f>IF(A94=1,"_",IF(C94="_","???",C94))</f>
        <v/>
      </c>
      <c r="H94" s="10" t="s">
        <v>11</v>
      </c>
      <c r="I94" s="11" t="s">
        <v>11</v>
      </c>
      <c r="J94" s="12"/>
    </row>
    <row r="95" spans="1:10" ht="60" customHeight="1">
      <c r="A95" s="6" t="s">
        <v>359</v>
      </c>
      <c r="B95" s="6" t="s">
        <v>10</v>
      </c>
      <c r="C95" s="6" t="s">
        <v>11</v>
      </c>
      <c r="D95" s="7" t="s">
        <v>56</v>
      </c>
      <c r="E95" s="8" t="s">
        <v>360</v>
      </c>
      <c r="F95" s="6" t="s">
        <v>361</v>
      </c>
      <c r="G95" s="9">
        <f>IF(A95=1,"_",IF(C95="_","???",C95))</f>
        <v/>
      </c>
      <c r="H95" s="10" t="s">
        <v>11</v>
      </c>
      <c r="I95" s="11" t="s">
        <v>11</v>
      </c>
      <c r="J95" s="12"/>
    </row>
    <row r="96" spans="1:10" ht="60" customHeight="1">
      <c r="A96" s="6" t="s">
        <v>362</v>
      </c>
      <c r="B96" s="6" t="s">
        <v>15</v>
      </c>
      <c r="C96" s="6" t="s">
        <v>11</v>
      </c>
      <c r="D96" s="7" t="s">
        <v>102</v>
      </c>
      <c r="E96" s="8" t="s">
        <v>363</v>
      </c>
      <c r="F96" s="6" t="s">
        <v>364</v>
      </c>
      <c r="G96" s="9">
        <f>IF(A96=1,"_",IF(C96="_","???",C96))</f>
        <v/>
      </c>
      <c r="H96" s="10" t="s">
        <v>11</v>
      </c>
      <c r="I96" s="11" t="s">
        <v>11</v>
      </c>
      <c r="J96" s="12"/>
    </row>
    <row r="97" spans="1:10" ht="60" customHeight="1">
      <c r="A97" s="6" t="s">
        <v>365</v>
      </c>
      <c r="B97" s="6" t="s">
        <v>73</v>
      </c>
      <c r="C97" s="6" t="s">
        <v>11</v>
      </c>
      <c r="D97" s="7" t="s">
        <v>366</v>
      </c>
      <c r="E97" s="8" t="s">
        <v>367</v>
      </c>
      <c r="F97" s="6" t="s">
        <v>368</v>
      </c>
      <c r="G97" s="9">
        <f>IF(A97=1,"_",IF(C97="_","???",C97))</f>
        <v/>
      </c>
      <c r="H97" s="10" t="s">
        <v>11</v>
      </c>
      <c r="I97" s="11" t="s">
        <v>11</v>
      </c>
      <c r="J97" s="12"/>
    </row>
    <row r="98" spans="1:10" ht="60" customHeight="1">
      <c r="A98" s="6" t="s">
        <v>369</v>
      </c>
      <c r="B98" s="6" t="s">
        <v>81</v>
      </c>
      <c r="C98" s="6" t="s">
        <v>11</v>
      </c>
      <c r="D98" s="7" t="s">
        <v>370</v>
      </c>
      <c r="E98" s="8" t="s">
        <v>371</v>
      </c>
      <c r="F98" s="6" t="s">
        <v>372</v>
      </c>
      <c r="G98" s="9">
        <f>IF(A98=1,"_",IF(C98="_","???",C98))</f>
        <v/>
      </c>
      <c r="H98" s="10" t="s">
        <v>11</v>
      </c>
      <c r="I98" s="11" t="s">
        <v>11</v>
      </c>
      <c r="J98" s="12"/>
    </row>
    <row r="99" spans="1:10" ht="60" customHeight="1">
      <c r="A99" s="6" t="s">
        <v>373</v>
      </c>
      <c r="B99" s="6" t="s">
        <v>19</v>
      </c>
      <c r="C99" s="6" t="s">
        <v>11</v>
      </c>
      <c r="D99" s="7" t="s">
        <v>32</v>
      </c>
      <c r="E99" s="8" t="s">
        <v>374</v>
      </c>
      <c r="F99" s="6" t="s">
        <v>375</v>
      </c>
      <c r="G99" s="9">
        <f>IF(A99=1,"_",IF(C99="_","???",C99))</f>
        <v/>
      </c>
      <c r="H99" s="10" t="s">
        <v>11</v>
      </c>
      <c r="I99" s="11" t="s">
        <v>11</v>
      </c>
      <c r="J99" s="12"/>
    </row>
    <row r="100" spans="1:10" ht="60" customHeight="1">
      <c r="A100" s="6" t="s">
        <v>376</v>
      </c>
      <c r="B100" s="6" t="s">
        <v>47</v>
      </c>
      <c r="C100" s="6" t="s">
        <v>11</v>
      </c>
      <c r="D100" s="7" t="s">
        <v>377</v>
      </c>
      <c r="E100" s="8" t="s">
        <v>378</v>
      </c>
      <c r="F100" s="6" t="s">
        <v>379</v>
      </c>
      <c r="G100" s="9">
        <f>IF(A100=1,"_",IF(C100="_","???",C100))</f>
        <v/>
      </c>
      <c r="H100" s="10" t="s">
        <v>11</v>
      </c>
      <c r="I100" s="11" t="s">
        <v>11</v>
      </c>
      <c r="J100" s="12"/>
    </row>
    <row r="101" spans="1:10" ht="60" customHeight="1">
      <c r="A101" s="6" t="s">
        <v>380</v>
      </c>
      <c r="B101" s="6" t="s">
        <v>23</v>
      </c>
      <c r="C101" s="6" t="s">
        <v>11</v>
      </c>
      <c r="D101" s="7" t="s">
        <v>381</v>
      </c>
      <c r="E101" s="8" t="s">
        <v>382</v>
      </c>
      <c r="F101" s="6" t="s">
        <v>383</v>
      </c>
      <c r="G101" s="9">
        <f>IF(A101=1,"_",IF(C101="_","???",C101))</f>
        <v/>
      </c>
      <c r="H101" s="10" t="s">
        <v>11</v>
      </c>
      <c r="I101" s="11" t="s">
        <v>11</v>
      </c>
      <c r="J101" s="12"/>
    </row>
    <row r="102" spans="1:10" ht="60" customHeight="1">
      <c r="A102" s="6" t="s">
        <v>384</v>
      </c>
      <c r="B102" s="6" t="s">
        <v>15</v>
      </c>
      <c r="C102" s="6" t="s">
        <v>11</v>
      </c>
      <c r="D102" s="7" t="s">
        <v>385</v>
      </c>
      <c r="E102" s="8" t="s">
        <v>386</v>
      </c>
      <c r="F102" s="6" t="s">
        <v>387</v>
      </c>
      <c r="G102" s="9">
        <f>IF(A102=1,"_",IF(C102="_","???",C102))</f>
        <v/>
      </c>
      <c r="H102" s="10" t="s">
        <v>11</v>
      </c>
      <c r="I102" s="11" t="s">
        <v>11</v>
      </c>
      <c r="J102" s="12"/>
    </row>
    <row r="103" spans="1:10" ht="60" customHeight="1">
      <c r="A103" s="6" t="s">
        <v>388</v>
      </c>
      <c r="B103" s="6" t="s">
        <v>10</v>
      </c>
      <c r="C103" s="6" t="s">
        <v>11</v>
      </c>
      <c r="D103" s="7" t="s">
        <v>56</v>
      </c>
      <c r="E103" s="8" t="s">
        <v>389</v>
      </c>
      <c r="F103" s="6" t="s">
        <v>390</v>
      </c>
      <c r="G103" s="9">
        <f>IF(A103=1,"_",IF(C103="_","???",C103))</f>
        <v/>
      </c>
      <c r="H103" s="10" t="s">
        <v>11</v>
      </c>
      <c r="I103" s="11" t="s">
        <v>11</v>
      </c>
      <c r="J103" s="12"/>
    </row>
    <row r="104" spans="1:10" ht="60" customHeight="1">
      <c r="A104" s="6" t="s">
        <v>391</v>
      </c>
      <c r="B104" s="6" t="s">
        <v>117</v>
      </c>
      <c r="C104" s="6" t="s">
        <v>11</v>
      </c>
      <c r="D104" s="7" t="s">
        <v>392</v>
      </c>
      <c r="E104" s="8" t="s">
        <v>393</v>
      </c>
      <c r="F104" s="6" t="s">
        <v>394</v>
      </c>
      <c r="G104" s="9">
        <f>IF(A104=1,"_",IF(C104="_","???",C104))</f>
        <v/>
      </c>
      <c r="H104" s="10" t="s">
        <v>11</v>
      </c>
      <c r="I104" s="11" t="s">
        <v>11</v>
      </c>
      <c r="J104" s="12"/>
    </row>
    <row r="105" spans="1:10" ht="60" customHeight="1">
      <c r="A105" s="6" t="s">
        <v>395</v>
      </c>
      <c r="B105" s="6" t="s">
        <v>23</v>
      </c>
      <c r="C105" s="6" t="s">
        <v>11</v>
      </c>
      <c r="D105" s="7" t="s">
        <v>396</v>
      </c>
      <c r="E105" s="8" t="s">
        <v>397</v>
      </c>
      <c r="F105" s="6" t="s">
        <v>398</v>
      </c>
      <c r="G105" s="9">
        <f>IF(A105=1,"_",IF(C105="_","???",C105))</f>
        <v/>
      </c>
      <c r="H105" s="10" t="s">
        <v>11</v>
      </c>
      <c r="I105" s="11" t="s">
        <v>11</v>
      </c>
      <c r="J105" s="12"/>
    </row>
    <row r="106" spans="1:10" ht="60" customHeight="1">
      <c r="A106" s="6" t="s">
        <v>399</v>
      </c>
      <c r="B106" s="6" t="s">
        <v>24</v>
      </c>
      <c r="C106" s="6" t="s">
        <v>11</v>
      </c>
      <c r="D106" s="7" t="s">
        <v>400</v>
      </c>
      <c r="E106" s="8" t="s">
        <v>401</v>
      </c>
      <c r="F106" s="6" t="s">
        <v>402</v>
      </c>
      <c r="G106" s="9">
        <f>IF(A106=1,"_",IF(C106="_","???",C106))</f>
        <v/>
      </c>
      <c r="H106" s="10" t="s">
        <v>11</v>
      </c>
      <c r="I106" s="11" t="s">
        <v>11</v>
      </c>
      <c r="J106" s="12"/>
    </row>
    <row r="107" spans="1:10" ht="60" customHeight="1">
      <c r="A107" s="6" t="s">
        <v>403</v>
      </c>
      <c r="B107" s="6" t="s">
        <v>19</v>
      </c>
      <c r="C107" s="6" t="s">
        <v>11</v>
      </c>
      <c r="D107" s="7" t="s">
        <v>381</v>
      </c>
      <c r="E107" s="8" t="s">
        <v>404</v>
      </c>
      <c r="F107" s="6" t="s">
        <v>405</v>
      </c>
      <c r="G107" s="9">
        <f>IF(A107=1,"_",IF(C107="_","???",C107))</f>
        <v/>
      </c>
      <c r="H107" s="10" t="s">
        <v>11</v>
      </c>
      <c r="I107" s="11" t="s">
        <v>11</v>
      </c>
      <c r="J107" s="12"/>
    </row>
    <row r="108" spans="1:10" ht="60" customHeight="1">
      <c r="A108" s="6" t="s">
        <v>406</v>
      </c>
      <c r="B108" s="6" t="s">
        <v>10</v>
      </c>
      <c r="C108" s="6" t="s">
        <v>11</v>
      </c>
      <c r="D108" s="7" t="s">
        <v>98</v>
      </c>
      <c r="E108" s="8" t="s">
        <v>407</v>
      </c>
      <c r="F108" s="6" t="s">
        <v>408</v>
      </c>
      <c r="G108" s="9">
        <f>IF(A108=1,"_",IF(C108="_","???",C108))</f>
        <v/>
      </c>
      <c r="H108" s="10" t="s">
        <v>11</v>
      </c>
      <c r="I108" s="11" t="s">
        <v>11</v>
      </c>
      <c r="J108" s="12"/>
    </row>
    <row r="109" spans="1:10" ht="60" customHeight="1">
      <c r="A109" s="6" t="s">
        <v>409</v>
      </c>
      <c r="B109" s="6" t="s">
        <v>10</v>
      </c>
      <c r="C109" s="6" t="s">
        <v>11</v>
      </c>
      <c r="D109" s="7" t="s">
        <v>410</v>
      </c>
      <c r="E109" s="8" t="s">
        <v>411</v>
      </c>
      <c r="F109" s="6" t="s">
        <v>412</v>
      </c>
      <c r="G109" s="9">
        <f>IF(A109=1,"_",IF(C109="_","???",C109))</f>
        <v/>
      </c>
      <c r="H109" s="10" t="s">
        <v>11</v>
      </c>
      <c r="I109" s="11" t="s">
        <v>11</v>
      </c>
      <c r="J109" s="12"/>
    </row>
    <row r="110" spans="1:10" ht="60" customHeight="1">
      <c r="A110" s="6" t="s">
        <v>413</v>
      </c>
      <c r="B110" s="6" t="s">
        <v>19</v>
      </c>
      <c r="C110" s="6" t="s">
        <v>11</v>
      </c>
      <c r="D110" s="7" t="s">
        <v>114</v>
      </c>
      <c r="E110" s="8" t="s">
        <v>414</v>
      </c>
      <c r="F110" s="6" t="s">
        <v>415</v>
      </c>
      <c r="G110" s="9">
        <f>IF(A110=1,"_",IF(C110="_","???",C110))</f>
        <v/>
      </c>
      <c r="H110" s="10" t="s">
        <v>11</v>
      </c>
      <c r="I110" s="11" t="s">
        <v>11</v>
      </c>
      <c r="J110" s="12"/>
    </row>
    <row r="111" spans="1:10" ht="60" customHeight="1">
      <c r="A111" s="6" t="s">
        <v>416</v>
      </c>
      <c r="B111" s="6" t="s">
        <v>10</v>
      </c>
      <c r="C111" s="6" t="s">
        <v>11</v>
      </c>
      <c r="D111" s="7" t="s">
        <v>417</v>
      </c>
      <c r="E111" s="8" t="s">
        <v>418</v>
      </c>
      <c r="F111" s="6" t="s">
        <v>419</v>
      </c>
      <c r="G111" s="9">
        <f>IF(A111=1,"_",IF(C111="_","???",C111))</f>
        <v/>
      </c>
      <c r="H111" s="10" t="s">
        <v>11</v>
      </c>
      <c r="I111" s="11" t="s">
        <v>11</v>
      </c>
      <c r="J111" s="12"/>
    </row>
    <row r="112" spans="1:10" ht="60" customHeight="1">
      <c r="A112" s="6" t="s">
        <v>420</v>
      </c>
      <c r="B112" s="6" t="s">
        <v>15</v>
      </c>
      <c r="C112" s="6" t="s">
        <v>11</v>
      </c>
      <c r="D112" s="7" t="s">
        <v>61</v>
      </c>
      <c r="E112" s="8" t="s">
        <v>421</v>
      </c>
      <c r="F112" s="6" t="s">
        <v>422</v>
      </c>
      <c r="G112" s="9">
        <f>IF(A112=1,"_",IF(C112="_","???",C112))</f>
        <v/>
      </c>
      <c r="H112" s="10" t="s">
        <v>11</v>
      </c>
      <c r="I112" s="11" t="s">
        <v>11</v>
      </c>
      <c r="J112" s="12"/>
    </row>
    <row r="113" spans="1:10" ht="60" customHeight="1">
      <c r="A113" s="6" t="s">
        <v>423</v>
      </c>
      <c r="B113" s="6" t="s">
        <v>10</v>
      </c>
      <c r="C113" s="6" t="s">
        <v>11</v>
      </c>
      <c r="D113" s="7" t="s">
        <v>102</v>
      </c>
      <c r="E113" s="8" t="s">
        <v>424</v>
      </c>
      <c r="F113" s="6" t="s">
        <v>425</v>
      </c>
      <c r="G113" s="9">
        <f>IF(A113=1,"_",IF(C113="_","???",C113))</f>
        <v/>
      </c>
      <c r="H113" s="10" t="s">
        <v>11</v>
      </c>
      <c r="I113" s="11" t="s">
        <v>11</v>
      </c>
      <c r="J113" s="12"/>
    </row>
    <row r="114" spans="1:10" ht="60" customHeight="1">
      <c r="A114" s="6" t="s">
        <v>426</v>
      </c>
      <c r="B114" s="6" t="s">
        <v>10</v>
      </c>
      <c r="C114" s="6" t="s">
        <v>11</v>
      </c>
      <c r="D114" s="7" t="s">
        <v>56</v>
      </c>
      <c r="E114" s="8" t="s">
        <v>427</v>
      </c>
      <c r="F114" s="6" t="s">
        <v>428</v>
      </c>
      <c r="G114" s="9">
        <f>IF(A114=1,"_",IF(C114="_","???",C114))</f>
        <v/>
      </c>
      <c r="H114" s="10" t="s">
        <v>11</v>
      </c>
      <c r="I114" s="11" t="s">
        <v>11</v>
      </c>
      <c r="J114" s="12"/>
    </row>
    <row r="115" spans="1:10" ht="60" customHeight="1">
      <c r="A115" s="6" t="s">
        <v>429</v>
      </c>
      <c r="B115" s="6" t="s">
        <v>10</v>
      </c>
      <c r="C115" s="6" t="s">
        <v>11</v>
      </c>
      <c r="D115" s="7" t="s">
        <v>430</v>
      </c>
      <c r="E115" s="8" t="s">
        <v>431</v>
      </c>
      <c r="F115" s="6" t="s">
        <v>432</v>
      </c>
      <c r="G115" s="9">
        <f>IF(A115=1,"_",IF(C115="_","???",C115))</f>
        <v/>
      </c>
      <c r="H115" s="10" t="s">
        <v>11</v>
      </c>
      <c r="I115" s="11" t="s">
        <v>11</v>
      </c>
      <c r="J115" s="12"/>
    </row>
    <row r="116" spans="1:10" ht="60" customHeight="1">
      <c r="A116" s="6" t="s">
        <v>433</v>
      </c>
      <c r="B116" s="6" t="s">
        <v>10</v>
      </c>
      <c r="C116" s="6" t="s">
        <v>11</v>
      </c>
      <c r="D116" s="7" t="s">
        <v>61</v>
      </c>
      <c r="E116" s="8" t="s">
        <v>434</v>
      </c>
      <c r="F116" s="6" t="s">
        <v>435</v>
      </c>
      <c r="G116" s="9">
        <f>IF(A116=1,"_",IF(C116="_","???",C116))</f>
        <v/>
      </c>
      <c r="H116" s="10" t="s">
        <v>11</v>
      </c>
      <c r="I116" s="11" t="s">
        <v>11</v>
      </c>
      <c r="J116" s="12"/>
    </row>
    <row r="117" spans="1:10" ht="60" customHeight="1">
      <c r="A117" s="6" t="s">
        <v>436</v>
      </c>
      <c r="B117" s="6" t="s">
        <v>10</v>
      </c>
      <c r="C117" s="6" t="s">
        <v>11</v>
      </c>
      <c r="D117" s="7" t="s">
        <v>381</v>
      </c>
      <c r="E117" s="8" t="s">
        <v>437</v>
      </c>
      <c r="F117" s="6" t="s">
        <v>438</v>
      </c>
      <c r="G117" s="9">
        <f>IF(A117=1,"_",IF(C117="_","???",C117))</f>
        <v/>
      </c>
      <c r="H117" s="10" t="s">
        <v>11</v>
      </c>
      <c r="I117" s="11" t="s">
        <v>11</v>
      </c>
      <c r="J117" s="12"/>
    </row>
    <row r="118" spans="1:10" ht="60" customHeight="1">
      <c r="A118" s="6" t="s">
        <v>439</v>
      </c>
      <c r="B118" s="6" t="s">
        <v>19</v>
      </c>
      <c r="C118" s="6" t="s">
        <v>11</v>
      </c>
      <c r="D118" s="7" t="s">
        <v>440</v>
      </c>
      <c r="E118" s="8" t="s">
        <v>441</v>
      </c>
      <c r="F118" s="6" t="s">
        <v>442</v>
      </c>
      <c r="G118" s="9">
        <f>IF(A118=1,"_",IF(C118="_","???",C118))</f>
        <v/>
      </c>
      <c r="H118" s="10" t="s">
        <v>11</v>
      </c>
      <c r="I118" s="11" t="s">
        <v>11</v>
      </c>
      <c r="J118" s="12"/>
    </row>
    <row r="119" spans="1:10" ht="60" customHeight="1">
      <c r="A119" s="6" t="s">
        <v>443</v>
      </c>
      <c r="B119" s="6" t="s">
        <v>15</v>
      </c>
      <c r="C119" s="6" t="s">
        <v>11</v>
      </c>
      <c r="D119" s="7" t="s">
        <v>444</v>
      </c>
      <c r="E119" s="8" t="s">
        <v>445</v>
      </c>
      <c r="F119" s="6" t="s">
        <v>446</v>
      </c>
      <c r="G119" s="9">
        <f>IF(A119=1,"_",IF(C119="_","???",C119))</f>
        <v/>
      </c>
      <c r="H119" s="10" t="s">
        <v>11</v>
      </c>
      <c r="I119" s="11" t="s">
        <v>11</v>
      </c>
      <c r="J119" s="12"/>
    </row>
    <row r="120" spans="1:10" ht="60" customHeight="1">
      <c r="A120" s="6" t="s">
        <v>447</v>
      </c>
      <c r="B120" s="6" t="s">
        <v>39</v>
      </c>
      <c r="C120" s="6" t="s">
        <v>11</v>
      </c>
      <c r="D120" s="7" t="s">
        <v>448</v>
      </c>
      <c r="E120" s="8" t="s">
        <v>449</v>
      </c>
      <c r="F120" s="6" t="s">
        <v>450</v>
      </c>
      <c r="G120" s="9">
        <f>IF(A120=1,"_",IF(C120="_","???",C120))</f>
        <v/>
      </c>
      <c r="H120" s="10" t="s">
        <v>11</v>
      </c>
      <c r="I120" s="11" t="s">
        <v>11</v>
      </c>
      <c r="J120" s="12"/>
    </row>
    <row r="121" spans="1:10" ht="60" customHeight="1">
      <c r="A121" s="6" t="s">
        <v>451</v>
      </c>
      <c r="B121" s="6" t="s">
        <v>24</v>
      </c>
      <c r="C121" s="6" t="s">
        <v>11</v>
      </c>
      <c r="D121" s="7" t="s">
        <v>452</v>
      </c>
      <c r="E121" s="8" t="s">
        <v>453</v>
      </c>
      <c r="F121" s="6" t="s">
        <v>454</v>
      </c>
      <c r="G121" s="9">
        <f>IF(A121=1,"_",IF(C121="_","???",C121))</f>
        <v/>
      </c>
      <c r="H121" s="10" t="s">
        <v>11</v>
      </c>
      <c r="I121" s="11" t="s">
        <v>11</v>
      </c>
      <c r="J121" s="12"/>
    </row>
    <row r="122" spans="1:10" ht="60" customHeight="1">
      <c r="A122" s="6" t="s">
        <v>455</v>
      </c>
      <c r="B122" s="6" t="s">
        <v>10</v>
      </c>
      <c r="C122" s="6" t="s">
        <v>11</v>
      </c>
      <c r="D122" s="7" t="s">
        <v>456</v>
      </c>
      <c r="E122" s="8" t="s">
        <v>457</v>
      </c>
      <c r="F122" s="6" t="s">
        <v>458</v>
      </c>
      <c r="G122" s="9">
        <f>IF(A122=1,"_",IF(C122="_","???",C122))</f>
        <v/>
      </c>
      <c r="H122" s="10" t="s">
        <v>11</v>
      </c>
      <c r="I122" s="11" t="s">
        <v>11</v>
      </c>
      <c r="J122" s="12"/>
    </row>
    <row r="123" spans="1:10" ht="60" customHeight="1">
      <c r="A123" s="6" t="s">
        <v>459</v>
      </c>
      <c r="B123" s="6" t="s">
        <v>23</v>
      </c>
      <c r="C123" s="6" t="s">
        <v>11</v>
      </c>
      <c r="D123" s="7" t="s">
        <v>460</v>
      </c>
      <c r="E123" s="8" t="s">
        <v>461</v>
      </c>
      <c r="F123" s="6" t="s">
        <v>462</v>
      </c>
      <c r="G123" s="9">
        <f>IF(A123=1,"_",IF(C123="_","???",C123))</f>
        <v/>
      </c>
      <c r="H123" s="10" t="s">
        <v>11</v>
      </c>
      <c r="I123" s="11" t="s">
        <v>11</v>
      </c>
      <c r="J123" s="12"/>
    </row>
    <row r="124" spans="1:10" ht="60" customHeight="1">
      <c r="A124" s="6" t="s">
        <v>463</v>
      </c>
      <c r="B124" s="6" t="s">
        <v>24</v>
      </c>
      <c r="C124" s="6" t="s">
        <v>11</v>
      </c>
      <c r="D124" s="7" t="s">
        <v>460</v>
      </c>
      <c r="E124" s="8" t="s">
        <v>464</v>
      </c>
      <c r="F124" s="6" t="s">
        <v>465</v>
      </c>
      <c r="G124" s="9">
        <f>IF(A124=1,"_",IF(C124="_","???",C124))</f>
        <v/>
      </c>
      <c r="H124" s="10" t="s">
        <v>11</v>
      </c>
      <c r="I124" s="11" t="s">
        <v>11</v>
      </c>
      <c r="J124" s="12"/>
    </row>
    <row r="125" spans="1:10" ht="60" customHeight="1">
      <c r="A125" s="6" t="s">
        <v>466</v>
      </c>
      <c r="B125" s="6" t="s">
        <v>96</v>
      </c>
      <c r="C125" s="6" t="s">
        <v>11</v>
      </c>
      <c r="D125" s="7" t="s">
        <v>110</v>
      </c>
      <c r="E125" s="8" t="s">
        <v>467</v>
      </c>
      <c r="F125" s="6" t="s">
        <v>468</v>
      </c>
      <c r="G125" s="9">
        <f>IF(A125=1,"_",IF(C125="_","???",C125))</f>
        <v/>
      </c>
      <c r="H125" s="10" t="s">
        <v>11</v>
      </c>
      <c r="I125" s="11" t="s">
        <v>11</v>
      </c>
      <c r="J125" s="12"/>
    </row>
    <row r="126" spans="1:10" ht="60" customHeight="1">
      <c r="A126" s="6" t="s">
        <v>469</v>
      </c>
      <c r="B126" s="6" t="s">
        <v>10</v>
      </c>
      <c r="C126" s="6" t="s">
        <v>11</v>
      </c>
      <c r="D126" s="7" t="s">
        <v>470</v>
      </c>
      <c r="E126" s="8" t="s">
        <v>471</v>
      </c>
      <c r="F126" s="6" t="s">
        <v>472</v>
      </c>
      <c r="G126" s="9">
        <f>IF(A126=1,"_",IF(C126="_","???",C126))</f>
        <v/>
      </c>
      <c r="H126" s="10" t="s">
        <v>11</v>
      </c>
      <c r="I126" s="11" t="s">
        <v>11</v>
      </c>
      <c r="J126" s="12"/>
    </row>
    <row r="127" spans="1:10" ht="60" customHeight="1">
      <c r="A127" s="6" t="s">
        <v>473</v>
      </c>
      <c r="B127" s="6" t="s">
        <v>19</v>
      </c>
      <c r="C127" s="6" t="s">
        <v>11</v>
      </c>
      <c r="D127" s="7" t="s">
        <v>474</v>
      </c>
      <c r="E127" s="8" t="s">
        <v>475</v>
      </c>
      <c r="F127" s="6" t="s">
        <v>476</v>
      </c>
      <c r="G127" s="9">
        <f>IF(A127=1,"_",IF(C127="_","???",C127))</f>
        <v/>
      </c>
      <c r="H127" s="10" t="s">
        <v>11</v>
      </c>
      <c r="I127" s="11" t="s">
        <v>11</v>
      </c>
      <c r="J127" s="12"/>
    </row>
    <row r="128" spans="1:10" ht="60" customHeight="1">
      <c r="A128" s="6" t="s">
        <v>477</v>
      </c>
      <c r="B128" s="6" t="s">
        <v>10</v>
      </c>
      <c r="C128" s="6" t="s">
        <v>11</v>
      </c>
      <c r="D128" s="7" t="s">
        <v>48</v>
      </c>
      <c r="E128" s="8" t="s">
        <v>478</v>
      </c>
      <c r="F128" s="6" t="s">
        <v>479</v>
      </c>
      <c r="G128" s="9">
        <f>IF(A128=1,"_",IF(C128="_","???",C128))</f>
        <v/>
      </c>
      <c r="H128" s="10" t="s">
        <v>11</v>
      </c>
      <c r="I128" s="11" t="s">
        <v>11</v>
      </c>
      <c r="J128" s="12"/>
    </row>
    <row r="129" spans="1:10" ht="60" customHeight="1">
      <c r="A129" s="6" t="s">
        <v>480</v>
      </c>
      <c r="B129" s="6" t="s">
        <v>15</v>
      </c>
      <c r="C129" s="6" t="s">
        <v>11</v>
      </c>
      <c r="D129" s="7" t="s">
        <v>481</v>
      </c>
      <c r="E129" s="8" t="s">
        <v>482</v>
      </c>
      <c r="F129" s="6" t="s">
        <v>483</v>
      </c>
      <c r="G129" s="9">
        <f>IF(A129=1,"_",IF(C129="_","???",C129))</f>
        <v/>
      </c>
      <c r="H129" s="10" t="s">
        <v>11</v>
      </c>
      <c r="I129" s="11" t="s">
        <v>11</v>
      </c>
      <c r="J129" s="12"/>
    </row>
    <row r="130" spans="1:10" ht="60" customHeight="1">
      <c r="A130" s="6" t="s">
        <v>484</v>
      </c>
      <c r="B130" s="6" t="s">
        <v>10</v>
      </c>
      <c r="C130" s="6" t="s">
        <v>11</v>
      </c>
      <c r="D130" s="7" t="s">
        <v>350</v>
      </c>
      <c r="E130" s="8" t="s">
        <v>485</v>
      </c>
      <c r="F130" s="6" t="s">
        <v>486</v>
      </c>
      <c r="G130" s="9">
        <f>IF(A130=1,"_",IF(C130="_","???",C130))</f>
        <v/>
      </c>
      <c r="H130" s="10" t="s">
        <v>11</v>
      </c>
      <c r="I130" s="11" t="s">
        <v>11</v>
      </c>
      <c r="J130" s="12"/>
    </row>
    <row r="131" spans="1:10" ht="60" customHeight="1">
      <c r="A131" s="6" t="s">
        <v>487</v>
      </c>
      <c r="B131" s="6" t="s">
        <v>10</v>
      </c>
      <c r="C131" s="6" t="s">
        <v>11</v>
      </c>
      <c r="D131" s="7" t="s">
        <v>114</v>
      </c>
      <c r="E131" s="8" t="s">
        <v>488</v>
      </c>
      <c r="F131" s="6" t="s">
        <v>489</v>
      </c>
      <c r="G131" s="9">
        <f>IF(A131=1,"_",IF(C131="_","???",C131))</f>
        <v/>
      </c>
      <c r="H131" s="10" t="s">
        <v>11</v>
      </c>
      <c r="I131" s="11" t="s">
        <v>11</v>
      </c>
      <c r="J131" s="12"/>
    </row>
    <row r="132" spans="1:10" ht="60" customHeight="1">
      <c r="A132" s="6" t="s">
        <v>490</v>
      </c>
      <c r="B132" s="6" t="s">
        <v>10</v>
      </c>
      <c r="C132" s="6" t="s">
        <v>11</v>
      </c>
      <c r="D132" s="7" t="s">
        <v>56</v>
      </c>
      <c r="E132" s="8" t="s">
        <v>491</v>
      </c>
      <c r="F132" s="6" t="s">
        <v>492</v>
      </c>
      <c r="G132" s="9">
        <f>IF(A132=1,"_",IF(C132="_","???",C132))</f>
        <v/>
      </c>
      <c r="H132" s="10" t="s">
        <v>11</v>
      </c>
      <c r="I132" s="11" t="s">
        <v>11</v>
      </c>
      <c r="J132" s="12"/>
    </row>
    <row r="133" spans="1:10" ht="60" customHeight="1">
      <c r="A133" s="6" t="s">
        <v>493</v>
      </c>
      <c r="B133" s="6" t="s">
        <v>19</v>
      </c>
      <c r="C133" s="6" t="s">
        <v>11</v>
      </c>
      <c r="D133" s="7" t="s">
        <v>186</v>
      </c>
      <c r="E133" s="8" t="s">
        <v>494</v>
      </c>
      <c r="F133" s="6" t="s">
        <v>495</v>
      </c>
      <c r="G133" s="9">
        <f>IF(A133=1,"_",IF(C133="_","???",C133))</f>
        <v/>
      </c>
      <c r="H133" s="10" t="s">
        <v>11</v>
      </c>
      <c r="I133" s="11" t="s">
        <v>11</v>
      </c>
      <c r="J133" s="12"/>
    </row>
    <row r="134" spans="1:10" ht="60" customHeight="1">
      <c r="A134" s="6" t="s">
        <v>496</v>
      </c>
      <c r="B134" s="6" t="s">
        <v>10</v>
      </c>
      <c r="C134" s="6" t="s">
        <v>11</v>
      </c>
      <c r="D134" s="7" t="s">
        <v>48</v>
      </c>
      <c r="E134" s="8" t="s">
        <v>497</v>
      </c>
      <c r="F134" s="6" t="s">
        <v>498</v>
      </c>
      <c r="G134" s="9">
        <f>IF(A134=1,"_",IF(C134="_","???",C134))</f>
        <v/>
      </c>
      <c r="H134" s="10" t="s">
        <v>11</v>
      </c>
      <c r="I134" s="11" t="s">
        <v>11</v>
      </c>
      <c r="J134" s="12"/>
    </row>
    <row r="135" spans="1:10" ht="60" customHeight="1">
      <c r="A135" s="6" t="s">
        <v>499</v>
      </c>
      <c r="B135" s="6" t="s">
        <v>10</v>
      </c>
      <c r="C135" s="6" t="s">
        <v>11</v>
      </c>
      <c r="D135" s="7" t="s">
        <v>500</v>
      </c>
      <c r="E135" s="8" t="s">
        <v>501</v>
      </c>
      <c r="F135" s="6" t="s">
        <v>502</v>
      </c>
      <c r="G135" s="9">
        <f>IF(A135=1,"_",IF(C135="_","???",C135))</f>
        <v/>
      </c>
      <c r="H135" s="10" t="s">
        <v>11</v>
      </c>
      <c r="I135" s="11" t="s">
        <v>11</v>
      </c>
      <c r="J135" s="12"/>
    </row>
    <row r="136" spans="1:10" ht="60" customHeight="1">
      <c r="A136" s="6" t="s">
        <v>503</v>
      </c>
      <c r="B136" s="6" t="s">
        <v>15</v>
      </c>
      <c r="C136" s="6" t="s">
        <v>11</v>
      </c>
      <c r="D136" s="7" t="s">
        <v>504</v>
      </c>
      <c r="E136" s="8" t="s">
        <v>505</v>
      </c>
      <c r="F136" s="6" t="s">
        <v>506</v>
      </c>
      <c r="G136" s="9">
        <f>IF(A136=1,"_",IF(C136="_","???",C136))</f>
        <v/>
      </c>
      <c r="H136" s="10" t="s">
        <v>11</v>
      </c>
      <c r="I136" s="11" t="s">
        <v>11</v>
      </c>
      <c r="J136" s="12"/>
    </row>
    <row r="137" spans="1:10" ht="60" customHeight="1">
      <c r="A137" s="6" t="s">
        <v>507</v>
      </c>
      <c r="B137" s="6" t="s">
        <v>10</v>
      </c>
      <c r="C137" s="6" t="s">
        <v>11</v>
      </c>
      <c r="D137" s="7" t="s">
        <v>299</v>
      </c>
      <c r="E137" s="8" t="s">
        <v>508</v>
      </c>
      <c r="F137" s="6" t="s">
        <v>509</v>
      </c>
      <c r="G137" s="9">
        <f>IF(A137=1,"_",IF(C137="_","???",C137))</f>
        <v/>
      </c>
      <c r="H137" s="10" t="s">
        <v>11</v>
      </c>
      <c r="I137" s="11" t="s">
        <v>11</v>
      </c>
      <c r="J137" s="12"/>
    </row>
    <row r="138" spans="1:10" ht="60" customHeight="1">
      <c r="A138" s="6" t="s">
        <v>510</v>
      </c>
      <c r="B138" s="6" t="s">
        <v>10</v>
      </c>
      <c r="C138" s="6" t="s">
        <v>11</v>
      </c>
      <c r="D138" s="7" t="s">
        <v>70</v>
      </c>
      <c r="E138" s="8" t="s">
        <v>511</v>
      </c>
      <c r="F138" s="6" t="s">
        <v>512</v>
      </c>
      <c r="G138" s="9">
        <f>IF(A138=1,"_",IF(C138="_","???",C138))</f>
        <v/>
      </c>
      <c r="H138" s="10" t="s">
        <v>11</v>
      </c>
      <c r="I138" s="11" t="s">
        <v>11</v>
      </c>
      <c r="J138" s="12"/>
    </row>
    <row r="139" spans="1:10" ht="60" customHeight="1">
      <c r="A139" s="6" t="s">
        <v>513</v>
      </c>
      <c r="B139" s="6" t="s">
        <v>10</v>
      </c>
      <c r="C139" s="6" t="s">
        <v>11</v>
      </c>
      <c r="D139" s="7" t="s">
        <v>56</v>
      </c>
      <c r="E139" s="8" t="s">
        <v>514</v>
      </c>
      <c r="F139" s="6" t="s">
        <v>515</v>
      </c>
      <c r="G139" s="9">
        <f>IF(A139=1,"_",IF(C139="_","???",C139))</f>
        <v/>
      </c>
      <c r="H139" s="10" t="s">
        <v>11</v>
      </c>
      <c r="I139" s="11" t="s">
        <v>11</v>
      </c>
      <c r="J139" s="12"/>
    </row>
    <row r="140" spans="1:10" ht="60" customHeight="1">
      <c r="A140" s="6" t="s">
        <v>516</v>
      </c>
      <c r="B140" s="6" t="s">
        <v>23</v>
      </c>
      <c r="C140" s="6" t="s">
        <v>11</v>
      </c>
      <c r="D140" s="7" t="s">
        <v>517</v>
      </c>
      <c r="E140" s="8" t="s">
        <v>518</v>
      </c>
      <c r="F140" s="6" t="s">
        <v>519</v>
      </c>
      <c r="G140" s="9">
        <f>IF(A140=1,"_",IF(C140="_","???",C140))</f>
        <v/>
      </c>
      <c r="H140" s="10" t="s">
        <v>11</v>
      </c>
      <c r="I140" s="11" t="s">
        <v>11</v>
      </c>
      <c r="J140" s="12"/>
    </row>
    <row r="141" spans="1:10" ht="60" customHeight="1">
      <c r="A141" s="6" t="s">
        <v>520</v>
      </c>
      <c r="B141" s="6" t="s">
        <v>23</v>
      </c>
      <c r="C141" s="6" t="s">
        <v>11</v>
      </c>
      <c r="D141" s="7" t="s">
        <v>521</v>
      </c>
      <c r="E141" s="8" t="s">
        <v>522</v>
      </c>
      <c r="F141" s="6" t="s">
        <v>523</v>
      </c>
      <c r="G141" s="9">
        <f>IF(A141=1,"_",IF(C141="_","???",C141))</f>
        <v/>
      </c>
      <c r="H141" s="10" t="s">
        <v>11</v>
      </c>
      <c r="I141" s="11" t="s">
        <v>11</v>
      </c>
      <c r="J141" s="12"/>
    </row>
    <row r="142" spans="1:10" ht="60" customHeight="1">
      <c r="A142" s="6" t="s">
        <v>524</v>
      </c>
      <c r="B142" s="6" t="s">
        <v>10</v>
      </c>
      <c r="C142" s="6" t="s">
        <v>11</v>
      </c>
      <c r="D142" s="7" t="s">
        <v>299</v>
      </c>
      <c r="E142" s="8" t="s">
        <v>525</v>
      </c>
      <c r="F142" s="6" t="s">
        <v>526</v>
      </c>
      <c r="G142" s="9">
        <f>IF(A142=1,"_",IF(C142="_","???",C142))</f>
        <v/>
      </c>
      <c r="H142" s="10" t="s">
        <v>11</v>
      </c>
      <c r="I142" s="11" t="s">
        <v>11</v>
      </c>
      <c r="J142" s="12"/>
    </row>
    <row r="143" spans="1:10" ht="60" customHeight="1">
      <c r="A143" s="6" t="s">
        <v>527</v>
      </c>
      <c r="B143" s="6" t="s">
        <v>10</v>
      </c>
      <c r="C143" s="6" t="s">
        <v>11</v>
      </c>
      <c r="D143" s="7" t="s">
        <v>93</v>
      </c>
      <c r="E143" s="8" t="s">
        <v>528</v>
      </c>
      <c r="F143" s="6" t="s">
        <v>529</v>
      </c>
      <c r="G143" s="9">
        <f>IF(A143=1,"_",IF(C143="_","???",C143))</f>
        <v/>
      </c>
      <c r="H143" s="10" t="s">
        <v>11</v>
      </c>
      <c r="I143" s="11" t="s">
        <v>11</v>
      </c>
      <c r="J143" s="12"/>
    </row>
    <row r="144" spans="1:10" ht="60" customHeight="1">
      <c r="A144" s="6" t="s">
        <v>530</v>
      </c>
      <c r="B144" s="6" t="s">
        <v>10</v>
      </c>
      <c r="C144" s="6" t="s">
        <v>11</v>
      </c>
      <c r="D144" s="7" t="s">
        <v>93</v>
      </c>
      <c r="E144" s="8" t="s">
        <v>531</v>
      </c>
      <c r="F144" s="6" t="s">
        <v>532</v>
      </c>
      <c r="G144" s="9">
        <f>IF(A144=1,"_",IF(C144="_","???",C144))</f>
        <v/>
      </c>
      <c r="H144" s="10" t="s">
        <v>11</v>
      </c>
      <c r="I144" s="11" t="s">
        <v>11</v>
      </c>
      <c r="J144" s="12"/>
    </row>
    <row r="145" spans="1:10" ht="60" customHeight="1">
      <c r="A145" s="6" t="s">
        <v>533</v>
      </c>
      <c r="B145" s="6" t="s">
        <v>10</v>
      </c>
      <c r="C145" s="6" t="s">
        <v>11</v>
      </c>
      <c r="D145" s="7" t="s">
        <v>392</v>
      </c>
      <c r="E145" s="8" t="s">
        <v>534</v>
      </c>
      <c r="F145" s="6" t="s">
        <v>535</v>
      </c>
      <c r="G145" s="9">
        <f>IF(A145=1,"_",IF(C145="_","???",C145))</f>
        <v/>
      </c>
      <c r="H145" s="10" t="s">
        <v>11</v>
      </c>
      <c r="I145" s="11" t="s">
        <v>11</v>
      </c>
      <c r="J145" s="12"/>
    </row>
    <row r="146" spans="1:10" ht="60" customHeight="1">
      <c r="A146" s="6" t="s">
        <v>536</v>
      </c>
      <c r="B146" s="6" t="s">
        <v>19</v>
      </c>
      <c r="C146" s="6" t="s">
        <v>11</v>
      </c>
      <c r="D146" s="7" t="s">
        <v>537</v>
      </c>
      <c r="E146" s="8" t="s">
        <v>538</v>
      </c>
      <c r="F146" s="6" t="s">
        <v>539</v>
      </c>
      <c r="G146" s="9">
        <f>IF(A146=1,"_",IF(C146="_","???",C146))</f>
        <v/>
      </c>
      <c r="H146" s="10" t="s">
        <v>11</v>
      </c>
      <c r="I146" s="11" t="s">
        <v>11</v>
      </c>
      <c r="J146" s="12"/>
    </row>
    <row r="147" spans="1:10" ht="60" customHeight="1">
      <c r="A147" s="6" t="s">
        <v>540</v>
      </c>
      <c r="B147" s="6" t="s">
        <v>15</v>
      </c>
      <c r="C147" s="6" t="s">
        <v>11</v>
      </c>
      <c r="D147" s="7" t="s">
        <v>70</v>
      </c>
      <c r="E147" s="8" t="s">
        <v>541</v>
      </c>
      <c r="F147" s="6" t="s">
        <v>542</v>
      </c>
      <c r="G147" s="9">
        <f>IF(A147=1,"_",IF(C147="_","???",C147))</f>
        <v/>
      </c>
      <c r="H147" s="10" t="s">
        <v>11</v>
      </c>
      <c r="I147" s="11" t="s">
        <v>11</v>
      </c>
      <c r="J147" s="12"/>
    </row>
    <row r="148" spans="1:10" ht="60" customHeight="1">
      <c r="A148" s="6" t="s">
        <v>543</v>
      </c>
      <c r="B148" s="6" t="s">
        <v>10</v>
      </c>
      <c r="C148" s="6" t="s">
        <v>11</v>
      </c>
      <c r="D148" s="7" t="s">
        <v>48</v>
      </c>
      <c r="E148" s="8" t="s">
        <v>544</v>
      </c>
      <c r="F148" s="6" t="s">
        <v>545</v>
      </c>
      <c r="G148" s="9">
        <f>IF(A148=1,"_",IF(C148="_","???",C148))</f>
        <v/>
      </c>
      <c r="H148" s="10" t="s">
        <v>11</v>
      </c>
      <c r="I148" s="11" t="s">
        <v>11</v>
      </c>
      <c r="J148" s="12"/>
    </row>
    <row r="149" spans="1:10" ht="60" customHeight="1">
      <c r="A149" s="6" t="s">
        <v>546</v>
      </c>
      <c r="B149" s="6" t="s">
        <v>10</v>
      </c>
      <c r="C149" s="6" t="s">
        <v>11</v>
      </c>
      <c r="D149" s="7" t="s">
        <v>56</v>
      </c>
      <c r="E149" s="8" t="s">
        <v>547</v>
      </c>
      <c r="F149" s="6" t="s">
        <v>548</v>
      </c>
      <c r="G149" s="9">
        <f>IF(A149=1,"_",IF(C149="_","???",C149))</f>
        <v/>
      </c>
      <c r="H149" s="10" t="s">
        <v>11</v>
      </c>
      <c r="I149" s="11" t="s">
        <v>11</v>
      </c>
      <c r="J149" s="12"/>
    </row>
    <row r="150" spans="1:10" ht="60" customHeight="1">
      <c r="A150" s="6" t="s">
        <v>549</v>
      </c>
      <c r="B150" s="6" t="s">
        <v>77</v>
      </c>
      <c r="C150" s="6" t="s">
        <v>11</v>
      </c>
      <c r="D150" s="7" t="s">
        <v>238</v>
      </c>
      <c r="E150" s="8" t="s">
        <v>550</v>
      </c>
      <c r="F150" s="6" t="s">
        <v>551</v>
      </c>
      <c r="G150" s="9">
        <f>IF(A150=1,"_",IF(C150="_","???",C150))</f>
        <v/>
      </c>
      <c r="H150" s="10" t="s">
        <v>11</v>
      </c>
      <c r="I150" s="11" t="s">
        <v>11</v>
      </c>
      <c r="J150" s="12"/>
    </row>
    <row r="151" spans="1:10" ht="60" customHeight="1">
      <c r="A151" s="6" t="s">
        <v>552</v>
      </c>
      <c r="B151" s="6" t="s">
        <v>15</v>
      </c>
      <c r="C151" s="6" t="s">
        <v>11</v>
      </c>
      <c r="D151" s="7" t="s">
        <v>231</v>
      </c>
      <c r="E151" s="8" t="s">
        <v>553</v>
      </c>
      <c r="F151" s="6" t="s">
        <v>554</v>
      </c>
      <c r="G151" s="9">
        <f>IF(A151=1,"_",IF(C151="_","???",C151))</f>
        <v/>
      </c>
      <c r="H151" s="10" t="s">
        <v>11</v>
      </c>
      <c r="I151" s="11" t="s">
        <v>11</v>
      </c>
      <c r="J151" s="12"/>
    </row>
    <row r="152" spans="1:10" ht="60" customHeight="1">
      <c r="A152" s="6" t="s">
        <v>555</v>
      </c>
      <c r="B152" s="6" t="s">
        <v>81</v>
      </c>
      <c r="C152" s="6" t="s">
        <v>11</v>
      </c>
      <c r="D152" s="7" t="s">
        <v>98</v>
      </c>
      <c r="E152" s="8" t="s">
        <v>556</v>
      </c>
      <c r="F152" s="6" t="s">
        <v>557</v>
      </c>
      <c r="G152" s="9">
        <f>IF(A152=1,"_",IF(C152="_","???",C152))</f>
        <v/>
      </c>
      <c r="H152" s="10" t="s">
        <v>11</v>
      </c>
      <c r="I152" s="11" t="s">
        <v>11</v>
      </c>
      <c r="J152" s="12"/>
    </row>
    <row r="153" spans="1:10" ht="60" customHeight="1">
      <c r="A153" s="6" t="s">
        <v>558</v>
      </c>
      <c r="B153" s="6" t="s">
        <v>59</v>
      </c>
      <c r="C153" s="6" t="s">
        <v>11</v>
      </c>
      <c r="D153" s="7" t="s">
        <v>392</v>
      </c>
      <c r="E153" s="8" t="s">
        <v>559</v>
      </c>
      <c r="F153" s="6" t="s">
        <v>560</v>
      </c>
      <c r="G153" s="9">
        <f>IF(A153=1,"_",IF(C153="_","???",C153))</f>
        <v/>
      </c>
      <c r="H153" s="10" t="s">
        <v>11</v>
      </c>
      <c r="I153" s="11" t="s">
        <v>11</v>
      </c>
      <c r="J153" s="12"/>
    </row>
    <row r="154" spans="1:10" ht="60" customHeight="1">
      <c r="A154" s="6" t="s">
        <v>561</v>
      </c>
      <c r="B154" s="6" t="s">
        <v>55</v>
      </c>
      <c r="C154" s="6" t="s">
        <v>11</v>
      </c>
      <c r="D154" s="7" t="s">
        <v>562</v>
      </c>
      <c r="E154" s="8" t="s">
        <v>563</v>
      </c>
      <c r="F154" s="6" t="s">
        <v>564</v>
      </c>
      <c r="G154" s="9">
        <f>IF(A154=1,"_",IF(C154="_","???",C154))</f>
        <v/>
      </c>
      <c r="H154" s="10" t="s">
        <v>11</v>
      </c>
      <c r="I154" s="11" t="s">
        <v>11</v>
      </c>
      <c r="J154" s="12"/>
    </row>
    <row r="155" spans="1:10" ht="60" customHeight="1">
      <c r="A155" s="6" t="s">
        <v>565</v>
      </c>
      <c r="B155" s="6" t="s">
        <v>10</v>
      </c>
      <c r="C155" s="6" t="s">
        <v>11</v>
      </c>
      <c r="D155" s="7" t="s">
        <v>48</v>
      </c>
      <c r="E155" s="8" t="s">
        <v>566</v>
      </c>
      <c r="F155" s="6" t="s">
        <v>567</v>
      </c>
      <c r="G155" s="9">
        <f>IF(A155=1,"_",IF(C155="_","???",C155))</f>
        <v/>
      </c>
      <c r="H155" s="10" t="s">
        <v>11</v>
      </c>
      <c r="I155" s="11" t="s">
        <v>11</v>
      </c>
      <c r="J155" s="12"/>
    </row>
    <row r="156" spans="1:10" ht="60" customHeight="1">
      <c r="A156" s="6" t="s">
        <v>568</v>
      </c>
      <c r="B156" s="6" t="s">
        <v>24</v>
      </c>
      <c r="C156" s="6" t="s">
        <v>11</v>
      </c>
      <c r="D156" s="7" t="s">
        <v>569</v>
      </c>
      <c r="E156" s="8" t="s">
        <v>570</v>
      </c>
      <c r="F156" s="6" t="s">
        <v>571</v>
      </c>
      <c r="G156" s="9">
        <f>IF(A156=1,"_",IF(C156="_","???",C156))</f>
        <v/>
      </c>
      <c r="H156" s="10" t="s">
        <v>11</v>
      </c>
      <c r="I156" s="11" t="s">
        <v>11</v>
      </c>
      <c r="J156" s="12"/>
    </row>
    <row r="157" spans="1:10" ht="60" customHeight="1">
      <c r="A157" s="6" t="s">
        <v>572</v>
      </c>
      <c r="B157" s="6" t="s">
        <v>73</v>
      </c>
      <c r="C157" s="6" t="s">
        <v>11</v>
      </c>
      <c r="D157" s="7" t="s">
        <v>137</v>
      </c>
      <c r="E157" s="8" t="s">
        <v>573</v>
      </c>
      <c r="F157" s="6" t="s">
        <v>574</v>
      </c>
      <c r="G157" s="9">
        <f>IF(A157=1,"_",IF(C157="_","???",C157))</f>
        <v/>
      </c>
      <c r="H157" s="10" t="s">
        <v>11</v>
      </c>
      <c r="I157" s="11" t="s">
        <v>11</v>
      </c>
      <c r="J157" s="12"/>
    </row>
    <row r="158" spans="1:10" ht="60" customHeight="1">
      <c r="A158" s="6" t="s">
        <v>575</v>
      </c>
      <c r="B158" s="6" t="s">
        <v>15</v>
      </c>
      <c r="C158" s="6" t="s">
        <v>11</v>
      </c>
      <c r="D158" s="7" t="s">
        <v>576</v>
      </c>
      <c r="E158" s="8" t="s">
        <v>577</v>
      </c>
      <c r="F158" s="6" t="s">
        <v>578</v>
      </c>
      <c r="G158" s="9">
        <f>IF(A158=1,"_",IF(C158="_","???",C158))</f>
        <v/>
      </c>
      <c r="H158" s="10" t="s">
        <v>11</v>
      </c>
      <c r="I158" s="11" t="s">
        <v>11</v>
      </c>
      <c r="J158" s="12"/>
    </row>
    <row r="159" spans="1:10" ht="60" customHeight="1">
      <c r="A159" s="6" t="s">
        <v>579</v>
      </c>
      <c r="B159" s="6" t="s">
        <v>59</v>
      </c>
      <c r="C159" s="6" t="s">
        <v>11</v>
      </c>
      <c r="D159" s="7" t="s">
        <v>93</v>
      </c>
      <c r="E159" s="8" t="s">
        <v>580</v>
      </c>
      <c r="F159" s="6" t="s">
        <v>581</v>
      </c>
      <c r="G159" s="9">
        <f>IF(A159=1,"_",IF(C159="_","???",C159))</f>
        <v/>
      </c>
      <c r="H159" s="10" t="s">
        <v>11</v>
      </c>
      <c r="I159" s="11" t="s">
        <v>11</v>
      </c>
      <c r="J159" s="12"/>
    </row>
    <row r="160" spans="1:10" ht="60" customHeight="1">
      <c r="A160" s="6" t="s">
        <v>582</v>
      </c>
      <c r="B160" s="6" t="s">
        <v>19</v>
      </c>
      <c r="C160" s="6" t="s">
        <v>11</v>
      </c>
      <c r="D160" s="7" t="s">
        <v>583</v>
      </c>
      <c r="E160" s="8" t="s">
        <v>584</v>
      </c>
      <c r="F160" s="6" t="s">
        <v>585</v>
      </c>
      <c r="G160" s="9">
        <f>IF(A160=1,"_",IF(C160="_","???",C160))</f>
        <v/>
      </c>
      <c r="H160" s="10" t="s">
        <v>11</v>
      </c>
      <c r="I160" s="11" t="s">
        <v>11</v>
      </c>
      <c r="J160" s="12"/>
    </row>
    <row r="161" spans="1:10" ht="60" customHeight="1">
      <c r="A161" s="6" t="s">
        <v>586</v>
      </c>
      <c r="B161" s="6" t="s">
        <v>19</v>
      </c>
      <c r="C161" s="6" t="s">
        <v>11</v>
      </c>
      <c r="D161" s="7" t="s">
        <v>98</v>
      </c>
      <c r="E161" s="8" t="s">
        <v>587</v>
      </c>
      <c r="F161" s="6" t="s">
        <v>588</v>
      </c>
      <c r="G161" s="9">
        <f>IF(A161=1,"_",IF(C161="_","???",C161))</f>
        <v/>
      </c>
      <c r="H161" s="10" t="s">
        <v>11</v>
      </c>
      <c r="I161" s="11" t="s">
        <v>11</v>
      </c>
      <c r="J161" s="12"/>
    </row>
    <row r="162" spans="1:10" ht="60" customHeight="1">
      <c r="A162" s="6" t="s">
        <v>589</v>
      </c>
      <c r="B162" s="6" t="s">
        <v>55</v>
      </c>
      <c r="C162" s="6" t="s">
        <v>11</v>
      </c>
      <c r="D162" s="7" t="s">
        <v>590</v>
      </c>
      <c r="E162" s="8" t="s">
        <v>591</v>
      </c>
      <c r="F162" s="6" t="s">
        <v>592</v>
      </c>
      <c r="G162" s="9">
        <f>IF(A162=1,"_",IF(C162="_","???",C162))</f>
        <v/>
      </c>
      <c r="H162" s="10" t="s">
        <v>11</v>
      </c>
      <c r="I162" s="11" t="s">
        <v>11</v>
      </c>
      <c r="J162" s="12"/>
    </row>
    <row r="163" spans="1:10" ht="60" customHeight="1">
      <c r="A163" s="6" t="s">
        <v>593</v>
      </c>
      <c r="B163" s="6" t="s">
        <v>23</v>
      </c>
      <c r="C163" s="6" t="s">
        <v>11</v>
      </c>
      <c r="D163" s="7" t="s">
        <v>61</v>
      </c>
      <c r="E163" s="8" t="s">
        <v>594</v>
      </c>
      <c r="F163" s="6" t="s">
        <v>595</v>
      </c>
      <c r="G163" s="9">
        <f>IF(A163=1,"_",IF(C163="_","???",C163))</f>
        <v/>
      </c>
      <c r="H163" s="10" t="s">
        <v>11</v>
      </c>
      <c r="I163" s="11" t="s">
        <v>11</v>
      </c>
      <c r="J163" s="12"/>
    </row>
    <row r="164" spans="1:10" ht="60" customHeight="1">
      <c r="A164" s="6" t="s">
        <v>596</v>
      </c>
      <c r="B164" s="6" t="s">
        <v>60</v>
      </c>
      <c r="C164" s="6" t="s">
        <v>11</v>
      </c>
      <c r="D164" s="7" t="s">
        <v>70</v>
      </c>
      <c r="E164" s="8" t="s">
        <v>597</v>
      </c>
      <c r="F164" s="6" t="s">
        <v>598</v>
      </c>
      <c r="G164" s="9">
        <f>IF(A164=1,"_",IF(C164="_","???",C164))</f>
        <v/>
      </c>
      <c r="H164" s="10" t="s">
        <v>11</v>
      </c>
      <c r="I164" s="11" t="s">
        <v>11</v>
      </c>
      <c r="J164" s="12"/>
    </row>
    <row r="165" spans="1:10" ht="60" customHeight="1">
      <c r="A165" s="6" t="s">
        <v>599</v>
      </c>
      <c r="B165" s="6" t="s">
        <v>10</v>
      </c>
      <c r="C165" s="6" t="s">
        <v>11</v>
      </c>
      <c r="D165" s="7" t="s">
        <v>48</v>
      </c>
      <c r="E165" s="8" t="s">
        <v>600</v>
      </c>
      <c r="F165" s="6" t="s">
        <v>601</v>
      </c>
      <c r="G165" s="9">
        <f>IF(A165=1,"_",IF(C165="_","???",C165))</f>
        <v/>
      </c>
      <c r="H165" s="10" t="s">
        <v>11</v>
      </c>
      <c r="I165" s="11" t="s">
        <v>11</v>
      </c>
      <c r="J165" s="12"/>
    </row>
    <row r="166" spans="1:10" ht="60" customHeight="1">
      <c r="A166" s="6" t="s">
        <v>602</v>
      </c>
      <c r="B166" s="6" t="s">
        <v>10</v>
      </c>
      <c r="C166" s="6" t="s">
        <v>11</v>
      </c>
      <c r="D166" s="7" t="s">
        <v>186</v>
      </c>
      <c r="E166" s="8" t="s">
        <v>603</v>
      </c>
      <c r="F166" s="6" t="s">
        <v>604</v>
      </c>
      <c r="G166" s="9">
        <f>IF(A166=1,"_",IF(C166="_","???",C166))</f>
        <v/>
      </c>
      <c r="H166" s="10" t="s">
        <v>11</v>
      </c>
      <c r="I166" s="11" t="s">
        <v>11</v>
      </c>
      <c r="J166" s="12"/>
    </row>
    <row r="167" spans="1:10" ht="60" customHeight="1">
      <c r="A167" s="6" t="s">
        <v>605</v>
      </c>
      <c r="B167" s="6" t="s">
        <v>24</v>
      </c>
      <c r="C167" s="6" t="s">
        <v>11</v>
      </c>
      <c r="D167" s="7" t="s">
        <v>238</v>
      </c>
      <c r="E167" s="8" t="s">
        <v>606</v>
      </c>
      <c r="F167" s="6" t="s">
        <v>607</v>
      </c>
      <c r="G167" s="9">
        <f>IF(A167=1,"_",IF(C167="_","???",C167))</f>
        <v/>
      </c>
      <c r="H167" s="10" t="s">
        <v>11</v>
      </c>
      <c r="I167" s="11" t="s">
        <v>11</v>
      </c>
      <c r="J167" s="12"/>
    </row>
    <row r="168" spans="1:10" ht="60" customHeight="1">
      <c r="A168" s="6" t="s">
        <v>608</v>
      </c>
      <c r="B168" s="6" t="s">
        <v>19</v>
      </c>
      <c r="C168" s="6" t="s">
        <v>11</v>
      </c>
      <c r="D168" s="7" t="s">
        <v>609</v>
      </c>
      <c r="E168" s="8" t="s">
        <v>610</v>
      </c>
      <c r="F168" s="6" t="s">
        <v>611</v>
      </c>
      <c r="G168" s="9">
        <f>IF(A168=1,"_",IF(C168="_","???",C168))</f>
        <v/>
      </c>
      <c r="H168" s="10" t="s">
        <v>11</v>
      </c>
      <c r="I168" s="11" t="s">
        <v>11</v>
      </c>
      <c r="J168" s="12"/>
    </row>
    <row r="169" spans="1:10" ht="60" customHeight="1">
      <c r="A169" s="6" t="s">
        <v>612</v>
      </c>
      <c r="B169" s="6" t="s">
        <v>19</v>
      </c>
      <c r="C169" s="6" t="s">
        <v>11</v>
      </c>
      <c r="D169" s="7" t="s">
        <v>613</v>
      </c>
      <c r="E169" s="8" t="s">
        <v>614</v>
      </c>
      <c r="F169" s="6" t="s">
        <v>615</v>
      </c>
      <c r="G169" s="9">
        <f>IF(A169=1,"_",IF(C169="_","???",C169))</f>
        <v/>
      </c>
      <c r="H169" s="10" t="s">
        <v>11</v>
      </c>
      <c r="I169" s="11" t="s">
        <v>11</v>
      </c>
      <c r="J169" s="12"/>
    </row>
    <row r="170" spans="1:10" ht="60" customHeight="1">
      <c r="A170" s="6" t="s">
        <v>616</v>
      </c>
      <c r="B170" s="6" t="s">
        <v>47</v>
      </c>
      <c r="C170" s="6" t="s">
        <v>11</v>
      </c>
      <c r="D170" s="7" t="s">
        <v>617</v>
      </c>
      <c r="E170" s="8" t="s">
        <v>618</v>
      </c>
      <c r="F170" s="6" t="s">
        <v>619</v>
      </c>
      <c r="G170" s="9">
        <f>IF(A170=1,"_",IF(C170="_","???",C170))</f>
        <v/>
      </c>
      <c r="H170" s="10" t="s">
        <v>11</v>
      </c>
      <c r="I170" s="11" t="s">
        <v>11</v>
      </c>
      <c r="J170" s="12"/>
    </row>
    <row r="171" spans="1:10" ht="60" customHeight="1">
      <c r="A171" s="6" t="s">
        <v>620</v>
      </c>
      <c r="B171" s="6" t="s">
        <v>19</v>
      </c>
      <c r="C171" s="6" t="s">
        <v>11</v>
      </c>
      <c r="D171" s="7" t="s">
        <v>238</v>
      </c>
      <c r="E171" s="8" t="s">
        <v>621</v>
      </c>
      <c r="F171" s="6" t="s">
        <v>622</v>
      </c>
      <c r="G171" s="9">
        <f>IF(A171=1,"_",IF(C171="_","???",C171))</f>
        <v/>
      </c>
      <c r="H171" s="10" t="s">
        <v>11</v>
      </c>
      <c r="I171" s="11" t="s">
        <v>11</v>
      </c>
      <c r="J171" s="12"/>
    </row>
    <row r="172" spans="1:10" ht="60" customHeight="1">
      <c r="A172" s="6" t="s">
        <v>623</v>
      </c>
      <c r="B172" s="6" t="s">
        <v>10</v>
      </c>
      <c r="C172" s="6" t="s">
        <v>11</v>
      </c>
      <c r="D172" s="7" t="s">
        <v>93</v>
      </c>
      <c r="E172" s="8" t="s">
        <v>624</v>
      </c>
      <c r="F172" s="6" t="s">
        <v>625</v>
      </c>
      <c r="G172" s="9">
        <f>IF(A172=1,"_",IF(C172="_","???",C172))</f>
        <v/>
      </c>
      <c r="H172" s="10" t="s">
        <v>11</v>
      </c>
      <c r="I172" s="11" t="s">
        <v>11</v>
      </c>
      <c r="J172" s="12"/>
    </row>
    <row r="173" spans="1:10" ht="60" customHeight="1">
      <c r="A173" s="6" t="s">
        <v>626</v>
      </c>
      <c r="B173" s="6" t="s">
        <v>10</v>
      </c>
      <c r="C173" s="6" t="s">
        <v>11</v>
      </c>
      <c r="D173" s="7" t="s">
        <v>93</v>
      </c>
      <c r="E173" s="8" t="s">
        <v>627</v>
      </c>
      <c r="F173" s="6" t="s">
        <v>628</v>
      </c>
      <c r="G173" s="9">
        <f>IF(A173=1,"_",IF(C173="_","???",C173))</f>
        <v/>
      </c>
      <c r="H173" s="10" t="s">
        <v>11</v>
      </c>
      <c r="I173" s="11" t="s">
        <v>11</v>
      </c>
      <c r="J173" s="12"/>
    </row>
    <row r="174" spans="1:10" ht="60" customHeight="1">
      <c r="A174" s="6" t="s">
        <v>629</v>
      </c>
      <c r="B174" s="6" t="s">
        <v>59</v>
      </c>
      <c r="C174" s="6" t="s">
        <v>11</v>
      </c>
      <c r="D174" s="7" t="s">
        <v>630</v>
      </c>
      <c r="E174" s="8" t="s">
        <v>631</v>
      </c>
      <c r="F174" s="6" t="s">
        <v>632</v>
      </c>
      <c r="G174" s="9">
        <f>IF(A174=1,"_",IF(C174="_","???",C174))</f>
        <v/>
      </c>
      <c r="H174" s="10" t="s">
        <v>11</v>
      </c>
      <c r="I174" s="11" t="s">
        <v>11</v>
      </c>
      <c r="J174" s="12"/>
    </row>
    <row r="175" spans="1:10" ht="60" customHeight="1">
      <c r="A175" s="6" t="s">
        <v>633</v>
      </c>
      <c r="B175" s="6" t="s">
        <v>10</v>
      </c>
      <c r="C175" s="6" t="s">
        <v>11</v>
      </c>
      <c r="D175" s="7" t="s">
        <v>238</v>
      </c>
      <c r="E175" s="8" t="s">
        <v>634</v>
      </c>
      <c r="F175" s="6" t="s">
        <v>635</v>
      </c>
      <c r="G175" s="9">
        <f>IF(A175=1,"_",IF(C175="_","???",C175))</f>
        <v/>
      </c>
      <c r="H175" s="10" t="s">
        <v>11</v>
      </c>
      <c r="I175" s="11" t="s">
        <v>11</v>
      </c>
      <c r="J175" s="12"/>
    </row>
    <row r="176" spans="1:10" ht="60" customHeight="1">
      <c r="A176" s="6" t="s">
        <v>636</v>
      </c>
      <c r="B176" s="6" t="s">
        <v>10</v>
      </c>
      <c r="C176" s="6" t="s">
        <v>11</v>
      </c>
      <c r="D176" s="7" t="s">
        <v>48</v>
      </c>
      <c r="E176" s="8" t="s">
        <v>637</v>
      </c>
      <c r="F176" s="6" t="s">
        <v>638</v>
      </c>
      <c r="G176" s="9">
        <f>IF(A176=1,"_",IF(C176="_","???",C176))</f>
        <v/>
      </c>
      <c r="H176" s="10" t="s">
        <v>11</v>
      </c>
      <c r="I176" s="11" t="s">
        <v>11</v>
      </c>
      <c r="J176" s="12"/>
    </row>
    <row r="177" spans="1:10" ht="60" customHeight="1">
      <c r="A177" s="6" t="s">
        <v>639</v>
      </c>
      <c r="B177" s="6" t="s">
        <v>31</v>
      </c>
      <c r="C177" s="6" t="s">
        <v>11</v>
      </c>
      <c r="D177" s="7" t="s">
        <v>61</v>
      </c>
      <c r="E177" s="8" t="s">
        <v>640</v>
      </c>
      <c r="F177" s="6" t="s">
        <v>641</v>
      </c>
      <c r="G177" s="9">
        <f>IF(A177=1,"_",IF(C177="_","???",C177))</f>
        <v/>
      </c>
      <c r="H177" s="10" t="s">
        <v>11</v>
      </c>
      <c r="I177" s="11" t="s">
        <v>11</v>
      </c>
      <c r="J177" s="12"/>
    </row>
    <row r="178" spans="1:10" ht="60" customHeight="1">
      <c r="A178" s="6" t="s">
        <v>642</v>
      </c>
      <c r="B178" s="6" t="s">
        <v>19</v>
      </c>
      <c r="C178" s="6" t="s">
        <v>11</v>
      </c>
      <c r="D178" s="7" t="s">
        <v>153</v>
      </c>
      <c r="E178" s="8" t="s">
        <v>643</v>
      </c>
      <c r="F178" s="6" t="s">
        <v>644</v>
      </c>
      <c r="G178" s="9">
        <f>IF(A178=1,"_",IF(C178="_","???",C178))</f>
        <v/>
      </c>
      <c r="H178" s="10" t="s">
        <v>11</v>
      </c>
      <c r="I178" s="11" t="s">
        <v>11</v>
      </c>
      <c r="J178" s="12"/>
    </row>
    <row r="179" spans="1:10" ht="60" customHeight="1">
      <c r="A179" s="6" t="s">
        <v>645</v>
      </c>
      <c r="B179" s="6" t="s">
        <v>23</v>
      </c>
      <c r="C179" s="6" t="s">
        <v>11</v>
      </c>
      <c r="D179" s="7" t="s">
        <v>646</v>
      </c>
      <c r="E179" s="8" t="s">
        <v>647</v>
      </c>
      <c r="F179" s="6" t="s">
        <v>648</v>
      </c>
      <c r="G179" s="9">
        <f>IF(A179=1,"_",IF(C179="_","???",C179))</f>
        <v/>
      </c>
      <c r="H179" s="10" t="s">
        <v>11</v>
      </c>
      <c r="I179" s="11" t="s">
        <v>11</v>
      </c>
      <c r="J179" s="12"/>
    </row>
    <row r="180" spans="1:10" ht="60" customHeight="1">
      <c r="A180" s="6" t="s">
        <v>649</v>
      </c>
      <c r="B180" s="6" t="s">
        <v>24</v>
      </c>
      <c r="C180" s="6" t="s">
        <v>11</v>
      </c>
      <c r="D180" s="7" t="s">
        <v>392</v>
      </c>
      <c r="E180" s="8" t="s">
        <v>650</v>
      </c>
      <c r="F180" s="6" t="s">
        <v>651</v>
      </c>
      <c r="G180" s="9">
        <f>IF(A180=1,"_",IF(C180="_","???",C180))</f>
        <v/>
      </c>
      <c r="H180" s="10" t="s">
        <v>11</v>
      </c>
      <c r="I180" s="11" t="s">
        <v>11</v>
      </c>
      <c r="J180" s="12"/>
    </row>
    <row r="181" spans="1:10" ht="60" customHeight="1">
      <c r="A181" s="6" t="s">
        <v>652</v>
      </c>
      <c r="B181" s="6" t="s">
        <v>10</v>
      </c>
      <c r="C181" s="6" t="s">
        <v>11</v>
      </c>
      <c r="D181" s="7" t="s">
        <v>56</v>
      </c>
      <c r="E181" s="8" t="s">
        <v>653</v>
      </c>
      <c r="F181" s="6" t="s">
        <v>654</v>
      </c>
      <c r="G181" s="9">
        <f>IF(A181=1,"_",IF(C181="_","???",C181))</f>
        <v/>
      </c>
      <c r="H181" s="10" t="s">
        <v>11</v>
      </c>
      <c r="I181" s="11" t="s">
        <v>11</v>
      </c>
      <c r="J181" s="12"/>
    </row>
    <row r="182" spans="1:10" ht="60" customHeight="1">
      <c r="A182" s="6" t="s">
        <v>655</v>
      </c>
      <c r="B182" s="6" t="s">
        <v>15</v>
      </c>
      <c r="C182" s="6" t="s">
        <v>11</v>
      </c>
      <c r="D182" s="7" t="s">
        <v>656</v>
      </c>
      <c r="E182" s="8" t="s">
        <v>657</v>
      </c>
      <c r="F182" s="6" t="s">
        <v>658</v>
      </c>
      <c r="G182" s="9">
        <f>IF(A182=1,"_",IF(C182="_","???",C182))</f>
        <v/>
      </c>
      <c r="H182" s="10" t="s">
        <v>11</v>
      </c>
      <c r="I182" s="11" t="s">
        <v>11</v>
      </c>
      <c r="J182" s="12"/>
    </row>
    <row r="183" spans="1:10" ht="60" customHeight="1">
      <c r="A183" s="6" t="s">
        <v>659</v>
      </c>
      <c r="B183" s="6" t="s">
        <v>15</v>
      </c>
      <c r="C183" s="6" t="s">
        <v>11</v>
      </c>
      <c r="D183" s="7" t="s">
        <v>660</v>
      </c>
      <c r="E183" s="8" t="s">
        <v>661</v>
      </c>
      <c r="F183" s="6" t="s">
        <v>662</v>
      </c>
      <c r="G183" s="9">
        <f>IF(A183=1,"_",IF(C183="_","???",C183))</f>
        <v/>
      </c>
      <c r="H183" s="10" t="s">
        <v>11</v>
      </c>
      <c r="I183" s="11" t="s">
        <v>11</v>
      </c>
      <c r="J183" s="12"/>
    </row>
    <row r="184" spans="1:10" ht="60" customHeight="1">
      <c r="A184" s="6" t="s">
        <v>663</v>
      </c>
      <c r="B184" s="6" t="s">
        <v>15</v>
      </c>
      <c r="C184" s="6" t="s">
        <v>11</v>
      </c>
      <c r="D184" s="7" t="s">
        <v>263</v>
      </c>
      <c r="E184" s="8" t="s">
        <v>664</v>
      </c>
      <c r="F184" s="6" t="s">
        <v>665</v>
      </c>
      <c r="G184" s="9">
        <f>IF(A184=1,"_",IF(C184="_","???",C184))</f>
        <v/>
      </c>
      <c r="H184" s="10" t="s">
        <v>11</v>
      </c>
      <c r="I184" s="11" t="s">
        <v>11</v>
      </c>
      <c r="J184" s="12"/>
    </row>
    <row r="185" spans="1:10" ht="60" customHeight="1">
      <c r="A185" s="6" t="s">
        <v>666</v>
      </c>
      <c r="B185" s="6" t="s">
        <v>15</v>
      </c>
      <c r="C185" s="6" t="s">
        <v>11</v>
      </c>
      <c r="D185" s="7" t="s">
        <v>667</v>
      </c>
      <c r="E185" s="8" t="s">
        <v>668</v>
      </c>
      <c r="F185" s="6" t="s">
        <v>669</v>
      </c>
      <c r="G185" s="9">
        <f>IF(A185=1,"_",IF(C185="_","???",C185))</f>
        <v/>
      </c>
      <c r="H185" s="10" t="s">
        <v>11</v>
      </c>
      <c r="I185" s="11" t="s">
        <v>11</v>
      </c>
      <c r="J185" s="12"/>
    </row>
    <row r="186" spans="1:10" ht="60" customHeight="1">
      <c r="A186" s="6" t="s">
        <v>670</v>
      </c>
      <c r="B186" s="6" t="s">
        <v>671</v>
      </c>
      <c r="C186" s="6" t="s">
        <v>11</v>
      </c>
      <c r="D186" s="7" t="s">
        <v>609</v>
      </c>
      <c r="E186" s="8" t="s">
        <v>672</v>
      </c>
      <c r="F186" s="6" t="s">
        <v>673</v>
      </c>
      <c r="G186" s="9">
        <f>IF(A186=1,"_",IF(C186="_","???",C186))</f>
        <v/>
      </c>
      <c r="H186" s="10" t="s">
        <v>11</v>
      </c>
      <c r="I186" s="11" t="s">
        <v>11</v>
      </c>
      <c r="J186" s="12"/>
    </row>
    <row r="187" spans="1:10" ht="60" customHeight="1">
      <c r="A187" s="6" t="s">
        <v>674</v>
      </c>
      <c r="B187" s="6" t="s">
        <v>15</v>
      </c>
      <c r="C187" s="6" t="s">
        <v>11</v>
      </c>
      <c r="D187" s="7" t="s">
        <v>381</v>
      </c>
      <c r="E187" s="8" t="s">
        <v>675</v>
      </c>
      <c r="F187" s="6" t="s">
        <v>676</v>
      </c>
      <c r="G187" s="9">
        <f>IF(A187=1,"_",IF(C187="_","???",C187))</f>
        <v/>
      </c>
      <c r="H187" s="10" t="s">
        <v>11</v>
      </c>
      <c r="I187" s="11" t="s">
        <v>11</v>
      </c>
      <c r="J187" s="12"/>
    </row>
    <row r="188" spans="1:10" ht="60" customHeight="1">
      <c r="A188" s="6" t="s">
        <v>677</v>
      </c>
      <c r="B188" s="6" t="s">
        <v>15</v>
      </c>
      <c r="C188" s="6" t="s">
        <v>11</v>
      </c>
      <c r="D188" s="7" t="s">
        <v>381</v>
      </c>
      <c r="E188" s="8" t="s">
        <v>678</v>
      </c>
      <c r="F188" s="6" t="s">
        <v>679</v>
      </c>
      <c r="G188" s="9">
        <f>IF(A188=1,"_",IF(C188="_","???",C188))</f>
        <v/>
      </c>
      <c r="H188" s="10" t="s">
        <v>11</v>
      </c>
      <c r="I188" s="11" t="s">
        <v>11</v>
      </c>
      <c r="J188" s="12"/>
    </row>
    <row r="189" spans="1:10" ht="60" customHeight="1">
      <c r="A189" s="6" t="s">
        <v>680</v>
      </c>
      <c r="B189" s="6" t="s">
        <v>31</v>
      </c>
      <c r="C189" s="6" t="s">
        <v>11</v>
      </c>
      <c r="D189" s="7" t="s">
        <v>70</v>
      </c>
      <c r="E189" s="8" t="s">
        <v>681</v>
      </c>
      <c r="F189" s="6" t="s">
        <v>682</v>
      </c>
      <c r="G189" s="9">
        <f>IF(A189=1,"_",IF(C189="_","???",C189))</f>
        <v/>
      </c>
      <c r="H189" s="10" t="s">
        <v>11</v>
      </c>
      <c r="I189" s="11" t="s">
        <v>11</v>
      </c>
      <c r="J189" s="12"/>
    </row>
    <row r="190" spans="1:10" ht="60" customHeight="1">
      <c r="A190" s="6" t="s">
        <v>683</v>
      </c>
      <c r="B190" s="6" t="s">
        <v>19</v>
      </c>
      <c r="C190" s="6" t="s">
        <v>11</v>
      </c>
      <c r="D190" s="7" t="s">
        <v>20</v>
      </c>
      <c r="E190" s="8" t="s">
        <v>684</v>
      </c>
      <c r="F190" s="6" t="s">
        <v>685</v>
      </c>
      <c r="G190" s="9">
        <f>IF(A190=1,"_",IF(C190="_","???",C190))</f>
        <v/>
      </c>
      <c r="H190" s="10" t="s">
        <v>11</v>
      </c>
      <c r="I190" s="11" t="s">
        <v>11</v>
      </c>
      <c r="J190" s="12"/>
    </row>
    <row r="191" spans="1:10" ht="60" customHeight="1">
      <c r="A191" s="6" t="s">
        <v>686</v>
      </c>
      <c r="B191" s="6" t="s">
        <v>10</v>
      </c>
      <c r="C191" s="6" t="s">
        <v>11</v>
      </c>
      <c r="D191" s="7" t="s">
        <v>687</v>
      </c>
      <c r="E191" s="8" t="s">
        <v>688</v>
      </c>
      <c r="F191" s="6" t="s">
        <v>689</v>
      </c>
      <c r="G191" s="9">
        <f>IF(A191=1,"_",IF(C191="_","???",C191))</f>
        <v/>
      </c>
      <c r="H191" s="10" t="s">
        <v>11</v>
      </c>
      <c r="I191" s="11" t="s">
        <v>11</v>
      </c>
      <c r="J191" s="12"/>
    </row>
    <row r="192" spans="1:10" ht="60" customHeight="1">
      <c r="A192" s="6" t="s">
        <v>690</v>
      </c>
      <c r="B192" s="6" t="s">
        <v>10</v>
      </c>
      <c r="C192" s="6" t="s">
        <v>11</v>
      </c>
      <c r="D192" s="7" t="s">
        <v>691</v>
      </c>
      <c r="E192" s="8" t="s">
        <v>692</v>
      </c>
      <c r="F192" s="6" t="s">
        <v>693</v>
      </c>
      <c r="G192" s="9">
        <f>IF(A192=1,"_",IF(C192="_","???",C192))</f>
        <v/>
      </c>
      <c r="H192" s="10" t="s">
        <v>11</v>
      </c>
      <c r="I192" s="11" t="s">
        <v>11</v>
      </c>
      <c r="J192" s="12"/>
    </row>
    <row r="193" spans="1:10" ht="60" customHeight="1">
      <c r="A193" s="6" t="s">
        <v>694</v>
      </c>
      <c r="B193" s="6" t="s">
        <v>10</v>
      </c>
      <c r="C193" s="6" t="s">
        <v>11</v>
      </c>
      <c r="D193" s="7" t="s">
        <v>695</v>
      </c>
      <c r="E193" s="8" t="s">
        <v>696</v>
      </c>
      <c r="F193" s="6" t="s">
        <v>697</v>
      </c>
      <c r="G193" s="9">
        <f>IF(A193=1,"_",IF(C193="_","???",C193))</f>
        <v/>
      </c>
      <c r="H193" s="10" t="s">
        <v>11</v>
      </c>
      <c r="I193" s="11" t="s">
        <v>11</v>
      </c>
      <c r="J193" s="12"/>
    </row>
    <row r="194" spans="1:10" ht="60" customHeight="1">
      <c r="A194" s="6" t="s">
        <v>698</v>
      </c>
      <c r="B194" s="6" t="s">
        <v>10</v>
      </c>
      <c r="C194" s="6" t="s">
        <v>65</v>
      </c>
      <c r="D194" s="7" t="s">
        <v>98</v>
      </c>
      <c r="E194" s="8" t="s">
        <v>699</v>
      </c>
      <c r="F194" s="6" t="s">
        <v>700</v>
      </c>
      <c r="G194" s="9">
        <f>IF(A194=1,"_",IF(C194="_","???",C194))</f>
        <v/>
      </c>
      <c r="H194" s="10" t="s">
        <v>11</v>
      </c>
      <c r="I194" s="11" t="s">
        <v>11</v>
      </c>
      <c r="J194" s="12"/>
    </row>
    <row r="195" spans="1:10" ht="60" customHeight="1">
      <c r="A195" s="6" t="s">
        <v>701</v>
      </c>
      <c r="B195" s="6" t="s">
        <v>10</v>
      </c>
      <c r="C195" s="6" t="s">
        <v>11</v>
      </c>
      <c r="D195" s="7" t="s">
        <v>114</v>
      </c>
      <c r="E195" s="8" t="s">
        <v>702</v>
      </c>
      <c r="F195" s="6" t="s">
        <v>703</v>
      </c>
      <c r="G195" s="9">
        <f>IF(A195=1,"_",IF(C195="_","???",C195))</f>
        <v/>
      </c>
      <c r="H195" s="10" t="s">
        <v>11</v>
      </c>
      <c r="I195" s="11" t="s">
        <v>11</v>
      </c>
      <c r="J195" s="12"/>
    </row>
    <row r="196" spans="1:10" ht="60" customHeight="1">
      <c r="A196" s="6" t="s">
        <v>704</v>
      </c>
      <c r="B196" s="6" t="s">
        <v>15</v>
      </c>
      <c r="C196" s="6" t="s">
        <v>11</v>
      </c>
      <c r="D196" s="7" t="s">
        <v>705</v>
      </c>
      <c r="E196" s="8" t="s">
        <v>706</v>
      </c>
      <c r="F196" s="6" t="s">
        <v>707</v>
      </c>
      <c r="G196" s="9">
        <f>IF(A196=1,"_",IF(C196="_","???",C196))</f>
        <v/>
      </c>
      <c r="H196" s="10" t="s">
        <v>11</v>
      </c>
      <c r="I196" s="11" t="s">
        <v>11</v>
      </c>
      <c r="J196" s="12"/>
    </row>
    <row r="197" spans="1:10" ht="60" customHeight="1">
      <c r="A197" s="6" t="s">
        <v>708</v>
      </c>
      <c r="B197" s="6" t="s">
        <v>10</v>
      </c>
      <c r="C197" s="6" t="s">
        <v>11</v>
      </c>
      <c r="D197" s="7" t="s">
        <v>709</v>
      </c>
      <c r="E197" s="8" t="s">
        <v>710</v>
      </c>
      <c r="F197" s="6" t="s">
        <v>711</v>
      </c>
      <c r="G197" s="9">
        <f>IF(A197=1,"_",IF(C197="_","???",C197))</f>
        <v/>
      </c>
      <c r="H197" s="10" t="s">
        <v>11</v>
      </c>
      <c r="I197" s="11" t="s">
        <v>11</v>
      </c>
      <c r="J197" s="12"/>
    </row>
    <row r="198" spans="1:10" ht="60" customHeight="1">
      <c r="A198" s="6" t="s">
        <v>712</v>
      </c>
      <c r="B198" s="6" t="s">
        <v>10</v>
      </c>
      <c r="C198" s="6" t="s">
        <v>11</v>
      </c>
      <c r="D198" s="7" t="s">
        <v>56</v>
      </c>
      <c r="E198" s="8" t="s">
        <v>653</v>
      </c>
      <c r="F198" s="6" t="s">
        <v>713</v>
      </c>
      <c r="G198" s="9">
        <f>IF(A198=1,"_",IF(C198="_","???",C198))</f>
        <v/>
      </c>
      <c r="H198" s="10" t="s">
        <v>11</v>
      </c>
      <c r="I198" s="11" t="s">
        <v>11</v>
      </c>
      <c r="J198" s="12"/>
    </row>
    <row r="199" spans="1:10" ht="60" customHeight="1">
      <c r="A199" s="6" t="s">
        <v>714</v>
      </c>
      <c r="B199" s="6" t="s">
        <v>19</v>
      </c>
      <c r="C199" s="6" t="s">
        <v>11</v>
      </c>
      <c r="D199" s="7" t="s">
        <v>715</v>
      </c>
      <c r="E199" s="8" t="s">
        <v>716</v>
      </c>
      <c r="F199" s="6" t="s">
        <v>717</v>
      </c>
      <c r="G199" s="9">
        <f>IF(A199=1,"_",IF(C199="_","???",C199))</f>
        <v/>
      </c>
      <c r="H199" s="10" t="s">
        <v>11</v>
      </c>
      <c r="I199" s="11" t="s">
        <v>11</v>
      </c>
      <c r="J199" s="12"/>
    </row>
    <row r="200" spans="1:10" ht="60" customHeight="1">
      <c r="A200" s="6" t="s">
        <v>718</v>
      </c>
      <c r="B200" s="6" t="s">
        <v>10</v>
      </c>
      <c r="C200" s="6" t="s">
        <v>65</v>
      </c>
      <c r="D200" s="7" t="s">
        <v>48</v>
      </c>
      <c r="E200" s="8" t="s">
        <v>719</v>
      </c>
      <c r="F200" s="6" t="s">
        <v>720</v>
      </c>
      <c r="G200" s="9">
        <f>IF(A200=1,"_",IF(C200="_","???",C200))</f>
        <v/>
      </c>
      <c r="H200" s="10" t="s">
        <v>11</v>
      </c>
      <c r="I200" s="11" t="s">
        <v>11</v>
      </c>
      <c r="J200" s="12"/>
    </row>
    <row r="201" spans="1:10" ht="60" customHeight="1">
      <c r="A201" s="6" t="s">
        <v>721</v>
      </c>
      <c r="B201" s="6" t="s">
        <v>10</v>
      </c>
      <c r="C201" s="6" t="s">
        <v>11</v>
      </c>
      <c r="D201" s="7" t="s">
        <v>186</v>
      </c>
      <c r="E201" s="8" t="s">
        <v>722</v>
      </c>
      <c r="F201" s="6" t="s">
        <v>723</v>
      </c>
      <c r="G201" s="9">
        <f>IF(A201=1,"_",IF(C201="_","???",C201))</f>
        <v/>
      </c>
      <c r="H201" s="10" t="s">
        <v>11</v>
      </c>
      <c r="I201" s="11" t="s">
        <v>11</v>
      </c>
      <c r="J201" s="12"/>
    </row>
    <row r="202" spans="1:10" ht="60" customHeight="1">
      <c r="A202" s="6" t="s">
        <v>724</v>
      </c>
      <c r="B202" s="6" t="s">
        <v>23</v>
      </c>
      <c r="C202" s="6" t="s">
        <v>11</v>
      </c>
      <c r="D202" s="7" t="s">
        <v>392</v>
      </c>
      <c r="E202" s="8" t="s">
        <v>725</v>
      </c>
      <c r="F202" s="6" t="s">
        <v>726</v>
      </c>
      <c r="G202" s="9">
        <f>IF(A202=1,"_",IF(C202="_","???",C202))</f>
        <v/>
      </c>
      <c r="H202" s="10" t="s">
        <v>11</v>
      </c>
      <c r="I202" s="11" t="s">
        <v>11</v>
      </c>
      <c r="J202" s="12"/>
    </row>
    <row r="203" spans="1:10" ht="60" customHeight="1">
      <c r="A203" s="6" t="s">
        <v>727</v>
      </c>
      <c r="B203" s="6" t="s">
        <v>15</v>
      </c>
      <c r="C203" s="6" t="s">
        <v>11</v>
      </c>
      <c r="D203" s="7" t="s">
        <v>74</v>
      </c>
      <c r="E203" s="8" t="s">
        <v>728</v>
      </c>
      <c r="F203" s="6" t="s">
        <v>729</v>
      </c>
      <c r="G203" s="9">
        <f>IF(A203=1,"_",IF(C203="_","???",C203))</f>
        <v/>
      </c>
      <c r="H203" s="10" t="s">
        <v>11</v>
      </c>
      <c r="I203" s="11" t="s">
        <v>11</v>
      </c>
      <c r="J203" s="12"/>
    </row>
    <row r="204" spans="1:10" ht="60" customHeight="1">
      <c r="A204" s="6" t="s">
        <v>730</v>
      </c>
      <c r="B204" s="6" t="s">
        <v>23</v>
      </c>
      <c r="C204" s="6" t="s">
        <v>11</v>
      </c>
      <c r="D204" s="7" t="s">
        <v>74</v>
      </c>
      <c r="E204" s="8" t="s">
        <v>731</v>
      </c>
      <c r="F204" s="6" t="s">
        <v>732</v>
      </c>
      <c r="G204" s="9">
        <f>IF(A204=1,"_",IF(C204="_","???",C204))</f>
        <v/>
      </c>
      <c r="H204" s="10" t="s">
        <v>11</v>
      </c>
      <c r="I204" s="11" t="s">
        <v>11</v>
      </c>
      <c r="J204" s="12"/>
    </row>
    <row r="205" spans="1:10" ht="60" customHeight="1">
      <c r="A205" s="6" t="s">
        <v>733</v>
      </c>
      <c r="B205" s="6" t="s">
        <v>10</v>
      </c>
      <c r="C205" s="6" t="s">
        <v>11</v>
      </c>
      <c r="D205" s="7" t="s">
        <v>110</v>
      </c>
      <c r="E205" s="8" t="s">
        <v>734</v>
      </c>
      <c r="F205" s="6" t="s">
        <v>735</v>
      </c>
      <c r="G205" s="9">
        <f>IF(A205=1,"_",IF(C205="_","???",C205))</f>
        <v/>
      </c>
      <c r="H205" s="10" t="s">
        <v>11</v>
      </c>
      <c r="I205" s="11" t="s">
        <v>11</v>
      </c>
      <c r="J205" s="12"/>
    </row>
    <row r="206" spans="1:10" ht="60" customHeight="1">
      <c r="A206" s="6" t="s">
        <v>736</v>
      </c>
      <c r="B206" s="6" t="s">
        <v>10</v>
      </c>
      <c r="C206" s="6" t="s">
        <v>11</v>
      </c>
      <c r="D206" s="7" t="s">
        <v>114</v>
      </c>
      <c r="E206" s="8" t="s">
        <v>737</v>
      </c>
      <c r="F206" s="6" t="s">
        <v>738</v>
      </c>
      <c r="G206" s="9">
        <f>IF(A206=1,"_",IF(C206="_","???",C206))</f>
        <v/>
      </c>
      <c r="H206" s="10" t="s">
        <v>11</v>
      </c>
      <c r="I206" s="11" t="s">
        <v>11</v>
      </c>
      <c r="J206" s="12"/>
    </row>
    <row r="207" spans="1:10" ht="60" customHeight="1">
      <c r="A207" s="6" t="s">
        <v>739</v>
      </c>
      <c r="B207" s="6" t="s">
        <v>10</v>
      </c>
      <c r="C207" s="6" t="s">
        <v>11</v>
      </c>
      <c r="D207" s="7" t="s">
        <v>56</v>
      </c>
      <c r="E207" s="8" t="s">
        <v>740</v>
      </c>
      <c r="F207" s="6" t="s">
        <v>741</v>
      </c>
      <c r="G207" s="9">
        <f>IF(A207=1,"_",IF(C207="_","???",C207))</f>
        <v/>
      </c>
      <c r="H207" s="10" t="s">
        <v>11</v>
      </c>
      <c r="I207" s="11" t="s">
        <v>11</v>
      </c>
      <c r="J207" s="12"/>
    </row>
    <row r="208" spans="1:10" ht="60" customHeight="1">
      <c r="A208" s="6" t="s">
        <v>742</v>
      </c>
      <c r="B208" s="6" t="s">
        <v>10</v>
      </c>
      <c r="C208" s="6" t="s">
        <v>11</v>
      </c>
      <c r="D208" s="7" t="s">
        <v>61</v>
      </c>
      <c r="E208" s="8" t="s">
        <v>743</v>
      </c>
      <c r="F208" s="6" t="s">
        <v>744</v>
      </c>
      <c r="G208" s="9">
        <f>IF(A208=1,"_",IF(C208="_","???",C208))</f>
        <v/>
      </c>
      <c r="H208" s="10" t="s">
        <v>11</v>
      </c>
      <c r="I208" s="11" t="s">
        <v>11</v>
      </c>
      <c r="J208" s="12"/>
    </row>
    <row r="209" spans="1:10" ht="60" customHeight="1">
      <c r="A209" s="6" t="s">
        <v>745</v>
      </c>
      <c r="B209" s="6" t="s">
        <v>19</v>
      </c>
      <c r="C209" s="6" t="s">
        <v>11</v>
      </c>
      <c r="D209" s="7" t="s">
        <v>74</v>
      </c>
      <c r="E209" s="8" t="s">
        <v>746</v>
      </c>
      <c r="F209" s="6" t="s">
        <v>747</v>
      </c>
      <c r="G209" s="9">
        <f>IF(A209=1,"_",IF(C209="_","???",C209))</f>
        <v/>
      </c>
      <c r="H209" s="10" t="s">
        <v>11</v>
      </c>
      <c r="I209" s="11" t="s">
        <v>11</v>
      </c>
      <c r="J209" s="12"/>
    </row>
    <row r="210" spans="1:10" ht="60" customHeight="1">
      <c r="A210" s="6" t="s">
        <v>748</v>
      </c>
      <c r="B210" s="6" t="s">
        <v>73</v>
      </c>
      <c r="C210" s="6" t="s">
        <v>11</v>
      </c>
      <c r="D210" s="7" t="s">
        <v>215</v>
      </c>
      <c r="E210" s="8" t="s">
        <v>749</v>
      </c>
      <c r="F210" s="6" t="s">
        <v>750</v>
      </c>
      <c r="G210" s="9">
        <f>IF(A210=1,"_",IF(C210="_","???",C210))</f>
        <v/>
      </c>
      <c r="H210" s="10" t="s">
        <v>11</v>
      </c>
      <c r="I210" s="11" t="s">
        <v>11</v>
      </c>
      <c r="J210" s="12"/>
    </row>
    <row r="211" spans="1:10" ht="60" customHeight="1">
      <c r="A211" s="6" t="s">
        <v>751</v>
      </c>
      <c r="B211" s="6" t="s">
        <v>10</v>
      </c>
      <c r="C211" s="6" t="s">
        <v>11</v>
      </c>
      <c r="D211" s="7" t="s">
        <v>609</v>
      </c>
      <c r="E211" s="8" t="s">
        <v>752</v>
      </c>
      <c r="F211" s="6" t="s">
        <v>753</v>
      </c>
      <c r="G211" s="9">
        <f>IF(A211=1,"_",IF(C211="_","???",C211))</f>
        <v/>
      </c>
      <c r="H211" s="10" t="s">
        <v>11</v>
      </c>
      <c r="I211" s="11" t="s">
        <v>11</v>
      </c>
      <c r="J211" s="12"/>
    </row>
    <row r="212" spans="1:10" ht="60" customHeight="1">
      <c r="A212" s="6" t="s">
        <v>754</v>
      </c>
      <c r="B212" s="6" t="s">
        <v>23</v>
      </c>
      <c r="C212" s="6" t="s">
        <v>755</v>
      </c>
      <c r="D212" s="7" t="s">
        <v>756</v>
      </c>
      <c r="E212" s="8" t="s">
        <v>757</v>
      </c>
      <c r="F212" s="6" t="s">
        <v>758</v>
      </c>
      <c r="G212" s="9">
        <f>IF(A212=1,"_",IF(C212="_","???",C212))</f>
        <v/>
      </c>
      <c r="H212" s="10" t="s">
        <v>11</v>
      </c>
      <c r="I212" s="11" t="s">
        <v>11</v>
      </c>
      <c r="J212" s="12"/>
    </row>
    <row r="213" spans="1:10" ht="60" customHeight="1">
      <c r="A213" s="6" t="s">
        <v>759</v>
      </c>
      <c r="B213" s="6" t="s">
        <v>10</v>
      </c>
      <c r="C213" s="6" t="s">
        <v>11</v>
      </c>
      <c r="D213" s="7" t="s">
        <v>760</v>
      </c>
      <c r="E213" s="8" t="s">
        <v>761</v>
      </c>
      <c r="F213" s="6" t="s">
        <v>762</v>
      </c>
      <c r="G213" s="9">
        <f>IF(A213=1,"_",IF(C213="_","???",C213))</f>
        <v/>
      </c>
      <c r="H213" s="10" t="s">
        <v>11</v>
      </c>
      <c r="I213" s="11" t="s">
        <v>11</v>
      </c>
      <c r="J213" s="12"/>
    </row>
    <row r="214" spans="1:10" ht="60" customHeight="1">
      <c r="A214" s="6" t="s">
        <v>763</v>
      </c>
      <c r="B214" s="6" t="s">
        <v>24</v>
      </c>
      <c r="C214" s="6" t="s">
        <v>11</v>
      </c>
      <c r="D214" s="7" t="s">
        <v>114</v>
      </c>
      <c r="E214" s="8" t="s">
        <v>764</v>
      </c>
      <c r="F214" s="6" t="s">
        <v>765</v>
      </c>
      <c r="G214" s="9">
        <f>IF(A214=1,"_",IF(C214="_","???",C214))</f>
        <v/>
      </c>
      <c r="H214" s="10" t="s">
        <v>11</v>
      </c>
      <c r="I214" s="11" t="s">
        <v>11</v>
      </c>
      <c r="J214" s="12"/>
    </row>
    <row r="215" spans="1:10" ht="60" customHeight="1">
      <c r="A215" s="6" t="s">
        <v>766</v>
      </c>
      <c r="B215" s="6" t="s">
        <v>10</v>
      </c>
      <c r="C215" s="6" t="s">
        <v>11</v>
      </c>
      <c r="D215" s="7" t="s">
        <v>767</v>
      </c>
      <c r="E215" s="8" t="s">
        <v>768</v>
      </c>
      <c r="F215" s="6" t="s">
        <v>769</v>
      </c>
      <c r="G215" s="9">
        <f>IF(A215=1,"_",IF(C215="_","???",C215))</f>
        <v/>
      </c>
      <c r="H215" s="10" t="s">
        <v>11</v>
      </c>
      <c r="I215" s="11" t="s">
        <v>11</v>
      </c>
      <c r="J215" s="12"/>
    </row>
    <row r="216" spans="1:10" ht="60" customHeight="1">
      <c r="A216" s="6" t="s">
        <v>770</v>
      </c>
      <c r="B216" s="6" t="s">
        <v>19</v>
      </c>
      <c r="C216" s="6" t="s">
        <v>11</v>
      </c>
      <c r="D216" s="7" t="s">
        <v>263</v>
      </c>
      <c r="E216" s="8" t="s">
        <v>771</v>
      </c>
      <c r="F216" s="6" t="s">
        <v>772</v>
      </c>
      <c r="G216" s="9">
        <f>IF(A216=1,"_",IF(C216="_","???",C216))</f>
        <v/>
      </c>
      <c r="H216" s="10" t="s">
        <v>11</v>
      </c>
      <c r="I216" s="11" t="s">
        <v>11</v>
      </c>
      <c r="J216" s="12"/>
    </row>
    <row r="217" spans="1:10" ht="60" customHeight="1">
      <c r="A217" s="6" t="s">
        <v>773</v>
      </c>
      <c r="B217" s="6" t="s">
        <v>19</v>
      </c>
      <c r="C217" s="6" t="s">
        <v>11</v>
      </c>
      <c r="D217" s="7" t="s">
        <v>774</v>
      </c>
      <c r="E217" s="8" t="s">
        <v>775</v>
      </c>
      <c r="F217" s="6" t="s">
        <v>776</v>
      </c>
      <c r="G217" s="9">
        <f>IF(A217=1,"_",IF(C217="_","???",C217))</f>
        <v/>
      </c>
      <c r="H217" s="10" t="s">
        <v>11</v>
      </c>
      <c r="I217" s="11" t="s">
        <v>11</v>
      </c>
      <c r="J217" s="12"/>
    </row>
    <row r="218" spans="1:10" ht="60" customHeight="1">
      <c r="A218" s="6" t="s">
        <v>777</v>
      </c>
      <c r="B218" s="6" t="s">
        <v>10</v>
      </c>
      <c r="C218" s="6" t="s">
        <v>11</v>
      </c>
      <c r="D218" s="7" t="s">
        <v>500</v>
      </c>
      <c r="E218" s="8" t="s">
        <v>778</v>
      </c>
      <c r="F218" s="6" t="s">
        <v>779</v>
      </c>
      <c r="G218" s="9">
        <f>IF(A218=1,"_",IF(C218="_","???",C218))</f>
        <v/>
      </c>
      <c r="H218" s="10" t="s">
        <v>11</v>
      </c>
      <c r="I218" s="11" t="s">
        <v>11</v>
      </c>
      <c r="J218" s="12"/>
    </row>
    <row r="219" spans="1:10" ht="60" customHeight="1">
      <c r="A219" s="6" t="s">
        <v>780</v>
      </c>
      <c r="B219" s="6" t="s">
        <v>15</v>
      </c>
      <c r="C219" s="6" t="s">
        <v>11</v>
      </c>
      <c r="D219" s="7" t="s">
        <v>781</v>
      </c>
      <c r="E219" s="8" t="s">
        <v>782</v>
      </c>
      <c r="F219" s="6" t="s">
        <v>783</v>
      </c>
      <c r="G219" s="9">
        <f>IF(A219=1,"_",IF(C219="_","???",C219))</f>
        <v/>
      </c>
      <c r="H219" s="10" t="s">
        <v>11</v>
      </c>
      <c r="I219" s="11" t="s">
        <v>11</v>
      </c>
      <c r="J219" s="12"/>
    </row>
    <row r="220" spans="1:10" ht="60" customHeight="1">
      <c r="A220" s="6" t="s">
        <v>784</v>
      </c>
      <c r="B220" s="6" t="s">
        <v>15</v>
      </c>
      <c r="C220" s="6" t="s">
        <v>11</v>
      </c>
      <c r="D220" s="7" t="s">
        <v>98</v>
      </c>
      <c r="E220" s="8" t="s">
        <v>785</v>
      </c>
      <c r="F220" s="6" t="s">
        <v>786</v>
      </c>
      <c r="G220" s="9">
        <f>IF(A220=1,"_",IF(C220="_","???",C220))</f>
        <v/>
      </c>
      <c r="H220" s="10" t="s">
        <v>11</v>
      </c>
      <c r="I220" s="11" t="s">
        <v>11</v>
      </c>
      <c r="J220" s="12"/>
    </row>
    <row r="221" spans="1:10" ht="60" customHeight="1">
      <c r="A221" s="6" t="s">
        <v>787</v>
      </c>
      <c r="B221" s="6" t="s">
        <v>10</v>
      </c>
      <c r="C221" s="6" t="s">
        <v>11</v>
      </c>
      <c r="D221" s="7" t="s">
        <v>788</v>
      </c>
      <c r="E221" s="8" t="s">
        <v>789</v>
      </c>
      <c r="F221" s="6" t="s">
        <v>790</v>
      </c>
      <c r="G221" s="9">
        <f>IF(A221=1,"_",IF(C221="_","???",C221))</f>
        <v/>
      </c>
      <c r="H221" s="10" t="s">
        <v>11</v>
      </c>
      <c r="I221" s="11" t="s">
        <v>11</v>
      </c>
      <c r="J221" s="12"/>
    </row>
    <row r="222" spans="1:10" ht="60" customHeight="1">
      <c r="A222" s="6" t="s">
        <v>791</v>
      </c>
      <c r="B222" s="6" t="s">
        <v>10</v>
      </c>
      <c r="C222" s="6" t="s">
        <v>11</v>
      </c>
      <c r="D222" s="7" t="s">
        <v>70</v>
      </c>
      <c r="E222" s="8" t="s">
        <v>792</v>
      </c>
      <c r="F222" s="6" t="s">
        <v>793</v>
      </c>
      <c r="G222" s="9">
        <f>IF(A222=1,"_",IF(C222="_","???",C222))</f>
        <v/>
      </c>
      <c r="H222" s="10" t="s">
        <v>11</v>
      </c>
      <c r="I222" s="11" t="s">
        <v>11</v>
      </c>
      <c r="J222" s="12"/>
    </row>
    <row r="223" spans="1:10" ht="60" customHeight="1">
      <c r="A223" s="6" t="s">
        <v>794</v>
      </c>
      <c r="B223" s="6" t="s">
        <v>10</v>
      </c>
      <c r="C223" s="6" t="s">
        <v>11</v>
      </c>
      <c r="D223" s="7" t="s">
        <v>48</v>
      </c>
      <c r="E223" s="8" t="s">
        <v>795</v>
      </c>
      <c r="F223" s="6" t="s">
        <v>796</v>
      </c>
      <c r="G223" s="9">
        <f>IF(A223=1,"_",IF(C223="_","???",C223))</f>
        <v/>
      </c>
      <c r="H223" s="10" t="s">
        <v>11</v>
      </c>
      <c r="I223" s="11" t="s">
        <v>11</v>
      </c>
      <c r="J223" s="12"/>
    </row>
    <row r="224" spans="1:10" ht="60" customHeight="1">
      <c r="A224" s="6" t="s">
        <v>797</v>
      </c>
      <c r="B224" s="6" t="s">
        <v>39</v>
      </c>
      <c r="C224" s="6" t="s">
        <v>11</v>
      </c>
      <c r="D224" s="7" t="s">
        <v>798</v>
      </c>
      <c r="E224" s="8" t="s">
        <v>799</v>
      </c>
      <c r="F224" s="6" t="s">
        <v>800</v>
      </c>
      <c r="G224" s="9">
        <f>IF(A224=1,"_",IF(C224="_","???",C224))</f>
        <v/>
      </c>
      <c r="H224" s="10" t="s">
        <v>11</v>
      </c>
      <c r="I224" s="11" t="s">
        <v>11</v>
      </c>
      <c r="J224" s="12"/>
    </row>
    <row r="225" spans="1:10" ht="60" customHeight="1">
      <c r="A225" s="6" t="s">
        <v>801</v>
      </c>
      <c r="B225" s="6" t="s">
        <v>10</v>
      </c>
      <c r="C225" s="6" t="s">
        <v>11</v>
      </c>
      <c r="D225" s="7" t="s">
        <v>61</v>
      </c>
      <c r="E225" s="8" t="s">
        <v>802</v>
      </c>
      <c r="F225" s="6" t="s">
        <v>803</v>
      </c>
      <c r="G225" s="9">
        <f>IF(A225=1,"_",IF(C225="_","???",C225))</f>
        <v/>
      </c>
      <c r="H225" s="10" t="s">
        <v>11</v>
      </c>
      <c r="I225" s="11" t="s">
        <v>11</v>
      </c>
      <c r="J225" s="12"/>
    </row>
    <row r="226" spans="1:10" ht="60" customHeight="1">
      <c r="A226" s="6" t="s">
        <v>804</v>
      </c>
      <c r="B226" s="6" t="s">
        <v>10</v>
      </c>
      <c r="C226" s="6" t="s">
        <v>11</v>
      </c>
      <c r="D226" s="7" t="s">
        <v>56</v>
      </c>
      <c r="E226" s="8" t="s">
        <v>805</v>
      </c>
      <c r="F226" s="6" t="s">
        <v>806</v>
      </c>
      <c r="G226" s="9">
        <f>IF(A226=1,"_",IF(C226="_","???",C226))</f>
        <v/>
      </c>
      <c r="H226" s="10" t="s">
        <v>11</v>
      </c>
      <c r="I226" s="11" t="s">
        <v>11</v>
      </c>
      <c r="J226" s="12"/>
    </row>
    <row r="227" spans="1:10" ht="60" customHeight="1">
      <c r="A227" s="6" t="s">
        <v>807</v>
      </c>
      <c r="B227" s="6" t="s">
        <v>19</v>
      </c>
      <c r="C227" s="6" t="s">
        <v>11</v>
      </c>
      <c r="D227" s="7" t="s">
        <v>808</v>
      </c>
      <c r="E227" s="8" t="s">
        <v>809</v>
      </c>
      <c r="F227" s="6" t="s">
        <v>810</v>
      </c>
      <c r="G227" s="9">
        <f>IF(A227=1,"_",IF(C227="_","???",C227))</f>
        <v/>
      </c>
      <c r="H227" s="10" t="s">
        <v>11</v>
      </c>
      <c r="I227" s="11" t="s">
        <v>11</v>
      </c>
      <c r="J227" s="12"/>
    </row>
    <row r="228" spans="1:10" ht="60" customHeight="1">
      <c r="A228" s="6" t="s">
        <v>811</v>
      </c>
      <c r="B228" s="6" t="s">
        <v>19</v>
      </c>
      <c r="C228" s="6" t="s">
        <v>11</v>
      </c>
      <c r="D228" s="7" t="s">
        <v>812</v>
      </c>
      <c r="E228" s="8" t="s">
        <v>813</v>
      </c>
      <c r="F228" s="6" t="s">
        <v>814</v>
      </c>
      <c r="G228" s="9">
        <f>IF(A228=1,"_",IF(C228="_","???",C228))</f>
        <v/>
      </c>
      <c r="H228" s="10" t="s">
        <v>11</v>
      </c>
      <c r="I228" s="11" t="s">
        <v>11</v>
      </c>
      <c r="J228" s="12"/>
    </row>
    <row r="229" spans="1:10" ht="60" customHeight="1">
      <c r="A229" s="6" t="s">
        <v>815</v>
      </c>
      <c r="B229" s="6" t="s">
        <v>15</v>
      </c>
      <c r="C229" s="6" t="s">
        <v>11</v>
      </c>
      <c r="D229" s="7" t="s">
        <v>61</v>
      </c>
      <c r="E229" s="8" t="s">
        <v>816</v>
      </c>
      <c r="F229" s="6" t="s">
        <v>817</v>
      </c>
      <c r="G229" s="9">
        <f>IF(A229=1,"_",IF(C229="_","???",C229))</f>
        <v/>
      </c>
      <c r="H229" s="10" t="s">
        <v>11</v>
      </c>
      <c r="I229" s="11" t="s">
        <v>11</v>
      </c>
      <c r="J229" s="12"/>
    </row>
    <row r="230" spans="1:10" ht="60" customHeight="1">
      <c r="A230" s="6" t="s">
        <v>818</v>
      </c>
      <c r="B230" s="6" t="s">
        <v>10</v>
      </c>
      <c r="C230" s="6" t="s">
        <v>11</v>
      </c>
      <c r="D230" s="7" t="s">
        <v>256</v>
      </c>
      <c r="E230" s="8" t="s">
        <v>819</v>
      </c>
      <c r="F230" s="6" t="s">
        <v>820</v>
      </c>
      <c r="G230" s="9">
        <f>IF(A230=1,"_",IF(C230="_","???",C230))</f>
        <v/>
      </c>
      <c r="H230" s="10" t="s">
        <v>11</v>
      </c>
      <c r="I230" s="11" t="s">
        <v>11</v>
      </c>
      <c r="J230" s="12"/>
    </row>
    <row r="231" spans="1:10" ht="60" customHeight="1">
      <c r="A231" s="6" t="s">
        <v>821</v>
      </c>
      <c r="B231" s="6" t="s">
        <v>23</v>
      </c>
      <c r="C231" s="6" t="s">
        <v>11</v>
      </c>
      <c r="D231" s="7" t="s">
        <v>822</v>
      </c>
      <c r="E231" s="8" t="s">
        <v>823</v>
      </c>
      <c r="F231" s="6" t="s">
        <v>824</v>
      </c>
      <c r="G231" s="9">
        <f>IF(A231=1,"_",IF(C231="_","???",C231))</f>
        <v/>
      </c>
      <c r="H231" s="10" t="s">
        <v>11</v>
      </c>
      <c r="I231" s="11" t="s">
        <v>11</v>
      </c>
      <c r="J231" s="12"/>
    </row>
    <row r="232" spans="1:10" ht="60" customHeight="1">
      <c r="A232" s="6" t="s">
        <v>825</v>
      </c>
      <c r="B232" s="6" t="s">
        <v>10</v>
      </c>
      <c r="C232" s="6" t="s">
        <v>11</v>
      </c>
      <c r="D232" s="7" t="s">
        <v>48</v>
      </c>
      <c r="E232" s="8" t="s">
        <v>826</v>
      </c>
      <c r="F232" s="6" t="s">
        <v>827</v>
      </c>
      <c r="G232" s="9">
        <f>IF(A232=1,"_",IF(C232="_","???",C232))</f>
        <v/>
      </c>
      <c r="H232" s="10" t="s">
        <v>11</v>
      </c>
      <c r="I232" s="11" t="s">
        <v>11</v>
      </c>
      <c r="J232" s="12"/>
    </row>
    <row r="233" spans="1:10" ht="60" customHeight="1">
      <c r="A233" s="6" t="s">
        <v>828</v>
      </c>
      <c r="B233" s="6" t="s">
        <v>55</v>
      </c>
      <c r="C233" s="6" t="s">
        <v>11</v>
      </c>
      <c r="D233" s="7" t="s">
        <v>392</v>
      </c>
      <c r="E233" s="8" t="s">
        <v>829</v>
      </c>
      <c r="F233" s="6" t="s">
        <v>830</v>
      </c>
      <c r="G233" s="9">
        <f>IF(A233=1,"_",IF(C233="_","???",C233))</f>
        <v/>
      </c>
      <c r="H233" s="10" t="s">
        <v>11</v>
      </c>
      <c r="I233" s="11" t="s">
        <v>11</v>
      </c>
      <c r="J233" s="12"/>
    </row>
    <row r="234" spans="1:10" ht="60" customHeight="1">
      <c r="A234" s="6" t="s">
        <v>831</v>
      </c>
      <c r="B234" s="6" t="s">
        <v>35</v>
      </c>
      <c r="C234" s="6" t="s">
        <v>11</v>
      </c>
      <c r="D234" s="7" t="s">
        <v>417</v>
      </c>
      <c r="E234" s="8" t="s">
        <v>832</v>
      </c>
      <c r="F234" s="6" t="s">
        <v>833</v>
      </c>
      <c r="G234" s="9">
        <f>IF(A234=1,"_",IF(C234="_","???",C234))</f>
        <v/>
      </c>
      <c r="H234" s="10" t="s">
        <v>11</v>
      </c>
      <c r="I234" s="11" t="s">
        <v>11</v>
      </c>
      <c r="J234" s="12"/>
    </row>
    <row r="235" spans="1:10" ht="60" customHeight="1">
      <c r="A235" s="6" t="s">
        <v>834</v>
      </c>
      <c r="B235" s="6" t="s">
        <v>10</v>
      </c>
      <c r="C235" s="6" t="s">
        <v>11</v>
      </c>
      <c r="D235" s="7" t="s">
        <v>48</v>
      </c>
      <c r="E235" s="8" t="s">
        <v>835</v>
      </c>
      <c r="F235" s="6" t="s">
        <v>836</v>
      </c>
      <c r="G235" s="9">
        <f>IF(A235=1,"_",IF(C235="_","???",C235))</f>
        <v/>
      </c>
      <c r="H235" s="10" t="s">
        <v>11</v>
      </c>
      <c r="I235" s="11" t="s">
        <v>11</v>
      </c>
      <c r="J235" s="12"/>
    </row>
    <row r="236" spans="1:10" ht="60" customHeight="1">
      <c r="A236" s="6" t="s">
        <v>837</v>
      </c>
      <c r="B236" s="6" t="s">
        <v>39</v>
      </c>
      <c r="C236" s="6" t="s">
        <v>11</v>
      </c>
      <c r="D236" s="7" t="s">
        <v>98</v>
      </c>
      <c r="E236" s="8" t="s">
        <v>838</v>
      </c>
      <c r="F236" s="6" t="s">
        <v>839</v>
      </c>
      <c r="G236" s="9">
        <f>IF(A236=1,"_",IF(C236="_","???",C236))</f>
        <v/>
      </c>
      <c r="H236" s="10" t="s">
        <v>11</v>
      </c>
      <c r="I236" s="11" t="s">
        <v>11</v>
      </c>
      <c r="J236" s="12"/>
    </row>
    <row r="237" spans="1:10" ht="60" customHeight="1">
      <c r="A237" s="6" t="s">
        <v>840</v>
      </c>
      <c r="B237" s="6" t="s">
        <v>10</v>
      </c>
      <c r="C237" s="6" t="s">
        <v>11</v>
      </c>
      <c r="D237" s="7" t="s">
        <v>56</v>
      </c>
      <c r="E237" s="8" t="s">
        <v>841</v>
      </c>
      <c r="F237" s="6" t="s">
        <v>842</v>
      </c>
      <c r="G237" s="9">
        <f>IF(A237=1,"_",IF(C237="_","???",C237))</f>
        <v/>
      </c>
      <c r="H237" s="10" t="s">
        <v>11</v>
      </c>
      <c r="I237" s="11" t="s">
        <v>11</v>
      </c>
      <c r="J237" s="12"/>
    </row>
    <row r="238" spans="1:10" ht="60" customHeight="1">
      <c r="A238" s="6" t="s">
        <v>843</v>
      </c>
      <c r="B238" s="6" t="s">
        <v>47</v>
      </c>
      <c r="C238" s="6" t="s">
        <v>11</v>
      </c>
      <c r="D238" s="7" t="s">
        <v>844</v>
      </c>
      <c r="E238" s="8" t="s">
        <v>845</v>
      </c>
      <c r="F238" s="6" t="s">
        <v>846</v>
      </c>
      <c r="G238" s="9">
        <f>IF(A238=1,"_",IF(C238="_","???",C238))</f>
        <v/>
      </c>
      <c r="H238" s="10" t="s">
        <v>11</v>
      </c>
      <c r="I238" s="11" t="s">
        <v>11</v>
      </c>
      <c r="J238" s="12"/>
    </row>
    <row r="239" spans="1:10" ht="60" customHeight="1">
      <c r="A239" s="6" t="s">
        <v>847</v>
      </c>
      <c r="B239" s="6" t="s">
        <v>10</v>
      </c>
      <c r="C239" s="6" t="s">
        <v>11</v>
      </c>
      <c r="D239" s="7" t="s">
        <v>56</v>
      </c>
      <c r="E239" s="8" t="s">
        <v>653</v>
      </c>
      <c r="F239" s="6" t="s">
        <v>848</v>
      </c>
      <c r="G239" s="9">
        <f>IF(A239=1,"_",IF(C239="_","???",C239))</f>
        <v/>
      </c>
      <c r="H239" s="10" t="s">
        <v>11</v>
      </c>
      <c r="I239" s="11" t="s">
        <v>11</v>
      </c>
      <c r="J239" s="12"/>
    </row>
    <row r="240" spans="1:10" ht="60" customHeight="1">
      <c r="A240" s="6" t="s">
        <v>849</v>
      </c>
      <c r="B240" s="6" t="s">
        <v>60</v>
      </c>
      <c r="C240" s="6" t="s">
        <v>11</v>
      </c>
      <c r="D240" s="7" t="s">
        <v>186</v>
      </c>
      <c r="E240" s="8" t="s">
        <v>850</v>
      </c>
      <c r="F240" s="6" t="s">
        <v>851</v>
      </c>
      <c r="G240" s="9">
        <f>IF(A240=1,"_",IF(C240="_","???",C240))</f>
        <v/>
      </c>
      <c r="H240" s="10" t="s">
        <v>11</v>
      </c>
      <c r="I240" s="11" t="s">
        <v>11</v>
      </c>
      <c r="J240" s="12"/>
    </row>
    <row r="241" spans="1:10" ht="60" customHeight="1">
      <c r="A241" s="6" t="s">
        <v>852</v>
      </c>
      <c r="B241" s="6" t="s">
        <v>10</v>
      </c>
      <c r="C241" s="6" t="s">
        <v>11</v>
      </c>
      <c r="D241" s="7" t="s">
        <v>186</v>
      </c>
      <c r="E241" s="8" t="s">
        <v>853</v>
      </c>
      <c r="F241" s="6" t="s">
        <v>854</v>
      </c>
      <c r="G241" s="9">
        <f>IF(A241=1,"_",IF(C241="_","???",C241))</f>
        <v/>
      </c>
      <c r="H241" s="10" t="s">
        <v>11</v>
      </c>
      <c r="I241" s="11" t="s">
        <v>11</v>
      </c>
      <c r="J241" s="12"/>
    </row>
    <row r="242" spans="1:10" ht="60" customHeight="1">
      <c r="A242" s="6" t="s">
        <v>855</v>
      </c>
      <c r="B242" s="6" t="s">
        <v>24</v>
      </c>
      <c r="C242" s="6" t="s">
        <v>11</v>
      </c>
      <c r="D242" s="7" t="s">
        <v>856</v>
      </c>
      <c r="E242" s="8" t="s">
        <v>857</v>
      </c>
      <c r="F242" s="6" t="s">
        <v>858</v>
      </c>
      <c r="G242" s="9">
        <f>IF(A242=1,"_",IF(C242="_","???",C242))</f>
        <v/>
      </c>
      <c r="H242" s="10" t="s">
        <v>11</v>
      </c>
      <c r="I242" s="11" t="s">
        <v>11</v>
      </c>
      <c r="J242" s="12"/>
    </row>
    <row r="243" spans="1:10" ht="60" customHeight="1">
      <c r="A243" s="6" t="s">
        <v>859</v>
      </c>
      <c r="B243" s="6" t="s">
        <v>15</v>
      </c>
      <c r="C243" s="6" t="s">
        <v>11</v>
      </c>
      <c r="D243" s="7" t="s">
        <v>860</v>
      </c>
      <c r="E243" s="8" t="s">
        <v>861</v>
      </c>
      <c r="F243" s="6" t="s">
        <v>862</v>
      </c>
      <c r="G243" s="9">
        <f>IF(A243=1,"_",IF(C243="_","???",C243))</f>
        <v/>
      </c>
      <c r="H243" s="10" t="s">
        <v>11</v>
      </c>
      <c r="I243" s="11" t="s">
        <v>11</v>
      </c>
      <c r="J243" s="12"/>
    </row>
    <row r="244" spans="1:10" ht="60" customHeight="1">
      <c r="A244" s="6" t="s">
        <v>863</v>
      </c>
      <c r="B244" s="6" t="s">
        <v>19</v>
      </c>
      <c r="C244" s="6" t="s">
        <v>11</v>
      </c>
      <c r="D244" s="7" t="s">
        <v>864</v>
      </c>
      <c r="E244" s="8" t="s">
        <v>865</v>
      </c>
      <c r="F244" s="6" t="s">
        <v>866</v>
      </c>
      <c r="G244" s="9">
        <f>IF(A244=1,"_",IF(C244="_","???",C244))</f>
        <v/>
      </c>
      <c r="H244" s="10" t="s">
        <v>11</v>
      </c>
      <c r="I244" s="11" t="s">
        <v>11</v>
      </c>
      <c r="J244" s="12"/>
    </row>
    <row r="245" spans="1:10" ht="60" customHeight="1">
      <c r="A245" s="6" t="s">
        <v>867</v>
      </c>
      <c r="B245" s="6" t="s">
        <v>19</v>
      </c>
      <c r="C245" s="6" t="s">
        <v>11</v>
      </c>
      <c r="D245" s="7" t="s">
        <v>114</v>
      </c>
      <c r="E245" s="8" t="s">
        <v>868</v>
      </c>
      <c r="F245" s="6" t="s">
        <v>869</v>
      </c>
      <c r="G245" s="9">
        <f>IF(A245=1,"_",IF(C245="_","???",C245))</f>
        <v/>
      </c>
      <c r="H245" s="10" t="s">
        <v>11</v>
      </c>
      <c r="I245" s="11" t="s">
        <v>11</v>
      </c>
      <c r="J245" s="12"/>
    </row>
    <row r="246" spans="1:10" ht="60" customHeight="1">
      <c r="A246" s="6" t="s">
        <v>870</v>
      </c>
      <c r="B246" s="6" t="s">
        <v>23</v>
      </c>
      <c r="C246" s="6" t="s">
        <v>11</v>
      </c>
      <c r="D246" s="7" t="s">
        <v>114</v>
      </c>
      <c r="E246" s="8" t="s">
        <v>871</v>
      </c>
      <c r="F246" s="6" t="s">
        <v>872</v>
      </c>
      <c r="G246" s="9">
        <f>IF(A246=1,"_",IF(C246="_","???",C246))</f>
        <v/>
      </c>
      <c r="H246" s="10" t="s">
        <v>11</v>
      </c>
      <c r="I246" s="11" t="s">
        <v>11</v>
      </c>
      <c r="J246" s="12"/>
    </row>
    <row r="247" spans="1:10" ht="60" customHeight="1">
      <c r="A247" s="6" t="s">
        <v>873</v>
      </c>
      <c r="B247" s="6" t="s">
        <v>39</v>
      </c>
      <c r="C247" s="6" t="s">
        <v>11</v>
      </c>
      <c r="D247" s="7" t="s">
        <v>392</v>
      </c>
      <c r="E247" s="8" t="s">
        <v>874</v>
      </c>
      <c r="F247" s="6" t="s">
        <v>875</v>
      </c>
      <c r="G247" s="9">
        <f>IF(A247=1,"_",IF(C247="_","???",C247))</f>
        <v/>
      </c>
      <c r="H247" s="10" t="s">
        <v>11</v>
      </c>
      <c r="I247" s="11" t="s">
        <v>11</v>
      </c>
      <c r="J247" s="12"/>
    </row>
    <row r="248" spans="1:10" ht="60" customHeight="1">
      <c r="A248" s="6" t="s">
        <v>876</v>
      </c>
      <c r="B248" s="6" t="s">
        <v>10</v>
      </c>
      <c r="C248" s="6" t="s">
        <v>11</v>
      </c>
      <c r="D248" s="7" t="s">
        <v>877</v>
      </c>
      <c r="E248" s="8" t="s">
        <v>878</v>
      </c>
      <c r="F248" s="6" t="s">
        <v>879</v>
      </c>
      <c r="G248" s="9">
        <f>IF(A248=1,"_",IF(C248="_","???",C248))</f>
        <v/>
      </c>
      <c r="H248" s="10" t="s">
        <v>11</v>
      </c>
      <c r="I248" s="11" t="s">
        <v>11</v>
      </c>
      <c r="J248" s="12"/>
    </row>
    <row r="249" spans="1:10" ht="60" customHeight="1">
      <c r="A249" s="6" t="s">
        <v>880</v>
      </c>
      <c r="B249" s="6" t="s">
        <v>23</v>
      </c>
      <c r="C249" s="6" t="s">
        <v>11</v>
      </c>
      <c r="D249" s="7" t="s">
        <v>881</v>
      </c>
      <c r="E249" s="8" t="s">
        <v>882</v>
      </c>
      <c r="F249" s="6" t="s">
        <v>883</v>
      </c>
      <c r="G249" s="9">
        <f>IF(A249=1,"_",IF(C249="_","???",C249))</f>
        <v/>
      </c>
      <c r="H249" s="10" t="s">
        <v>11</v>
      </c>
      <c r="I249" s="11" t="s">
        <v>11</v>
      </c>
      <c r="J249" s="12"/>
    </row>
    <row r="250" spans="1:10" ht="60" customHeight="1">
      <c r="A250" s="6" t="s">
        <v>884</v>
      </c>
      <c r="B250" s="6" t="s">
        <v>15</v>
      </c>
      <c r="C250" s="6" t="s">
        <v>11</v>
      </c>
      <c r="D250" s="7" t="s">
        <v>885</v>
      </c>
      <c r="E250" s="8" t="s">
        <v>886</v>
      </c>
      <c r="F250" s="6" t="s">
        <v>887</v>
      </c>
      <c r="G250" s="9">
        <f>IF(A250=1,"_",IF(C250="_","???",C250))</f>
        <v/>
      </c>
      <c r="H250" s="10" t="s">
        <v>11</v>
      </c>
      <c r="I250" s="11" t="s">
        <v>11</v>
      </c>
      <c r="J250" s="12"/>
    </row>
    <row r="251" spans="1:10" ht="60" customHeight="1">
      <c r="A251" s="6" t="s">
        <v>888</v>
      </c>
      <c r="B251" s="6" t="s">
        <v>35</v>
      </c>
      <c r="C251" s="6" t="s">
        <v>11</v>
      </c>
      <c r="D251" s="7" t="s">
        <v>889</v>
      </c>
      <c r="E251" s="8" t="s">
        <v>890</v>
      </c>
      <c r="F251" s="6" t="s">
        <v>891</v>
      </c>
      <c r="G251" s="9">
        <f>IF(A251=1,"_",IF(C251="_","???",C251))</f>
        <v/>
      </c>
      <c r="H251" s="10" t="s">
        <v>11</v>
      </c>
      <c r="I251" s="11" t="s">
        <v>11</v>
      </c>
      <c r="J251" s="12"/>
    </row>
    <row r="252" spans="1:10" ht="60" customHeight="1">
      <c r="A252" s="6" t="s">
        <v>892</v>
      </c>
      <c r="B252" s="6" t="s">
        <v>10</v>
      </c>
      <c r="C252" s="6" t="s">
        <v>11</v>
      </c>
      <c r="D252" s="7" t="s">
        <v>893</v>
      </c>
      <c r="E252" s="8" t="s">
        <v>894</v>
      </c>
      <c r="F252" s="6" t="s">
        <v>895</v>
      </c>
      <c r="G252" s="9">
        <f>IF(A252=1,"_",IF(C252="_","???",C252))</f>
        <v/>
      </c>
      <c r="H252" s="10" t="s">
        <v>11</v>
      </c>
      <c r="I252" s="11" t="s">
        <v>11</v>
      </c>
      <c r="J252" s="12"/>
    </row>
    <row r="253" spans="1:10" ht="60" customHeight="1">
      <c r="A253" s="6" t="s">
        <v>896</v>
      </c>
      <c r="B253" s="6" t="s">
        <v>31</v>
      </c>
      <c r="C253" s="6" t="s">
        <v>11</v>
      </c>
      <c r="D253" s="7" t="s">
        <v>897</v>
      </c>
      <c r="E253" s="8" t="s">
        <v>898</v>
      </c>
      <c r="F253" s="6" t="s">
        <v>899</v>
      </c>
      <c r="G253" s="9">
        <f>IF(A253=1,"_",IF(C253="_","???",C253))</f>
        <v/>
      </c>
      <c r="H253" s="10" t="s">
        <v>11</v>
      </c>
      <c r="I253" s="11" t="s">
        <v>11</v>
      </c>
      <c r="J253" s="12"/>
    </row>
    <row r="254" spans="1:10" ht="60" customHeight="1">
      <c r="A254" s="6" t="s">
        <v>900</v>
      </c>
      <c r="B254" s="6" t="s">
        <v>15</v>
      </c>
      <c r="C254" s="6" t="s">
        <v>11</v>
      </c>
      <c r="D254" s="7" t="s">
        <v>901</v>
      </c>
      <c r="E254" s="8" t="s">
        <v>902</v>
      </c>
      <c r="F254" s="6" t="s">
        <v>903</v>
      </c>
      <c r="G254" s="9">
        <f>IF(A254=1,"_",IF(C254="_","???",C254))</f>
        <v/>
      </c>
      <c r="H254" s="10" t="s">
        <v>11</v>
      </c>
      <c r="I254" s="11" t="s">
        <v>11</v>
      </c>
      <c r="J254" s="12"/>
    </row>
    <row r="255" spans="1:10" ht="60" customHeight="1">
      <c r="A255" s="6" t="s">
        <v>904</v>
      </c>
      <c r="B255" s="6" t="s">
        <v>15</v>
      </c>
      <c r="C255" s="6" t="s">
        <v>11</v>
      </c>
      <c r="D255" s="7" t="s">
        <v>186</v>
      </c>
      <c r="E255" s="8" t="s">
        <v>905</v>
      </c>
      <c r="F255" s="6" t="s">
        <v>906</v>
      </c>
      <c r="G255" s="9">
        <f>IF(A255=1,"_",IF(C255="_","???",C255))</f>
        <v/>
      </c>
      <c r="H255" s="10" t="s">
        <v>11</v>
      </c>
      <c r="I255" s="11" t="s">
        <v>11</v>
      </c>
      <c r="J255" s="12"/>
    </row>
    <row r="256" spans="1:10" ht="60" customHeight="1">
      <c r="A256" s="6" t="s">
        <v>907</v>
      </c>
      <c r="B256" s="6" t="s">
        <v>47</v>
      </c>
      <c r="C256" s="6" t="s">
        <v>11</v>
      </c>
      <c r="D256" s="7" t="s">
        <v>908</v>
      </c>
      <c r="E256" s="8" t="s">
        <v>909</v>
      </c>
      <c r="F256" s="6" t="s">
        <v>910</v>
      </c>
      <c r="G256" s="9">
        <f>IF(A256=1,"_",IF(C256="_","???",C256))</f>
        <v/>
      </c>
      <c r="H256" s="10" t="s">
        <v>11</v>
      </c>
      <c r="I256" s="11" t="s">
        <v>11</v>
      </c>
      <c r="J256" s="12"/>
    </row>
    <row r="257" spans="1:10" ht="60" customHeight="1">
      <c r="A257" s="6" t="s">
        <v>911</v>
      </c>
      <c r="B257" s="6" t="s">
        <v>10</v>
      </c>
      <c r="C257" s="6" t="s">
        <v>11</v>
      </c>
      <c r="D257" s="7" t="s">
        <v>48</v>
      </c>
      <c r="E257" s="8" t="s">
        <v>912</v>
      </c>
      <c r="F257" s="6" t="s">
        <v>913</v>
      </c>
      <c r="G257" s="9">
        <f>IF(A257=1,"_",IF(C257="_","???",C257))</f>
        <v/>
      </c>
      <c r="H257" s="10" t="s">
        <v>11</v>
      </c>
      <c r="I257" s="11" t="s">
        <v>11</v>
      </c>
      <c r="J257" s="12"/>
    </row>
    <row r="258" spans="1:10" ht="60" customHeight="1">
      <c r="A258" s="6" t="s">
        <v>914</v>
      </c>
      <c r="B258" s="6" t="s">
        <v>15</v>
      </c>
      <c r="C258" s="6" t="s">
        <v>11</v>
      </c>
      <c r="D258" s="7" t="s">
        <v>915</v>
      </c>
      <c r="E258" s="8" t="s">
        <v>916</v>
      </c>
      <c r="F258" s="6" t="s">
        <v>917</v>
      </c>
      <c r="G258" s="9">
        <f>IF(A258=1,"_",IF(C258="_","???",C258))</f>
        <v/>
      </c>
      <c r="H258" s="10" t="s">
        <v>11</v>
      </c>
      <c r="I258" s="11" t="s">
        <v>11</v>
      </c>
      <c r="J258" s="12"/>
    </row>
    <row r="259" spans="1:10" ht="60" customHeight="1">
      <c r="A259" s="6" t="s">
        <v>918</v>
      </c>
      <c r="B259" s="6" t="s">
        <v>10</v>
      </c>
      <c r="C259" s="6" t="s">
        <v>11</v>
      </c>
      <c r="D259" s="7" t="s">
        <v>919</v>
      </c>
      <c r="E259" s="8" t="s">
        <v>920</v>
      </c>
      <c r="F259" s="6" t="s">
        <v>921</v>
      </c>
      <c r="G259" s="9">
        <f>IF(A259=1,"_",IF(C259="_","???",C259))</f>
        <v/>
      </c>
      <c r="H259" s="10" t="s">
        <v>11</v>
      </c>
      <c r="I259" s="11" t="s">
        <v>11</v>
      </c>
      <c r="J259" s="12"/>
    </row>
    <row r="260" spans="1:10" ht="60" customHeight="1">
      <c r="A260" s="6" t="s">
        <v>922</v>
      </c>
      <c r="B260" s="6" t="s">
        <v>19</v>
      </c>
      <c r="C260" s="6" t="s">
        <v>11</v>
      </c>
      <c r="D260" s="7" t="s">
        <v>923</v>
      </c>
      <c r="E260" s="8" t="s">
        <v>924</v>
      </c>
      <c r="F260" s="6" t="s">
        <v>925</v>
      </c>
      <c r="G260" s="9">
        <f>IF(A260=1,"_",IF(C260="_","???",C260))</f>
        <v/>
      </c>
      <c r="H260" s="10" t="s">
        <v>11</v>
      </c>
      <c r="I260" s="11" t="s">
        <v>11</v>
      </c>
      <c r="J260" s="12"/>
    </row>
    <row r="261" spans="1:10" ht="60" customHeight="1">
      <c r="A261" s="6" t="s">
        <v>926</v>
      </c>
      <c r="B261" s="6" t="s">
        <v>10</v>
      </c>
      <c r="C261" s="6" t="s">
        <v>11</v>
      </c>
      <c r="D261" s="7" t="s">
        <v>48</v>
      </c>
      <c r="E261" s="8" t="s">
        <v>927</v>
      </c>
      <c r="F261" s="6" t="s">
        <v>928</v>
      </c>
      <c r="G261" s="9">
        <f>IF(A261=1,"_",IF(C261="_","???",C261))</f>
        <v/>
      </c>
      <c r="H261" s="10" t="s">
        <v>11</v>
      </c>
      <c r="I261" s="11" t="s">
        <v>11</v>
      </c>
      <c r="J261" s="12"/>
    </row>
    <row r="262" spans="1:10" ht="60" customHeight="1">
      <c r="A262" s="6" t="s">
        <v>929</v>
      </c>
      <c r="B262" s="6" t="s">
        <v>31</v>
      </c>
      <c r="C262" s="6" t="s">
        <v>11</v>
      </c>
      <c r="D262" s="7" t="s">
        <v>613</v>
      </c>
      <c r="E262" s="8" t="s">
        <v>930</v>
      </c>
      <c r="F262" s="6" t="s">
        <v>931</v>
      </c>
      <c r="G262" s="9">
        <f>IF(A262=1,"_",IF(C262="_","???",C262))</f>
        <v/>
      </c>
      <c r="H262" s="10" t="s">
        <v>11</v>
      </c>
      <c r="I262" s="11" t="s">
        <v>11</v>
      </c>
      <c r="J262" s="12"/>
    </row>
    <row r="263" spans="1:10" ht="60" customHeight="1">
      <c r="A263" s="6" t="s">
        <v>932</v>
      </c>
      <c r="B263" s="6" t="s">
        <v>10</v>
      </c>
      <c r="C263" s="6" t="s">
        <v>11</v>
      </c>
      <c r="D263" s="7" t="s">
        <v>20</v>
      </c>
      <c r="E263" s="8" t="s">
        <v>933</v>
      </c>
      <c r="F263" s="6" t="s">
        <v>934</v>
      </c>
      <c r="G263" s="9">
        <f>IF(A263=1,"_",IF(C263="_","???",C263))</f>
        <v/>
      </c>
      <c r="H263" s="10" t="s">
        <v>11</v>
      </c>
      <c r="I263" s="11" t="s">
        <v>11</v>
      </c>
      <c r="J263" s="12"/>
    </row>
    <row r="264" spans="1:10" ht="60" customHeight="1">
      <c r="A264" s="6" t="s">
        <v>935</v>
      </c>
      <c r="B264" s="6" t="s">
        <v>10</v>
      </c>
      <c r="C264" s="6" t="s">
        <v>11</v>
      </c>
      <c r="D264" s="7" t="s">
        <v>56</v>
      </c>
      <c r="E264" s="8" t="s">
        <v>936</v>
      </c>
      <c r="F264" s="6" t="s">
        <v>937</v>
      </c>
      <c r="G264" s="9">
        <f>IF(A264=1,"_",IF(C264="_","???",C264))</f>
        <v/>
      </c>
      <c r="H264" s="10" t="s">
        <v>11</v>
      </c>
      <c r="I264" s="11" t="s">
        <v>11</v>
      </c>
      <c r="J264" s="12"/>
    </row>
    <row r="265" spans="1:10" ht="60" customHeight="1">
      <c r="A265" s="6" t="s">
        <v>938</v>
      </c>
      <c r="B265" s="6" t="s">
        <v>10</v>
      </c>
      <c r="C265" s="6" t="s">
        <v>11</v>
      </c>
      <c r="D265" s="7" t="s">
        <v>186</v>
      </c>
      <c r="E265" s="8" t="s">
        <v>939</v>
      </c>
      <c r="F265" s="6" t="s">
        <v>940</v>
      </c>
      <c r="G265" s="9">
        <f>IF(A265=1,"_",IF(C265="_","???",C265))</f>
        <v/>
      </c>
      <c r="H265" s="10" t="s">
        <v>11</v>
      </c>
      <c r="I265" s="11" t="s">
        <v>11</v>
      </c>
      <c r="J265" s="12"/>
    </row>
    <row r="266" spans="1:10" ht="60" customHeight="1">
      <c r="A266" s="6" t="s">
        <v>941</v>
      </c>
      <c r="B266" s="6" t="s">
        <v>51</v>
      </c>
      <c r="C266" s="6" t="s">
        <v>11</v>
      </c>
      <c r="D266" s="7" t="s">
        <v>942</v>
      </c>
      <c r="E266" s="8" t="s">
        <v>943</v>
      </c>
      <c r="F266" s="6" t="s">
        <v>944</v>
      </c>
      <c r="G266" s="9">
        <f>IF(A266=1,"_",IF(C266="_","???",C266))</f>
        <v/>
      </c>
      <c r="H266" s="10" t="s">
        <v>11</v>
      </c>
      <c r="I266" s="11" t="s">
        <v>11</v>
      </c>
      <c r="J266" s="12"/>
    </row>
    <row r="267" spans="1:10" ht="60" customHeight="1">
      <c r="A267" s="6" t="s">
        <v>945</v>
      </c>
      <c r="B267" s="6" t="s">
        <v>10</v>
      </c>
      <c r="C267" s="6" t="s">
        <v>11</v>
      </c>
      <c r="D267" s="7" t="s">
        <v>263</v>
      </c>
      <c r="E267" s="8" t="s">
        <v>946</v>
      </c>
      <c r="F267" s="6" t="s">
        <v>947</v>
      </c>
      <c r="G267" s="9">
        <f>IF(A267=1,"_",IF(C267="_","???",C267))</f>
        <v/>
      </c>
      <c r="H267" s="10" t="s">
        <v>11</v>
      </c>
      <c r="I267" s="11" t="s">
        <v>11</v>
      </c>
      <c r="J267" s="12"/>
    </row>
    <row r="268" spans="1:10" ht="60" customHeight="1">
      <c r="A268" s="6" t="s">
        <v>948</v>
      </c>
      <c r="B268" s="6" t="s">
        <v>10</v>
      </c>
      <c r="C268" s="6" t="s">
        <v>11</v>
      </c>
      <c r="D268" s="7" t="s">
        <v>110</v>
      </c>
      <c r="E268" s="8" t="s">
        <v>949</v>
      </c>
      <c r="F268" s="6" t="s">
        <v>950</v>
      </c>
      <c r="G268" s="9">
        <f>IF(A268=1,"_",IF(C268="_","???",C268))</f>
        <v/>
      </c>
      <c r="H268" s="10" t="s">
        <v>11</v>
      </c>
      <c r="I268" s="11" t="s">
        <v>11</v>
      </c>
      <c r="J268" s="12"/>
    </row>
    <row r="269" spans="1:10" ht="60" customHeight="1">
      <c r="A269" s="6" t="s">
        <v>951</v>
      </c>
      <c r="B269" s="6" t="s">
        <v>10</v>
      </c>
      <c r="C269" s="6" t="s">
        <v>11</v>
      </c>
      <c r="D269" s="7" t="s">
        <v>48</v>
      </c>
      <c r="E269" s="8" t="s">
        <v>952</v>
      </c>
      <c r="F269" s="6" t="s">
        <v>953</v>
      </c>
      <c r="G269" s="9">
        <f>IF(A269=1,"_",IF(C269="_","???",C269))</f>
        <v/>
      </c>
      <c r="H269" s="10" t="s">
        <v>11</v>
      </c>
      <c r="I269" s="11" t="s">
        <v>11</v>
      </c>
      <c r="J269" s="12"/>
    </row>
    <row r="270" spans="1:10" ht="60" customHeight="1">
      <c r="A270" s="6" t="s">
        <v>954</v>
      </c>
      <c r="B270" s="6" t="s">
        <v>10</v>
      </c>
      <c r="C270" s="6" t="s">
        <v>11</v>
      </c>
      <c r="D270" s="7" t="s">
        <v>955</v>
      </c>
      <c r="E270" s="8" t="s">
        <v>956</v>
      </c>
      <c r="F270" s="6" t="s">
        <v>957</v>
      </c>
      <c r="G270" s="9">
        <f>IF(A270=1,"_",IF(C270="_","???",C270))</f>
        <v/>
      </c>
      <c r="H270" s="10" t="s">
        <v>11</v>
      </c>
      <c r="I270" s="11" t="s">
        <v>11</v>
      </c>
      <c r="J270" s="12"/>
    </row>
    <row r="271" spans="1:10" ht="60" customHeight="1">
      <c r="A271" s="6" t="s">
        <v>958</v>
      </c>
      <c r="B271" s="6" t="s">
        <v>10</v>
      </c>
      <c r="C271" s="6" t="s">
        <v>11</v>
      </c>
      <c r="D271" s="7" t="s">
        <v>56</v>
      </c>
      <c r="E271" s="8" t="s">
        <v>959</v>
      </c>
      <c r="F271" s="6" t="s">
        <v>960</v>
      </c>
      <c r="G271" s="9">
        <f>IF(A271=1,"_",IF(C271="_","???",C271))</f>
        <v/>
      </c>
      <c r="H271" s="10" t="s">
        <v>11</v>
      </c>
      <c r="I271" s="11" t="s">
        <v>11</v>
      </c>
      <c r="J271" s="12"/>
    </row>
    <row r="272" spans="1:10" ht="60" customHeight="1">
      <c r="A272" s="6" t="s">
        <v>961</v>
      </c>
      <c r="B272" s="6" t="s">
        <v>10</v>
      </c>
      <c r="C272" s="6" t="s">
        <v>11</v>
      </c>
      <c r="D272" s="7" t="s">
        <v>962</v>
      </c>
      <c r="E272" s="8" t="s">
        <v>963</v>
      </c>
      <c r="F272" s="6" t="s">
        <v>964</v>
      </c>
      <c r="G272" s="9">
        <f>IF(A272=1,"_",IF(C272="_","???",C272))</f>
        <v/>
      </c>
      <c r="H272" s="10" t="s">
        <v>11</v>
      </c>
      <c r="I272" s="11" t="s">
        <v>11</v>
      </c>
      <c r="J272" s="12"/>
    </row>
    <row r="273" spans="1:10" ht="60" customHeight="1">
      <c r="A273" s="6" t="s">
        <v>965</v>
      </c>
      <c r="B273" s="6" t="s">
        <v>39</v>
      </c>
      <c r="C273" s="6" t="s">
        <v>11</v>
      </c>
      <c r="D273" s="7" t="s">
        <v>966</v>
      </c>
      <c r="E273" s="8" t="s">
        <v>967</v>
      </c>
      <c r="F273" s="6" t="s">
        <v>968</v>
      </c>
      <c r="G273" s="9">
        <f>IF(A273=1,"_",IF(C273="_","???",C273))</f>
        <v/>
      </c>
      <c r="H273" s="10" t="s">
        <v>11</v>
      </c>
      <c r="I273" s="11" t="s">
        <v>11</v>
      </c>
      <c r="J273" s="12"/>
    </row>
    <row r="274" spans="1:10" ht="60" customHeight="1">
      <c r="A274" s="6" t="s">
        <v>969</v>
      </c>
      <c r="B274" s="6" t="s">
        <v>15</v>
      </c>
      <c r="C274" s="6" t="s">
        <v>11</v>
      </c>
      <c r="D274" s="7" t="s">
        <v>970</v>
      </c>
      <c r="E274" s="8" t="s">
        <v>971</v>
      </c>
      <c r="F274" s="6" t="s">
        <v>972</v>
      </c>
      <c r="G274" s="9">
        <f>IF(A274=1,"_",IF(C274="_","???",C274))</f>
        <v/>
      </c>
      <c r="H274" s="10" t="s">
        <v>11</v>
      </c>
      <c r="I274" s="11" t="s">
        <v>11</v>
      </c>
      <c r="J274" s="12"/>
    </row>
    <row r="275" spans="1:10" ht="60" customHeight="1">
      <c r="A275" s="6" t="s">
        <v>973</v>
      </c>
      <c r="B275" s="6" t="s">
        <v>10</v>
      </c>
      <c r="C275" s="6" t="s">
        <v>11</v>
      </c>
      <c r="D275" s="7" t="s">
        <v>56</v>
      </c>
      <c r="E275" s="8" t="s">
        <v>974</v>
      </c>
      <c r="F275" s="6" t="s">
        <v>975</v>
      </c>
      <c r="G275" s="9">
        <f>IF(A275=1,"_",IF(C275="_","???",C275))</f>
        <v/>
      </c>
      <c r="H275" s="10" t="s">
        <v>11</v>
      </c>
      <c r="I275" s="11" t="s">
        <v>11</v>
      </c>
      <c r="J275" s="12"/>
    </row>
    <row r="276" spans="1:10" ht="60" customHeight="1">
      <c r="A276" s="6" t="s">
        <v>976</v>
      </c>
      <c r="B276" s="6" t="s">
        <v>15</v>
      </c>
      <c r="C276" s="6" t="s">
        <v>11</v>
      </c>
      <c r="D276" s="7" t="s">
        <v>98</v>
      </c>
      <c r="E276" s="8" t="s">
        <v>977</v>
      </c>
      <c r="F276" s="6" t="s">
        <v>978</v>
      </c>
      <c r="G276" s="9">
        <f>IF(A276=1,"_",IF(C276="_","???",C276))</f>
        <v/>
      </c>
      <c r="H276" s="10" t="s">
        <v>11</v>
      </c>
      <c r="I276" s="11" t="s">
        <v>11</v>
      </c>
      <c r="J276" s="12"/>
    </row>
    <row r="277" spans="1:10" ht="60" customHeight="1">
      <c r="A277" s="6" t="s">
        <v>979</v>
      </c>
      <c r="B277" s="6" t="s">
        <v>15</v>
      </c>
      <c r="C277" s="6" t="s">
        <v>11</v>
      </c>
      <c r="D277" s="7" t="s">
        <v>186</v>
      </c>
      <c r="E277" s="8" t="s">
        <v>980</v>
      </c>
      <c r="F277" s="6" t="s">
        <v>981</v>
      </c>
      <c r="G277" s="9">
        <f>IF(A277=1,"_",IF(C277="_","???",C277))</f>
        <v/>
      </c>
      <c r="H277" s="10" t="s">
        <v>11</v>
      </c>
      <c r="I277" s="11" t="s">
        <v>11</v>
      </c>
      <c r="J277" s="12"/>
    </row>
    <row r="278" spans="1:10" ht="60" customHeight="1">
      <c r="A278" s="6" t="s">
        <v>982</v>
      </c>
      <c r="B278" s="6" t="s">
        <v>15</v>
      </c>
      <c r="C278" s="6" t="s">
        <v>11</v>
      </c>
      <c r="D278" s="7" t="s">
        <v>983</v>
      </c>
      <c r="E278" s="8" t="s">
        <v>984</v>
      </c>
      <c r="F278" s="6" t="s">
        <v>985</v>
      </c>
      <c r="G278" s="9">
        <f>IF(A278=1,"_",IF(C278="_","???",C278))</f>
        <v/>
      </c>
      <c r="H278" s="10" t="s">
        <v>11</v>
      </c>
      <c r="I278" s="11" t="s">
        <v>11</v>
      </c>
      <c r="J278" s="12"/>
    </row>
    <row r="279" spans="1:10" ht="60" customHeight="1">
      <c r="A279" s="6" t="s">
        <v>986</v>
      </c>
      <c r="B279" s="6" t="s">
        <v>15</v>
      </c>
      <c r="C279" s="6" t="s">
        <v>11</v>
      </c>
      <c r="D279" s="7" t="s">
        <v>987</v>
      </c>
      <c r="E279" s="8" t="s">
        <v>988</v>
      </c>
      <c r="F279" s="6" t="s">
        <v>989</v>
      </c>
      <c r="G279" s="9">
        <f>IF(A279=1,"_",IF(C279="_","???",C279))</f>
        <v/>
      </c>
      <c r="H279" s="10" t="s">
        <v>11</v>
      </c>
      <c r="I279" s="11" t="s">
        <v>11</v>
      </c>
      <c r="J279" s="12"/>
    </row>
    <row r="280" spans="1:10" ht="60" customHeight="1">
      <c r="A280" s="6" t="s">
        <v>990</v>
      </c>
      <c r="B280" s="6" t="s">
        <v>10</v>
      </c>
      <c r="C280" s="6" t="s">
        <v>11</v>
      </c>
      <c r="D280" s="7" t="s">
        <v>48</v>
      </c>
      <c r="E280" s="8" t="s">
        <v>991</v>
      </c>
      <c r="F280" s="6" t="s">
        <v>992</v>
      </c>
      <c r="G280" s="9">
        <f>IF(A280=1,"_",IF(C280="_","???",C280))</f>
        <v/>
      </c>
      <c r="H280" s="10" t="s">
        <v>11</v>
      </c>
      <c r="I280" s="11" t="s">
        <v>11</v>
      </c>
      <c r="J28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85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993</v>
      </c>
      <c r="B1" s="13" t="s">
        <v>994</v>
      </c>
      <c r="C1" s="13" t="s">
        <v>995</v>
      </c>
      <c r="D1" s="13" t="s">
        <v>996</v>
      </c>
      <c r="E1" s="14" t="s">
        <v>997</v>
      </c>
      <c r="F1" s="15" t="s">
        <v>998</v>
      </c>
      <c r="G1" s="16" t="s">
        <v>999</v>
      </c>
      <c r="H1" s="17" t="s">
        <v>1000</v>
      </c>
      <c r="I1" s="18" t="s">
        <v>1001</v>
      </c>
      <c r="J1" s="18" t="s">
        <v>1002</v>
      </c>
      <c r="K1" s="18" t="s">
        <v>1003</v>
      </c>
      <c r="L1" s="19" t="s">
        <v>9</v>
      </c>
    </row>
    <row r="2" spans="1:12">
      <c r="A2" s="20" t="s">
        <v>1004</v>
      </c>
    </row>
    <row r="3" spans="1:12">
      <c r="A3" s="20" t="s">
        <v>12</v>
      </c>
      <c r="B3" s="21" t="s">
        <v>1005</v>
      </c>
      <c r="C3" s="21" t="s">
        <v>1006</v>
      </c>
      <c r="D3" s="21" t="s">
        <v>1007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1008</v>
      </c>
      <c r="B4" s="21" t="s">
        <v>1005</v>
      </c>
      <c r="C4" s="21" t="s">
        <v>1006</v>
      </c>
      <c r="D4" s="21" t="s">
        <v>1007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1009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1010</v>
      </c>
    </row>
    <row r="8" spans="1:12">
      <c r="A8" s="20" t="s">
        <v>1011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1012</v>
      </c>
      <c r="B9" s="21" t="s">
        <v>1005</v>
      </c>
      <c r="C9" s="21" t="s">
        <v>1013</v>
      </c>
      <c r="D9" s="21" t="s">
        <v>1007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1014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1015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1016</v>
      </c>
      <c r="B12" s="21" t="s">
        <v>1005</v>
      </c>
      <c r="C12" s="21" t="s">
        <v>1017</v>
      </c>
      <c r="D12" s="21" t="s">
        <v>1007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1018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1019</v>
      </c>
      <c r="B15" s="21" t="s">
        <v>1005</v>
      </c>
      <c r="C15" s="21" t="s">
        <v>1013</v>
      </c>
      <c r="D15" s="21" t="s">
        <v>1007</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1014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1020</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1021</v>
      </c>
      <c r="B18" s="21" t="s">
        <v>1022</v>
      </c>
      <c r="C18" s="21" t="s">
        <v>1006</v>
      </c>
      <c r="D18" s="21" t="s">
        <v>1007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1023</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row>
    <row r="21" spans="1:12">
      <c r="A21" s="20" t="s">
        <v>1024</v>
      </c>
    </row>
    <row r="22" spans="1:12">
      <c r="A22" s="20" t="s">
        <v>1025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1026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1027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1028</v>
      </c>
      <c r="B26" s="21" t="s">
        <v>1029</v>
      </c>
      <c r="C26" s="21" t="s">
        <v>1017</v>
      </c>
      <c r="D26" s="21" t="s">
        <v>1007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1030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1031</v>
      </c>
      <c r="B29" s="21" t="s">
        <v>1022</v>
      </c>
      <c r="C29" s="21" t="s">
        <v>1013</v>
      </c>
      <c r="D29" s="21" t="s">
        <v>1007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1014</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1032</v>
      </c>
      <c r="B32" s="21" t="s">
        <v>1033</v>
      </c>
      <c r="C32" s="21" t="s">
        <v>1006</v>
      </c>
      <c r="D32" s="21" t="s">
        <v>1007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1034</v>
      </c>
      <c r="B35" s="21" t="s">
        <v>1035</v>
      </c>
      <c r="C35" s="21" t="s">
        <v>1017</v>
      </c>
      <c r="D35" s="21" t="s">
        <v>1007</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1036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1037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1014</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1038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1039</v>
      </c>
      <c r="B40" s="21" t="s">
        <v>1040</v>
      </c>
      <c r="C40" s="21" t="s">
        <v>1041</v>
      </c>
      <c r="D40" s="21" t="s">
        <v>1007</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1018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28</v>
      </c>
      <c r="B42" s="21" t="s">
        <v>1042</v>
      </c>
      <c r="C42" s="21" t="s">
        <v>1006</v>
      </c>
      <c r="D42" s="21" t="s">
        <v>1007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1043</v>
      </c>
      <c r="B43" s="21" t="s">
        <v>1044</v>
      </c>
      <c r="C43" s="21" t="s">
        <v>1006</v>
      </c>
      <c r="D43" s="21" t="s">
        <v>1007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1023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row>
    <row r="46" spans="1:12">
      <c r="A46" s="20" t="s">
        <v>1045</v>
      </c>
    </row>
    <row r="47" spans="1:12">
      <c r="A47" s="20" t="s">
        <v>1046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1047</v>
      </c>
      <c r="B48" s="21" t="s">
        <v>1005</v>
      </c>
      <c r="C48" s="21" t="s">
        <v>1048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1049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28</v>
      </c>
      <c r="B50" s="21" t="s">
        <v>1050</v>
      </c>
      <c r="C50" s="21" t="s">
        <v>1006</v>
      </c>
      <c r="D50" s="21" t="s">
        <v>1007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1051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1052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1018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1053</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1030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1020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1054</v>
      </c>
      <c r="B57" s="21" t="s">
        <v>1033</v>
      </c>
      <c r="C57" s="21" t="s">
        <v>1006</v>
      </c>
      <c r="D57" s="21" t="s">
        <v>1007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1020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1055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1056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1057</v>
      </c>
      <c r="B61" s="21" t="s">
        <v>1029</v>
      </c>
      <c r="C61" s="21" t="s">
        <v>1013</v>
      </c>
      <c r="D61" s="21" t="s">
        <v>1007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1030</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1058</v>
      </c>
      <c r="B64" s="21" t="s">
        <v>1035</v>
      </c>
      <c r="C64" s="21" t="s">
        <v>1059</v>
      </c>
      <c r="D64" s="21" t="s">
        <v>1007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1060</v>
      </c>
      <c r="B65" s="21" t="s">
        <v>1033</v>
      </c>
      <c r="C65" s="21" t="s">
        <v>1017</v>
      </c>
      <c r="D65" s="21" t="s">
        <v>1007</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1061</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137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1027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1062</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1063</v>
      </c>
      <c r="B72" s="21" t="s">
        <v>1064</v>
      </c>
      <c r="C72" s="21" t="s">
        <v>1017</v>
      </c>
      <c r="D72" s="21" t="s">
        <v>1007</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1065</v>
      </c>
      <c r="B73" s="21" t="s">
        <v>1066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1057</v>
      </c>
      <c r="B75" s="21" t="s">
        <v>1067</v>
      </c>
      <c r="C75" s="21" t="s">
        <v>1017</v>
      </c>
      <c r="D75" s="21" t="s">
        <v>1007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1068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1023</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row>
    <row r="79" spans="1:12">
      <c r="A79" s="20" t="s">
        <v>1069</v>
      </c>
    </row>
    <row r="80" spans="1:12">
      <c r="A80" s="20" t="s">
        <v>28</v>
      </c>
      <c r="B80" s="21" t="s">
        <v>1005</v>
      </c>
      <c r="C80" s="21" t="s">
        <v>1006</v>
      </c>
      <c r="D80" s="21" t="s">
        <v>1007</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1018</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1070</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1071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1020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1031</v>
      </c>
      <c r="B86" s="21" t="s">
        <v>1029</v>
      </c>
      <c r="C86" s="21" t="s">
        <v>1013</v>
      </c>
      <c r="D86" s="21" t="s">
        <v>1007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1014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102</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1032</v>
      </c>
      <c r="B89" s="21" t="s">
        <v>1033</v>
      </c>
      <c r="C89" s="21" t="s">
        <v>1006</v>
      </c>
      <c r="D89" s="21" t="s">
        <v>1007</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1023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row>
    <row r="92" spans="1:12">
      <c r="A92" s="20" t="s">
        <v>1072</v>
      </c>
    </row>
    <row r="93" spans="1:12">
      <c r="A93" s="20" t="s">
        <v>11</v>
      </c>
      <c r="B93" s="21" t="s">
        <v>1005</v>
      </c>
      <c r="C93" s="21" t="s">
        <v>1073</v>
      </c>
      <c r="D93" s="21" t="s">
        <v>1007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1065</v>
      </c>
      <c r="B94" s="21" t="s">
        <v>1005</v>
      </c>
      <c r="C94" s="21" t="s">
        <v>1074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1075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1065</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1076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137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1077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row>
    <row r="101" spans="1:12">
      <c r="A101" s="20" t="s">
        <v>1078</v>
      </c>
    </row>
    <row r="102" spans="1:12">
      <c r="A102" s="20" t="s">
        <v>36</v>
      </c>
      <c r="B102" s="21" t="s">
        <v>1005</v>
      </c>
      <c r="C102" s="21" t="s">
        <v>1006</v>
      </c>
      <c r="D102" s="21" t="s">
        <v>1007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1043</v>
      </c>
      <c r="B103" s="21" t="s">
        <v>1005</v>
      </c>
      <c r="C103" s="21" t="s">
        <v>1006</v>
      </c>
      <c r="D103" s="21" t="s">
        <v>1007</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1009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1079</v>
      </c>
    </row>
    <row r="107" spans="1:12">
      <c r="A107" s="20" t="s">
        <v>1080</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1081</v>
      </c>
      <c r="B108" s="21" t="s">
        <v>1005</v>
      </c>
      <c r="C108" s="21" t="s">
        <v>1082</v>
      </c>
      <c r="D108" s="21" t="s">
        <v>1007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137</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1083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1020</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1084</v>
      </c>
      <c r="B112" s="21" t="s">
        <v>1085</v>
      </c>
      <c r="C112" s="21" t="s">
        <v>1086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1023</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row>
    <row r="115" spans="1:12">
      <c r="A115" s="20" t="s">
        <v>1087</v>
      </c>
    </row>
    <row r="116" spans="1:12">
      <c r="A116" s="20" t="s">
        <v>1088</v>
      </c>
      <c r="B116" s="21" t="s">
        <v>1050</v>
      </c>
      <c r="C116" s="21" t="s">
        <v>1073</v>
      </c>
      <c r="D116" s="21" t="s">
        <v>1007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1089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row>
    <row r="121" spans="1:12">
      <c r="A121" s="20" t="s">
        <v>1091</v>
      </c>
    </row>
    <row r="122" spans="1:12">
      <c r="A122" s="20" t="s">
        <v>1046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1092</v>
      </c>
      <c r="B123" s="21" t="s">
        <v>1005</v>
      </c>
      <c r="C123" s="21" t="s">
        <v>1048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1049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row>
    <row r="126" spans="1:12">
      <c r="A126" s="20" t="s">
        <v>1093</v>
      </c>
    </row>
    <row r="127" spans="1:12">
      <c r="A127" s="20" t="s">
        <v>1094</v>
      </c>
      <c r="B127" s="21" t="s">
        <v>1005</v>
      </c>
      <c r="C127" s="21" t="s">
        <v>1048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1009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28</v>
      </c>
      <c r="B129" s="21" t="s">
        <v>1005</v>
      </c>
      <c r="C129" s="21" t="s">
        <v>1006</v>
      </c>
      <c r="D129" s="21" t="s">
        <v>1007</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1018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1095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1096</v>
      </c>
      <c r="B132" s="21" t="s">
        <v>1005</v>
      </c>
      <c r="C132" s="21" t="s">
        <v>1013</v>
      </c>
      <c r="D132" s="21" t="s">
        <v>1007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1097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1081</v>
      </c>
      <c r="B134" s="21" t="s">
        <v>1022</v>
      </c>
      <c r="C134" s="21" t="s">
        <v>1082</v>
      </c>
      <c r="D134" s="21" t="s">
        <v>1007</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1023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1098</v>
      </c>
    </row>
    <row r="138" spans="1:12">
      <c r="A138" s="20" t="s">
        <v>1099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1100</v>
      </c>
      <c r="B139" s="21" t="s">
        <v>1085</v>
      </c>
      <c r="C139" s="21" t="s">
        <v>1082</v>
      </c>
      <c r="D139" s="21" t="s">
        <v>1007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1101</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1102</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1063</v>
      </c>
      <c r="B142" s="21" t="s">
        <v>1029</v>
      </c>
      <c r="C142" s="21" t="s">
        <v>1103</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1030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1015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1104</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1105</v>
      </c>
      <c r="B146" s="21" t="s">
        <v>1022</v>
      </c>
      <c r="C146" s="21" t="s">
        <v>1017</v>
      </c>
      <c r="D146" s="21" t="s">
        <v>1007</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1023</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row>
    <row r="149" spans="1:12">
      <c r="A149" s="20" t="s">
        <v>1106</v>
      </c>
    </row>
    <row r="150" spans="1:12">
      <c r="A150" s="20" t="s">
        <v>1099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1100</v>
      </c>
      <c r="B151" s="21" t="s">
        <v>1085</v>
      </c>
      <c r="C151" s="21" t="s">
        <v>1082</v>
      </c>
      <c r="D151" s="21" t="s">
        <v>1007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1101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1107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1108</v>
      </c>
      <c r="B154" s="21" t="s">
        <v>1085</v>
      </c>
      <c r="C154" s="21" t="s">
        <v>1013</v>
      </c>
      <c r="D154" s="21" t="s">
        <v>1007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1107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1109</v>
      </c>
      <c r="B156" s="21" t="s">
        <v>1022</v>
      </c>
      <c r="C156" s="21" t="s">
        <v>1048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1107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1056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1110</v>
      </c>
      <c r="B159" s="21" t="s">
        <v>1085</v>
      </c>
      <c r="C159" s="21" t="s">
        <v>1111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1023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row>
    <row r="162" spans="1:12">
      <c r="A162" s="20" t="s">
        <v>1112</v>
      </c>
    </row>
    <row r="163" spans="1:12">
      <c r="A163" s="20" t="s">
        <v>1080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1065</v>
      </c>
      <c r="B164" s="21" t="s">
        <v>1022</v>
      </c>
      <c r="C164" s="21" t="s">
        <v>1074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1113</v>
      </c>
      <c r="B165" s="21" t="s">
        <v>1005</v>
      </c>
      <c r="C165" s="21" t="s">
        <v>1103</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1114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1115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1020</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1081</v>
      </c>
      <c r="B169" s="21" t="s">
        <v>1005</v>
      </c>
      <c r="C169" s="21" t="s">
        <v>1082</v>
      </c>
      <c r="D169" s="21" t="s">
        <v>1007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1116</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1077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1117</v>
      </c>
    </row>
    <row r="174" spans="1:12">
      <c r="A174" s="20" t="s">
        <v>1118</v>
      </c>
      <c r="B174" s="21" t="s">
        <v>1005</v>
      </c>
      <c r="C174" s="21" t="s">
        <v>1048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1009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106</v>
      </c>
      <c r="B176" s="21" t="s">
        <v>1005</v>
      </c>
      <c r="C176" s="21" t="s">
        <v>1006</v>
      </c>
      <c r="D176" s="21" t="s">
        <v>1007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1018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1083</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1020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1084</v>
      </c>
      <c r="B180" s="21" t="s">
        <v>1119</v>
      </c>
      <c r="C180" s="21" t="s">
        <v>1086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1065</v>
      </c>
      <c r="B181" s="21" t="s">
        <v>1120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1114</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1121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1030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1122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1123</v>
      </c>
      <c r="B186" s="21" t="s">
        <v>1035</v>
      </c>
      <c r="C186" s="21" t="s">
        <v>1041</v>
      </c>
      <c r="D186" s="21" t="s">
        <v>1007</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1124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1125</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1020</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1126</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1127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1128</v>
      </c>
      <c r="B192" s="21" t="s">
        <v>1033</v>
      </c>
      <c r="C192" s="21" t="s">
        <v>1082</v>
      </c>
      <c r="D192" s="21" t="s">
        <v>1007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56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1127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1020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1129</v>
      </c>
      <c r="B196" s="21" t="s">
        <v>1130</v>
      </c>
      <c r="C196" s="21" t="s">
        <v>1059</v>
      </c>
      <c r="D196" s="21" t="s">
        <v>1007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1131</v>
      </c>
      <c r="B197" s="21" t="s">
        <v>1035</v>
      </c>
      <c r="C197" s="21" t="s">
        <v>1017</v>
      </c>
      <c r="D197" s="21" t="s">
        <v>1007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56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1030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1132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1133</v>
      </c>
      <c r="B201" s="21" t="s">
        <v>1134</v>
      </c>
      <c r="C201" s="21" t="s">
        <v>1082</v>
      </c>
      <c r="D201" s="21" t="s">
        <v>1007</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52</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1023</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row>
    <row r="205" spans="1:12">
      <c r="A205" s="20" t="s">
        <v>1135</v>
      </c>
    </row>
    <row r="206" spans="1:12">
      <c r="A206" s="20" t="s">
        <v>1136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1137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1138</v>
      </c>
      <c r="B208" s="21" t="s">
        <v>1119</v>
      </c>
      <c r="C208" s="21" t="s">
        <v>1082</v>
      </c>
      <c r="D208" s="21" t="s">
        <v>1007</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1139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1030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1140</v>
      </c>
      <c r="B211" s="21" t="s">
        <v>1029</v>
      </c>
      <c r="C211" s="21" t="s">
        <v>1073</v>
      </c>
      <c r="D211" s="21" t="s">
        <v>1007</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1018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1141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1065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1142</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1075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1143</v>
      </c>
      <c r="B217" s="21" t="s">
        <v>1005</v>
      </c>
      <c r="C217" s="21" t="s">
        <v>1073</v>
      </c>
      <c r="D217" s="21" t="s">
        <v>1007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1020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1144</v>
      </c>
      <c r="B219" s="21" t="s">
        <v>1119</v>
      </c>
      <c r="C219" s="21" t="s">
        <v>1017</v>
      </c>
      <c r="D219" s="21" t="s">
        <v>1007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1065</v>
      </c>
      <c r="B220" s="21" t="s">
        <v>1120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1145</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1126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1023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row>
    <row r="225" spans="1:12">
      <c r="A225" s="20" t="s">
        <v>1146</v>
      </c>
    </row>
    <row r="226" spans="1:12">
      <c r="A226" s="20" t="s">
        <v>1147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1148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1149</v>
      </c>
      <c r="B228" s="21" t="s">
        <v>1029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1138</v>
      </c>
      <c r="B229" s="21" t="s">
        <v>1119</v>
      </c>
      <c r="C229" s="21" t="s">
        <v>1082</v>
      </c>
      <c r="D229" s="21" t="s">
        <v>1007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1150</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1151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1023</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row>
    <row r="234" spans="1:12">
      <c r="A234" s="20" t="s">
        <v>1152</v>
      </c>
    </row>
    <row r="235" spans="1:12">
      <c r="A235" s="20" t="s">
        <v>1153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1138</v>
      </c>
      <c r="B236" s="21" t="s">
        <v>1154</v>
      </c>
      <c r="C236" s="21" t="s">
        <v>1082</v>
      </c>
      <c r="D236" s="21" t="s">
        <v>1007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1150</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1020</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1155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860</v>
      </c>
      <c r="B240" s="21" t="s">
        <v>1119</v>
      </c>
      <c r="C240" s="21" t="s">
        <v>1013</v>
      </c>
      <c r="D240" s="21" t="s">
        <v>1007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1014</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1156</v>
      </c>
      <c r="B243" s="21" t="s">
        <v>1033</v>
      </c>
      <c r="C243" s="21" t="s">
        <v>1017</v>
      </c>
      <c r="D243" s="21" t="s">
        <v>1007</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1018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1157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1158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1133</v>
      </c>
      <c r="B247" s="21" t="s">
        <v>1029</v>
      </c>
      <c r="C247" s="21" t="s">
        <v>1082</v>
      </c>
      <c r="D247" s="21" t="s">
        <v>1007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56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1159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1030</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1160</v>
      </c>
      <c r="B251" s="21" t="s">
        <v>1033</v>
      </c>
      <c r="C251" s="21" t="s">
        <v>1048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1023</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row>
    <row r="254" spans="1:12">
      <c r="A254" s="20" t="s">
        <v>1161</v>
      </c>
    </row>
    <row r="255" spans="1:12">
      <c r="A255" s="20" t="s">
        <v>11</v>
      </c>
      <c r="B255" s="21" t="s">
        <v>1050</v>
      </c>
      <c r="C255" s="21" t="s">
        <v>1073</v>
      </c>
      <c r="D255" s="21" t="s">
        <v>1007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1065</v>
      </c>
      <c r="B256" s="21" t="s">
        <v>1154</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1151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1162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1163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1164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1027</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1165</v>
      </c>
      <c r="B262" s="21" t="s">
        <v>1005</v>
      </c>
      <c r="C262" s="21" t="s">
        <v>1017</v>
      </c>
      <c r="D262" s="21" t="s">
        <v>1007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1023</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row>
    <row r="265" spans="1:12">
      <c r="A265" s="20" t="s">
        <v>1166</v>
      </c>
    </row>
    <row r="266" spans="1:12">
      <c r="A266" s="20" t="s">
        <v>11</v>
      </c>
      <c r="B266" s="21" t="s">
        <v>1050</v>
      </c>
      <c r="C266" s="21" t="s">
        <v>1073</v>
      </c>
      <c r="D266" s="21" t="s">
        <v>1007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1065</v>
      </c>
      <c r="B267" s="21" t="s">
        <v>1154</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1151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1162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1163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1075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1167</v>
      </c>
      <c r="B273" s="21" t="s">
        <v>1005</v>
      </c>
      <c r="C273" s="21" t="s">
        <v>1013</v>
      </c>
      <c r="D273" s="21" t="s">
        <v>1007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1014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1168</v>
      </c>
      <c r="B275" s="21" t="s">
        <v>1005</v>
      </c>
      <c r="C275" s="21" t="s">
        <v>1048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1065</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1169</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1018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1167</v>
      </c>
      <c r="B280" s="21" t="s">
        <v>1029</v>
      </c>
      <c r="C280" s="21" t="s">
        <v>1013</v>
      </c>
      <c r="D280" s="21" t="s">
        <v>1007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1014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1021</v>
      </c>
      <c r="B282" s="21" t="s">
        <v>1033</v>
      </c>
      <c r="C282" s="21" t="s">
        <v>1006</v>
      </c>
      <c r="D282" s="21" t="s">
        <v>1007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1065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1169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1018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1167</v>
      </c>
      <c r="B287" s="21" t="s">
        <v>1064</v>
      </c>
      <c r="C287" s="21" t="s">
        <v>1013</v>
      </c>
      <c r="D287" s="21" t="s">
        <v>1007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1014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1170</v>
      </c>
      <c r="B289" s="21" t="s">
        <v>1130</v>
      </c>
      <c r="C289" s="21" t="s">
        <v>1013</v>
      </c>
      <c r="D289" s="21" t="s">
        <v>1007</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1171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1027</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1172</v>
      </c>
      <c r="B292" s="21" t="s">
        <v>1040</v>
      </c>
      <c r="C292" s="21" t="s">
        <v>1017</v>
      </c>
      <c r="D292" s="21" t="s">
        <v>1007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56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1027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1173</v>
      </c>
      <c r="B295" s="21" t="s">
        <v>1042</v>
      </c>
      <c r="C295" s="21" t="s">
        <v>1017</v>
      </c>
      <c r="D295" s="21" t="s">
        <v>1007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1023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row>
    <row r="298" spans="1:12">
      <c r="A298" s="20" t="s">
        <v>1174</v>
      </c>
    </row>
    <row r="299" spans="1:12">
      <c r="A299" s="20" t="s">
        <v>1175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1140</v>
      </c>
      <c r="B300" s="21" t="s">
        <v>1050</v>
      </c>
      <c r="C300" s="21" t="s">
        <v>1073</v>
      </c>
      <c r="D300" s="21" t="s">
        <v>1007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1075</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102</v>
      </c>
      <c r="B302" s="21" t="s">
        <v>1005</v>
      </c>
      <c r="C302" s="21" t="s">
        <v>1073</v>
      </c>
      <c r="D302" s="21" t="s">
        <v>1007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1065</v>
      </c>
      <c r="B303" s="21" t="s">
        <v>1029</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1138</v>
      </c>
      <c r="B304" s="21" t="s">
        <v>1119</v>
      </c>
      <c r="C304" s="21" t="s">
        <v>1082</v>
      </c>
      <c r="D304" s="21" t="s">
        <v>1007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1176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1065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102</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1123</v>
      </c>
      <c r="B308" s="21" t="s">
        <v>1119</v>
      </c>
      <c r="C308" s="21" t="s">
        <v>1017</v>
      </c>
      <c r="D308" s="21" t="s">
        <v>1007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1177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1178</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1179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1065</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1180</v>
      </c>
      <c r="B314" s="21" t="s">
        <v>1120</v>
      </c>
      <c r="C314" s="21" t="s">
        <v>1082</v>
      </c>
      <c r="D314" s="21" t="s">
        <v>1007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1181</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1182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102</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1183</v>
      </c>
      <c r="B318" s="21" t="s">
        <v>1035</v>
      </c>
      <c r="C318" s="21" t="s">
        <v>1017</v>
      </c>
      <c r="D318" s="21" t="s">
        <v>1007</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1023</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1184</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1185</v>
      </c>
    </row>
    <row r="323" spans="1:12">
      <c r="A323" s="20" t="s">
        <v>1153</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1138</v>
      </c>
      <c r="B324" s="21" t="s">
        <v>1119</v>
      </c>
      <c r="C324" s="21" t="s">
        <v>1082</v>
      </c>
      <c r="D324" s="21" t="s">
        <v>1007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1186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1065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1133</v>
      </c>
      <c r="B327" s="21" t="s">
        <v>1187</v>
      </c>
      <c r="C327" s="21" t="s">
        <v>1082</v>
      </c>
      <c r="D327" s="21" t="s">
        <v>1007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1018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1142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1188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1113</v>
      </c>
      <c r="B332" s="21" t="s">
        <v>1050</v>
      </c>
      <c r="C332" s="21" t="s">
        <v>1013</v>
      </c>
      <c r="D332" s="21" t="s">
        <v>1007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1132</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1189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1110</v>
      </c>
      <c r="B335" s="21" t="s">
        <v>1022</v>
      </c>
      <c r="C335" s="21" t="s">
        <v>1048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1189</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row>
    <row r="339" spans="1:12">
      <c r="A339" s="20" t="s">
        <v>1184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1190</v>
      </c>
    </row>
    <row r="341" spans="1:12">
      <c r="A341" s="20" t="s">
        <v>1142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1188</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1189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1191</v>
      </c>
      <c r="B344" s="21" t="s">
        <v>1085</v>
      </c>
      <c r="C344" s="21" t="s">
        <v>1048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1189</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56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1142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1188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1189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1109</v>
      </c>
      <c r="B350" s="21" t="s">
        <v>1187</v>
      </c>
      <c r="C350" s="21" t="s">
        <v>1048</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1189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1023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row>
    <row r="354" spans="1:12">
      <c r="A354" s="20" t="s">
        <v>1192</v>
      </c>
    </row>
    <row r="355" spans="1:12">
      <c r="A355" s="20" t="s">
        <v>1193</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1065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1150</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1056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1194</v>
      </c>
      <c r="B359" s="21" t="s">
        <v>1005</v>
      </c>
      <c r="C359" s="21" t="s">
        <v>1111</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1056</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1195</v>
      </c>
      <c r="B362" s="21" t="s">
        <v>1022</v>
      </c>
      <c r="C362" s="21" t="s">
        <v>1111</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1018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1196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1132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1083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1020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1084</v>
      </c>
      <c r="B368" s="21" t="s">
        <v>1022</v>
      </c>
      <c r="C368" s="21" t="s">
        <v>1086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1023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row>
    <row r="371" spans="1:12">
      <c r="A371" s="20" t="s">
        <v>1197</v>
      </c>
    </row>
    <row r="372" spans="1:12">
      <c r="A372" s="20" t="s">
        <v>1094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1009</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1198</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1018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1199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1097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1200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1097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1149</v>
      </c>
      <c r="B380" s="21" t="s">
        <v>1120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1065</v>
      </c>
      <c r="B381" s="21" t="s">
        <v>1067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1142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1201</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1020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1202</v>
      </c>
      <c r="B385" s="21" t="s">
        <v>1066</v>
      </c>
      <c r="C385" s="21" t="s">
        <v>1017</v>
      </c>
      <c r="D385" s="21" t="s">
        <v>1007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1083</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1107</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1107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1203</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1056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1204</v>
      </c>
      <c r="B391" s="21" t="s">
        <v>1134</v>
      </c>
      <c r="C391" s="21" t="s">
        <v>1205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1018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885</v>
      </c>
      <c r="B393" s="21" t="s">
        <v>1120</v>
      </c>
      <c r="C393" s="21" t="s">
        <v>1082</v>
      </c>
      <c r="D393" s="21" t="s">
        <v>1007</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1206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1020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1207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1030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1208</v>
      </c>
      <c r="B399" s="21" t="s">
        <v>1130</v>
      </c>
      <c r="C399" s="21" t="s">
        <v>1006</v>
      </c>
      <c r="D399" s="21" t="s">
        <v>1007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1020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1209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1132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1210</v>
      </c>
      <c r="B403" s="21" t="s">
        <v>1040</v>
      </c>
      <c r="C403" s="21" t="s">
        <v>1013</v>
      </c>
      <c r="D403" s="21" t="s">
        <v>1007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1014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1020</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1211</v>
      </c>
      <c r="B406" s="21" t="s">
        <v>1042</v>
      </c>
      <c r="C406" s="21" t="s">
        <v>1006</v>
      </c>
      <c r="D406" s="21" t="s">
        <v>1007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1212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1213</v>
      </c>
      <c r="B408" s="21" t="s">
        <v>1044</v>
      </c>
      <c r="C408" s="21" t="s">
        <v>1006</v>
      </c>
      <c r="D408" s="21" t="s">
        <v>1007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1014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1214</v>
      </c>
      <c r="B410" s="21" t="s">
        <v>1215</v>
      </c>
      <c r="C410" s="21" t="s">
        <v>1006</v>
      </c>
      <c r="D410" s="21" t="s">
        <v>1007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1216</v>
      </c>
      <c r="B411" s="21" t="s">
        <v>1217</v>
      </c>
      <c r="C411" s="21" t="s">
        <v>1006</v>
      </c>
      <c r="D411" s="21" t="s">
        <v>1007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1218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1219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1220</v>
      </c>
      <c r="B414" s="21" t="s">
        <v>1042</v>
      </c>
      <c r="C414" s="21" t="s">
        <v>1013</v>
      </c>
      <c r="D414" s="21" t="s">
        <v>1007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1014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1221</v>
      </c>
      <c r="B416" s="21" t="s">
        <v>1044</v>
      </c>
      <c r="C416" s="21" t="s">
        <v>1048</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1018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1222</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1223</v>
      </c>
      <c r="B419" s="21" t="s">
        <v>1085</v>
      </c>
      <c r="C419" s="21" t="s">
        <v>1013</v>
      </c>
      <c r="D419" s="21" t="s">
        <v>1007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1020</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1015</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1221</v>
      </c>
      <c r="B422" s="21" t="s">
        <v>1022</v>
      </c>
      <c r="C422" s="21" t="s">
        <v>1013</v>
      </c>
      <c r="D422" s="21" t="s">
        <v>1007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1014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1224</v>
      </c>
      <c r="B424" s="21" t="s">
        <v>1033</v>
      </c>
      <c r="C424" s="21" t="s">
        <v>1082</v>
      </c>
      <c r="D424" s="21" t="s">
        <v>1007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1018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1225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1020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1226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1227</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1228</v>
      </c>
      <c r="B431" s="21" t="s">
        <v>1187</v>
      </c>
      <c r="C431" s="21" t="s">
        <v>1013</v>
      </c>
      <c r="D431" s="21" t="s">
        <v>1007</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1229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1020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1230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1231</v>
      </c>
      <c r="B435" s="21" t="s">
        <v>1035</v>
      </c>
      <c r="C435" s="21" t="s">
        <v>1103</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1232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1020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1233</v>
      </c>
      <c r="B438" s="21" t="s">
        <v>1066</v>
      </c>
      <c r="C438" s="21" t="s">
        <v>1048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1234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102</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1235</v>
      </c>
      <c r="B441" s="21" t="s">
        <v>1066</v>
      </c>
      <c r="C441" s="21" t="s">
        <v>1017</v>
      </c>
      <c r="D441" s="21" t="s">
        <v>1007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1097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1027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1039</v>
      </c>
      <c r="B444" s="21" t="s">
        <v>1040</v>
      </c>
      <c r="C444" s="21" t="s">
        <v>1013</v>
      </c>
      <c r="D444" s="21" t="s">
        <v>1007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1014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1236</v>
      </c>
      <c r="B446" s="21" t="s">
        <v>1042</v>
      </c>
      <c r="C446" s="21" t="s">
        <v>1048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1023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row>
    <row r="449" spans="1:12">
      <c r="A449" s="20" t="s">
        <v>1237</v>
      </c>
    </row>
    <row r="450" spans="1:12">
      <c r="A450" s="20" t="s">
        <v>11</v>
      </c>
      <c r="B450" s="21" t="s">
        <v>1005</v>
      </c>
      <c r="C450" s="21" t="s">
        <v>1073</v>
      </c>
      <c r="D450" s="21" t="s">
        <v>1007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1065</v>
      </c>
      <c r="B451" s="21" t="s">
        <v>1119</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102</v>
      </c>
      <c r="B452" s="21" t="s">
        <v>1029</v>
      </c>
      <c r="C452" s="21" t="s">
        <v>1082</v>
      </c>
      <c r="D452" s="21" t="s">
        <v>1007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1238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1020</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110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1140</v>
      </c>
      <c r="B456" s="21" t="s">
        <v>1187</v>
      </c>
      <c r="C456" s="21" t="s">
        <v>1073</v>
      </c>
      <c r="D456" s="21" t="s">
        <v>1007</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1077</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row>
    <row r="459" spans="1:12">
      <c r="A459" s="20" t="s">
        <v>1239</v>
      </c>
    </row>
    <row r="460" spans="1:12">
      <c r="A460" s="20" t="s">
        <v>1118</v>
      </c>
      <c r="B460" s="21" t="s">
        <v>1050</v>
      </c>
      <c r="C460" s="21" t="s">
        <v>1048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1009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1107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1137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1138</v>
      </c>
      <c r="B465" s="21" t="s">
        <v>1154</v>
      </c>
      <c r="C465" s="21" t="s">
        <v>1082</v>
      </c>
      <c r="D465" s="21" t="s">
        <v>1007</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1206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1030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102</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1208</v>
      </c>
      <c r="B469" s="21" t="s">
        <v>1022</v>
      </c>
      <c r="C469" s="21" t="s">
        <v>1006</v>
      </c>
      <c r="D469" s="21" t="s">
        <v>1007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1018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56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1030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1015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1240</v>
      </c>
      <c r="B474" s="21" t="s">
        <v>1033</v>
      </c>
      <c r="C474" s="21" t="s">
        <v>1017</v>
      </c>
      <c r="D474" s="21" t="s">
        <v>1007</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1241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1018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1137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1206</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1020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1209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1097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1242</v>
      </c>
      <c r="B483" s="21" t="s">
        <v>1035</v>
      </c>
      <c r="C483" s="21" t="s">
        <v>1013</v>
      </c>
      <c r="D483" s="21" t="s">
        <v>1007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1014</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1243</v>
      </c>
      <c r="B485" s="21" t="s">
        <v>1130</v>
      </c>
      <c r="C485" s="21" t="s">
        <v>1048</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1018</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1244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1102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1063</v>
      </c>
      <c r="B489" s="21" t="s">
        <v>1029</v>
      </c>
      <c r="C489" s="21" t="s">
        <v>1103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1065</v>
      </c>
      <c r="B490" s="21" t="s">
        <v>1120</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1133</v>
      </c>
      <c r="B491" s="21" t="s">
        <v>1064</v>
      </c>
      <c r="C491" s="21" t="s">
        <v>1082</v>
      </c>
      <c r="D491" s="21" t="s">
        <v>1007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1245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1023</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row>
    <row r="495" spans="1:12">
      <c r="A495" s="20" t="s">
        <v>1246</v>
      </c>
    </row>
    <row r="496" spans="1:12">
      <c r="A496" s="20" t="s">
        <v>1247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1020</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1242</v>
      </c>
      <c r="B498" s="21" t="s">
        <v>1005</v>
      </c>
      <c r="C498" s="21" t="s">
        <v>1013</v>
      </c>
      <c r="D498" s="21" t="s">
        <v>1007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1014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1243</v>
      </c>
      <c r="B500" s="21" t="s">
        <v>1022</v>
      </c>
      <c r="C500" s="21" t="s">
        <v>1048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1018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1248</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1102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1063</v>
      </c>
      <c r="B504" s="21" t="s">
        <v>1085</v>
      </c>
      <c r="C504" s="21" t="s">
        <v>1103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1249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1018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1063</v>
      </c>
      <c r="B507" s="21" t="s">
        <v>1022</v>
      </c>
      <c r="C507" s="21" t="s">
        <v>1048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1065</v>
      </c>
      <c r="B508" s="21" t="s">
        <v>1120</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1075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1250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110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1018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56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1063</v>
      </c>
      <c r="B514" s="21" t="s">
        <v>1130</v>
      </c>
      <c r="C514" s="21" t="s">
        <v>1048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1065</v>
      </c>
      <c r="B515" s="21" t="s">
        <v>1251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1252</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1083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1020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1084</v>
      </c>
      <c r="B519" s="21" t="s">
        <v>1253</v>
      </c>
      <c r="C519" s="21" t="s">
        <v>1086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1023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row>
    <row r="522" spans="1:12">
      <c r="A522" s="20" t="s">
        <v>1254</v>
      </c>
    </row>
    <row r="523" spans="1:12">
      <c r="A523" s="20" t="s">
        <v>1136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1255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1248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1063</v>
      </c>
      <c r="B526" s="21" t="s">
        <v>1085</v>
      </c>
      <c r="C526" s="21" t="s">
        <v>1048</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1065</v>
      </c>
      <c r="B527" s="21" t="s">
        <v>1154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1256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1052</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1257</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1023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row>
    <row r="533" spans="1:12">
      <c r="A533" s="20" t="s">
        <v>1258</v>
      </c>
    </row>
    <row r="534" spans="1:12">
      <c r="A534" s="20" t="s">
        <v>1259</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1063</v>
      </c>
      <c r="B535" s="21" t="s">
        <v>1085</v>
      </c>
      <c r="C535" s="21" t="s">
        <v>1048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1065</v>
      </c>
      <c r="B536" s="21" t="s">
        <v>1120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1142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1260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238</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1261</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1018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56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1262</v>
      </c>
      <c r="B543" s="21" t="s">
        <v>1022</v>
      </c>
      <c r="C543" s="21" t="s">
        <v>1048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1065</v>
      </c>
      <c r="B544" s="21" t="s">
        <v>1263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1264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1020</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238</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1261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1265</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1266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1267</v>
      </c>
      <c r="B552" s="21" t="s">
        <v>1130</v>
      </c>
      <c r="C552" s="21" t="s">
        <v>1017</v>
      </c>
      <c r="D552" s="21" t="s">
        <v>1007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153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1018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1266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102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1268</v>
      </c>
      <c r="B557" s="21" t="s">
        <v>1022</v>
      </c>
      <c r="C557" s="21" t="s">
        <v>1013</v>
      </c>
      <c r="D557" s="21" t="s">
        <v>1007</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1014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102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1267</v>
      </c>
      <c r="B560" s="21" t="s">
        <v>1033</v>
      </c>
      <c r="C560" s="21" t="s">
        <v>1017</v>
      </c>
      <c r="D560" s="21" t="s">
        <v>1007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1018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56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1266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1065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1015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1269</v>
      </c>
      <c r="B566" s="21" t="s">
        <v>1035</v>
      </c>
      <c r="C566" s="21" t="s">
        <v>1059</v>
      </c>
      <c r="D566" s="21" t="s">
        <v>1007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1270</v>
      </c>
      <c r="B567" s="21" t="s">
        <v>1154</v>
      </c>
      <c r="C567" s="21" t="s">
        <v>1013</v>
      </c>
      <c r="D567" s="21" t="s">
        <v>1007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1030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102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1168</v>
      </c>
      <c r="B570" s="21" t="s">
        <v>1035</v>
      </c>
      <c r="C570" s="21" t="s">
        <v>1017</v>
      </c>
      <c r="D570" s="21" t="s">
        <v>1007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1271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1272</v>
      </c>
      <c r="B572" s="21" t="s">
        <v>1187</v>
      </c>
      <c r="C572" s="21" t="s">
        <v>1013</v>
      </c>
      <c r="D572" s="21" t="s">
        <v>1007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1014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1274</v>
      </c>
      <c r="B575" s="21" t="s">
        <v>1035</v>
      </c>
      <c r="C575" s="21" t="s">
        <v>1041</v>
      </c>
      <c r="D575" s="21" t="s">
        <v>1007</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1023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row>
    <row r="578" spans="1:12">
      <c r="A578" s="20" t="s">
        <v>1275</v>
      </c>
    </row>
    <row r="579" spans="1:12">
      <c r="A579" s="20" t="s">
        <v>1276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1138</v>
      </c>
      <c r="B580" s="21" t="s">
        <v>1154</v>
      </c>
      <c r="C580" s="21" t="s">
        <v>1082</v>
      </c>
      <c r="D580" s="21" t="s">
        <v>1007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1277</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1020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1278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1182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1279</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1165</v>
      </c>
      <c r="B586" s="21" t="s">
        <v>1033</v>
      </c>
      <c r="C586" s="21" t="s">
        <v>1041</v>
      </c>
      <c r="D586" s="21" t="s">
        <v>1007</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1018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1280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1182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1015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1281</v>
      </c>
      <c r="B591" s="21" t="s">
        <v>1033</v>
      </c>
      <c r="C591" s="21" t="s">
        <v>1059</v>
      </c>
      <c r="D591" s="21" t="s">
        <v>1007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1282</v>
      </c>
      <c r="B592" s="21" t="s">
        <v>1029</v>
      </c>
      <c r="C592" s="21" t="s">
        <v>1017</v>
      </c>
      <c r="D592" s="21" t="s">
        <v>1007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1132</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1075</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1065</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1138</v>
      </c>
      <c r="B596" s="21" t="s">
        <v>1154</v>
      </c>
      <c r="C596" s="21" t="s">
        <v>1082</v>
      </c>
      <c r="D596" s="21" t="s">
        <v>1007</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1283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110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1284</v>
      </c>
      <c r="B599" s="21" t="s">
        <v>1064</v>
      </c>
      <c r="C599" s="21" t="s">
        <v>1073</v>
      </c>
      <c r="D599" s="21" t="s">
        <v>1007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1014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1285</v>
      </c>
      <c r="B601" s="21" t="s">
        <v>1130</v>
      </c>
      <c r="C601" s="21" t="s">
        <v>1048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1286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1287</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1018</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1065</v>
      </c>
      <c r="B605" s="21" t="s">
        <v>1067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1288</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1015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1289</v>
      </c>
      <c r="B608" s="21" t="s">
        <v>1066</v>
      </c>
      <c r="C608" s="21" t="s">
        <v>1013</v>
      </c>
      <c r="D608" s="21" t="s">
        <v>1007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1014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102</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1267</v>
      </c>
      <c r="B611" s="21" t="s">
        <v>1042</v>
      </c>
      <c r="C611" s="21" t="s">
        <v>1017</v>
      </c>
      <c r="D611" s="21" t="s">
        <v>1007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1290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1291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1015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1292</v>
      </c>
      <c r="B615" s="21" t="s">
        <v>1251</v>
      </c>
      <c r="C615" s="21" t="s">
        <v>1017</v>
      </c>
      <c r="D615" s="21" t="s">
        <v>1007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1077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1293</v>
      </c>
    </row>
    <row r="619" spans="1:12">
      <c r="A619" s="20" t="s">
        <v>1294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1295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1027</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1296</v>
      </c>
      <c r="B622" s="21" t="s">
        <v>1005</v>
      </c>
      <c r="C622" s="21" t="s">
        <v>1205</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1065</v>
      </c>
      <c r="B623" s="21" t="s">
        <v>1187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1297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1018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1266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238</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1298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1020</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102</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576</v>
      </c>
      <c r="B631" s="21" t="s">
        <v>1187</v>
      </c>
      <c r="C631" s="21" t="s">
        <v>1017</v>
      </c>
      <c r="D631" s="21" t="s">
        <v>1007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1018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1299</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1142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1300</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1301</v>
      </c>
      <c r="B636" s="21" t="s">
        <v>1187</v>
      </c>
      <c r="C636" s="21" t="s">
        <v>1048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1018</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1142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1300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1302</v>
      </c>
      <c r="B640" s="21" t="s">
        <v>1085</v>
      </c>
      <c r="C640" s="21" t="s">
        <v>1013</v>
      </c>
      <c r="D640" s="21" t="s">
        <v>1007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1303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1097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1056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1304</v>
      </c>
      <c r="B644" s="21" t="s">
        <v>1022</v>
      </c>
      <c r="C644" s="21" t="s">
        <v>1111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1305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1018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1056</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1306</v>
      </c>
      <c r="B648" s="21" t="s">
        <v>1033</v>
      </c>
      <c r="C648" s="21" t="s">
        <v>1013</v>
      </c>
      <c r="D648" s="21" t="s">
        <v>1007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1014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1243</v>
      </c>
      <c r="B650" s="21" t="s">
        <v>1035</v>
      </c>
      <c r="C650" s="21" t="s">
        <v>1048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1132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1138</v>
      </c>
      <c r="B652" s="21" t="s">
        <v>1119</v>
      </c>
      <c r="C652" s="21" t="s">
        <v>1082</v>
      </c>
      <c r="D652" s="21" t="s">
        <v>1007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1307</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1018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1308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102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1309</v>
      </c>
      <c r="B657" s="21" t="s">
        <v>1029</v>
      </c>
      <c r="C657" s="21" t="s">
        <v>1017</v>
      </c>
      <c r="D657" s="21" t="s">
        <v>1007</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1014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1138</v>
      </c>
      <c r="B659" s="21" t="s">
        <v>1120</v>
      </c>
      <c r="C659" s="21" t="s">
        <v>1082</v>
      </c>
      <c r="D659" s="21" t="s">
        <v>1007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238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1310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1311</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1182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1279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1243</v>
      </c>
      <c r="B665" s="21" t="s">
        <v>1064</v>
      </c>
      <c r="C665" s="21" t="s">
        <v>1041</v>
      </c>
      <c r="D665" s="21" t="s">
        <v>1007</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56</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102</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1267</v>
      </c>
      <c r="B668" s="21" t="s">
        <v>1130</v>
      </c>
      <c r="C668" s="21" t="s">
        <v>1017</v>
      </c>
      <c r="D668" s="21" t="s">
        <v>1007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1312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1313</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1020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153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1023</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1314</v>
      </c>
    </row>
    <row r="676" spans="1:12">
      <c r="A676" s="20" t="s">
        <v>1136</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1020</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1315</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1316</v>
      </c>
      <c r="B679" s="21" t="s">
        <v>1050</v>
      </c>
      <c r="C679" s="21" t="s">
        <v>1013</v>
      </c>
      <c r="D679" s="21" t="s">
        <v>1007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1014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1020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1317</v>
      </c>
      <c r="B682" s="21" t="s">
        <v>1022</v>
      </c>
      <c r="C682" s="21" t="s">
        <v>1006</v>
      </c>
      <c r="D682" s="21" t="s">
        <v>1007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1014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1015</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1318</v>
      </c>
      <c r="B685" s="21" t="s">
        <v>1033</v>
      </c>
      <c r="C685" s="21" t="s">
        <v>1006</v>
      </c>
      <c r="D685" s="21" t="s">
        <v>1007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1319</v>
      </c>
      <c r="B686" s="21" t="s">
        <v>1035</v>
      </c>
      <c r="C686" s="21" t="s">
        <v>1006</v>
      </c>
      <c r="D686" s="21" t="s">
        <v>1007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1320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1321</v>
      </c>
      <c r="B688" s="21" t="s">
        <v>1085</v>
      </c>
      <c r="C688" s="21" t="s">
        <v>1082</v>
      </c>
      <c r="D688" s="21" t="s">
        <v>1007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1322</v>
      </c>
      <c r="B689" s="21" t="s">
        <v>1005</v>
      </c>
      <c r="C689" s="21" t="s">
        <v>1013</v>
      </c>
      <c r="D689" s="21" t="s">
        <v>1007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1014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1323</v>
      </c>
      <c r="B691" s="21" t="s">
        <v>1022</v>
      </c>
      <c r="C691" s="21" t="s">
        <v>1048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1036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1324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1325</v>
      </c>
      <c r="B694" s="21" t="s">
        <v>1022</v>
      </c>
      <c r="C694" s="21" t="s">
        <v>1111</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1018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1065</v>
      </c>
      <c r="B696" s="21" t="s">
        <v>1120</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1075</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1326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1324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1323</v>
      </c>
      <c r="B700" s="21" t="s">
        <v>1064</v>
      </c>
      <c r="C700" s="21" t="s">
        <v>1111</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1182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1327</v>
      </c>
      <c r="B702" s="21" t="s">
        <v>1035</v>
      </c>
      <c r="C702" s="21" t="s">
        <v>1048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1328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1097</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1329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1168</v>
      </c>
      <c r="B707" s="21" t="s">
        <v>1066</v>
      </c>
      <c r="C707" s="21" t="s">
        <v>1017</v>
      </c>
      <c r="D707" s="21" t="s">
        <v>1007</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1018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1330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1255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1097</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1209</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1030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1331</v>
      </c>
      <c r="B714" s="21" t="s">
        <v>1035</v>
      </c>
      <c r="C714" s="21" t="s">
        <v>1013</v>
      </c>
      <c r="D714" s="21" t="s">
        <v>1007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1182</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1168</v>
      </c>
      <c r="B717" s="21" t="s">
        <v>1130</v>
      </c>
      <c r="C717" s="21" t="s">
        <v>1017</v>
      </c>
      <c r="D717" s="21" t="s">
        <v>1007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1018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1056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1332</v>
      </c>
      <c r="B721" s="21" t="s">
        <v>1134</v>
      </c>
      <c r="C721" s="21" t="s">
        <v>1111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56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1056</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1123</v>
      </c>
      <c r="B724" s="21" t="s">
        <v>1067</v>
      </c>
      <c r="C724" s="21" t="s">
        <v>1111</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1127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1132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1333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1334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1267</v>
      </c>
      <c r="B730" s="21" t="s">
        <v>1253</v>
      </c>
      <c r="C730" s="21" t="s">
        <v>1017</v>
      </c>
      <c r="D730" s="21" t="s">
        <v>1007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1127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1335</v>
      </c>
      <c r="B732" s="21" t="s">
        <v>1040</v>
      </c>
      <c r="C732" s="21" t="s">
        <v>1013</v>
      </c>
      <c r="D732" s="21" t="s">
        <v>1007</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1014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1336</v>
      </c>
      <c r="B734" s="21" t="s">
        <v>1042</v>
      </c>
      <c r="C734" s="21" t="s">
        <v>1048</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1337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1266</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1338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1030</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1309</v>
      </c>
      <c r="B739" s="21" t="s">
        <v>1044</v>
      </c>
      <c r="C739" s="21" t="s">
        <v>1013</v>
      </c>
      <c r="D739" s="21" t="s">
        <v>1007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1020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1339</v>
      </c>
      <c r="B741" s="21" t="s">
        <v>1215</v>
      </c>
      <c r="C741" s="21" t="s">
        <v>1017</v>
      </c>
      <c r="D741" s="21" t="s">
        <v>1007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1340</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1023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row>
    <row r="745" spans="1:12">
      <c r="A745" s="20" t="s">
        <v>1341</v>
      </c>
    </row>
    <row r="746" spans="1:12">
      <c r="A746" s="20" t="s">
        <v>1175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1018</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1020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1209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1182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1231</v>
      </c>
      <c r="B752" s="21" t="s">
        <v>1022</v>
      </c>
      <c r="C752" s="21" t="s">
        <v>1048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1018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1020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1342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1295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1027</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1343</v>
      </c>
      <c r="B759" s="21" t="s">
        <v>1035</v>
      </c>
      <c r="C759" s="21" t="s">
        <v>1059</v>
      </c>
      <c r="D759" s="21" t="s">
        <v>1007</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1243</v>
      </c>
      <c r="B760" s="21" t="s">
        <v>1187</v>
      </c>
      <c r="C760" s="21" t="s">
        <v>1013</v>
      </c>
      <c r="D760" s="21" t="s">
        <v>1007</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1097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102</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1344</v>
      </c>
      <c r="B763" s="21" t="s">
        <v>1035</v>
      </c>
      <c r="C763" s="21" t="s">
        <v>1017</v>
      </c>
      <c r="D763" s="21" t="s">
        <v>1007</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1345</v>
      </c>
      <c r="B764" s="21" t="s">
        <v>1130</v>
      </c>
      <c r="C764" s="21" t="s">
        <v>1006</v>
      </c>
      <c r="D764" s="21" t="s">
        <v>1007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1018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1030</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1346</v>
      </c>
      <c r="B767" s="21" t="s">
        <v>1035</v>
      </c>
      <c r="C767" s="21" t="s">
        <v>1048</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1014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1347</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1030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1128</v>
      </c>
      <c r="B771" s="21" t="s">
        <v>1187</v>
      </c>
      <c r="C771" s="21" t="s">
        <v>1082</v>
      </c>
      <c r="D771" s="21" t="s">
        <v>1007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1116</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1097</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1348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1020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1349</v>
      </c>
      <c r="B776" s="21" t="s">
        <v>1064</v>
      </c>
      <c r="C776" s="21" t="s">
        <v>1017</v>
      </c>
      <c r="D776" s="21" t="s">
        <v>1007</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1014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1027</v>
      </c>
      <c r="B778" s="21" t="s">
        <v>1066</v>
      </c>
      <c r="C778" s="21" t="s">
        <v>1073</v>
      </c>
      <c r="D778" s="21" t="s">
        <v>1007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1350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1018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1351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1056</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1352</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1123</v>
      </c>
      <c r="B784" s="21" t="s">
        <v>1085</v>
      </c>
      <c r="C784" s="21" t="s">
        <v>1013</v>
      </c>
      <c r="D784" s="21" t="s">
        <v>1007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1182</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1056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1353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1354</v>
      </c>
      <c r="B788" s="21" t="s">
        <v>1022</v>
      </c>
      <c r="C788" s="21" t="s">
        <v>1013</v>
      </c>
      <c r="D788" s="21" t="s">
        <v>1007</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1014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1168</v>
      </c>
      <c r="B791" s="21" t="s">
        <v>1033</v>
      </c>
      <c r="C791" s="21" t="s">
        <v>1017</v>
      </c>
      <c r="D791" s="21" t="s">
        <v>1007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1065</v>
      </c>
      <c r="B792" s="21" t="s">
        <v>1134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1138</v>
      </c>
      <c r="B793" s="21" t="s">
        <v>1263</v>
      </c>
      <c r="C793" s="21" t="s">
        <v>1082</v>
      </c>
      <c r="D793" s="21" t="s">
        <v>1007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1141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1065</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1355</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1030</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1056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1356</v>
      </c>
      <c r="B799" s="21" t="s">
        <v>1066</v>
      </c>
      <c r="C799" s="21" t="s">
        <v>1111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1097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1357</v>
      </c>
      <c r="B801" s="21" t="s">
        <v>1042</v>
      </c>
      <c r="C801" s="21" t="s">
        <v>1358</v>
      </c>
      <c r="D801" s="21" t="s">
        <v>1007</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1023</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row>
    <row r="804" spans="1:12">
      <c r="A804" s="20" t="s">
        <v>1359</v>
      </c>
    </row>
    <row r="805" spans="1:12">
      <c r="A805" s="20" t="s">
        <v>1175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1015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1292</v>
      </c>
      <c r="B807" s="21" t="s">
        <v>1085</v>
      </c>
      <c r="C807" s="21" t="s">
        <v>1017</v>
      </c>
      <c r="D807" s="21" t="s">
        <v>1007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1065</v>
      </c>
      <c r="B808" s="21" t="s">
        <v>1154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1114</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1360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1018</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1015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1292</v>
      </c>
      <c r="B813" s="21" t="s">
        <v>1050</v>
      </c>
      <c r="C813" s="21" t="s">
        <v>1017</v>
      </c>
      <c r="D813" s="21" t="s">
        <v>1007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1065</v>
      </c>
      <c r="B814" s="21" t="s">
        <v>1154</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1361</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1362</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1036</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1168</v>
      </c>
      <c r="B819" s="21" t="s">
        <v>1033</v>
      </c>
      <c r="C819" s="21" t="s">
        <v>1017</v>
      </c>
      <c r="D819" s="21" t="s">
        <v>1007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1312</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1114</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1363</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1023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row>
    <row r="825" spans="1:12">
      <c r="A825" s="20" t="s">
        <v>1364</v>
      </c>
    </row>
    <row r="826" spans="1:12">
      <c r="A826" s="20" t="s">
        <v>1365</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1366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1367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1368</v>
      </c>
      <c r="B829" s="21" t="s">
        <v>1085</v>
      </c>
      <c r="C829" s="21" t="s">
        <v>1013</v>
      </c>
      <c r="D829" s="21" t="s">
        <v>1007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1014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1324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1199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1369</v>
      </c>
      <c r="B833" s="21" t="s">
        <v>1022</v>
      </c>
      <c r="C833" s="21" t="s">
        <v>1013</v>
      </c>
      <c r="D833" s="21" t="s">
        <v>1007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1014</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1370</v>
      </c>
      <c r="B835" s="21" t="s">
        <v>1033</v>
      </c>
      <c r="C835" s="21" t="s">
        <v>1048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1371</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1023</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row>
    <row r="839" spans="1:12">
      <c r="A839" s="20" t="s">
        <v>1372</v>
      </c>
    </row>
    <row r="840" spans="1:12">
      <c r="A840" s="20" t="s">
        <v>1373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1374</v>
      </c>
      <c r="B841" s="21" t="s">
        <v>1005</v>
      </c>
      <c r="C841" s="21" t="s">
        <v>1013</v>
      </c>
      <c r="D841" s="21" t="s">
        <v>1007</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1014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1140</v>
      </c>
      <c r="B843" s="21" t="s">
        <v>1022</v>
      </c>
      <c r="C843" s="21" t="s">
        <v>1073</v>
      </c>
      <c r="D843" s="21" t="s">
        <v>1007</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1018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955</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1133</v>
      </c>
      <c r="B846" s="21" t="s">
        <v>1085</v>
      </c>
      <c r="C846" s="21" t="s">
        <v>1082</v>
      </c>
      <c r="D846" s="21" t="s">
        <v>1007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1375</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1182</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1027</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1262</v>
      </c>
      <c r="B850" s="21" t="s">
        <v>1005</v>
      </c>
      <c r="C850" s="21" t="s">
        <v>1017</v>
      </c>
      <c r="D850" s="21" t="s">
        <v>1007</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1065</v>
      </c>
      <c r="B851" s="21" t="s">
        <v>1187</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1376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1023</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row>
    <row r="855" spans="1:12">
      <c r="A855" s="20" t="s">
        <v>1377</v>
      </c>
    </row>
    <row r="856" spans="1:12">
      <c r="A856" s="20" t="s">
        <v>1094</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1009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1378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145</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1020</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102</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1267</v>
      </c>
      <c r="B862" s="21" t="s">
        <v>1005</v>
      </c>
      <c r="C862" s="21" t="s">
        <v>1017</v>
      </c>
      <c r="D862" s="21" t="s">
        <v>1007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1230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1379</v>
      </c>
      <c r="B864" s="21" t="s">
        <v>1085</v>
      </c>
      <c r="C864" s="21" t="s">
        <v>1013</v>
      </c>
      <c r="D864" s="21" t="s">
        <v>1007</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1014</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102</v>
      </c>
      <c r="B866" s="21" t="s">
        <v>1022</v>
      </c>
      <c r="C866" s="21" t="s">
        <v>1073</v>
      </c>
      <c r="D866" s="21" t="s">
        <v>1007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1065</v>
      </c>
      <c r="B867" s="21" t="s">
        <v>1064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885</v>
      </c>
      <c r="B868" s="21" t="s">
        <v>1120</v>
      </c>
      <c r="C868" s="21" t="s">
        <v>1082</v>
      </c>
      <c r="D868" s="21" t="s">
        <v>1007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1380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1023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1381</v>
      </c>
    </row>
    <row r="873" spans="1:12">
      <c r="A873" s="20" t="s">
        <v>1114</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1382</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98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1383</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1384</v>
      </c>
      <c r="B877" s="21" t="s">
        <v>1029</v>
      </c>
      <c r="C877" s="21" t="s">
        <v>1103</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1107</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row>
    <row r="880" spans="1:12">
      <c r="A880" s="20" t="s">
        <v>1385</v>
      </c>
    </row>
    <row r="881" spans="1:12">
      <c r="A881" s="20" t="s">
        <v>28</v>
      </c>
      <c r="B881" s="21" t="s">
        <v>1119</v>
      </c>
      <c r="C881" s="21" t="s">
        <v>1006</v>
      </c>
      <c r="D881" s="21" t="s">
        <v>1007</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1018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1142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1386</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1114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1076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137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1018</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1015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1384</v>
      </c>
      <c r="B890" s="21" t="s">
        <v>1154</v>
      </c>
      <c r="C890" s="21" t="s">
        <v>1017</v>
      </c>
      <c r="D890" s="21" t="s">
        <v>1007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1387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1023</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row>
    <row r="895" spans="1:12">
      <c r="A895" s="20" t="s">
        <v>1388</v>
      </c>
    </row>
    <row r="896" spans="1:12">
      <c r="A896" s="20" t="s">
        <v>1389</v>
      </c>
      <c r="B896" s="21" t="s">
        <v>1050</v>
      </c>
      <c r="C896" s="21" t="s">
        <v>1073</v>
      </c>
      <c r="D896" s="21" t="s">
        <v>1007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1075</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1056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1390</v>
      </c>
      <c r="B899" s="21" t="s">
        <v>1005</v>
      </c>
      <c r="C899" s="21" t="s">
        <v>1013</v>
      </c>
      <c r="D899" s="21" t="s">
        <v>1007</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1014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1391</v>
      </c>
      <c r="B902" s="21" t="s">
        <v>1005</v>
      </c>
      <c r="C902" s="21" t="s">
        <v>1017</v>
      </c>
      <c r="D902" s="21" t="s">
        <v>1007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1392</v>
      </c>
      <c r="B903" s="21" t="s">
        <v>1022</v>
      </c>
      <c r="C903" s="21" t="s">
        <v>1006</v>
      </c>
      <c r="D903" s="21" t="s">
        <v>1007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1023</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row>
    <row r="906" spans="1:12">
      <c r="A906" s="20" t="s">
        <v>1393</v>
      </c>
    </row>
    <row r="907" spans="1:12">
      <c r="A907" s="20" t="s">
        <v>1394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1395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1396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1020</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1267</v>
      </c>
      <c r="B912" s="21" t="s">
        <v>1022</v>
      </c>
      <c r="C912" s="21" t="s">
        <v>1017</v>
      </c>
      <c r="D912" s="21" t="s">
        <v>1007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102</v>
      </c>
      <c r="B913" s="21" t="s">
        <v>1035</v>
      </c>
      <c r="C913" s="21" t="s">
        <v>1073</v>
      </c>
      <c r="D913" s="21" t="s">
        <v>1007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1065</v>
      </c>
      <c r="B914" s="21" t="s">
        <v>1154</v>
      </c>
      <c r="C914" s="21" t="s">
        <v>1074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1075</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1065</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1397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1398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1023</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1399</v>
      </c>
    </row>
    <row r="922" spans="1:12">
      <c r="A922" s="20" t="s">
        <v>1118</v>
      </c>
      <c r="B922" s="21" t="s">
        <v>1050</v>
      </c>
      <c r="C922" s="21" t="s">
        <v>1048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1009</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1400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1401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1285</v>
      </c>
      <c r="B926" s="21" t="s">
        <v>1154</v>
      </c>
      <c r="C926" s="21" t="s">
        <v>1017</v>
      </c>
      <c r="D926" s="21" t="s">
        <v>1007</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1014</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1402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1392</v>
      </c>
      <c r="B930" s="21" t="s">
        <v>1134</v>
      </c>
      <c r="C930" s="21" t="s">
        <v>1006</v>
      </c>
      <c r="D930" s="21" t="s">
        <v>1007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1018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1299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1124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1403</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1324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1404</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1405</v>
      </c>
      <c r="B937" s="21" t="s">
        <v>1187</v>
      </c>
      <c r="C937" s="21" t="s">
        <v>1111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1018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1075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1406</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1407</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1127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102</v>
      </c>
      <c r="B943" s="21" t="s">
        <v>1085</v>
      </c>
      <c r="C943" s="21" t="s">
        <v>1073</v>
      </c>
      <c r="D943" s="21" t="s">
        <v>1007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1065</v>
      </c>
      <c r="B944" s="21" t="s">
        <v>1187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102</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1392</v>
      </c>
      <c r="B946" s="21" t="s">
        <v>1154</v>
      </c>
      <c r="C946" s="21" t="s">
        <v>1006</v>
      </c>
      <c r="D946" s="21" t="s">
        <v>1007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1142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1075</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1023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row>
    <row r="951" spans="1:12">
      <c r="A951" s="20" t="s">
        <v>1408</v>
      </c>
    </row>
    <row r="952" spans="1:12">
      <c r="A952" s="20" t="s">
        <v>1409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1410</v>
      </c>
      <c r="B953" s="21" t="s">
        <v>1050</v>
      </c>
      <c r="C953" s="21" t="s">
        <v>1013</v>
      </c>
      <c r="D953" s="21" t="s">
        <v>1007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1014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1020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1411</v>
      </c>
      <c r="B956" s="21" t="s">
        <v>1022</v>
      </c>
      <c r="C956" s="21" t="s">
        <v>1013</v>
      </c>
      <c r="D956" s="21" t="s">
        <v>1007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1030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1015</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1412</v>
      </c>
      <c r="B959" s="21" t="s">
        <v>1033</v>
      </c>
      <c r="C959" s="21" t="s">
        <v>1006</v>
      </c>
      <c r="D959" s="21" t="s">
        <v>1007</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1124</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1413</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1127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1015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1414</v>
      </c>
      <c r="B964" s="21" t="s">
        <v>1005</v>
      </c>
      <c r="C964" s="21" t="s">
        <v>1017</v>
      </c>
      <c r="D964" s="21" t="s">
        <v>1007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1023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row>
    <row r="967" spans="1:12">
      <c r="A967" s="20" t="s">
        <v>1415</v>
      </c>
    </row>
    <row r="968" spans="1:12">
      <c r="A968" s="20" t="s">
        <v>1416</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1114</v>
      </c>
      <c r="B969" s="21" t="s">
        <v>1050</v>
      </c>
      <c r="C969" s="21" t="s">
        <v>1082</v>
      </c>
      <c r="D969" s="21" t="s">
        <v>1007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1417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1065</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1164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1199</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1414</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1018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1164</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1199</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1414</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1018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56</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1124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1114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1418</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1127</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1324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1419</v>
      </c>
      <c r="B986" s="21" t="s">
        <v>1033</v>
      </c>
      <c r="C986" s="21" t="s">
        <v>1111</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1303</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1420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1421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1422</v>
      </c>
      <c r="B990" s="21" t="s">
        <v>1134</v>
      </c>
      <c r="C990" s="21" t="s">
        <v>1006</v>
      </c>
      <c r="D990" s="21" t="s">
        <v>1007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745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1014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1020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1423</v>
      </c>
      <c r="B994" s="21" t="s">
        <v>1040</v>
      </c>
      <c r="C994" s="21" t="s">
        <v>1006</v>
      </c>
      <c r="D994" s="21" t="s">
        <v>1007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1424</v>
      </c>
      <c r="B995" s="21" t="s">
        <v>1042</v>
      </c>
      <c r="C995" s="21" t="s">
        <v>1006</v>
      </c>
      <c r="D995" s="21" t="s">
        <v>1007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1018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1065</v>
      </c>
      <c r="B997" s="21" t="s">
        <v>1251</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1425</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1056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1426</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1167</v>
      </c>
      <c r="B1001" s="21" t="s">
        <v>1253</v>
      </c>
      <c r="C1001" s="21" t="s">
        <v>1013</v>
      </c>
      <c r="D1001" s="21" t="s">
        <v>1007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1014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1427</v>
      </c>
      <c r="B1003" s="21" t="s">
        <v>1044</v>
      </c>
      <c r="C1003" s="21" t="s">
        <v>1013</v>
      </c>
      <c r="D1003" s="21" t="s">
        <v>1007</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1266</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1428</v>
      </c>
      <c r="B1005" s="21" t="s">
        <v>1215</v>
      </c>
      <c r="C1005" s="21" t="s">
        <v>1048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1018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1324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1429</v>
      </c>
      <c r="B1008" s="21" t="s">
        <v>1134</v>
      </c>
      <c r="C1008" s="21" t="s">
        <v>1013</v>
      </c>
      <c r="D1008" s="21" t="s">
        <v>1007</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1014</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1430</v>
      </c>
      <c r="B1010" s="21" t="s">
        <v>1040</v>
      </c>
      <c r="C1010" s="21" t="s">
        <v>1073</v>
      </c>
      <c r="D1010" s="21" t="s">
        <v>1007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1014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1027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1431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1432</v>
      </c>
      <c r="B1014" s="21" t="s">
        <v>1042</v>
      </c>
      <c r="C1014" s="21" t="s">
        <v>1013</v>
      </c>
      <c r="D1014" s="21" t="s">
        <v>1007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1014</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1433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102</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1434</v>
      </c>
      <c r="B1018" s="21" t="s">
        <v>1044</v>
      </c>
      <c r="C1018" s="21" t="s">
        <v>1017</v>
      </c>
      <c r="D1018" s="21" t="s">
        <v>1007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1018</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1435</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1167</v>
      </c>
      <c r="B1021" s="21" t="s">
        <v>1040</v>
      </c>
      <c r="C1021" s="21" t="s">
        <v>1041</v>
      </c>
      <c r="D1021" s="21" t="s">
        <v>1007</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1014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1063</v>
      </c>
      <c r="B1023" s="21" t="s">
        <v>1042</v>
      </c>
      <c r="C1023" s="21" t="s">
        <v>1048</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1018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1436</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1182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1149</v>
      </c>
      <c r="B1027" s="21" t="s">
        <v>1437</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1438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1020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1406</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1018</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1137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1075</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1065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1439</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1182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1149</v>
      </c>
      <c r="B1037" s="21" t="s">
        <v>1440</v>
      </c>
      <c r="C1037" s="21" t="s">
        <v>1074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1023</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row>
    <row r="1040" spans="1:12">
      <c r="A1040" s="20" t="s">
        <v>1441</v>
      </c>
    </row>
    <row r="1041" spans="1:12">
      <c r="A1041" s="20" t="s">
        <v>1097</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1442</v>
      </c>
      <c r="B1042" s="21" t="s">
        <v>1005</v>
      </c>
      <c r="C1042" s="21" t="s">
        <v>1048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1443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1023</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row>
    <row r="1046" spans="1:12">
      <c r="A1046" s="20" t="s">
        <v>1444</v>
      </c>
    </row>
    <row r="1047" spans="1:12">
      <c r="A1047" s="20" t="s">
        <v>1445</v>
      </c>
      <c r="B1047" s="21" t="s">
        <v>1050</v>
      </c>
      <c r="C1047" s="21" t="s">
        <v>1086</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1140</v>
      </c>
      <c r="B1048" s="21" t="s">
        <v>1050</v>
      </c>
      <c r="C1048" s="21" t="s">
        <v>1073</v>
      </c>
      <c r="D1048" s="21" t="s">
        <v>1007</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1164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1414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1023</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row>
    <row r="1053" spans="1:12">
      <c r="A1053" s="20" t="s">
        <v>1446</v>
      </c>
    </row>
    <row r="1054" spans="1:12">
      <c r="A1054" s="20" t="s">
        <v>11</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1392</v>
      </c>
      <c r="B1055" s="21" t="s">
        <v>1050</v>
      </c>
      <c r="C1055" s="21" t="s">
        <v>1006</v>
      </c>
      <c r="D1055" s="21" t="s">
        <v>1007</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1075</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1127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1447</v>
      </c>
      <c r="B1059" s="21" t="s">
        <v>1005</v>
      </c>
      <c r="C1059" s="21" t="s">
        <v>1017</v>
      </c>
      <c r="D1059" s="21" t="s">
        <v>1007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1023</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row>
    <row r="1062" spans="1:12">
      <c r="A1062" s="20" t="s">
        <v>1448</v>
      </c>
    </row>
    <row r="1063" spans="1:12">
      <c r="A1063" s="20" t="s">
        <v>1449</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1056</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1391</v>
      </c>
      <c r="B1065" s="21" t="s">
        <v>1119</v>
      </c>
      <c r="C1065" s="21" t="s">
        <v>1111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1450</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1014</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102</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1451</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102</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1168</v>
      </c>
      <c r="B1071" s="21" t="s">
        <v>1035</v>
      </c>
      <c r="C1071" s="21" t="s">
        <v>1017</v>
      </c>
      <c r="D1071" s="21" t="s">
        <v>1007</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1061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1452</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102</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1156</v>
      </c>
      <c r="B1075" s="21" t="s">
        <v>1029</v>
      </c>
      <c r="C1075" s="21" t="s">
        <v>1017</v>
      </c>
      <c r="D1075" s="21" t="s">
        <v>1007</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1453</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1194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1018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1061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1454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1156</v>
      </c>
      <c r="B1082" s="21" t="s">
        <v>1064</v>
      </c>
      <c r="C1082" s="21" t="s">
        <v>1017</v>
      </c>
      <c r="D1082" s="21" t="s">
        <v>1007</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1453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1194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1014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110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1455</v>
      </c>
      <c r="B1088" s="21" t="s">
        <v>1066</v>
      </c>
      <c r="C1088" s="21" t="s">
        <v>1013</v>
      </c>
      <c r="D1088" s="21" t="s">
        <v>1007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1456</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1014</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1020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1211</v>
      </c>
      <c r="B1092" s="21" t="s">
        <v>1042</v>
      </c>
      <c r="C1092" s="21" t="s">
        <v>1006</v>
      </c>
      <c r="D1092" s="21" t="s">
        <v>1007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1023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row>
    <row r="1095" spans="1:12">
      <c r="A1095" s="20" t="s">
        <v>1457</v>
      </c>
    </row>
    <row r="1096" spans="1:12">
      <c r="A1096" s="20" t="s">
        <v>1175</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1018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1458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1014</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1459</v>
      </c>
      <c r="B1100" s="21" t="s">
        <v>1119</v>
      </c>
      <c r="C1100" s="21" t="s">
        <v>1086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1014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1279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1460</v>
      </c>
      <c r="B1103" s="21" t="s">
        <v>1033</v>
      </c>
      <c r="C1103" s="21" t="s">
        <v>1041</v>
      </c>
      <c r="D1103" s="21" t="s">
        <v>1007</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1461</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1462</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1018</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1458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1014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1459</v>
      </c>
      <c r="B1109" s="21" t="s">
        <v>1154</v>
      </c>
      <c r="C1109" s="21" t="s">
        <v>1086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1014</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1463</v>
      </c>
      <c r="B1111" s="21" t="s">
        <v>1035</v>
      </c>
      <c r="C1111" s="21" t="s">
        <v>1082</v>
      </c>
      <c r="D1111" s="21" t="s">
        <v>1007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1436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1139</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1065</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102</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1464</v>
      </c>
      <c r="B1116" s="21" t="s">
        <v>1119</v>
      </c>
      <c r="C1116" s="21" t="s">
        <v>1006</v>
      </c>
      <c r="D1116" s="21" t="s">
        <v>1007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1397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1324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1014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1463</v>
      </c>
      <c r="B1120" s="21" t="s">
        <v>1022</v>
      </c>
      <c r="C1120" s="21" t="s">
        <v>1082</v>
      </c>
      <c r="D1120" s="21" t="s">
        <v>1007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1436</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1015</v>
      </c>
      <c r="B1122" s="21" t="s">
        <v>1187</v>
      </c>
      <c r="C1122" s="21" t="s">
        <v>1082</v>
      </c>
      <c r="D1122" s="21" t="s">
        <v>1007</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1461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1465</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1030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1466</v>
      </c>
      <c r="B1126" s="21" t="s">
        <v>1033</v>
      </c>
      <c r="C1126" s="21" t="s">
        <v>1048</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1018</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1295</v>
      </c>
      <c r="B1128" s="21" t="s">
        <v>1029</v>
      </c>
      <c r="C1128" s="21" t="s">
        <v>1358</v>
      </c>
      <c r="D1128" s="21" t="s">
        <v>1007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1467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1018</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1299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1312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1468</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1056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1469</v>
      </c>
      <c r="B1135" s="21" t="s">
        <v>1029</v>
      </c>
      <c r="C1135" s="21" t="s">
        <v>1111</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1030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822</v>
      </c>
      <c r="B1137" s="21" t="s">
        <v>1022</v>
      </c>
      <c r="C1137" s="21" t="s">
        <v>1048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1470</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1023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row>
    <row r="1141" spans="1:12">
      <c r="A1141" s="20" t="s">
        <v>1471</v>
      </c>
    </row>
    <row r="1142" spans="1:12">
      <c r="A1142" s="20" t="s">
        <v>1472</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1468</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1469</v>
      </c>
      <c r="B1144" s="21" t="s">
        <v>1085</v>
      </c>
      <c r="C1144" s="21" t="s">
        <v>1013</v>
      </c>
      <c r="D1144" s="21" t="s">
        <v>1007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1030</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1466</v>
      </c>
      <c r="B1146" s="21" t="s">
        <v>1022</v>
      </c>
      <c r="C1146" s="21" t="s">
        <v>1048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1020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1020</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1473</v>
      </c>
      <c r="B1149" s="21" t="s">
        <v>1022</v>
      </c>
      <c r="C1149" s="21" t="s">
        <v>1017</v>
      </c>
      <c r="D1149" s="21" t="s">
        <v>1007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1474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1023</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row>
    <row r="1153" spans="1:12">
      <c r="A1153" s="20" t="s">
        <v>1475</v>
      </c>
    </row>
    <row r="1154" spans="1:12">
      <c r="A1154" s="20" t="s">
        <v>1175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1324</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193</v>
      </c>
      <c r="B1156" s="21" t="s">
        <v>1005</v>
      </c>
      <c r="C1156" s="21" t="s">
        <v>1111</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1065</v>
      </c>
      <c r="B1157" s="21" t="s">
        <v>1119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1178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1179</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1018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1324</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193</v>
      </c>
      <c r="B1162" s="21" t="s">
        <v>1005</v>
      </c>
      <c r="C1162" s="21" t="s">
        <v>1013</v>
      </c>
      <c r="D1162" s="21" t="s">
        <v>1007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1127</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1391</v>
      </c>
      <c r="B1165" s="21" t="s">
        <v>1022</v>
      </c>
      <c r="C1165" s="21" t="s">
        <v>1017</v>
      </c>
      <c r="D1165" s="21" t="s">
        <v>1007</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1392</v>
      </c>
      <c r="B1166" s="21" t="s">
        <v>1033</v>
      </c>
      <c r="C1166" s="21" t="s">
        <v>1006</v>
      </c>
      <c r="D1166" s="21" t="s">
        <v>1007</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1018</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1065</v>
      </c>
      <c r="B1168" s="21" t="s">
        <v>1120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1476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1133</v>
      </c>
      <c r="B1170" s="21" t="s">
        <v>1064</v>
      </c>
      <c r="C1170" s="21" t="s">
        <v>1082</v>
      </c>
      <c r="D1170" s="21" t="s">
        <v>1007</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1477</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1018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1203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1056</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1478</v>
      </c>
      <c r="B1175" s="21" t="s">
        <v>1029</v>
      </c>
      <c r="C1175" s="21" t="s">
        <v>1013</v>
      </c>
      <c r="D1175" s="21" t="s">
        <v>1007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1479</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1014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1168</v>
      </c>
      <c r="B1179" s="21" t="s">
        <v>1033</v>
      </c>
      <c r="C1179" s="21" t="s">
        <v>1013</v>
      </c>
      <c r="D1179" s="21" t="s">
        <v>1007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1014</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1015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1480</v>
      </c>
      <c r="B1182" s="21" t="s">
        <v>1035</v>
      </c>
      <c r="C1182" s="21" t="s">
        <v>1006</v>
      </c>
      <c r="D1182" s="21" t="s">
        <v>1007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1030</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1065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1481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1065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55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1482</v>
      </c>
      <c r="B1188" s="21" t="s">
        <v>1251</v>
      </c>
      <c r="C1188" s="21" t="s">
        <v>1205</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1483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1484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1485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1274</v>
      </c>
      <c r="B1192" s="21" t="s">
        <v>1253</v>
      </c>
      <c r="C1192" s="21" t="s">
        <v>1041</v>
      </c>
      <c r="D1192" s="21" t="s">
        <v>1007</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56</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1486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1321</v>
      </c>
      <c r="B1195" s="21" t="s">
        <v>1487</v>
      </c>
      <c r="C1195" s="21" t="s">
        <v>1082</v>
      </c>
      <c r="D1195" s="21" t="s">
        <v>1007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1488</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1018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1330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102</v>
      </c>
      <c r="B1199" s="21" t="s">
        <v>1042</v>
      </c>
      <c r="C1199" s="21" t="s">
        <v>1073</v>
      </c>
      <c r="D1199" s="21" t="s">
        <v>1007</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1065</v>
      </c>
      <c r="B1200" s="21" t="s">
        <v>1489</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1142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1030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1015</v>
      </c>
      <c r="B1203" s="21" t="s">
        <v>1440</v>
      </c>
      <c r="C1203" s="21" t="s">
        <v>1082</v>
      </c>
      <c r="D1203" s="21" t="s">
        <v>1007</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1490</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1075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1065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1164</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1482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1491</v>
      </c>
      <c r="B1209" s="21" t="s">
        <v>1154</v>
      </c>
      <c r="C1209" s="21" t="s">
        <v>1048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1030</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1056</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1466</v>
      </c>
      <c r="B1212" s="21" t="s">
        <v>1033</v>
      </c>
      <c r="C1212" s="21" t="s">
        <v>1013</v>
      </c>
      <c r="D1212" s="21" t="s">
        <v>1007</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1492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1182</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1493</v>
      </c>
      <c r="B1215" s="21" t="s">
        <v>1035</v>
      </c>
      <c r="C1215" s="21" t="s">
        <v>1013</v>
      </c>
      <c r="D1215" s="21" t="s">
        <v>1007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1030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1494</v>
      </c>
      <c r="B1217" s="21" t="s">
        <v>1130</v>
      </c>
      <c r="C1217" s="21" t="s">
        <v>1013</v>
      </c>
      <c r="D1217" s="21" t="s">
        <v>1007</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1229</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1014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1020</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1495</v>
      </c>
      <c r="B1221" s="21" t="s">
        <v>1040</v>
      </c>
      <c r="C1221" s="21" t="s">
        <v>1017</v>
      </c>
      <c r="D1221" s="21" t="s">
        <v>1007</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1065</v>
      </c>
      <c r="B1222" s="21" t="s">
        <v>1437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1484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129</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1496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1497</v>
      </c>
      <c r="B1226" s="21" t="s">
        <v>1487</v>
      </c>
      <c r="C1226" s="21" t="s">
        <v>1013</v>
      </c>
      <c r="D1226" s="21" t="s">
        <v>1007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1014</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1498</v>
      </c>
      <c r="B1228" s="21" t="s">
        <v>1215</v>
      </c>
      <c r="C1228" s="21" t="s">
        <v>1048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1020</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102</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1499</v>
      </c>
      <c r="B1231" s="21" t="s">
        <v>1044</v>
      </c>
      <c r="C1231" s="21" t="s">
        <v>1013</v>
      </c>
      <c r="D1231" s="21" t="s">
        <v>1007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1014</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1240</v>
      </c>
      <c r="B1234" s="21" t="s">
        <v>1215</v>
      </c>
      <c r="C1234" s="21" t="s">
        <v>1205</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56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1018</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1500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1273</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124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1240</v>
      </c>
      <c r="B1240" s="21" t="s">
        <v>1215</v>
      </c>
      <c r="C1240" s="21" t="s">
        <v>1041</v>
      </c>
      <c r="D1240" s="21" t="s">
        <v>1007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1018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1199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1501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1497</v>
      </c>
      <c r="B1245" s="21" t="s">
        <v>1440</v>
      </c>
      <c r="C1245" s="21" t="s">
        <v>1013</v>
      </c>
      <c r="D1245" s="21" t="s">
        <v>1007</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1014</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1168</v>
      </c>
      <c r="B1248" s="21" t="s">
        <v>1217</v>
      </c>
      <c r="C1248" s="21" t="s">
        <v>1017</v>
      </c>
      <c r="D1248" s="21" t="s">
        <v>1007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1023</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row>
    <row r="1251" spans="1:12">
      <c r="A1251" s="20" t="s">
        <v>1502</v>
      </c>
    </row>
    <row r="1252" spans="1:12">
      <c r="A1252" s="20" t="s">
        <v>1503</v>
      </c>
      <c r="B1252" s="21" t="s">
        <v>1050</v>
      </c>
      <c r="C1252" s="21" t="s">
        <v>1073</v>
      </c>
      <c r="D1252" s="21" t="s">
        <v>1007</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1142</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1164</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1027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1172</v>
      </c>
      <c r="B1256" s="21" t="s">
        <v>1005</v>
      </c>
      <c r="C1256" s="21" t="s">
        <v>1017</v>
      </c>
      <c r="D1256" s="21" t="s">
        <v>1007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1065</v>
      </c>
      <c r="B1257" s="21" t="s">
        <v>1119</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1169</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1065</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1504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1451</v>
      </c>
      <c r="B1261" s="21" t="s">
        <v>1263</v>
      </c>
      <c r="C1261" s="21" t="s">
        <v>1074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1505</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238</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1506</v>
      </c>
      <c r="B1265" s="21" t="s">
        <v>1035</v>
      </c>
      <c r="C1265" s="21" t="s">
        <v>1013</v>
      </c>
      <c r="D1265" s="21" t="s">
        <v>1007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1014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1156</v>
      </c>
      <c r="B1268" s="21" t="s">
        <v>1130</v>
      </c>
      <c r="C1268" s="21" t="s">
        <v>1013</v>
      </c>
      <c r="D1268" s="21" t="s">
        <v>1007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1453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1194</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1030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1324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1021</v>
      </c>
      <c r="B1273" s="21" t="s">
        <v>1040</v>
      </c>
      <c r="C1273" s="21" t="s">
        <v>1006</v>
      </c>
      <c r="D1273" s="21" t="s">
        <v>1007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1507</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56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1508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1023</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row>
    <row r="1279" spans="1:12">
      <c r="A1279" s="20" t="s">
        <v>1509</v>
      </c>
    </row>
    <row r="1280" spans="1:12">
      <c r="A1280" s="20" t="s">
        <v>1094</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1009</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1389</v>
      </c>
      <c r="B1282" s="21" t="s">
        <v>1119</v>
      </c>
      <c r="C1282" s="21" t="s">
        <v>1073</v>
      </c>
      <c r="D1282" s="21" t="s">
        <v>1007</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1390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1065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1438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1020</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145</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1510</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1027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1511</v>
      </c>
      <c r="B1290" s="21" t="s">
        <v>1134</v>
      </c>
      <c r="C1290" s="21" t="s">
        <v>1017</v>
      </c>
      <c r="D1290" s="21" t="s">
        <v>1007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1030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1065</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1512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1460</v>
      </c>
      <c r="B1294" s="21" t="s">
        <v>1251</v>
      </c>
      <c r="C1294" s="21" t="s">
        <v>1013</v>
      </c>
      <c r="D1294" s="21" t="s">
        <v>1007</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1014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1513</v>
      </c>
      <c r="B1296" s="21" t="s">
        <v>1044</v>
      </c>
      <c r="C1296" s="21" t="s">
        <v>1048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1018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1460</v>
      </c>
      <c r="B1298" s="21" t="s">
        <v>1044</v>
      </c>
      <c r="C1298" s="21" t="s">
        <v>1013</v>
      </c>
      <c r="D1298" s="21" t="s">
        <v>1007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1014</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1021</v>
      </c>
      <c r="B1300" s="21" t="s">
        <v>1215</v>
      </c>
      <c r="C1300" s="21" t="s">
        <v>1006</v>
      </c>
      <c r="D1300" s="21" t="s">
        <v>1007</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1018</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1514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1114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1515</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1020</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102</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1391</v>
      </c>
      <c r="B1307" s="21" t="s">
        <v>1042</v>
      </c>
      <c r="C1307" s="21" t="s">
        <v>1017</v>
      </c>
      <c r="D1307" s="21" t="s">
        <v>1007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1018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56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1442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1114</v>
      </c>
      <c r="B1311" s="21" t="s">
        <v>1067</v>
      </c>
      <c r="C1311" s="21" t="s">
        <v>1082</v>
      </c>
      <c r="D1311" s="21" t="s">
        <v>1007</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1516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1020</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1517</v>
      </c>
      <c r="B1314" s="21" t="s">
        <v>1066</v>
      </c>
      <c r="C1314" s="21" t="s">
        <v>1013</v>
      </c>
      <c r="D1314" s="21" t="s">
        <v>1007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1014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1518</v>
      </c>
      <c r="B1316" s="21" t="s">
        <v>1042</v>
      </c>
      <c r="C1316" s="21" t="s">
        <v>1048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1020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440</v>
      </c>
      <c r="B1318" s="21" t="s">
        <v>1044</v>
      </c>
      <c r="C1318" s="21" t="s">
        <v>1048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1014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1463</v>
      </c>
      <c r="B1320" s="21" t="s">
        <v>1040</v>
      </c>
      <c r="C1320" s="21" t="s">
        <v>1082</v>
      </c>
      <c r="D1320" s="21" t="s">
        <v>1007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1023</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row>
    <row r="1323" spans="1:12">
      <c r="A1323" s="20" t="s">
        <v>1519</v>
      </c>
    </row>
    <row r="1324" spans="1:12">
      <c r="A1324" s="20" t="s">
        <v>1136</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1463</v>
      </c>
      <c r="B1325" s="21" t="s">
        <v>1050</v>
      </c>
      <c r="C1325" s="21" t="s">
        <v>1082</v>
      </c>
      <c r="D1325" s="21" t="s">
        <v>1007</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1520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1521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98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1522</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1182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1020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1211</v>
      </c>
      <c r="B1332" s="21" t="s">
        <v>1022</v>
      </c>
      <c r="C1332" s="21" t="s">
        <v>1006</v>
      </c>
      <c r="D1332" s="21" t="s">
        <v>1007</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1023</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row>
    <row r="1335" spans="1:12">
      <c r="A1335" s="20" t="s">
        <v>1523</v>
      </c>
    </row>
    <row r="1336" spans="1:12">
      <c r="A1336" s="20" t="s">
        <v>1524</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1075</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1065</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1020</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1211</v>
      </c>
      <c r="B1340" s="21" t="s">
        <v>1050</v>
      </c>
      <c r="C1340" s="21" t="s">
        <v>1006</v>
      </c>
      <c r="D1340" s="21" t="s">
        <v>1007</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1525</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1485</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1518</v>
      </c>
      <c r="B1343" s="21" t="s">
        <v>1085</v>
      </c>
      <c r="C1343" s="21" t="s">
        <v>1041</v>
      </c>
      <c r="D1343" s="21" t="s">
        <v>1007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1077</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row>
    <row r="1346" spans="1:12">
      <c r="A1346" s="20" t="s">
        <v>1526</v>
      </c>
    </row>
    <row r="1347" spans="1:12">
      <c r="A1347" s="20" t="s">
        <v>1118</v>
      </c>
      <c r="B1347" s="21" t="s">
        <v>1005</v>
      </c>
      <c r="C1347" s="21" t="s">
        <v>1048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1009</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1527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1023</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row>
    <row r="1352" spans="1:12">
      <c r="A1352" s="20" t="s">
        <v>1528</v>
      </c>
    </row>
    <row r="1353" spans="1:12">
      <c r="A1353" s="20" t="s">
        <v>1011</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1529</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1384</v>
      </c>
      <c r="B1355" s="21" t="s">
        <v>1050</v>
      </c>
      <c r="C1355" s="21" t="s">
        <v>1013</v>
      </c>
      <c r="D1355" s="21" t="s">
        <v>1007</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1014</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1020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1211</v>
      </c>
      <c r="B1358" s="21" t="s">
        <v>1022</v>
      </c>
      <c r="C1358" s="21" t="s">
        <v>1006</v>
      </c>
      <c r="D1358" s="21" t="s">
        <v>1007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1530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1114</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1020</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1463</v>
      </c>
      <c r="B1362" s="21" t="s">
        <v>1085</v>
      </c>
      <c r="C1362" s="21" t="s">
        <v>1082</v>
      </c>
      <c r="D1362" s="21" t="s">
        <v>1007</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1132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1056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1223</v>
      </c>
      <c r="B1365" s="21" t="s">
        <v>1005</v>
      </c>
      <c r="C1365" s="21" t="s">
        <v>1111</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1531</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1023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1532</v>
      </c>
    </row>
    <row r="1370" spans="1:12">
      <c r="A1370" s="20" t="s">
        <v>11</v>
      </c>
      <c r="B1370" s="21" t="s">
        <v>1005</v>
      </c>
      <c r="C1370" s="21" t="s">
        <v>1073</v>
      </c>
      <c r="D1370" s="21" t="s">
        <v>1007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1065</v>
      </c>
      <c r="B1371" s="21" t="s">
        <v>1029</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1140</v>
      </c>
      <c r="B1372" s="21" t="s">
        <v>1119</v>
      </c>
      <c r="C1372" s="21" t="s">
        <v>1073</v>
      </c>
      <c r="D1372" s="21" t="s">
        <v>1007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1533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1097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1056</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1534</v>
      </c>
      <c r="B1376" s="21" t="s">
        <v>1033</v>
      </c>
      <c r="C1376" s="21" t="s">
        <v>1013</v>
      </c>
      <c r="D1376" s="21" t="s">
        <v>1007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1014</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1020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1211</v>
      </c>
      <c r="B1379" s="21" t="s">
        <v>1035</v>
      </c>
      <c r="C1379" s="21" t="s">
        <v>1006</v>
      </c>
      <c r="D1379" s="21" t="s">
        <v>1007</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1018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1535</v>
      </c>
      <c r="B1381" s="21" t="s">
        <v>1035</v>
      </c>
      <c r="C1381" s="21" t="s">
        <v>1086</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1132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1138</v>
      </c>
      <c r="B1383" s="21" t="s">
        <v>1154</v>
      </c>
      <c r="C1383" s="21" t="s">
        <v>1082</v>
      </c>
      <c r="D1383" s="21" t="s">
        <v>1007</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1018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1065</v>
      </c>
      <c r="B1385" s="21" t="s">
        <v>1067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1206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1020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1209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1132</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1534</v>
      </c>
      <c r="B1390" s="21" t="s">
        <v>1040</v>
      </c>
      <c r="C1390" s="21" t="s">
        <v>1013</v>
      </c>
      <c r="D1390" s="21" t="s">
        <v>1007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1014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1243</v>
      </c>
      <c r="B1392" s="21" t="s">
        <v>1042</v>
      </c>
      <c r="C1392" s="21" t="s">
        <v>1013</v>
      </c>
      <c r="D1392" s="21" t="s">
        <v>1007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1020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1020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1536</v>
      </c>
      <c r="B1395" s="21" t="s">
        <v>1044</v>
      </c>
      <c r="C1395" s="21" t="s">
        <v>1013</v>
      </c>
      <c r="D1395" s="21" t="s">
        <v>1007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1014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1537</v>
      </c>
      <c r="B1397" s="21" t="s">
        <v>1215</v>
      </c>
      <c r="C1397" s="21" t="s">
        <v>1048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1538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1539</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1018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1063</v>
      </c>
      <c r="B1401" s="21" t="s">
        <v>1217</v>
      </c>
      <c r="C1401" s="21" t="s">
        <v>1013</v>
      </c>
      <c r="D1401" s="21" t="s">
        <v>1007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1014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1435</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1167</v>
      </c>
      <c r="B1404" s="21" t="s">
        <v>1540</v>
      </c>
      <c r="C1404" s="21" t="s">
        <v>1041</v>
      </c>
      <c r="D1404" s="21" t="s">
        <v>1007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1018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1030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102</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1208</v>
      </c>
      <c r="B1408" s="21" t="s">
        <v>1217</v>
      </c>
      <c r="C1408" s="21" t="s">
        <v>1006</v>
      </c>
      <c r="D1408" s="21" t="s">
        <v>1007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1018</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1075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1065</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1020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1541</v>
      </c>
      <c r="B1413" s="21" t="s">
        <v>1120</v>
      </c>
      <c r="C1413" s="21" t="s">
        <v>1013</v>
      </c>
      <c r="D1413" s="21" t="s">
        <v>1007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1014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1279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1243</v>
      </c>
      <c r="B1416" s="21" t="s">
        <v>1130</v>
      </c>
      <c r="C1416" s="21" t="s">
        <v>1041</v>
      </c>
      <c r="D1416" s="21" t="s">
        <v>1007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1542</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1543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1014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1015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1544</v>
      </c>
      <c r="B1421" s="21" t="s">
        <v>1130</v>
      </c>
      <c r="C1421" s="21" t="s">
        <v>1059</v>
      </c>
      <c r="D1421" s="21" t="s">
        <v>1007</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1545</v>
      </c>
      <c r="B1422" s="21" t="s">
        <v>1035</v>
      </c>
      <c r="C1422" s="21" t="s">
        <v>1017</v>
      </c>
      <c r="D1422" s="21" t="s">
        <v>1007</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1023</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row>
    <row r="1425" spans="1:12">
      <c r="A1425" s="20" t="s">
        <v>1546</v>
      </c>
    </row>
    <row r="1426" spans="1:12">
      <c r="A1426" s="20" t="s">
        <v>1547</v>
      </c>
      <c r="B1426" s="21" t="s">
        <v>1050</v>
      </c>
      <c r="C1426" s="21" t="s">
        <v>1073</v>
      </c>
      <c r="D1426" s="21" t="s">
        <v>1007</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1142</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1533</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1065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1548</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1056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1549</v>
      </c>
      <c r="B1432" s="21" t="s">
        <v>1029</v>
      </c>
      <c r="C1432" s="21" t="s">
        <v>1013</v>
      </c>
      <c r="D1432" s="21" t="s">
        <v>1007</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1014</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1270</v>
      </c>
      <c r="B1434" s="21" t="s">
        <v>1033</v>
      </c>
      <c r="C1434" s="21" t="s">
        <v>1013</v>
      </c>
      <c r="D1434" s="21" t="s">
        <v>1007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1014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1460</v>
      </c>
      <c r="B1436" s="21" t="s">
        <v>1035</v>
      </c>
      <c r="C1436" s="21" t="s">
        <v>1048</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1550</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1030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1324</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1551</v>
      </c>
      <c r="B1440" s="21" t="s">
        <v>1040</v>
      </c>
      <c r="C1440" s="21" t="s">
        <v>1013</v>
      </c>
      <c r="D1440" s="21" t="s">
        <v>1007</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1552</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1014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1553</v>
      </c>
      <c r="B1443" s="21" t="s">
        <v>1042</v>
      </c>
      <c r="C1443" s="21" t="s">
        <v>1048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1018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1182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1020</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1211</v>
      </c>
      <c r="B1447" s="21" t="s">
        <v>1033</v>
      </c>
      <c r="C1447" s="21" t="s">
        <v>1006</v>
      </c>
      <c r="D1447" s="21" t="s">
        <v>1007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1036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1037</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1018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1020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1554</v>
      </c>
      <c r="B1453" s="21" t="s">
        <v>1029</v>
      </c>
      <c r="C1453" s="21" t="s">
        <v>1013</v>
      </c>
      <c r="D1453" s="21" t="s">
        <v>1007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1014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1555</v>
      </c>
      <c r="B1455" s="21" t="s">
        <v>1033</v>
      </c>
      <c r="C1455" s="21" t="s">
        <v>1048</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1127</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1132</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1556</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1342</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1279</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1243</v>
      </c>
      <c r="B1461" s="21" t="s">
        <v>1134</v>
      </c>
      <c r="C1461" s="21" t="s">
        <v>1041</v>
      </c>
      <c r="D1461" s="21" t="s">
        <v>1007</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1023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row>
    <row r="1464" spans="1:12">
      <c r="A1464" s="20" t="s">
        <v>1557</v>
      </c>
    </row>
    <row r="1465" spans="1:12">
      <c r="A1465" s="20" t="s">
        <v>1558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227</v>
      </c>
      <c r="B1466" s="21" t="s">
        <v>1005</v>
      </c>
      <c r="C1466" s="21" t="s">
        <v>1205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1559</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1182</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1284</v>
      </c>
      <c r="B1469" s="21" t="s">
        <v>1022</v>
      </c>
      <c r="C1469" s="21" t="s">
        <v>1073</v>
      </c>
      <c r="D1469" s="21" t="s">
        <v>1007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1014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1560</v>
      </c>
      <c r="B1471" s="21" t="s">
        <v>1033</v>
      </c>
      <c r="C1471" s="21" t="s">
        <v>1048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1512</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1023</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1561</v>
      </c>
    </row>
    <row r="1476" spans="1:12">
      <c r="A1476" s="20" t="s">
        <v>1562</v>
      </c>
      <c r="B1476" s="21" t="s">
        <v>1050</v>
      </c>
      <c r="C1476" s="21" t="s">
        <v>1086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1164</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1563</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1023</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row>
    <row r="1481" spans="1:12">
      <c r="A1481" s="20" t="s">
        <v>1564</v>
      </c>
    </row>
    <row r="1482" spans="1:12">
      <c r="A1482" s="20" t="s">
        <v>1565</v>
      </c>
      <c r="B1482" s="21" t="s">
        <v>1050</v>
      </c>
      <c r="C1482" s="21" t="s">
        <v>1086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1164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1566</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1563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1023</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row>
    <row r="1488" spans="1:12">
      <c r="A1488" s="20" t="s">
        <v>1567</v>
      </c>
    </row>
    <row r="1489" spans="1:12">
      <c r="A1489" s="20" t="s">
        <v>1136</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102</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1568</v>
      </c>
      <c r="B1491" s="21" t="s">
        <v>1050</v>
      </c>
      <c r="C1491" s="21" t="s">
        <v>1017</v>
      </c>
      <c r="D1491" s="21" t="s">
        <v>1007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1075</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1065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1018</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1137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1439</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1127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1020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1285</v>
      </c>
      <c r="B1499" s="21" t="s">
        <v>1022</v>
      </c>
      <c r="C1499" s="21" t="s">
        <v>1017</v>
      </c>
      <c r="D1499" s="21" t="s">
        <v>1007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1132</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1569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1570</v>
      </c>
      <c r="B1502" s="21" t="s">
        <v>1120</v>
      </c>
      <c r="C1502" s="21" t="s">
        <v>1041</v>
      </c>
      <c r="D1502" s="21" t="s">
        <v>1007</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1075</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1571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1018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1051</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1020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500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1014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1279</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1460</v>
      </c>
      <c r="B1511" s="21" t="s">
        <v>1064</v>
      </c>
      <c r="C1511" s="21" t="s">
        <v>1041</v>
      </c>
      <c r="D1511" s="21" t="s">
        <v>1007</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1023</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row>
    <row r="1514" spans="1:12">
      <c r="A1514" s="20" t="s">
        <v>1572</v>
      </c>
    </row>
    <row r="1515" spans="1:12">
      <c r="A1515" s="20" t="s">
        <v>1147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1075</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1573</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1030</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1027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1574</v>
      </c>
      <c r="B1520" s="21" t="s">
        <v>1005</v>
      </c>
      <c r="C1520" s="21" t="s">
        <v>1017</v>
      </c>
      <c r="D1520" s="21" t="s">
        <v>1007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1023</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row>
    <row r="1523" spans="1:12">
      <c r="A1523" s="20" t="s">
        <v>1184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1575</v>
      </c>
    </row>
    <row r="1525" spans="1:12">
      <c r="A1525" s="20" t="s">
        <v>1259</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1324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193</v>
      </c>
      <c r="B1527" s="21" t="s">
        <v>1085</v>
      </c>
      <c r="C1527" s="21" t="s">
        <v>1111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1576</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1065</v>
      </c>
      <c r="B1529" s="21" t="s">
        <v>1120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1124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1065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238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1577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1163</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1009</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1458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1014</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1027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1460</v>
      </c>
      <c r="B1539" s="21" t="s">
        <v>1263</v>
      </c>
      <c r="C1539" s="21" t="s">
        <v>1017</v>
      </c>
      <c r="D1539" s="21" t="s">
        <v>1007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1461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1413</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1578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1018</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1458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1014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1463</v>
      </c>
      <c r="B1546" s="21" t="s">
        <v>1263</v>
      </c>
      <c r="C1546" s="21" t="s">
        <v>1082</v>
      </c>
      <c r="D1546" s="21" t="s">
        <v>1007</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1461</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1579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1018</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1580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110</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1140</v>
      </c>
      <c r="B1553" s="21" t="s">
        <v>1134</v>
      </c>
      <c r="C1553" s="21" t="s">
        <v>1073</v>
      </c>
      <c r="D1553" s="21" t="s">
        <v>1007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1182</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1056</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1581</v>
      </c>
      <c r="B1556" s="21" t="s">
        <v>1130</v>
      </c>
      <c r="C1556" s="21" t="s">
        <v>1013</v>
      </c>
      <c r="D1556" s="21" t="s">
        <v>1007</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1014</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1582</v>
      </c>
      <c r="B1558" s="21" t="s">
        <v>1040</v>
      </c>
      <c r="C1558" s="21" t="s">
        <v>1048</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1018</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1189</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1583</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110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1140</v>
      </c>
      <c r="B1563" s="21" t="s">
        <v>1066</v>
      </c>
      <c r="C1563" s="21" t="s">
        <v>1073</v>
      </c>
      <c r="D1563" s="21" t="s">
        <v>1007</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1189</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1114</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1584</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1585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1167</v>
      </c>
      <c r="B1568" s="21" t="s">
        <v>1487</v>
      </c>
      <c r="C1568" s="21" t="s">
        <v>1013</v>
      </c>
      <c r="D1568" s="21" t="s">
        <v>1007</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1014</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1586</v>
      </c>
      <c r="B1570" s="21" t="s">
        <v>1215</v>
      </c>
      <c r="C1570" s="21" t="s">
        <v>1048</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1303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1018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1189</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1587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1493</v>
      </c>
      <c r="B1575" s="21" t="s">
        <v>1040</v>
      </c>
      <c r="C1575" s="21" t="s">
        <v>1103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1097</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1588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1485</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1518</v>
      </c>
      <c r="B1579" s="21" t="s">
        <v>1487</v>
      </c>
      <c r="C1579" s="21" t="s">
        <v>1041</v>
      </c>
      <c r="D1579" s="21" t="s">
        <v>1007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1014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1589</v>
      </c>
      <c r="B1581" s="21" t="s">
        <v>1215</v>
      </c>
      <c r="C1581" s="21" t="s">
        <v>1048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1189</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1023</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row>
    <row r="1585" spans="1:12">
      <c r="A1585" s="20" t="s">
        <v>1590</v>
      </c>
    </row>
    <row r="1586" spans="1:12">
      <c r="A1586" s="20" t="s">
        <v>1591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1592</v>
      </c>
      <c r="B1587" s="21" t="s">
        <v>1085</v>
      </c>
      <c r="C1587" s="21" t="s">
        <v>1048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1030</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102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1593</v>
      </c>
      <c r="B1590" s="21" t="s">
        <v>1005</v>
      </c>
      <c r="C1590" s="21" t="s">
        <v>1006</v>
      </c>
      <c r="D1590" s="21" t="s">
        <v>1007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1594</v>
      </c>
      <c r="B1591" s="21" t="s">
        <v>1022</v>
      </c>
      <c r="C1591" s="21" t="s">
        <v>1006</v>
      </c>
      <c r="D1591" s="21" t="s">
        <v>1007</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1030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102</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1204</v>
      </c>
      <c r="B1594" s="21" t="s">
        <v>1005</v>
      </c>
      <c r="C1594" s="21" t="s">
        <v>1017</v>
      </c>
      <c r="D1594" s="21" t="s">
        <v>1007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1595</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1065</v>
      </c>
      <c r="B1596" s="21" t="s">
        <v>1154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1142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1361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1596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1597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1598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1132</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1020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1202</v>
      </c>
      <c r="B1604" s="21" t="s">
        <v>1033</v>
      </c>
      <c r="C1604" s="21" t="s">
        <v>1013</v>
      </c>
      <c r="D1604" s="21" t="s">
        <v>1007</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1014</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1392</v>
      </c>
      <c r="B1607" s="21" t="s">
        <v>1035</v>
      </c>
      <c r="C1607" s="21" t="s">
        <v>1006</v>
      </c>
      <c r="D1607" s="21" t="s">
        <v>1007</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1065</v>
      </c>
      <c r="B1608" s="21" t="s">
        <v>1067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1599</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1065</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1020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1211</v>
      </c>
      <c r="B1612" s="21" t="s">
        <v>1251</v>
      </c>
      <c r="C1612" s="21" t="s">
        <v>1006</v>
      </c>
      <c r="D1612" s="21" t="s">
        <v>1007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1600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1030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1601</v>
      </c>
      <c r="B1616" s="21" t="s">
        <v>1042</v>
      </c>
      <c r="C1616" s="21" t="s">
        <v>1013</v>
      </c>
      <c r="D1616" s="21" t="s">
        <v>1007</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1014</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1518</v>
      </c>
      <c r="B1618" s="21" t="s">
        <v>1044</v>
      </c>
      <c r="C1618" s="21" t="s">
        <v>1013</v>
      </c>
      <c r="D1618" s="21" t="s">
        <v>1007</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1602</v>
      </c>
      <c r="B1620" s="21" t="s">
        <v>1215</v>
      </c>
      <c r="C1620" s="21" t="s">
        <v>1048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1171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102</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1603</v>
      </c>
      <c r="B1623" s="21" t="s">
        <v>1215</v>
      </c>
      <c r="C1623" s="21" t="s">
        <v>1006</v>
      </c>
      <c r="D1623" s="21" t="s">
        <v>1007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56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1604</v>
      </c>
      <c r="B1625" s="21" t="s">
        <v>1217</v>
      </c>
      <c r="C1625" s="21" t="s">
        <v>1082</v>
      </c>
      <c r="D1625" s="21" t="s">
        <v>1007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1605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56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1171</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102</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1464</v>
      </c>
      <c r="B1630" s="21" t="s">
        <v>1044</v>
      </c>
      <c r="C1630" s="21" t="s">
        <v>1006</v>
      </c>
      <c r="D1630" s="21" t="s">
        <v>1007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56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1604</v>
      </c>
      <c r="B1632" s="21" t="s">
        <v>1215</v>
      </c>
      <c r="C1632" s="21" t="s">
        <v>1082</v>
      </c>
      <c r="D1632" s="21" t="s">
        <v>1007</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1605</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1023</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row>
    <row r="1636" spans="1:12">
      <c r="A1636" s="20" t="s">
        <v>1606</v>
      </c>
    </row>
    <row r="1637" spans="1:12">
      <c r="A1637" s="20" t="s">
        <v>1607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1018</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1116</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1027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1460</v>
      </c>
      <c r="B1641" s="21" t="s">
        <v>1050</v>
      </c>
      <c r="C1641" s="21" t="s">
        <v>1017</v>
      </c>
      <c r="D1641" s="21" t="s">
        <v>1007</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1065</v>
      </c>
      <c r="B1642" s="21" t="s">
        <v>1120</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1387</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1020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1608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1014</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1285</v>
      </c>
      <c r="B1647" s="21" t="s">
        <v>1035</v>
      </c>
      <c r="C1647" s="21" t="s">
        <v>1048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1609</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1018</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1330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1036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102</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1566</v>
      </c>
      <c r="B1653" s="21" t="s">
        <v>1035</v>
      </c>
      <c r="C1653" s="21" t="s">
        <v>1017</v>
      </c>
      <c r="D1653" s="21" t="s">
        <v>1007</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1610</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1014</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1020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1611</v>
      </c>
      <c r="B1657" s="21" t="s">
        <v>1035</v>
      </c>
      <c r="C1657" s="21" t="s">
        <v>1017</v>
      </c>
      <c r="D1657" s="21" t="s">
        <v>1007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1018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1612</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1613</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1018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1182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1020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1211</v>
      </c>
      <c r="B1664" s="21" t="s">
        <v>1033</v>
      </c>
      <c r="C1664" s="21" t="s">
        <v>1006</v>
      </c>
      <c r="D1664" s="21" t="s">
        <v>1007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1018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1142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1614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1020</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1211</v>
      </c>
      <c r="B1669" s="21" t="s">
        <v>1085</v>
      </c>
      <c r="C1669" s="21" t="s">
        <v>1006</v>
      </c>
      <c r="D1669" s="21" t="s">
        <v>1007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1023</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row>
    <row r="1672" spans="1:12">
      <c r="A1672" s="20" t="s">
        <v>1615</v>
      </c>
    </row>
    <row r="1673" spans="1:12">
      <c r="A1673" s="20" t="s">
        <v>1373</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1374</v>
      </c>
      <c r="B1674" s="21" t="s">
        <v>1005</v>
      </c>
      <c r="C1674" s="21" t="s">
        <v>1013</v>
      </c>
      <c r="D1674" s="21" t="s">
        <v>1007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1014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1140</v>
      </c>
      <c r="B1676" s="21" t="s">
        <v>1022</v>
      </c>
      <c r="C1676" s="21" t="s">
        <v>1073</v>
      </c>
      <c r="D1676" s="21" t="s">
        <v>1007</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1018</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1616</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1065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1027</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1617</v>
      </c>
      <c r="B1681" s="21" t="s">
        <v>1033</v>
      </c>
      <c r="C1681" s="21" t="s">
        <v>1059</v>
      </c>
      <c r="D1681" s="21" t="s">
        <v>1007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1460</v>
      </c>
      <c r="B1682" s="21" t="s">
        <v>1119</v>
      </c>
      <c r="C1682" s="21" t="s">
        <v>1017</v>
      </c>
      <c r="D1682" s="21" t="s">
        <v>1007</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1618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1619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1097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126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1065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1256</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1620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1015</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1621</v>
      </c>
      <c r="B1691" s="21" t="s">
        <v>1064</v>
      </c>
      <c r="C1691" s="21" t="s">
        <v>1013</v>
      </c>
      <c r="D1691" s="21" t="s">
        <v>1007</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1014</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1622</v>
      </c>
      <c r="B1694" s="21" t="s">
        <v>1130</v>
      </c>
      <c r="C1694" s="21" t="s">
        <v>1017</v>
      </c>
      <c r="D1694" s="21" t="s">
        <v>1007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1018</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56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444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1255</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1015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1012</v>
      </c>
      <c r="B1700" s="21" t="s">
        <v>1029</v>
      </c>
      <c r="C1700" s="21" t="s">
        <v>1013</v>
      </c>
      <c r="D1700" s="21" t="s">
        <v>1007</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1014</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1015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1589</v>
      </c>
      <c r="B1703" s="21" t="s">
        <v>1033</v>
      </c>
      <c r="C1703" s="21" t="s">
        <v>1017</v>
      </c>
      <c r="D1703" s="21" t="s">
        <v>1007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1023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1623</v>
      </c>
    </row>
    <row r="1707" spans="1:12">
      <c r="A1707" s="20" t="s">
        <v>1175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1138</v>
      </c>
      <c r="B1708" s="21" t="s">
        <v>1050</v>
      </c>
      <c r="C1708" s="21" t="s">
        <v>1082</v>
      </c>
      <c r="D1708" s="21" t="s">
        <v>1007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1141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1065</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1018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1030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1204</v>
      </c>
      <c r="B1714" s="21" t="s">
        <v>1022</v>
      </c>
      <c r="C1714" s="21" t="s">
        <v>1017</v>
      </c>
      <c r="D1714" s="21" t="s">
        <v>1007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1595</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1018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1624</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137</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1027</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1460</v>
      </c>
      <c r="B1720" s="21" t="s">
        <v>1029</v>
      </c>
      <c r="C1720" s="21" t="s">
        <v>1017</v>
      </c>
      <c r="D1720" s="21" t="s">
        <v>1007</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1065</v>
      </c>
      <c r="B1721" s="21" t="s">
        <v>1120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1387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1625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1030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1015</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1384</v>
      </c>
      <c r="B1726" s="21" t="s">
        <v>1035</v>
      </c>
      <c r="C1726" s="21" t="s">
        <v>1013</v>
      </c>
      <c r="D1726" s="21" t="s">
        <v>1007</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1014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102</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1392</v>
      </c>
      <c r="B1729" s="21" t="s">
        <v>1130</v>
      </c>
      <c r="C1729" s="21" t="s">
        <v>1006</v>
      </c>
      <c r="D1729" s="21" t="s">
        <v>1007</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110</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1626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1627</v>
      </c>
      <c r="B1732" s="21" t="s">
        <v>1187</v>
      </c>
      <c r="C1732" s="21" t="s">
        <v>1048</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1097</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1140</v>
      </c>
      <c r="B1734" s="21" t="s">
        <v>1033</v>
      </c>
      <c r="C1734" s="21" t="s">
        <v>1073</v>
      </c>
      <c r="D1734" s="21" t="s">
        <v>1007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1023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row>
    <row r="1737" spans="1:12">
      <c r="A1737" s="20" t="s">
        <v>1628</v>
      </c>
    </row>
    <row r="1738" spans="1:12">
      <c r="A1738" s="20" t="s">
        <v>1629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1630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1631</v>
      </c>
      <c r="B1740" s="21" t="s">
        <v>1029</v>
      </c>
      <c r="C1740" s="21" t="s">
        <v>1082</v>
      </c>
      <c r="D1740" s="21" t="s">
        <v>1007</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1020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1632</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1023</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1633</v>
      </c>
    </row>
    <row r="1746" spans="1:12">
      <c r="A1746" s="20" t="s">
        <v>1094</v>
      </c>
      <c r="B1746" s="21" t="s">
        <v>1005</v>
      </c>
      <c r="C1746" s="21" t="s">
        <v>1048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1009</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1634</v>
      </c>
      <c r="B1748" s="21" t="s">
        <v>1187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1286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1635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1463</v>
      </c>
      <c r="B1751" s="21" t="s">
        <v>1119</v>
      </c>
      <c r="C1751" s="21" t="s">
        <v>1082</v>
      </c>
      <c r="D1751" s="21" t="s">
        <v>1007</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1077</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row>
    <row r="1755" spans="1:12">
      <c r="A1755" s="20" t="s">
        <v>1636</v>
      </c>
    </row>
    <row r="1756" spans="1:12">
      <c r="A1756" s="20" t="s">
        <v>1118</v>
      </c>
      <c r="B1756" s="21" t="s">
        <v>1005</v>
      </c>
      <c r="C1756" s="21" t="s">
        <v>1048</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1009</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1400</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193</v>
      </c>
      <c r="B1759" s="21" t="s">
        <v>1119</v>
      </c>
      <c r="C1759" s="21" t="s">
        <v>1017</v>
      </c>
      <c r="D1759" s="21" t="s">
        <v>1007</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1286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1576</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1065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1324</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227</v>
      </c>
      <c r="B1764" s="21" t="s">
        <v>1263</v>
      </c>
      <c r="C1764" s="21" t="s">
        <v>1013</v>
      </c>
      <c r="D1764" s="21" t="s">
        <v>1007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1014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1021</v>
      </c>
      <c r="B1766" s="21" t="s">
        <v>1040</v>
      </c>
      <c r="C1766" s="21" t="s">
        <v>1006</v>
      </c>
      <c r="D1766" s="21" t="s">
        <v>1007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1061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1637</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1018</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1030</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1020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1638</v>
      </c>
      <c r="B1773" s="21" t="s">
        <v>1130</v>
      </c>
      <c r="C1773" s="21" t="s">
        <v>1006</v>
      </c>
      <c r="D1773" s="21" t="s">
        <v>1007</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1018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1030</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1122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1250</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1639</v>
      </c>
      <c r="B1778" s="21" t="s">
        <v>1130</v>
      </c>
      <c r="C1778" s="21" t="s">
        <v>1041</v>
      </c>
      <c r="D1778" s="21" t="s">
        <v>1007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1018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1266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1065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1640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1641</v>
      </c>
      <c r="B1784" s="21" t="s">
        <v>1253</v>
      </c>
      <c r="C1784" s="21" t="s">
        <v>1048</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1097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1642</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1015</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1012</v>
      </c>
      <c r="B1789" s="21" t="s">
        <v>1487</v>
      </c>
      <c r="C1789" s="21" t="s">
        <v>1013</v>
      </c>
      <c r="D1789" s="21" t="s">
        <v>1007</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1014</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1015</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1589</v>
      </c>
      <c r="B1792" s="21" t="s">
        <v>1215</v>
      </c>
      <c r="C1792" s="21" t="s">
        <v>1017</v>
      </c>
      <c r="D1792" s="21" t="s">
        <v>1007</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1433</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1156</v>
      </c>
      <c r="B1796" s="21" t="s">
        <v>1044</v>
      </c>
      <c r="C1796" s="21" t="s">
        <v>1017</v>
      </c>
      <c r="D1796" s="21" t="s">
        <v>1007</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1018</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1075</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1326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1020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1643</v>
      </c>
      <c r="B1801" s="21" t="s">
        <v>1029</v>
      </c>
      <c r="C1801" s="21" t="s">
        <v>1013</v>
      </c>
      <c r="D1801" s="21" t="s">
        <v>1007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1014</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1644</v>
      </c>
      <c r="B1803" s="21" t="s">
        <v>1033</v>
      </c>
      <c r="C1803" s="21" t="s">
        <v>1006</v>
      </c>
      <c r="D1803" s="21" t="s">
        <v>1007</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1212</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1214</v>
      </c>
      <c r="B1805" s="21" t="s">
        <v>1035</v>
      </c>
      <c r="C1805" s="21" t="s">
        <v>1006</v>
      </c>
      <c r="D1805" s="21" t="s">
        <v>1007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1014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1645</v>
      </c>
      <c r="B1807" s="21" t="s">
        <v>1130</v>
      </c>
      <c r="C1807" s="21" t="s">
        <v>1006</v>
      </c>
      <c r="D1807" s="21" t="s">
        <v>1007</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1218</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1030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1020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1021</v>
      </c>
      <c r="B1811" s="21" t="s">
        <v>1022</v>
      </c>
      <c r="C1811" s="21" t="s">
        <v>1006</v>
      </c>
      <c r="D1811" s="21" t="s">
        <v>1007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1030</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1646</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1647</v>
      </c>
      <c r="B1814" s="21" t="s">
        <v>1022</v>
      </c>
      <c r="C1814" s="21" t="s">
        <v>1205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1065</v>
      </c>
      <c r="B1815" s="21" t="s">
        <v>1064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1648</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1023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row>
    <row r="1819" spans="1:12">
      <c r="A1819" s="20" t="s">
        <v>1184</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1649</v>
      </c>
    </row>
    <row r="1821" spans="1:12">
      <c r="A1821" s="20" t="s">
        <v>1400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1325</v>
      </c>
      <c r="B1822" s="21" t="s">
        <v>1050</v>
      </c>
      <c r="C1822" s="21" t="s">
        <v>1017</v>
      </c>
      <c r="D1822" s="21" t="s">
        <v>1007</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1036</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1065</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1140</v>
      </c>
      <c r="B1825" s="21" t="s">
        <v>1154</v>
      </c>
      <c r="C1825" s="21" t="s">
        <v>1073</v>
      </c>
      <c r="D1825" s="21" t="s">
        <v>1007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1075</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1576</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1018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1075</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1065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1637</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1018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1114</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1650</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137</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1324</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1651</v>
      </c>
      <c r="B1837" s="21" t="s">
        <v>1064</v>
      </c>
      <c r="C1837" s="21" t="s">
        <v>1013</v>
      </c>
      <c r="D1837" s="21" t="s">
        <v>1007</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1014</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1652</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1189</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1030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1653</v>
      </c>
      <c r="B1842" s="21" t="s">
        <v>1040</v>
      </c>
      <c r="C1842" s="21" t="s">
        <v>1048</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1018</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1020</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1211</v>
      </c>
      <c r="B1845" s="21" t="s">
        <v>1154</v>
      </c>
      <c r="C1845" s="21" t="s">
        <v>1006</v>
      </c>
      <c r="D1845" s="21" t="s">
        <v>1007</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1061</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137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1056</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1654</v>
      </c>
      <c r="B1849" s="21" t="s">
        <v>1187</v>
      </c>
      <c r="C1849" s="21" t="s">
        <v>1013</v>
      </c>
      <c r="D1849" s="21" t="s">
        <v>1007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1014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1140</v>
      </c>
      <c r="B1851" s="21" t="s">
        <v>1035</v>
      </c>
      <c r="C1851" s="21" t="s">
        <v>1073</v>
      </c>
      <c r="D1851" s="21" t="s">
        <v>1007</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1018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1015</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1655</v>
      </c>
      <c r="B1854" s="21" t="s">
        <v>1263</v>
      </c>
      <c r="C1854" s="21" t="s">
        <v>1013</v>
      </c>
      <c r="D1854" s="21" t="s">
        <v>1007</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1014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1570</v>
      </c>
      <c r="B1856" s="21" t="s">
        <v>1040</v>
      </c>
      <c r="C1856" s="21" t="s">
        <v>1013</v>
      </c>
      <c r="D1856" s="21" t="s">
        <v>1007</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1014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1020</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1054</v>
      </c>
      <c r="B1859" s="21" t="s">
        <v>1042</v>
      </c>
      <c r="C1859" s="21" t="s">
        <v>1006</v>
      </c>
      <c r="D1859" s="21" t="s">
        <v>1007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1157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137</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1435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1654</v>
      </c>
      <c r="B1863" s="21" t="s">
        <v>1134</v>
      </c>
      <c r="C1863" s="21" t="s">
        <v>1041</v>
      </c>
      <c r="D1863" s="21" t="s">
        <v>1007</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1018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1015</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1655</v>
      </c>
      <c r="B1866" s="21" t="s">
        <v>1130</v>
      </c>
      <c r="C1866" s="21" t="s">
        <v>1013</v>
      </c>
      <c r="D1866" s="21" t="s">
        <v>1007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1014</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1243</v>
      </c>
      <c r="B1868" s="21" t="s">
        <v>1040</v>
      </c>
      <c r="C1868" s="21" t="s">
        <v>1013</v>
      </c>
      <c r="D1868" s="21" t="s">
        <v>1007</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1014</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1020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1656</v>
      </c>
      <c r="B1871" s="21" t="s">
        <v>1042</v>
      </c>
      <c r="C1871" s="21" t="s">
        <v>1006</v>
      </c>
      <c r="D1871" s="21" t="s">
        <v>1007</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1157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137</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1435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1654</v>
      </c>
      <c r="B1875" s="21" t="s">
        <v>1064</v>
      </c>
      <c r="C1875" s="21" t="s">
        <v>1041</v>
      </c>
      <c r="D1875" s="21" t="s">
        <v>1007</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1018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1015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1655</v>
      </c>
      <c r="B1878" s="21" t="s">
        <v>1035</v>
      </c>
      <c r="C1878" s="21" t="s">
        <v>1017</v>
      </c>
      <c r="D1878" s="21" t="s">
        <v>1007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1657</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1018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1015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1655</v>
      </c>
      <c r="B1882" s="21" t="s">
        <v>1035</v>
      </c>
      <c r="C1882" s="21" t="s">
        <v>1017</v>
      </c>
      <c r="D1882" s="21" t="s">
        <v>1007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1658</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1018</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1015</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1655</v>
      </c>
      <c r="B1886" s="21" t="s">
        <v>1130</v>
      </c>
      <c r="C1886" s="21" t="s">
        <v>1013</v>
      </c>
      <c r="D1886" s="21" t="s">
        <v>1007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1014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1659</v>
      </c>
      <c r="B1888" s="21" t="s">
        <v>1040</v>
      </c>
      <c r="C1888" s="21" t="s">
        <v>1006</v>
      </c>
      <c r="D1888" s="21" t="s">
        <v>1007</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1018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1357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1224</v>
      </c>
      <c r="B1891" s="21" t="s">
        <v>1251</v>
      </c>
      <c r="C1891" s="21" t="s">
        <v>1082</v>
      </c>
      <c r="D1891" s="21" t="s">
        <v>1007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1157</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137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1018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1299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1142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1051</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1660</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1023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row>
    <row r="1901" spans="1:12">
      <c r="A1901" s="20" t="s">
        <v>1661</v>
      </c>
    </row>
    <row r="1902" spans="1:12">
      <c r="A1902" s="20" t="s">
        <v>1400</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1662</v>
      </c>
      <c r="B1903" s="21" t="s">
        <v>1050</v>
      </c>
      <c r="C1903" s="21" t="s">
        <v>1017</v>
      </c>
      <c r="D1903" s="21" t="s">
        <v>1007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1663</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1075</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1020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1664</v>
      </c>
      <c r="B1907" s="21" t="s">
        <v>1005</v>
      </c>
      <c r="C1907" s="21" t="s">
        <v>1006</v>
      </c>
      <c r="D1907" s="21" t="s">
        <v>1007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row>
    <row r="1909" spans="1:12">
      <c r="A1909" s="20" t="s">
        <v>1665</v>
      </c>
    </row>
    <row r="1910" spans="1:12">
      <c r="A1910" s="20" t="s">
        <v>1018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1330</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1224</v>
      </c>
      <c r="B1912" s="21" t="s">
        <v>1050</v>
      </c>
      <c r="C1912" s="21" t="s">
        <v>1082</v>
      </c>
      <c r="D1912" s="21" t="s">
        <v>1007</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1142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1199</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1142</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1666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1324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1667</v>
      </c>
      <c r="B1918" s="21" t="s">
        <v>1085</v>
      </c>
      <c r="C1918" s="21" t="s">
        <v>1013</v>
      </c>
      <c r="D1918" s="21" t="s">
        <v>1007</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1036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1668</v>
      </c>
      <c r="B1920" s="21" t="s">
        <v>1022</v>
      </c>
      <c r="C1920" s="21" t="s">
        <v>1048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1018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1132</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1669</v>
      </c>
      <c r="B1923" s="21" t="s">
        <v>1120</v>
      </c>
      <c r="C1923" s="21" t="s">
        <v>1082</v>
      </c>
      <c r="D1923" s="21" t="s">
        <v>1007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1142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1333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1670</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1036</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1020</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1667</v>
      </c>
      <c r="B1929" s="21" t="s">
        <v>1064</v>
      </c>
      <c r="C1929" s="21" t="s">
        <v>1017</v>
      </c>
      <c r="D1929" s="21" t="s">
        <v>1007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1137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1671</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1036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1015</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1672</v>
      </c>
      <c r="B1934" s="21" t="s">
        <v>1134</v>
      </c>
      <c r="C1934" s="21" t="s">
        <v>1017</v>
      </c>
      <c r="D1934" s="21" t="s">
        <v>1007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1023</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row>
    <row r="1937" spans="1:12">
      <c r="A1937" s="20" t="s">
        <v>1673</v>
      </c>
    </row>
    <row r="1938" spans="1:12">
      <c r="A1938" s="20" t="s">
        <v>1088</v>
      </c>
      <c r="B1938" s="21" t="s">
        <v>1119</v>
      </c>
      <c r="C1938" s="21" t="s">
        <v>1073</v>
      </c>
      <c r="D1938" s="21" t="s">
        <v>1007</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1075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1324</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193</v>
      </c>
      <c r="B1941" s="21" t="s">
        <v>1050</v>
      </c>
      <c r="C1941" s="21" t="s">
        <v>1111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1065</v>
      </c>
      <c r="B1942" s="21" t="s">
        <v>1154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1075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1250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756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1018</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1142</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1199</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1097</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1020</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1674</v>
      </c>
      <c r="B1951" s="21" t="s">
        <v>1022</v>
      </c>
      <c r="C1951" s="21" t="s">
        <v>1006</v>
      </c>
      <c r="D1951" s="21" t="s">
        <v>1007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1018</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1142</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1164</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1199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1224</v>
      </c>
      <c r="B1956" s="21" t="s">
        <v>1005</v>
      </c>
      <c r="C1956" s="21" t="s">
        <v>1082</v>
      </c>
      <c r="D1956" s="21" t="s">
        <v>1007</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1018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1330</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1224</v>
      </c>
      <c r="B1959" s="21" t="s">
        <v>1119</v>
      </c>
      <c r="C1959" s="21" t="s">
        <v>1082</v>
      </c>
      <c r="D1959" s="21" t="s">
        <v>1007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1164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1056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1675</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1676</v>
      </c>
      <c r="B1963" s="21" t="s">
        <v>1005</v>
      </c>
      <c r="C1963" s="21" t="s">
        <v>1111</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1023</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row>
    <row r="1966" spans="1:12">
      <c r="A1966" s="20" t="s">
        <v>1677</v>
      </c>
    </row>
    <row r="1967" spans="1:12">
      <c r="A1967" s="20" t="s">
        <v>1678</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1027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1460</v>
      </c>
      <c r="B1969" s="21" t="s">
        <v>1119</v>
      </c>
      <c r="C1969" s="21" t="s">
        <v>1017</v>
      </c>
      <c r="D1969" s="21" t="s">
        <v>1007</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1679</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1014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756</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1097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1324</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1680</v>
      </c>
      <c r="B1975" s="21" t="s">
        <v>1029</v>
      </c>
      <c r="C1975" s="21" t="s">
        <v>1111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1681</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1036</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1668</v>
      </c>
      <c r="B1978" s="21" t="s">
        <v>1035</v>
      </c>
      <c r="C1978" s="21" t="s">
        <v>1048</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1097</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1357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1015</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1589</v>
      </c>
      <c r="B1982" s="21" t="s">
        <v>1035</v>
      </c>
      <c r="C1982" s="21" t="s">
        <v>1205</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1065</v>
      </c>
      <c r="B1983" s="21" t="s">
        <v>1067</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1142</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1682</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1683</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193</v>
      </c>
      <c r="B1987" s="21" t="s">
        <v>1066</v>
      </c>
      <c r="C1987" s="21" t="s">
        <v>1103</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1018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1684</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1142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1685</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1686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1687</v>
      </c>
      <c r="B1993" s="21" t="s">
        <v>1187</v>
      </c>
      <c r="C1993" s="21" t="s">
        <v>1103</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1036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1688</v>
      </c>
      <c r="B1995" s="21" t="s">
        <v>1033</v>
      </c>
      <c r="C1995" s="21" t="s">
        <v>1048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1605</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1023</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row>
    <row r="1999" spans="1:12">
      <c r="A1999" s="20" t="s">
        <v>1689</v>
      </c>
    </row>
    <row r="2000" spans="1:12">
      <c r="A2000" s="20" t="s">
        <v>1547</v>
      </c>
      <c r="B2000" s="21" t="s">
        <v>1050</v>
      </c>
      <c r="C2000" s="21" t="s">
        <v>1073</v>
      </c>
      <c r="D2000" s="21" t="s">
        <v>1007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1690</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1020</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1691</v>
      </c>
      <c r="B2003" s="21" t="s">
        <v>1085</v>
      </c>
      <c r="C2003" s="21" t="s">
        <v>1017</v>
      </c>
      <c r="D2003" s="21" t="s">
        <v>1007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56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1015</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1012</v>
      </c>
      <c r="B2006" s="21" t="s">
        <v>1022</v>
      </c>
      <c r="C2006" s="21" t="s">
        <v>1017</v>
      </c>
      <c r="D2006" s="21" t="s">
        <v>1007</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1065</v>
      </c>
      <c r="B2007" s="21" t="s">
        <v>1064</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1027</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1172</v>
      </c>
      <c r="B2009" s="21" t="s">
        <v>1120</v>
      </c>
      <c r="C2009" s="21" t="s">
        <v>1017</v>
      </c>
      <c r="D2009" s="21" t="s">
        <v>1007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1520</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1020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1692</v>
      </c>
      <c r="B2012" s="21" t="s">
        <v>1035</v>
      </c>
      <c r="C2012" s="21" t="s">
        <v>1048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1663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1094</v>
      </c>
      <c r="B2014" s="21" t="s">
        <v>1130</v>
      </c>
      <c r="C2014" s="21" t="s">
        <v>1006</v>
      </c>
      <c r="D2014" s="21" t="s">
        <v>1007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1009</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28</v>
      </c>
      <c r="B2016" s="21" t="s">
        <v>1130</v>
      </c>
      <c r="C2016" s="21" t="s">
        <v>1006</v>
      </c>
      <c r="D2016" s="21" t="s">
        <v>1007</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1018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1693</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1182</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1128</v>
      </c>
      <c r="B2020" s="21" t="s">
        <v>1029</v>
      </c>
      <c r="C2020" s="21" t="s">
        <v>1082</v>
      </c>
      <c r="D2020" s="21" t="s">
        <v>1007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1694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1569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1410</v>
      </c>
      <c r="B2023" s="21" t="s">
        <v>1022</v>
      </c>
      <c r="C2023" s="21" t="s">
        <v>1041</v>
      </c>
      <c r="D2023" s="21" t="s">
        <v>1007</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1014</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102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1031</v>
      </c>
      <c r="B2026" s="21" t="s">
        <v>1033</v>
      </c>
      <c r="C2026" s="21" t="s">
        <v>1017</v>
      </c>
      <c r="D2026" s="21" t="s">
        <v>1007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1023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row>
    <row r="2029" spans="1:12">
      <c r="A2029" s="20" t="s">
        <v>1695</v>
      </c>
    </row>
    <row r="2030" spans="1:12">
      <c r="A2030" s="20" t="s">
        <v>1629</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145</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1100</v>
      </c>
      <c r="B2032" s="21" t="s">
        <v>1029</v>
      </c>
      <c r="C2032" s="21" t="s">
        <v>1082</v>
      </c>
      <c r="D2032" s="21" t="s">
        <v>1007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1686</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1390</v>
      </c>
      <c r="B2034" s="21" t="s">
        <v>1029</v>
      </c>
      <c r="C2034" s="21" t="s">
        <v>1103</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1023</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row>
    <row r="2037" spans="1:12">
      <c r="A2037" s="20" t="s">
        <v>1696</v>
      </c>
    </row>
    <row r="2038" spans="1:12">
      <c r="A2038" s="20" t="s">
        <v>1389</v>
      </c>
      <c r="B2038" s="21" t="s">
        <v>1050</v>
      </c>
      <c r="C2038" s="21" t="s">
        <v>1073</v>
      </c>
      <c r="D2038" s="21" t="s">
        <v>1007</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1075</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1056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1391</v>
      </c>
      <c r="B2041" s="21" t="s">
        <v>1005</v>
      </c>
      <c r="C2041" s="21" t="s">
        <v>1111</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1101</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1697</v>
      </c>
    </row>
    <row r="2045" spans="1:12">
      <c r="A2045" s="20" t="s">
        <v>303</v>
      </c>
      <c r="B2045" s="21" t="s">
        <v>1005</v>
      </c>
      <c r="C2045" s="21" t="s">
        <v>1006</v>
      </c>
      <c r="D2045" s="21" t="s">
        <v>1007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1698</v>
      </c>
      <c r="B2046" s="21" t="s">
        <v>1005</v>
      </c>
      <c r="C2046" s="21" t="s">
        <v>1006</v>
      </c>
      <c r="D2046" s="21" t="s">
        <v>1007</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row>
    <row r="2048" spans="1:12">
      <c r="A2048" s="20" t="s">
        <v>1699</v>
      </c>
    </row>
    <row r="2049" spans="1:12">
      <c r="A2049" s="20" t="s">
        <v>11</v>
      </c>
      <c r="B2049" s="21" t="s">
        <v>1005</v>
      </c>
      <c r="C2049" s="21" t="s">
        <v>1073</v>
      </c>
      <c r="D2049" s="21" t="s">
        <v>1007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1065</v>
      </c>
      <c r="B2050" s="21" t="s">
        <v>1119</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1075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1284</v>
      </c>
      <c r="B2052" s="21" t="s">
        <v>1005</v>
      </c>
      <c r="C2052" s="21" t="s">
        <v>1073</v>
      </c>
      <c r="D2052" s="21" t="s">
        <v>1007</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1077</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row>
    <row r="2055" spans="1:12">
      <c r="A2055" s="20" t="s">
        <v>1700</v>
      </c>
    </row>
    <row r="2056" spans="1:12">
      <c r="A2056" s="20" t="s">
        <v>1118</v>
      </c>
      <c r="B2056" s="21" t="s">
        <v>1005</v>
      </c>
      <c r="C2056" s="21" t="s">
        <v>1048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1009</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1701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1065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889</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1065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1020</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1211</v>
      </c>
      <c r="B2063" s="21" t="s">
        <v>1154</v>
      </c>
      <c r="C2063" s="21" t="s">
        <v>1006</v>
      </c>
      <c r="D2063" s="21" t="s">
        <v>1007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1100</v>
      </c>
      <c r="B2064" s="21" t="s">
        <v>1187</v>
      </c>
      <c r="C2064" s="21" t="s">
        <v>1082</v>
      </c>
      <c r="D2064" s="21" t="s">
        <v>1007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1702</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1056</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1703</v>
      </c>
      <c r="B2067" s="21" t="s">
        <v>1187</v>
      </c>
      <c r="C2067" s="21" t="s">
        <v>1111</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1704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1023</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row>
    <row r="2071" spans="1:12">
      <c r="A2071" s="20" t="s">
        <v>1705</v>
      </c>
    </row>
    <row r="2072" spans="1:12">
      <c r="A2072" s="20" t="s">
        <v>1389</v>
      </c>
      <c r="B2072" s="21" t="s">
        <v>1050</v>
      </c>
      <c r="C2072" s="21" t="s">
        <v>1073</v>
      </c>
      <c r="D2072" s="21" t="s">
        <v>1007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1075</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1056</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1014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1015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1706</v>
      </c>
      <c r="B2077" s="21" t="s">
        <v>1005</v>
      </c>
      <c r="C2077" s="21" t="s">
        <v>1013</v>
      </c>
      <c r="D2077" s="21" t="s">
        <v>1007</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1014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1020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1211</v>
      </c>
      <c r="B2080" s="21" t="s">
        <v>1022</v>
      </c>
      <c r="C2080" s="21" t="s">
        <v>1017</v>
      </c>
      <c r="D2080" s="21" t="s">
        <v>1007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1065</v>
      </c>
      <c r="B2081" s="21" t="s">
        <v>1064</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1707</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1023</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row>
    <row r="2085" spans="1:12">
      <c r="A2085" s="20" t="s">
        <v>1708</v>
      </c>
    </row>
    <row r="2086" spans="1:12">
      <c r="A2086" s="20" t="s">
        <v>11</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303</v>
      </c>
      <c r="B2087" s="21" t="s">
        <v>1050</v>
      </c>
      <c r="C2087" s="21" t="s">
        <v>1006</v>
      </c>
      <c r="D2087" s="21" t="s">
        <v>1007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1698</v>
      </c>
      <c r="B2088" s="21" t="s">
        <v>1022</v>
      </c>
      <c r="C2088" s="21" t="s">
        <v>1006</v>
      </c>
      <c r="D2088" s="21" t="s">
        <v>1007</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1075</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1056</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1391</v>
      </c>
      <c r="B2091" s="21" t="s">
        <v>1005</v>
      </c>
      <c r="C2091" s="21" t="s">
        <v>1111</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1065</v>
      </c>
      <c r="B2092" s="21" t="s">
        <v>1029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1020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1211</v>
      </c>
      <c r="B2094" s="21" t="s">
        <v>1119</v>
      </c>
      <c r="C2094" s="21" t="s">
        <v>1006</v>
      </c>
      <c r="D2094" s="21" t="s">
        <v>1007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1709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1014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102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576</v>
      </c>
      <c r="B2098" s="21" t="s">
        <v>1022</v>
      </c>
      <c r="C2098" s="21" t="s">
        <v>1017</v>
      </c>
      <c r="D2098" s="21" t="s">
        <v>1007</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1023</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row>
    <row r="2101" spans="1:12">
      <c r="A2101" s="20" t="s">
        <v>1710</v>
      </c>
    </row>
    <row r="2102" spans="1:12">
      <c r="A2102" s="20" t="s">
        <v>11</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576</v>
      </c>
      <c r="B2103" s="21" t="s">
        <v>1050</v>
      </c>
      <c r="C2103" s="21" t="s">
        <v>1017</v>
      </c>
      <c r="D2103" s="21" t="s">
        <v>1007</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1711</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1712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1020</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1020</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1211</v>
      </c>
      <c r="B2108" s="21" t="s">
        <v>1085</v>
      </c>
      <c r="C2108" s="21" t="s">
        <v>1006</v>
      </c>
      <c r="D2108" s="21" t="s">
        <v>1007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1114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1224</v>
      </c>
      <c r="B2110" s="21" t="s">
        <v>1119</v>
      </c>
      <c r="C2110" s="21" t="s">
        <v>1082</v>
      </c>
      <c r="D2110" s="21" t="s">
        <v>1007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1713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1587</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1285</v>
      </c>
      <c r="B2113" s="21" t="s">
        <v>1029</v>
      </c>
      <c r="C2113" s="21" t="s">
        <v>1103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1014</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1714</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1018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1116</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1065</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1715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1018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1020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1716</v>
      </c>
      <c r="B2122" s="21" t="s">
        <v>1064</v>
      </c>
      <c r="C2122" s="21" t="s">
        <v>1013</v>
      </c>
      <c r="D2122" s="21" t="s">
        <v>1007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1014</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1602</v>
      </c>
      <c r="B2124" s="21" t="s">
        <v>1130</v>
      </c>
      <c r="C2124" s="21" t="s">
        <v>1048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1717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1065</v>
      </c>
      <c r="B2126" s="21" t="s">
        <v>1251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1264</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1020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238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1718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1023</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row>
    <row r="2133" spans="1:12">
      <c r="A2133" s="20" t="s">
        <v>1719</v>
      </c>
    </row>
    <row r="2134" spans="1:12">
      <c r="A2134" s="20" t="s">
        <v>1720</v>
      </c>
      <c r="B2134" s="21" t="s">
        <v>1050</v>
      </c>
      <c r="C2134" s="21" t="s">
        <v>1082</v>
      </c>
      <c r="D2134" s="21" t="s">
        <v>1007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1481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1065</v>
      </c>
      <c r="B2136" s="21" t="s">
        <v>1085</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1142</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1023</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1184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1721</v>
      </c>
    </row>
    <row r="2142" spans="1:12">
      <c r="A2142" s="20" t="s">
        <v>1722</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1009</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1189</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1147</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1723</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1279</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1724</v>
      </c>
      <c r="B2148" s="21" t="s">
        <v>1029</v>
      </c>
      <c r="C2148" s="21" t="s">
        <v>1041</v>
      </c>
      <c r="D2148" s="21" t="s">
        <v>1007</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1023</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row>
    <row r="2151" spans="1:12">
      <c r="A2151" s="20" t="s">
        <v>1725</v>
      </c>
    </row>
    <row r="2152" spans="1:12">
      <c r="A2152" s="20" t="s">
        <v>1147</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1333</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1055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1279</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1724</v>
      </c>
      <c r="B2156" s="21" t="s">
        <v>1029</v>
      </c>
      <c r="C2156" s="21" t="s">
        <v>1041</v>
      </c>
      <c r="D2156" s="21" t="s">
        <v>1007</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1023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row>
    <row r="2159" spans="1:12">
      <c r="A2159" s="20" t="s">
        <v>1184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1726</v>
      </c>
    </row>
    <row r="2161" spans="1:12">
      <c r="A2161" s="20" t="s">
        <v>1189</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1147</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1333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93</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1727</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1602</v>
      </c>
      <c r="B2166" s="21" t="s">
        <v>1064</v>
      </c>
      <c r="C2166" s="21" t="s">
        <v>1103</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1438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1020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1728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1020</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1692</v>
      </c>
      <c r="B2171" s="21" t="s">
        <v>1187</v>
      </c>
      <c r="C2171" s="21" t="s">
        <v>1048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1663</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1018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1189</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1299</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93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1729</v>
      </c>
      <c r="B2177" s="21" t="s">
        <v>1064</v>
      </c>
      <c r="C2177" s="21" t="s">
        <v>1082</v>
      </c>
      <c r="D2177" s="21" t="s">
        <v>1007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1140</v>
      </c>
      <c r="B2178" s="21" t="s">
        <v>1130</v>
      </c>
      <c r="C2178" s="21" t="s">
        <v>1073</v>
      </c>
      <c r="D2178" s="21" t="s">
        <v>1007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1730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1731</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1020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1732</v>
      </c>
      <c r="B2182" s="21" t="s">
        <v>1040</v>
      </c>
      <c r="C2182" s="21" t="s">
        <v>1059</v>
      </c>
      <c r="D2182" s="21" t="s">
        <v>1007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1691</v>
      </c>
      <c r="B2183" s="21" t="s">
        <v>1263</v>
      </c>
      <c r="C2183" s="21" t="s">
        <v>1017</v>
      </c>
      <c r="D2183" s="21" t="s">
        <v>1007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1189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1023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row>
    <row r="2187" spans="1:12">
      <c r="A2187" s="20" t="s">
        <v>1733</v>
      </c>
    </row>
    <row r="2188" spans="1:12">
      <c r="A2188" s="20" t="s">
        <v>1734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1735</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1435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1736</v>
      </c>
      <c r="B2191" s="21" t="s">
        <v>1085</v>
      </c>
      <c r="C2191" s="21" t="s">
        <v>1041</v>
      </c>
      <c r="D2191" s="21" t="s">
        <v>1007</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1014</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1020</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1410</v>
      </c>
      <c r="B2194" s="21" t="s">
        <v>1022</v>
      </c>
      <c r="C2194" s="21" t="s">
        <v>1013</v>
      </c>
      <c r="D2194" s="21" t="s">
        <v>1007</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1014</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1224</v>
      </c>
      <c r="B2196" s="21" t="s">
        <v>1033</v>
      </c>
      <c r="C2196" s="21" t="s">
        <v>1082</v>
      </c>
      <c r="D2196" s="21" t="s">
        <v>1007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1018</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1330</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1018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1137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1737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1097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1435</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1390</v>
      </c>
      <c r="B2204" s="21" t="s">
        <v>1187</v>
      </c>
      <c r="C2204" s="21" t="s">
        <v>1041</v>
      </c>
      <c r="D2204" s="21" t="s">
        <v>1007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1018</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1180</v>
      </c>
      <c r="B2206" s="21" t="s">
        <v>1119</v>
      </c>
      <c r="C2206" s="21" t="s">
        <v>1082</v>
      </c>
      <c r="D2206" s="21" t="s">
        <v>1007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1510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1065</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1224</v>
      </c>
      <c r="B2209" s="21" t="s">
        <v>1154</v>
      </c>
      <c r="C2209" s="21" t="s">
        <v>1082</v>
      </c>
      <c r="D2209" s="21" t="s">
        <v>1007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1142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1199</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1520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1020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1738</v>
      </c>
      <c r="B2214" s="21" t="s">
        <v>1187</v>
      </c>
      <c r="C2214" s="21" t="s">
        <v>1017</v>
      </c>
      <c r="D2214" s="21" t="s">
        <v>1007</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1018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1132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1143</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1738</v>
      </c>
      <c r="B2218" s="21" t="s">
        <v>1263</v>
      </c>
      <c r="C2218" s="21" t="s">
        <v>1041</v>
      </c>
      <c r="D2218" s="21" t="s">
        <v>1007</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1739</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1740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1023</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row>
    <row r="2223" spans="1:12">
      <c r="A2223" s="20" t="s">
        <v>1741</v>
      </c>
    </row>
    <row r="2224" spans="1:12">
      <c r="A2224" s="20" t="s">
        <v>1742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1051</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1030</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1743</v>
      </c>
      <c r="B2227" s="21" t="s">
        <v>1005</v>
      </c>
      <c r="C2227" s="21" t="s">
        <v>1048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1023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1184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1744</v>
      </c>
    </row>
    <row r="2232" spans="1:12">
      <c r="A2232" s="20" t="s">
        <v>1400</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1211</v>
      </c>
      <c r="B2233" s="21" t="s">
        <v>1050</v>
      </c>
      <c r="C2233" s="21" t="s">
        <v>1006</v>
      </c>
      <c r="D2233" s="21" t="s">
        <v>1007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1124</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1058</v>
      </c>
      <c r="B2236" s="21" t="s">
        <v>1022</v>
      </c>
      <c r="C2236" s="21" t="s">
        <v>1059</v>
      </c>
      <c r="D2236" s="21" t="s">
        <v>1007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1745</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1746</v>
      </c>
      <c r="B2238" s="21" t="s">
        <v>1085</v>
      </c>
      <c r="C2238" s="21" t="s">
        <v>1013</v>
      </c>
      <c r="D2238" s="21" t="s">
        <v>1007</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1014</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1518</v>
      </c>
      <c r="B2240" s="21" t="s">
        <v>1022</v>
      </c>
      <c r="C2240" s="21" t="s">
        <v>1048</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1747</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1065</v>
      </c>
      <c r="B2242" s="21" t="s">
        <v>1120</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1748</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1027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1749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1750</v>
      </c>
      <c r="B2246" s="21" t="s">
        <v>1064</v>
      </c>
      <c r="C2246" s="21" t="s">
        <v>1013</v>
      </c>
      <c r="D2246" s="21" t="s">
        <v>1007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1014</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1324</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1751</v>
      </c>
      <c r="B2249" s="21" t="s">
        <v>1130</v>
      </c>
      <c r="C2249" s="21" t="s">
        <v>1111</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1018</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56</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1018</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1114</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1180</v>
      </c>
      <c r="B2254" s="21" t="s">
        <v>1437</v>
      </c>
      <c r="C2254" s="21" t="s">
        <v>1082</v>
      </c>
      <c r="D2254" s="21" t="s">
        <v>1007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1752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1018</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1189</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1753</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1754</v>
      </c>
      <c r="B2259" s="21" t="s">
        <v>1251</v>
      </c>
      <c r="C2259" s="21" t="s">
        <v>1041</v>
      </c>
      <c r="D2259" s="21" t="s">
        <v>1007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1755</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1014</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1020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1638</v>
      </c>
      <c r="B2263" s="21" t="s">
        <v>1042</v>
      </c>
      <c r="C2263" s="21" t="s">
        <v>1006</v>
      </c>
      <c r="D2263" s="21" t="s">
        <v>1007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1189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1018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1157</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93</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1020</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102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576</v>
      </c>
      <c r="B2270" s="21" t="s">
        <v>1035</v>
      </c>
      <c r="C2270" s="21" t="s">
        <v>1017</v>
      </c>
      <c r="D2270" s="21" t="s">
        <v>1007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1727</v>
      </c>
      <c r="B2271" s="21" t="s">
        <v>1120</v>
      </c>
      <c r="C2271" s="21" t="s">
        <v>1086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1014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1279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1602</v>
      </c>
      <c r="B2274" s="21" t="s">
        <v>1130</v>
      </c>
      <c r="C2274" s="21" t="s">
        <v>1041</v>
      </c>
      <c r="D2274" s="21" t="s">
        <v>1007</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1520</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1637</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1018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1030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1122</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1250</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1639</v>
      </c>
      <c r="B2281" s="21" t="s">
        <v>1035</v>
      </c>
      <c r="C2281" s="21" t="s">
        <v>1041</v>
      </c>
      <c r="D2281" s="21" t="s">
        <v>1007</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1023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row>
    <row r="2284" spans="1:12">
      <c r="A2284" s="20" t="s">
        <v>1756</v>
      </c>
    </row>
    <row r="2285" spans="1:12">
      <c r="A2285" s="20" t="s">
        <v>1136</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102</v>
      </c>
      <c r="B2286" s="21" t="s">
        <v>1050</v>
      </c>
      <c r="C2286" s="21" t="s">
        <v>1073</v>
      </c>
      <c r="D2286" s="21" t="s">
        <v>1007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1065</v>
      </c>
      <c r="B2287" s="21" t="s">
        <v>1187</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303</v>
      </c>
      <c r="B2289" s="21" t="s">
        <v>1154</v>
      </c>
      <c r="C2289" s="21" t="s">
        <v>1006</v>
      </c>
      <c r="D2289" s="21" t="s">
        <v>1007</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1698</v>
      </c>
      <c r="B2290" s="21" t="s">
        <v>1035</v>
      </c>
      <c r="C2290" s="21" t="s">
        <v>1006</v>
      </c>
      <c r="D2290" s="21" t="s">
        <v>1007</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1030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1015</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1752</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1075</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1065</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1203</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1286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1757</v>
      </c>
      <c r="B2298" s="21" t="s">
        <v>1085</v>
      </c>
      <c r="C2298" s="21" t="s">
        <v>1013</v>
      </c>
      <c r="D2298" s="21" t="s">
        <v>1007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1014</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1758</v>
      </c>
      <c r="B2300" s="21" t="s">
        <v>1022</v>
      </c>
      <c r="C2300" s="21" t="s">
        <v>1048</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1020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238</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1718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1030</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1015</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1480</v>
      </c>
      <c r="B2306" s="21" t="s">
        <v>1022</v>
      </c>
      <c r="C2306" s="21" t="s">
        <v>1082</v>
      </c>
      <c r="D2306" s="21" t="s">
        <v>1007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1014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102</v>
      </c>
      <c r="B2308" s="21" t="s">
        <v>1130</v>
      </c>
      <c r="C2308" s="21" t="s">
        <v>1073</v>
      </c>
      <c r="D2308" s="21" t="s">
        <v>1007</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1065</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1759</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1030</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1020</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1054</v>
      </c>
      <c r="B2313" s="21" t="s">
        <v>1035</v>
      </c>
      <c r="C2313" s="21" t="s">
        <v>1006</v>
      </c>
      <c r="D2313" s="21" t="s">
        <v>1007</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1018</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1030</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1760</v>
      </c>
      <c r="B2316" s="21" t="s">
        <v>1042</v>
      </c>
      <c r="C2316" s="21" t="s">
        <v>1048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1020</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1015</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1761</v>
      </c>
      <c r="B2319" s="21" t="s">
        <v>1130</v>
      </c>
      <c r="C2319" s="21" t="s">
        <v>1017</v>
      </c>
      <c r="D2319" s="21" t="s">
        <v>1007</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1023</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row>
    <row r="2322" spans="1:12">
      <c r="A2322" s="20" t="s">
        <v>1762</v>
      </c>
    </row>
    <row r="2323" spans="1:12">
      <c r="A2323" s="20" t="s">
        <v>1147</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1133</v>
      </c>
      <c r="B2324" s="21" t="s">
        <v>1085</v>
      </c>
      <c r="C2324" s="21" t="s">
        <v>1082</v>
      </c>
      <c r="D2324" s="21" t="s">
        <v>1007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1763</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1065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1070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1284</v>
      </c>
      <c r="B2328" s="21" t="s">
        <v>1005</v>
      </c>
      <c r="C2328" s="21" t="s">
        <v>1073</v>
      </c>
      <c r="D2328" s="21" t="s">
        <v>1007</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102</v>
      </c>
      <c r="B2329" s="21" t="s">
        <v>1119</v>
      </c>
      <c r="C2329" s="21" t="s">
        <v>1073</v>
      </c>
      <c r="D2329" s="21" t="s">
        <v>1007</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1065</v>
      </c>
      <c r="B2330" s="21" t="s">
        <v>1064</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1324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1764</v>
      </c>
      <c r="B2332" s="21" t="s">
        <v>1120</v>
      </c>
      <c r="C2332" s="21" t="s">
        <v>1013</v>
      </c>
      <c r="D2332" s="21" t="s">
        <v>1007</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1014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1243</v>
      </c>
      <c r="B2334" s="21" t="s">
        <v>1130</v>
      </c>
      <c r="C2334" s="21" t="s">
        <v>1048</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1765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392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1020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1766</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1023</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row>
    <row r="2341" spans="1:12">
      <c r="A2341" s="20" t="s">
        <v>1767</v>
      </c>
    </row>
    <row r="2342" spans="1:12">
      <c r="A2342" s="20" t="s">
        <v>1094</v>
      </c>
      <c r="B2342" s="21" t="s">
        <v>1005</v>
      </c>
      <c r="C2342" s="21" t="s">
        <v>1048</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1009</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28</v>
      </c>
      <c r="B2344" s="21" t="s">
        <v>1005</v>
      </c>
      <c r="C2344" s="21" t="s">
        <v>1006</v>
      </c>
      <c r="D2344" s="21" t="s">
        <v>1007</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1018</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1468</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1324</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1768</v>
      </c>
      <c r="B2348" s="21" t="s">
        <v>1029</v>
      </c>
      <c r="C2348" s="21" t="s">
        <v>1111</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1769</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1030</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1593</v>
      </c>
      <c r="B2352" s="21" t="s">
        <v>1035</v>
      </c>
      <c r="C2352" s="21" t="s">
        <v>1006</v>
      </c>
      <c r="D2352" s="21" t="s">
        <v>1007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1594</v>
      </c>
      <c r="B2353" s="21" t="s">
        <v>1130</v>
      </c>
      <c r="C2353" s="21" t="s">
        <v>1006</v>
      </c>
      <c r="D2353" s="21" t="s">
        <v>1007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1018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1286</v>
      </c>
      <c r="B2355" s="21" t="s">
        <v>1035</v>
      </c>
      <c r="C2355" s="21" t="s">
        <v>1013</v>
      </c>
      <c r="D2355" s="21" t="s">
        <v>1007</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1324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1346</v>
      </c>
      <c r="B2357" s="21" t="s">
        <v>1040</v>
      </c>
      <c r="C2357" s="21" t="s">
        <v>1048</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1020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440</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1014</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1015</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1544</v>
      </c>
      <c r="B2362" s="21" t="s">
        <v>1042</v>
      </c>
      <c r="C2362" s="21" t="s">
        <v>1059</v>
      </c>
      <c r="D2362" s="21" t="s">
        <v>1007</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1518</v>
      </c>
      <c r="B2363" s="21" t="s">
        <v>1040</v>
      </c>
      <c r="C2363" s="21" t="s">
        <v>1017</v>
      </c>
      <c r="D2363" s="21" t="s">
        <v>1007</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1023</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row>
    <row r="2366" spans="1:12">
      <c r="A2366" s="20" t="s">
        <v>1184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1770</v>
      </c>
    </row>
    <row r="2368" spans="1:12">
      <c r="A2368" s="20" t="s">
        <v>11</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1771</v>
      </c>
      <c r="B2369" s="21" t="s">
        <v>1050</v>
      </c>
      <c r="C2369" s="21" t="s">
        <v>1017</v>
      </c>
      <c r="D2369" s="21" t="s">
        <v>1007</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1752</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1772</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1009</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1189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1400</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1211</v>
      </c>
      <c r="B2375" s="21" t="s">
        <v>1119</v>
      </c>
      <c r="C2375" s="21" t="s">
        <v>1017</v>
      </c>
      <c r="D2375" s="21" t="s">
        <v>1007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1773</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1774</v>
      </c>
      <c r="B2377" s="21" t="s">
        <v>1029</v>
      </c>
      <c r="C2377" s="21" t="s">
        <v>1013</v>
      </c>
      <c r="D2377" s="21" t="s">
        <v>1007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1014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1691</v>
      </c>
      <c r="B2379" s="21" t="s">
        <v>1033</v>
      </c>
      <c r="C2379" s="21" t="s">
        <v>1048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1189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1775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1014</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1776</v>
      </c>
      <c r="B2383" s="21" t="s">
        <v>1035</v>
      </c>
      <c r="C2383" s="21" t="s">
        <v>1013</v>
      </c>
      <c r="D2383" s="21" t="s">
        <v>1007</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1036</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1204</v>
      </c>
      <c r="B2385" s="21" t="s">
        <v>1130</v>
      </c>
      <c r="C2385" s="21" t="s">
        <v>1048</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1023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1189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1777</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1321</v>
      </c>
      <c r="B2389" s="21" t="s">
        <v>1187</v>
      </c>
      <c r="C2389" s="21" t="s">
        <v>1082</v>
      </c>
      <c r="D2389" s="21" t="s">
        <v>1007</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1127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1140</v>
      </c>
      <c r="B2391" s="21" t="s">
        <v>1035</v>
      </c>
      <c r="C2391" s="21" t="s">
        <v>1073</v>
      </c>
      <c r="D2391" s="21" t="s">
        <v>1007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1023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row>
    <row r="2394" spans="1:12">
      <c r="A2394" s="20" t="s">
        <v>1778</v>
      </c>
    </row>
    <row r="2395" spans="1:12">
      <c r="A2395" s="20" t="s">
        <v>1118</v>
      </c>
      <c r="B2395" s="21" t="s">
        <v>1005</v>
      </c>
      <c r="C2395" s="21" t="s">
        <v>1048</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1009</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1779</v>
      </c>
      <c r="B2397" s="21" t="s">
        <v>1119</v>
      </c>
      <c r="C2397" s="21" t="s">
        <v>1082</v>
      </c>
      <c r="D2397" s="21" t="s">
        <v>1007</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1255</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1780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1030</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1204</v>
      </c>
      <c r="B2403" s="21" t="s">
        <v>1022</v>
      </c>
      <c r="C2403" s="21" t="s">
        <v>1017</v>
      </c>
      <c r="D2403" s="21" t="s">
        <v>1007</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1595</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1018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1030</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102</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1781</v>
      </c>
      <c r="B2408" s="21" t="s">
        <v>1022</v>
      </c>
      <c r="C2408" s="21" t="s">
        <v>1013</v>
      </c>
      <c r="D2408" s="21" t="s">
        <v>1007</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1030</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102</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576</v>
      </c>
      <c r="B2411" s="21" t="s">
        <v>1033</v>
      </c>
      <c r="C2411" s="21" t="s">
        <v>1017</v>
      </c>
      <c r="D2411" s="21" t="s">
        <v>1007</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1018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1324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193</v>
      </c>
      <c r="B2414" s="21" t="s">
        <v>1029</v>
      </c>
      <c r="C2414" s="21" t="s">
        <v>1013</v>
      </c>
      <c r="D2414" s="21" t="s">
        <v>1007</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1089</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1097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1535</v>
      </c>
      <c r="B2417" s="21" t="s">
        <v>1033</v>
      </c>
      <c r="C2417" s="21" t="s">
        <v>1086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1132</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1138</v>
      </c>
      <c r="B2419" s="21" t="s">
        <v>1033</v>
      </c>
      <c r="C2419" s="21" t="s">
        <v>1082</v>
      </c>
      <c r="D2419" s="21" t="s">
        <v>1007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1018</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1065</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1782</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1014</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1020</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1211</v>
      </c>
      <c r="B2425" s="21" t="s">
        <v>1134</v>
      </c>
      <c r="C2425" s="21" t="s">
        <v>1006</v>
      </c>
      <c r="D2425" s="21" t="s">
        <v>1007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56</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1065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1244</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1015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1228</v>
      </c>
      <c r="B2430" s="21" t="s">
        <v>1066</v>
      </c>
      <c r="C2430" s="21" t="s">
        <v>1017</v>
      </c>
      <c r="D2430" s="21" t="s">
        <v>1007</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1747</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1018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56</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1783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102</v>
      </c>
      <c r="B2435" s="21" t="s">
        <v>1066</v>
      </c>
      <c r="C2435" s="21" t="s">
        <v>1073</v>
      </c>
      <c r="D2435" s="21" t="s">
        <v>1007</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1065</v>
      </c>
      <c r="B2436" s="21" t="s">
        <v>1437</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1300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1030</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1224</v>
      </c>
      <c r="B2439" s="21" t="s">
        <v>1044</v>
      </c>
      <c r="C2439" s="21" t="s">
        <v>1082</v>
      </c>
      <c r="D2439" s="21" t="s">
        <v>1007</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1018</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137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1784</v>
      </c>
      <c r="B2442" s="21" t="s">
        <v>1440</v>
      </c>
      <c r="C2442" s="21" t="s">
        <v>1048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1785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1786</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1787</v>
      </c>
      <c r="B2445" s="21" t="s">
        <v>1217</v>
      </c>
      <c r="C2445" s="21" t="s">
        <v>1048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1065</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1142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1222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1403</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1788</v>
      </c>
      <c r="B2450" s="21" t="s">
        <v>1789</v>
      </c>
      <c r="C2450" s="21" t="s">
        <v>1048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1018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56</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1065</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1142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1222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1403</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1790</v>
      </c>
      <c r="B2457" s="21" t="s">
        <v>1791</v>
      </c>
      <c r="C2457" s="21" t="s">
        <v>1013</v>
      </c>
      <c r="D2457" s="21" t="s">
        <v>1007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1020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1027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1774</v>
      </c>
      <c r="B2460" s="21" t="s">
        <v>1792</v>
      </c>
      <c r="C2460" s="21" t="s">
        <v>1013</v>
      </c>
      <c r="D2460" s="21" t="s">
        <v>1007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1014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1020</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1211</v>
      </c>
      <c r="B2463" s="21" t="s">
        <v>1793</v>
      </c>
      <c r="C2463" s="21" t="s">
        <v>1017</v>
      </c>
      <c r="D2463" s="21" t="s">
        <v>1007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1018</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1137</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1794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1065</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1569</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1202</v>
      </c>
      <c r="B2469" s="21" t="s">
        <v>1795</v>
      </c>
      <c r="C2469" s="21" t="s">
        <v>1041</v>
      </c>
      <c r="D2469" s="21" t="s">
        <v>1007</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1796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893</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1023</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row>
    <row r="2474" spans="1:12">
      <c r="A2474" s="20" t="s">
        <v>1797</v>
      </c>
    </row>
    <row r="2475" spans="1:12">
      <c r="A2475" s="20" t="s">
        <v>1136</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102</v>
      </c>
      <c r="B2476" s="21" t="s">
        <v>1005</v>
      </c>
      <c r="C2476" s="21" t="s">
        <v>1073</v>
      </c>
      <c r="D2476" s="21" t="s">
        <v>1007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1065</v>
      </c>
      <c r="B2477" s="21" t="s">
        <v>1119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1075</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1798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1799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1030</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1284</v>
      </c>
      <c r="B2482" s="21" t="s">
        <v>1022</v>
      </c>
      <c r="C2482" s="21" t="s">
        <v>1073</v>
      </c>
      <c r="D2482" s="21" t="s">
        <v>1007</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1800</v>
      </c>
      <c r="B2483" s="21" t="s">
        <v>1033</v>
      </c>
      <c r="C2483" s="21" t="s">
        <v>1086</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1018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1127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102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1801</v>
      </c>
      <c r="B2487" s="21" t="s">
        <v>1035</v>
      </c>
      <c r="C2487" s="21" t="s">
        <v>1017</v>
      </c>
      <c r="D2487" s="21" t="s">
        <v>1007</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1014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1020</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1211</v>
      </c>
      <c r="B2490" s="21" t="s">
        <v>1067</v>
      </c>
      <c r="C2490" s="21" t="s">
        <v>1006</v>
      </c>
      <c r="D2490" s="21" t="s">
        <v>1007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98</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1802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1027</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1803</v>
      </c>
      <c r="B2494" s="21" t="s">
        <v>1042</v>
      </c>
      <c r="C2494" s="21" t="s">
        <v>1059</v>
      </c>
      <c r="D2494" s="21" t="s">
        <v>1007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1804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1774</v>
      </c>
      <c r="B2496" s="21" t="s">
        <v>1066</v>
      </c>
      <c r="C2496" s="21" t="s">
        <v>1017</v>
      </c>
      <c r="D2496" s="21" t="s">
        <v>1007</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1018</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1027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1803</v>
      </c>
      <c r="B2499" s="21" t="s">
        <v>1130</v>
      </c>
      <c r="C2499" s="21" t="s">
        <v>1059</v>
      </c>
      <c r="D2499" s="21" t="s">
        <v>1007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1804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1301</v>
      </c>
      <c r="B2501" s="21" t="s">
        <v>1035</v>
      </c>
      <c r="C2501" s="21" t="s">
        <v>1017</v>
      </c>
      <c r="D2501" s="21" t="s">
        <v>1007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1018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1775</v>
      </c>
      <c r="B2503" s="21" t="s">
        <v>1130</v>
      </c>
      <c r="C2503" s="21" t="s">
        <v>1013</v>
      </c>
      <c r="D2503" s="21" t="s">
        <v>1007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1014</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1776</v>
      </c>
      <c r="B2505" s="21" t="s">
        <v>1040</v>
      </c>
      <c r="C2505" s="21" t="s">
        <v>1048</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1030</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1056</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1199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1204</v>
      </c>
      <c r="B2509" s="21" t="s">
        <v>1040</v>
      </c>
      <c r="C2509" s="21" t="s">
        <v>1111</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1018</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1805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1056</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1806</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1807</v>
      </c>
      <c r="B2514" s="21" t="s">
        <v>1066</v>
      </c>
      <c r="C2514" s="21" t="s">
        <v>1111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1018</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1056</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1807</v>
      </c>
      <c r="B2517" s="21" t="s">
        <v>1035</v>
      </c>
      <c r="C2517" s="21" t="s">
        <v>1013</v>
      </c>
      <c r="D2517" s="21" t="s">
        <v>1007</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1171</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1273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1808</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1018</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1065</v>
      </c>
      <c r="B2522" s="21" t="s">
        <v>1251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1809</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1286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1014</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1810</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1172</v>
      </c>
      <c r="B2527" s="21" t="s">
        <v>1253</v>
      </c>
      <c r="C2527" s="21" t="s">
        <v>1205</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1023</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row>
    <row r="2530" spans="1:12">
      <c r="A2530" s="20" t="s">
        <v>1811</v>
      </c>
    </row>
    <row r="2531" spans="1:12">
      <c r="A2531" s="20" t="s">
        <v>1247</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1686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1807</v>
      </c>
      <c r="B2533" s="21" t="s">
        <v>1005</v>
      </c>
      <c r="C2533" s="21" t="s">
        <v>1103</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1018</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1224</v>
      </c>
      <c r="B2535" s="21" t="s">
        <v>1050</v>
      </c>
      <c r="C2535" s="21" t="s">
        <v>1082</v>
      </c>
      <c r="D2535" s="21" t="s">
        <v>1007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1812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1018</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1036</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1813</v>
      </c>
      <c r="B2539" s="21" t="s">
        <v>1005</v>
      </c>
      <c r="C2539" s="21" t="s">
        <v>1048</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1018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1295</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1027</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1431</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1030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1593</v>
      </c>
      <c r="B2545" s="21" t="s">
        <v>1022</v>
      </c>
      <c r="C2545" s="21" t="s">
        <v>1006</v>
      </c>
      <c r="D2545" s="21" t="s">
        <v>1007</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1018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1814</v>
      </c>
      <c r="B2547" s="21" t="s">
        <v>1033</v>
      </c>
      <c r="C2547" s="21" t="s">
        <v>1006</v>
      </c>
      <c r="D2547" s="21" t="s">
        <v>1007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1023</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row>
    <row r="2550" spans="1:12">
      <c r="A2550" s="20" t="s">
        <v>1815</v>
      </c>
    </row>
    <row r="2551" spans="1:12">
      <c r="A2551" s="20" t="s">
        <v>11</v>
      </c>
      <c r="B2551" s="21" t="s">
        <v>1050</v>
      </c>
      <c r="C2551" s="21" t="s">
        <v>1073</v>
      </c>
      <c r="D2551" s="21" t="s">
        <v>1007</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1065</v>
      </c>
      <c r="B2552" s="21" t="s">
        <v>1154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1075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1816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1030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1284</v>
      </c>
      <c r="B2556" s="21" t="s">
        <v>1033</v>
      </c>
      <c r="C2556" s="21" t="s">
        <v>1073</v>
      </c>
      <c r="D2556" s="21" t="s">
        <v>1007</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1800</v>
      </c>
      <c r="B2557" s="21" t="s">
        <v>1035</v>
      </c>
      <c r="C2557" s="21" t="s">
        <v>1086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1018</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1030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1435</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1817</v>
      </c>
      <c r="B2561" s="21" t="s">
        <v>1022</v>
      </c>
      <c r="C2561" s="21" t="s">
        <v>1041</v>
      </c>
      <c r="D2561" s="21" t="s">
        <v>1007</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1018</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1065</v>
      </c>
      <c r="B2563" s="21" t="s">
        <v>1120</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1142</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1818</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1819</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1820</v>
      </c>
      <c r="B2567" s="21" t="s">
        <v>1064</v>
      </c>
      <c r="C2567" s="21" t="s">
        <v>1103</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1018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1075</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1801</v>
      </c>
      <c r="B2571" s="21" t="s">
        <v>1005</v>
      </c>
      <c r="C2571" s="21" t="s">
        <v>1017</v>
      </c>
      <c r="D2571" s="21" t="s">
        <v>1007</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1014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1065</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1142</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1199</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1222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1403</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1808</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1790</v>
      </c>
      <c r="B2579" s="21" t="s">
        <v>1029</v>
      </c>
      <c r="C2579" s="21" t="s">
        <v>1205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1018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1132</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1020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1821</v>
      </c>
      <c r="B2583" s="21" t="s">
        <v>1119</v>
      </c>
      <c r="C2583" s="21" t="s">
        <v>1013</v>
      </c>
      <c r="D2583" s="21" t="s">
        <v>1007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1014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1020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1822</v>
      </c>
      <c r="B2586" s="21" t="s">
        <v>1033</v>
      </c>
      <c r="C2586" s="21" t="s">
        <v>1013</v>
      </c>
      <c r="D2586" s="21" t="s">
        <v>1007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1014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1243</v>
      </c>
      <c r="B2588" s="21" t="s">
        <v>1035</v>
      </c>
      <c r="C2588" s="21" t="s">
        <v>1013</v>
      </c>
      <c r="D2588" s="21" t="s">
        <v>1007</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1014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102</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1823</v>
      </c>
      <c r="B2591" s="21" t="s">
        <v>1130</v>
      </c>
      <c r="C2591" s="21" t="s">
        <v>1017</v>
      </c>
      <c r="D2591" s="21" t="s">
        <v>1007</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1018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1824</v>
      </c>
      <c r="B2593" s="21" t="s">
        <v>1035</v>
      </c>
      <c r="C2593" s="21" t="s">
        <v>1006</v>
      </c>
      <c r="D2593" s="21" t="s">
        <v>1007</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1825</v>
      </c>
      <c r="B2594" s="21" t="s">
        <v>1130</v>
      </c>
      <c r="C2594" s="21" t="s">
        <v>1006</v>
      </c>
      <c r="D2594" s="21" t="s">
        <v>1007</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1018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1142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1222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1179</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1435</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1817</v>
      </c>
      <c r="B2600" s="21" t="s">
        <v>1029</v>
      </c>
      <c r="C2600" s="21" t="s">
        <v>1041</v>
      </c>
      <c r="D2600" s="21" t="s">
        <v>1007</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1694</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102</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1593</v>
      </c>
      <c r="B2603" s="21" t="s">
        <v>1022</v>
      </c>
      <c r="C2603" s="21" t="s">
        <v>1006</v>
      </c>
      <c r="D2603" s="21" t="s">
        <v>1007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1594</v>
      </c>
      <c r="B2604" s="21" t="s">
        <v>1033</v>
      </c>
      <c r="C2604" s="21" t="s">
        <v>1006</v>
      </c>
      <c r="D2604" s="21" t="s">
        <v>1007</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1020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98</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1826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1018</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1827</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1100</v>
      </c>
      <c r="B2610" s="21" t="s">
        <v>1134</v>
      </c>
      <c r="C2610" s="21" t="s">
        <v>1082</v>
      </c>
      <c r="D2610" s="21" t="s">
        <v>1007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1056</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1828</v>
      </c>
      <c r="B2612" s="21" t="s">
        <v>1134</v>
      </c>
      <c r="C2612" s="21" t="s">
        <v>1013</v>
      </c>
      <c r="D2612" s="21" t="s">
        <v>1007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1127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102</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1817</v>
      </c>
      <c r="B2615" s="21" t="s">
        <v>1040</v>
      </c>
      <c r="C2615" s="21" t="s">
        <v>1017</v>
      </c>
      <c r="D2615" s="21" t="s">
        <v>1007</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1023</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1829</v>
      </c>
    </row>
    <row r="2619" spans="1:12">
      <c r="A2619" s="20" t="s">
        <v>1175</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1199</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1830</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1075</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1065</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1604</v>
      </c>
      <c r="B2624" s="21" t="s">
        <v>1050</v>
      </c>
      <c r="C2624" s="21" t="s">
        <v>1082</v>
      </c>
      <c r="D2624" s="21" t="s">
        <v>1007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1831</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1324</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1651</v>
      </c>
      <c r="B2627" s="21" t="s">
        <v>1085</v>
      </c>
      <c r="C2627" s="21" t="s">
        <v>1111</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1020</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1020</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1211</v>
      </c>
      <c r="B2630" s="21" t="s">
        <v>1085</v>
      </c>
      <c r="C2630" s="21" t="s">
        <v>1006</v>
      </c>
      <c r="D2630" s="21" t="s">
        <v>1007</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56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1832</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1020</v>
      </c>
      <c r="B2633" s="21" t="s">
        <v>1029</v>
      </c>
      <c r="C2633" s="21" t="s">
        <v>1082</v>
      </c>
      <c r="D2633" s="21" t="s">
        <v>1007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1018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1330</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1312</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1020</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1222</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1179</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1833</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1014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1140</v>
      </c>
      <c r="B2642" s="21" t="s">
        <v>1022</v>
      </c>
      <c r="C2642" s="21" t="s">
        <v>1073</v>
      </c>
      <c r="D2642" s="21" t="s">
        <v>1007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1023</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row>
    <row r="2645" spans="1:12">
      <c r="A2645" s="20" t="s">
        <v>1834</v>
      </c>
    </row>
    <row r="2646" spans="1:12">
      <c r="A2646" s="20" t="s">
        <v>11</v>
      </c>
      <c r="B2646" s="21" t="s">
        <v>1005</v>
      </c>
      <c r="C2646" s="21" t="s">
        <v>1073</v>
      </c>
      <c r="D2646" s="21" t="s">
        <v>1007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1065</v>
      </c>
      <c r="B2647" s="21" t="s">
        <v>1005</v>
      </c>
      <c r="C2647" s="21" t="s">
        <v>1074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1075</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1065</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1284</v>
      </c>
      <c r="B2650" s="21" t="s">
        <v>1050</v>
      </c>
      <c r="C2650" s="21" t="s">
        <v>1073</v>
      </c>
      <c r="D2650" s="21" t="s">
        <v>1007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1030</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1015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1835</v>
      </c>
      <c r="B2653" s="21" t="s">
        <v>1022</v>
      </c>
      <c r="C2653" s="21" t="s">
        <v>1013</v>
      </c>
      <c r="D2653" s="21" t="s">
        <v>1007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1127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1836</v>
      </c>
      <c r="B2656" s="21" t="s">
        <v>1033</v>
      </c>
      <c r="C2656" s="21" t="s">
        <v>1013</v>
      </c>
      <c r="D2656" s="21" t="s">
        <v>1007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1014</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1837</v>
      </c>
      <c r="B2658" s="21" t="s">
        <v>1035</v>
      </c>
      <c r="C2658" s="21" t="s">
        <v>1013</v>
      </c>
      <c r="D2658" s="21" t="s">
        <v>1007</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1014</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1027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1243</v>
      </c>
      <c r="B2661" s="21" t="s">
        <v>1130</v>
      </c>
      <c r="C2661" s="21" t="s">
        <v>1017</v>
      </c>
      <c r="D2661" s="21" t="s">
        <v>1007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1717</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1018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1137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1020</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1821</v>
      </c>
      <c r="B2666" s="21" t="s">
        <v>1119</v>
      </c>
      <c r="C2666" s="21" t="s">
        <v>1013</v>
      </c>
      <c r="D2666" s="21" t="s">
        <v>1007</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1014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1020</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1822</v>
      </c>
      <c r="B2669" s="21" t="s">
        <v>1033</v>
      </c>
      <c r="C2669" s="21" t="s">
        <v>1006</v>
      </c>
      <c r="D2669" s="21" t="s">
        <v>1007</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1014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1838</v>
      </c>
      <c r="B2671" s="21" t="s">
        <v>1035</v>
      </c>
      <c r="C2671" s="21" t="s">
        <v>1006</v>
      </c>
      <c r="D2671" s="21" t="s">
        <v>1007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1014</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102</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1823</v>
      </c>
      <c r="B2674" s="21" t="s">
        <v>1035</v>
      </c>
      <c r="C2674" s="21" t="s">
        <v>1017</v>
      </c>
      <c r="D2674" s="21" t="s">
        <v>1007</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1142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1839</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1840</v>
      </c>
      <c r="B2677" s="21" t="s">
        <v>1029</v>
      </c>
      <c r="C2677" s="21" t="s">
        <v>1048</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1014</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1065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1027</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1774</v>
      </c>
      <c r="B2681" s="21" t="s">
        <v>1263</v>
      </c>
      <c r="C2681" s="21" t="s">
        <v>1017</v>
      </c>
      <c r="D2681" s="21" t="s">
        <v>1007</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1387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1020</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238</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1841</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1775</v>
      </c>
      <c r="B2686" s="21" t="s">
        <v>1263</v>
      </c>
      <c r="C2686" s="21" t="s">
        <v>1013</v>
      </c>
      <c r="D2686" s="21" t="s">
        <v>1007</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1014</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1776</v>
      </c>
      <c r="B2688" s="21" t="s">
        <v>1040</v>
      </c>
      <c r="C2688" s="21" t="s">
        <v>1013</v>
      </c>
      <c r="D2688" s="21" t="s">
        <v>1007</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1036</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1204</v>
      </c>
      <c r="B2690" s="21" t="s">
        <v>1042</v>
      </c>
      <c r="C2690" s="21" t="s">
        <v>1048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1077</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row>
    <row r="2693" spans="1:12">
      <c r="A2693" s="20" t="s">
        <v>1842</v>
      </c>
    </row>
    <row r="2694" spans="1:12">
      <c r="A2694" s="20" t="s">
        <v>1094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1009</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28</v>
      </c>
      <c r="B2696" s="21" t="s">
        <v>1050</v>
      </c>
      <c r="C2696" s="21" t="s">
        <v>1006</v>
      </c>
      <c r="D2696" s="21" t="s">
        <v>1007</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1018</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1020</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1843</v>
      </c>
      <c r="B2699" s="21" t="s">
        <v>1022</v>
      </c>
      <c r="C2699" s="21" t="s">
        <v>1013</v>
      </c>
      <c r="D2699" s="21" t="s">
        <v>1007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1020</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1433</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1122</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1123</v>
      </c>
      <c r="B2703" s="21" t="s">
        <v>1033</v>
      </c>
      <c r="C2703" s="21" t="s">
        <v>1041</v>
      </c>
      <c r="D2703" s="21" t="s">
        <v>1007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1075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1569</v>
      </c>
      <c r="B2705" s="21" t="s">
        <v>1005</v>
      </c>
      <c r="C2705" s="21" t="s">
        <v>1073</v>
      </c>
      <c r="D2705" s="21" t="s">
        <v>1007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1009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row>
    <row r="2708" spans="1:12">
      <c r="A2708" s="20" t="s">
        <v>1844</v>
      </c>
    </row>
    <row r="2709" spans="1:12">
      <c r="A2709" s="20" t="s">
        <v>1845</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1075</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1065</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1846</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1847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1321</v>
      </c>
      <c r="B2714" s="21" t="s">
        <v>1029</v>
      </c>
      <c r="C2714" s="21" t="s">
        <v>1082</v>
      </c>
      <c r="D2714" s="21" t="s">
        <v>1007</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1182</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1083</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1143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1429</v>
      </c>
      <c r="B2718" s="21" t="s">
        <v>1029</v>
      </c>
      <c r="C2718" s="21" t="s">
        <v>1205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1018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1848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1077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row>
    <row r="2723" spans="1:12">
      <c r="A2723" s="20" t="s">
        <v>1849</v>
      </c>
    </row>
    <row r="2724" spans="1:12">
      <c r="A2724" s="20" t="s">
        <v>1629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93</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1018</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1114</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1142</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1850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1851</v>
      </c>
      <c r="B2730" s="21" t="s">
        <v>1064</v>
      </c>
      <c r="C2730" s="21" t="s">
        <v>1086</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1014</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1852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1018</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1142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1178</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1851</v>
      </c>
      <c r="B2736" s="21" t="s">
        <v>1187</v>
      </c>
      <c r="C2736" s="21" t="s">
        <v>1086</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1182</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1065</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1030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1015</v>
      </c>
      <c r="B2740" s="21" t="s">
        <v>1064</v>
      </c>
      <c r="C2740" s="21" t="s">
        <v>1082</v>
      </c>
      <c r="D2740" s="21" t="s">
        <v>1007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1847</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1023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row>
    <row r="2744" spans="1:12">
      <c r="A2744" s="20" t="s">
        <v>1853</v>
      </c>
    </row>
    <row r="2745" spans="1:12">
      <c r="A2745" s="20" t="s">
        <v>1294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1122</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1478</v>
      </c>
      <c r="B2747" s="21" t="s">
        <v>1005</v>
      </c>
      <c r="C2747" s="21" t="s">
        <v>1041</v>
      </c>
      <c r="D2747" s="21" t="s">
        <v>1007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1014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1854</v>
      </c>
      <c r="B2749" s="21" t="s">
        <v>1022</v>
      </c>
      <c r="C2749" s="21" t="s">
        <v>1048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1018</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1451</v>
      </c>
      <c r="B2751" s="21" t="s">
        <v>1050</v>
      </c>
      <c r="C2751" s="21" t="s">
        <v>1074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1075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102</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1855</v>
      </c>
      <c r="B2754" s="21" t="s">
        <v>1005</v>
      </c>
      <c r="C2754" s="21" t="s">
        <v>1013</v>
      </c>
      <c r="D2754" s="21" t="s">
        <v>1007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1077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row>
    <row r="2757" spans="1:12">
      <c r="A2757" s="20" t="s">
        <v>1856</v>
      </c>
    </row>
    <row r="2758" spans="1:12">
      <c r="A2758" s="20" t="s">
        <v>1118</v>
      </c>
      <c r="B2758" s="21" t="s">
        <v>1005</v>
      </c>
      <c r="C2758" s="21" t="s">
        <v>1048</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1009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1857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1018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1020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1315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193</v>
      </c>
      <c r="B2764" s="21" t="s">
        <v>1119</v>
      </c>
      <c r="C2764" s="21" t="s">
        <v>1017</v>
      </c>
      <c r="D2764" s="21" t="s">
        <v>1007</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1075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1065</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1438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1020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1858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1014</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1015</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1269</v>
      </c>
      <c r="B2772" s="21" t="s">
        <v>1130</v>
      </c>
      <c r="C2772" s="21" t="s">
        <v>1059</v>
      </c>
      <c r="D2772" s="21" t="s">
        <v>1007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1012</v>
      </c>
      <c r="B2773" s="21" t="s">
        <v>1064</v>
      </c>
      <c r="C2773" s="21" t="s">
        <v>1017</v>
      </c>
      <c r="D2773" s="21" t="s">
        <v>1007</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1023</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1184</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1859</v>
      </c>
    </row>
    <row r="2778" spans="1:12">
      <c r="A2778" s="20" t="s">
        <v>1860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1009</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1189</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1861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1065</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1142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1862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256</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1014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1140</v>
      </c>
      <c r="B2787" s="21" t="s">
        <v>1134</v>
      </c>
      <c r="C2787" s="21" t="s">
        <v>1073</v>
      </c>
      <c r="D2787" s="21" t="s">
        <v>1007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1018</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1863</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1862</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1347</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1030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1140</v>
      </c>
      <c r="B2793" s="21" t="s">
        <v>1064</v>
      </c>
      <c r="C2793" s="21" t="s">
        <v>1073</v>
      </c>
      <c r="D2793" s="21" t="s">
        <v>1007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1018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1583</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1864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1321</v>
      </c>
      <c r="B2797" s="21" t="s">
        <v>1134</v>
      </c>
      <c r="C2797" s="21" t="s">
        <v>1082</v>
      </c>
      <c r="D2797" s="21" t="s">
        <v>1007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1014</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1224</v>
      </c>
      <c r="B2799" s="21" t="s">
        <v>1040</v>
      </c>
      <c r="C2799" s="21" t="s">
        <v>1082</v>
      </c>
      <c r="D2799" s="21" t="s">
        <v>1007</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1018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102</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1865</v>
      </c>
      <c r="B2802" s="21" t="s">
        <v>1120</v>
      </c>
      <c r="C2802" s="21" t="s">
        <v>1017</v>
      </c>
      <c r="D2802" s="21" t="s">
        <v>1007</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1142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1162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1018</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1485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1866</v>
      </c>
      <c r="B2807" s="21" t="s">
        <v>1119</v>
      </c>
      <c r="C2807" s="21" t="s">
        <v>1041</v>
      </c>
      <c r="D2807" s="21" t="s">
        <v>1007</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1387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1020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110</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102</v>
      </c>
      <c r="B2811" s="21" t="s">
        <v>1029</v>
      </c>
      <c r="C2811" s="21" t="s">
        <v>1073</v>
      </c>
      <c r="D2811" s="21" t="s">
        <v>1007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1065</v>
      </c>
      <c r="B2812" s="21" t="s">
        <v>1120</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1075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1250</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1867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1023</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row>
    <row r="2818" spans="1:12">
      <c r="A2818" s="20" t="s">
        <v>1868</v>
      </c>
    </row>
    <row r="2819" spans="1:12">
      <c r="A2819" s="20" t="s">
        <v>1011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1269</v>
      </c>
      <c r="B2820" s="21" t="s">
        <v>1022</v>
      </c>
      <c r="C2820" s="21" t="s">
        <v>1059</v>
      </c>
      <c r="D2820" s="21" t="s">
        <v>1007</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1012</v>
      </c>
      <c r="B2821" s="21" t="s">
        <v>1050</v>
      </c>
      <c r="C2821" s="21" t="s">
        <v>1017</v>
      </c>
      <c r="D2821" s="21" t="s">
        <v>1007</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1164</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1869</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1299</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1312</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1870</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1137</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1583</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256</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1014</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1224</v>
      </c>
      <c r="B2831" s="21" t="s">
        <v>1187</v>
      </c>
      <c r="C2831" s="21" t="s">
        <v>1082</v>
      </c>
      <c r="D2831" s="21" t="s">
        <v>1007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1023</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row>
    <row r="2834" spans="1:12">
      <c r="A2834" s="20" t="s">
        <v>1871</v>
      </c>
    </row>
    <row r="2835" spans="1:12">
      <c r="A2835" s="20" t="s">
        <v>1872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1014</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1140</v>
      </c>
      <c r="B2837" s="21" t="s">
        <v>1050</v>
      </c>
      <c r="C2837" s="21" t="s">
        <v>1073</v>
      </c>
      <c r="D2837" s="21" t="s">
        <v>1007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1018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1075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1324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1410</v>
      </c>
      <c r="B2841" s="21" t="s">
        <v>1005</v>
      </c>
      <c r="C2841" s="21" t="s">
        <v>1013</v>
      </c>
      <c r="D2841" s="21" t="s">
        <v>1007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1014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1020</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1873</v>
      </c>
      <c r="B2844" s="21" t="s">
        <v>1022</v>
      </c>
      <c r="C2844" s="21" t="s">
        <v>1059</v>
      </c>
      <c r="D2844" s="21" t="s">
        <v>1007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1874</v>
      </c>
      <c r="B2845" s="21" t="s">
        <v>1005</v>
      </c>
      <c r="C2845" s="21" t="s">
        <v>1017</v>
      </c>
      <c r="D2845" s="21" t="s">
        <v>1007</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1875</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1018</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1142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1199</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1030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1020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1638</v>
      </c>
      <c r="B2852" s="21" t="s">
        <v>1005</v>
      </c>
      <c r="C2852" s="21" t="s">
        <v>1006</v>
      </c>
      <c r="D2852" s="21" t="s">
        <v>1007</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1018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1330</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1030</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1027</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1173</v>
      </c>
      <c r="B2857" s="21" t="s">
        <v>1005</v>
      </c>
      <c r="C2857" s="21" t="s">
        <v>1017</v>
      </c>
      <c r="D2857" s="21" t="s">
        <v>1007</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1876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56</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1030</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1027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1173</v>
      </c>
      <c r="B2862" s="21" t="s">
        <v>1022</v>
      </c>
      <c r="C2862" s="21" t="s">
        <v>1013</v>
      </c>
      <c r="D2862" s="21" t="s">
        <v>1007</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1877</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1030</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1433</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102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1156</v>
      </c>
      <c r="B2867" s="21" t="s">
        <v>1033</v>
      </c>
      <c r="C2867" s="21" t="s">
        <v>1017</v>
      </c>
      <c r="D2867" s="21" t="s">
        <v>1007</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1023</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row>
    <row r="2870" spans="1:12">
      <c r="A2870" s="20" t="s">
        <v>1878</v>
      </c>
    </row>
    <row r="2871" spans="1:12">
      <c r="A2871" s="20" t="s">
        <v>1879</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1172</v>
      </c>
      <c r="B2872" s="21" t="s">
        <v>1050</v>
      </c>
      <c r="C2872" s="21" t="s">
        <v>1017</v>
      </c>
      <c r="D2872" s="21" t="s">
        <v>1007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1260</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98</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1020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1322</v>
      </c>
      <c r="B2876" s="21" t="s">
        <v>1029</v>
      </c>
      <c r="C2876" s="21" t="s">
        <v>1017</v>
      </c>
      <c r="D2876" s="21" t="s">
        <v>1007</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1014</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1880</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1030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102</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1881</v>
      </c>
      <c r="B2881" s="21" t="s">
        <v>1035</v>
      </c>
      <c r="C2881" s="21" t="s">
        <v>1017</v>
      </c>
      <c r="D2881" s="21" t="s">
        <v>1007</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56</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1882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1097</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1020</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1883</v>
      </c>
      <c r="B2886" s="21" t="s">
        <v>1130</v>
      </c>
      <c r="C2886" s="21" t="s">
        <v>1017</v>
      </c>
      <c r="D2886" s="21" t="s">
        <v>1007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1018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1014</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1884</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1324</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1885</v>
      </c>
      <c r="B2891" s="21" t="s">
        <v>1134</v>
      </c>
      <c r="C2891" s="21" t="s">
        <v>1111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1886</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1097</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1015</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1544</v>
      </c>
      <c r="B2895" s="21" t="s">
        <v>1042</v>
      </c>
      <c r="C2895" s="21" t="s">
        <v>1059</v>
      </c>
      <c r="D2895" s="21" t="s">
        <v>1007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1887</v>
      </c>
      <c r="B2896" s="21" t="s">
        <v>1040</v>
      </c>
      <c r="C2896" s="21" t="s">
        <v>1017</v>
      </c>
      <c r="D2896" s="21" t="s">
        <v>1007</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1888</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1018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1879</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1172</v>
      </c>
      <c r="B2900" s="21" t="s">
        <v>1154</v>
      </c>
      <c r="C2900" s="21" t="s">
        <v>1017</v>
      </c>
      <c r="D2900" s="21" t="s">
        <v>1007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1260</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70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1889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1056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1890</v>
      </c>
      <c r="B2905" s="21" t="s">
        <v>1253</v>
      </c>
      <c r="C2905" s="21" t="s">
        <v>1013</v>
      </c>
      <c r="D2905" s="21" t="s">
        <v>1007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1891</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1018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1260</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70</v>
      </c>
      <c r="B2909" s="21" t="s">
        <v>1035</v>
      </c>
      <c r="C2909" s="21" t="s">
        <v>1048</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172</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1014</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1892</v>
      </c>
      <c r="B2912" s="21" t="s">
        <v>1040</v>
      </c>
      <c r="C2912" s="21" t="s">
        <v>1048</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1018</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1260</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70</v>
      </c>
      <c r="B2915" s="21" t="s">
        <v>1120</v>
      </c>
      <c r="C2915" s="21" t="s">
        <v>1048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1889</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1324</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1893</v>
      </c>
      <c r="B2918" s="21" t="s">
        <v>1064</v>
      </c>
      <c r="C2918" s="21" t="s">
        <v>1013</v>
      </c>
      <c r="D2918" s="21" t="s">
        <v>1007</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1014</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1894</v>
      </c>
      <c r="B2920" s="21" t="s">
        <v>1130</v>
      </c>
      <c r="C2920" s="21" t="s">
        <v>1048</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1266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1114</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1895</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1114</v>
      </c>
      <c r="B2924" s="21" t="s">
        <v>1042</v>
      </c>
      <c r="C2924" s="21" t="s">
        <v>1082</v>
      </c>
      <c r="D2924" s="21" t="s">
        <v>1007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1279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1896</v>
      </c>
      <c r="B2926" s="21" t="s">
        <v>1066</v>
      </c>
      <c r="C2926" s="21" t="s">
        <v>1041</v>
      </c>
      <c r="D2926" s="21" t="s">
        <v>1007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1256</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238</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1897</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1036</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1056</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1898</v>
      </c>
      <c r="B2932" s="21" t="s">
        <v>1130</v>
      </c>
      <c r="C2932" s="21" t="s">
        <v>1013</v>
      </c>
      <c r="D2932" s="21" t="s">
        <v>1007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1014</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1168</v>
      </c>
      <c r="B2935" s="21" t="s">
        <v>1040</v>
      </c>
      <c r="C2935" s="21" t="s">
        <v>1017</v>
      </c>
      <c r="D2935" s="21" t="s">
        <v>1007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1018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1899</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1018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1900</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1901</v>
      </c>
      <c r="B2940" s="21" t="s">
        <v>1042</v>
      </c>
      <c r="C2940" s="21" t="s">
        <v>1013</v>
      </c>
      <c r="D2940" s="21" t="s">
        <v>1007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1014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102</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1902</v>
      </c>
      <c r="B2943" s="21" t="s">
        <v>1215</v>
      </c>
      <c r="C2943" s="21" t="s">
        <v>1059</v>
      </c>
      <c r="D2943" s="21" t="s">
        <v>1007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1168</v>
      </c>
      <c r="B2944" s="21" t="s">
        <v>1044</v>
      </c>
      <c r="C2944" s="21" t="s">
        <v>1017</v>
      </c>
      <c r="D2944" s="21" t="s">
        <v>1007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1018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1014</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1163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1020</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1903</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1240</v>
      </c>
      <c r="B2950" s="21" t="s">
        <v>1040</v>
      </c>
      <c r="C2950" s="21" t="s">
        <v>1103</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1018</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1114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1463</v>
      </c>
      <c r="B2953" s="21" t="s">
        <v>1067</v>
      </c>
      <c r="C2953" s="21" t="s">
        <v>1082</v>
      </c>
      <c r="D2953" s="21" t="s">
        <v>1007</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1904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1855</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1905</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56</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102</v>
      </c>
      <c r="B2958" s="21" t="s">
        <v>1040</v>
      </c>
      <c r="C2958" s="21" t="s">
        <v>1073</v>
      </c>
      <c r="D2958" s="21" t="s">
        <v>1007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1065</v>
      </c>
      <c r="B2959" s="21" t="s">
        <v>1437</v>
      </c>
      <c r="C2959" s="21" t="s">
        <v>1074</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1075</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1065</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1256</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186</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1906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1020</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1027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1617</v>
      </c>
      <c r="B2967" s="21" t="s">
        <v>1215</v>
      </c>
      <c r="C2967" s="21" t="s">
        <v>1059</v>
      </c>
      <c r="D2967" s="21" t="s">
        <v>1007</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1907</v>
      </c>
      <c r="B2968" s="21" t="s">
        <v>1487</v>
      </c>
      <c r="C2968" s="21" t="s">
        <v>1017</v>
      </c>
      <c r="D2968" s="21" t="s">
        <v>1007</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1023</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1908</v>
      </c>
    </row>
    <row r="2972" spans="1:12">
      <c r="A2972" s="20" t="s">
        <v>1909</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102</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16</v>
      </c>
      <c r="B2974" s="21" t="s">
        <v>1085</v>
      </c>
      <c r="C2974" s="21" t="s">
        <v>1017</v>
      </c>
      <c r="D2974" s="21" t="s">
        <v>1007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1020</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1020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1691</v>
      </c>
      <c r="B2977" s="21" t="s">
        <v>1085</v>
      </c>
      <c r="C2977" s="21" t="s">
        <v>1017</v>
      </c>
      <c r="D2977" s="21" t="s">
        <v>1007</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1023</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row>
    <row r="2980" spans="1:12">
      <c r="A2980" s="20" t="s">
        <v>1910</v>
      </c>
    </row>
    <row r="2981" spans="1:12">
      <c r="A2981" s="20" t="s">
        <v>1911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1065</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1015</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1912</v>
      </c>
      <c r="B2984" s="21" t="s">
        <v>1119</v>
      </c>
      <c r="C2984" s="21" t="s">
        <v>1017</v>
      </c>
      <c r="D2984" s="21" t="s">
        <v>1007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1913</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1914</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1030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1915</v>
      </c>
      <c r="B2988" s="21" t="s">
        <v>1029</v>
      </c>
      <c r="C2988" s="21" t="s">
        <v>1048</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1916</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1684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1917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1167</v>
      </c>
      <c r="B2992" s="21" t="s">
        <v>1033</v>
      </c>
      <c r="C2992" s="21" t="s">
        <v>1013</v>
      </c>
      <c r="D2992" s="21" t="s">
        <v>1007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1014</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1918</v>
      </c>
      <c r="B2994" s="21" t="s">
        <v>1035</v>
      </c>
      <c r="C2994" s="21" t="s">
        <v>1048</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1919</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1299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1920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1065</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1347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1020</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1535</v>
      </c>
      <c r="B3001" s="21" t="s">
        <v>1187</v>
      </c>
      <c r="C3001" s="21" t="s">
        <v>1086</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1018</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1020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1921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1419</v>
      </c>
      <c r="B3005" s="21" t="s">
        <v>1033</v>
      </c>
      <c r="C3005" s="21" t="s">
        <v>1013</v>
      </c>
      <c r="D3005" s="21" t="s">
        <v>1007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1014</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102</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1168</v>
      </c>
      <c r="B3008" s="21" t="s">
        <v>1035</v>
      </c>
      <c r="C3008" s="21" t="s">
        <v>1017</v>
      </c>
      <c r="D3008" s="21" t="s">
        <v>1007</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1018</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1295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1027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1602</v>
      </c>
      <c r="B3012" s="21" t="s">
        <v>1187</v>
      </c>
      <c r="C3012" s="21" t="s">
        <v>1013</v>
      </c>
      <c r="D3012" s="21" t="s">
        <v>1007</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1922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1030</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1923</v>
      </c>
      <c r="B3015" s="21" t="s">
        <v>1035</v>
      </c>
      <c r="C3015" s="21" t="s">
        <v>1048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56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1266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1837</v>
      </c>
      <c r="B3018" s="21" t="s">
        <v>1040</v>
      </c>
      <c r="C3018" s="21" t="s">
        <v>1048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1075</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1324</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1924</v>
      </c>
      <c r="B3021" s="21" t="s">
        <v>1130</v>
      </c>
      <c r="C3021" s="21" t="s">
        <v>1013</v>
      </c>
      <c r="D3021" s="21" t="s">
        <v>1007</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1925</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1926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1097</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238</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1927</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1023</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row>
    <row r="3029" spans="1:12">
      <c r="A3029" s="20" t="s">
        <v>1928</v>
      </c>
    </row>
    <row r="3030" spans="1:12">
      <c r="A3030" s="20" t="s">
        <v>1094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1009</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1259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1172</v>
      </c>
      <c r="B3033" s="21" t="s">
        <v>1085</v>
      </c>
      <c r="C3033" s="21" t="s">
        <v>1013</v>
      </c>
      <c r="D3033" s="21" t="s">
        <v>1007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1929</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1182</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102</v>
      </c>
      <c r="B3036" s="21" t="s">
        <v>1022</v>
      </c>
      <c r="C3036" s="21" t="s">
        <v>1073</v>
      </c>
      <c r="D3036" s="21" t="s">
        <v>1007</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1065</v>
      </c>
      <c r="B3037" s="21" t="s">
        <v>1064</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885</v>
      </c>
      <c r="B3038" s="21" t="s">
        <v>1120</v>
      </c>
      <c r="C3038" s="21" t="s">
        <v>1082</v>
      </c>
      <c r="D3038" s="21" t="s">
        <v>1007</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1930</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1023</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row>
    <row r="3042" spans="1:12">
      <c r="A3042" s="20" t="s">
        <v>1931</v>
      </c>
    </row>
    <row r="3043" spans="1:12">
      <c r="A3043" s="20" t="s">
        <v>1932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1933</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1324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1934</v>
      </c>
      <c r="B3046" s="21" t="s">
        <v>1085</v>
      </c>
      <c r="C3046" s="21" t="s">
        <v>1013</v>
      </c>
      <c r="D3046" s="21" t="s">
        <v>1007</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1014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1935</v>
      </c>
      <c r="B3048" s="21" t="s">
        <v>1022</v>
      </c>
      <c r="C3048" s="21" t="s">
        <v>1006</v>
      </c>
      <c r="D3048" s="21" t="s">
        <v>1007</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1936</v>
      </c>
      <c r="B3049" s="21" t="s">
        <v>1033</v>
      </c>
      <c r="C3049" s="21" t="s">
        <v>1006</v>
      </c>
      <c r="D3049" s="21" t="s">
        <v>1007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1065</v>
      </c>
      <c r="B3050" s="21" t="s">
        <v>1154</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1937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1065</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1938</v>
      </c>
      <c r="B3053" s="21" t="s">
        <v>1120</v>
      </c>
      <c r="C3053" s="21" t="s">
        <v>1006</v>
      </c>
      <c r="D3053" s="21" t="s">
        <v>1007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1939</v>
      </c>
      <c r="B3054" s="21" t="s">
        <v>1130</v>
      </c>
      <c r="C3054" s="21" t="s">
        <v>1006</v>
      </c>
      <c r="D3054" s="21" t="s">
        <v>1007</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1397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1324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1940</v>
      </c>
      <c r="B3057" s="21" t="s">
        <v>1033</v>
      </c>
      <c r="C3057" s="21" t="s">
        <v>1013</v>
      </c>
      <c r="D3057" s="21" t="s">
        <v>1007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1014</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1941</v>
      </c>
      <c r="B3059" s="21" t="s">
        <v>1035</v>
      </c>
      <c r="C3059" s="21" t="s">
        <v>1048</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56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1065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36</v>
      </c>
      <c r="B3062" s="21" t="s">
        <v>1263</v>
      </c>
      <c r="C3062" s="21" t="s">
        <v>1006</v>
      </c>
      <c r="D3062" s="21" t="s">
        <v>1007</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1043</v>
      </c>
      <c r="B3063" s="21" t="s">
        <v>1040</v>
      </c>
      <c r="C3063" s="21" t="s">
        <v>1006</v>
      </c>
      <c r="D3063" s="21" t="s">
        <v>1007</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1075</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102</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1942</v>
      </c>
      <c r="B3066" s="21" t="s">
        <v>1035</v>
      </c>
      <c r="C3066" s="21" t="s">
        <v>1017</v>
      </c>
      <c r="D3066" s="21" t="s">
        <v>1007</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1065</v>
      </c>
      <c r="B3067" s="21" t="s">
        <v>1067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1943</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1020</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1944</v>
      </c>
      <c r="B3070" s="21" t="s">
        <v>1066</v>
      </c>
      <c r="C3070" s="21" t="s">
        <v>1013</v>
      </c>
      <c r="D3070" s="21" t="s">
        <v>1007</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1014</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1945</v>
      </c>
      <c r="B3073" s="21" t="s">
        <v>1042</v>
      </c>
      <c r="C3073" s="21" t="s">
        <v>1017</v>
      </c>
      <c r="D3073" s="21" t="s">
        <v>1007</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1023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1946</v>
      </c>
    </row>
    <row r="3077" spans="1:12">
      <c r="A3077" s="20" t="s">
        <v>1947</v>
      </c>
      <c r="B3077" s="21" t="s">
        <v>1050</v>
      </c>
      <c r="C3077" s="21" t="s">
        <v>1082</v>
      </c>
      <c r="D3077" s="21" t="s">
        <v>1007</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1948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1065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885</v>
      </c>
      <c r="B3080" s="21" t="s">
        <v>1119</v>
      </c>
      <c r="C3080" s="21" t="s">
        <v>1082</v>
      </c>
      <c r="D3080" s="21" t="s">
        <v>1007</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1949</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1056</v>
      </c>
      <c r="B3082" s="21" t="s">
        <v>1029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1014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1015</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1950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1951</v>
      </c>
      <c r="B3086" s="21" t="s">
        <v>1033</v>
      </c>
      <c r="C3086" s="21" t="s">
        <v>1013</v>
      </c>
      <c r="D3086" s="21" t="s">
        <v>1007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1014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1952</v>
      </c>
      <c r="B3088" s="21" t="s">
        <v>1035</v>
      </c>
      <c r="C3088" s="21" t="s">
        <v>1013</v>
      </c>
      <c r="D3088" s="21" t="s">
        <v>1007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1014</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1020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1202</v>
      </c>
      <c r="B3091" s="21" t="s">
        <v>1130</v>
      </c>
      <c r="C3091" s="21" t="s">
        <v>1017</v>
      </c>
      <c r="D3091" s="21" t="s">
        <v>1007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1953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1023</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row>
    <row r="3095" spans="1:12">
      <c r="A3095" s="20" t="s">
        <v>1954</v>
      </c>
    </row>
    <row r="3096" spans="1:12">
      <c r="A3096" s="20" t="s">
        <v>11</v>
      </c>
      <c r="B3096" s="21" t="s">
        <v>1005</v>
      </c>
      <c r="C3096" s="21" t="s">
        <v>1073</v>
      </c>
      <c r="D3096" s="21" t="s">
        <v>1007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1065</v>
      </c>
      <c r="B3097" s="21" t="s">
        <v>1119</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1955</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1020</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1027</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1172</v>
      </c>
      <c r="B3101" s="21" t="s">
        <v>1029</v>
      </c>
      <c r="C3101" s="21" t="s">
        <v>1017</v>
      </c>
      <c r="D3101" s="21" t="s">
        <v>1007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1065</v>
      </c>
      <c r="B3102" s="21" t="s">
        <v>1120</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1772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1956</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1077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row>
    <row r="3107" spans="1:12">
      <c r="A3107" s="20" t="s">
        <v>1957</v>
      </c>
    </row>
    <row r="3108" spans="1:12">
      <c r="A3108" s="20" t="s">
        <v>1118</v>
      </c>
      <c r="B3108" s="21" t="s">
        <v>1005</v>
      </c>
      <c r="C3108" s="21" t="s">
        <v>1048</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1009</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1935</v>
      </c>
      <c r="B3110" s="21" t="s">
        <v>1119</v>
      </c>
      <c r="C3110" s="21" t="s">
        <v>1006</v>
      </c>
      <c r="D3110" s="21" t="s">
        <v>1007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1936</v>
      </c>
      <c r="B3111" s="21" t="s">
        <v>1033</v>
      </c>
      <c r="C3111" s="21" t="s">
        <v>1006</v>
      </c>
      <c r="D3111" s="21" t="s">
        <v>1007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1075</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1151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1056</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1958</v>
      </c>
      <c r="B3115" s="21" t="s">
        <v>1005</v>
      </c>
      <c r="C3115" s="21" t="s">
        <v>1111</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1023</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row>
    <row r="3118" spans="1:12">
      <c r="A3118" s="20" t="s">
        <v>1959</v>
      </c>
    </row>
    <row r="3119" spans="1:12">
      <c r="A3119" s="20" t="s">
        <v>1960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1023</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row>
    <row r="3122" spans="1:12">
      <c r="A3122" s="20" t="s">
        <v>1961</v>
      </c>
    </row>
    <row r="3123" spans="1:12">
      <c r="A3123" s="20" t="s">
        <v>1962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1140</v>
      </c>
      <c r="B3124" s="21" t="s">
        <v>1085</v>
      </c>
      <c r="C3124" s="21" t="s">
        <v>1073</v>
      </c>
      <c r="D3124" s="21" t="s">
        <v>1007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1963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1299</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1018</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1030</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1020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1964</v>
      </c>
      <c r="B3130" s="21" t="s">
        <v>1154</v>
      </c>
      <c r="C3130" s="21" t="s">
        <v>1017</v>
      </c>
      <c r="D3130" s="21" t="s">
        <v>1007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1030</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1065</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1938</v>
      </c>
      <c r="B3133" s="21" t="s">
        <v>1067</v>
      </c>
      <c r="C3133" s="21" t="s">
        <v>1006</v>
      </c>
      <c r="D3133" s="21" t="s">
        <v>1007</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1939</v>
      </c>
      <c r="B3134" s="21" t="s">
        <v>1042</v>
      </c>
      <c r="C3134" s="21" t="s">
        <v>1006</v>
      </c>
      <c r="D3134" s="21" t="s">
        <v>1007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1206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1020</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1056</v>
      </c>
      <c r="B3138" s="21" t="s">
        <v>1066</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1014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1015</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1544</v>
      </c>
      <c r="B3141" s="21" t="s">
        <v>1044</v>
      </c>
      <c r="C3141" s="21" t="s">
        <v>1059</v>
      </c>
      <c r="D3141" s="21" t="s">
        <v>1007</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1965</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1966</v>
      </c>
      <c r="B3143" s="21" t="s">
        <v>1042</v>
      </c>
      <c r="C3143" s="21" t="s">
        <v>1017</v>
      </c>
      <c r="D3143" s="21" t="s">
        <v>1007</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1018</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1935</v>
      </c>
      <c r="B3145" s="21" t="s">
        <v>1044</v>
      </c>
      <c r="C3145" s="21" t="s">
        <v>1006</v>
      </c>
      <c r="D3145" s="21" t="s">
        <v>1007</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1936</v>
      </c>
      <c r="B3146" s="21" t="s">
        <v>1215</v>
      </c>
      <c r="C3146" s="21" t="s">
        <v>1006</v>
      </c>
      <c r="D3146" s="21" t="s">
        <v>1007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1967</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1065</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1180</v>
      </c>
      <c r="B3149" s="21" t="s">
        <v>1968</v>
      </c>
      <c r="C3149" s="21" t="s">
        <v>1082</v>
      </c>
      <c r="D3149" s="21" t="s">
        <v>1007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1796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1969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1182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1015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1970</v>
      </c>
      <c r="B3154" s="21" t="s">
        <v>1789</v>
      </c>
      <c r="C3154" s="21" t="s">
        <v>1017</v>
      </c>
      <c r="D3154" s="21" t="s">
        <v>1007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1030</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1433</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1156</v>
      </c>
      <c r="B3158" s="21" t="s">
        <v>1540</v>
      </c>
      <c r="C3158" s="21" t="s">
        <v>1017</v>
      </c>
      <c r="D3158" s="21" t="s">
        <v>1007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1018</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1065</v>
      </c>
      <c r="B3160" s="21" t="s">
        <v>1971</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1015</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1972</v>
      </c>
      <c r="B3162" s="21" t="s">
        <v>1973</v>
      </c>
      <c r="C3162" s="21" t="s">
        <v>1017</v>
      </c>
      <c r="D3162" s="21" t="s">
        <v>1007</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1974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1880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1975</v>
      </c>
      <c r="B3165" s="21" t="s">
        <v>1971</v>
      </c>
      <c r="C3165" s="21" t="s">
        <v>1048</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56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1015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1976</v>
      </c>
      <c r="B3168" s="21" t="s">
        <v>1793</v>
      </c>
      <c r="C3168" s="21" t="s">
        <v>1017</v>
      </c>
      <c r="D3168" s="21" t="s">
        <v>1007</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1974</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1020</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1977</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1018</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56</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1978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1979</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1020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93</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1065</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1075</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1199</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1324</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1940</v>
      </c>
      <c r="B3183" s="21" t="s">
        <v>1130</v>
      </c>
      <c r="C3183" s="21" t="s">
        <v>1013</v>
      </c>
      <c r="D3183" s="21" t="s">
        <v>1007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1014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1941</v>
      </c>
      <c r="B3185" s="21" t="s">
        <v>1040</v>
      </c>
      <c r="C3185" s="21" t="s">
        <v>1048</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1090</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row>
    <row r="3188" spans="1:12">
      <c r="A3188" s="20" t="s">
        <v>1980</v>
      </c>
    </row>
    <row r="3189" spans="1:12">
      <c r="A3189" s="20" t="s">
        <v>1981</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1982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1255</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1014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102</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1116</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1167</v>
      </c>
      <c r="B3195" s="21" t="s">
        <v>1029</v>
      </c>
      <c r="C3195" s="21" t="s">
        <v>1013</v>
      </c>
      <c r="D3195" s="21" t="s">
        <v>1007</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1014</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1983</v>
      </c>
      <c r="B3197" s="21" t="s">
        <v>1033</v>
      </c>
      <c r="C3197" s="21" t="s">
        <v>1013</v>
      </c>
      <c r="D3197" s="21" t="s">
        <v>1007</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1984</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1127</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1015</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1985</v>
      </c>
      <c r="B3201" s="21" t="s">
        <v>1035</v>
      </c>
      <c r="C3201" s="21" t="s">
        <v>1013</v>
      </c>
      <c r="D3201" s="21" t="s">
        <v>1007</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1020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1020</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1339</v>
      </c>
      <c r="B3204" s="21" t="s">
        <v>1130</v>
      </c>
      <c r="C3204" s="21" t="s">
        <v>1017</v>
      </c>
      <c r="D3204" s="21" t="s">
        <v>1007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1340</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1986</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1014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1435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1167</v>
      </c>
      <c r="B3209" s="21" t="s">
        <v>1066</v>
      </c>
      <c r="C3209" s="21" t="s">
        <v>1041</v>
      </c>
      <c r="D3209" s="21" t="s">
        <v>1007</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1014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1784</v>
      </c>
      <c r="B3211" s="21" t="s">
        <v>1042</v>
      </c>
      <c r="C3211" s="21" t="s">
        <v>1048</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1023</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row>
    <row r="3214" spans="1:12">
      <c r="A3214" s="20" t="s">
        <v>1987</v>
      </c>
    </row>
    <row r="3215" spans="1:12">
      <c r="A3215" s="20" t="s">
        <v>1136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1583</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440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1014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102</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1988</v>
      </c>
      <c r="B3220" s="21" t="s">
        <v>1085</v>
      </c>
      <c r="C3220" s="21" t="s">
        <v>1017</v>
      </c>
      <c r="D3220" s="21" t="s">
        <v>1007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1065</v>
      </c>
      <c r="B3221" s="21" t="s">
        <v>1187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1279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1172</v>
      </c>
      <c r="B3223" s="21" t="s">
        <v>1154</v>
      </c>
      <c r="C3223" s="21" t="s">
        <v>1041</v>
      </c>
      <c r="D3223" s="21" t="s">
        <v>1007</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1989</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1116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1030</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1140</v>
      </c>
      <c r="B3227" s="21" t="s">
        <v>1033</v>
      </c>
      <c r="C3227" s="21" t="s">
        <v>1073</v>
      </c>
      <c r="D3227" s="21" t="s">
        <v>1007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1023</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row>
    <row r="3230" spans="1:12">
      <c r="A3230" s="20" t="s">
        <v>1990</v>
      </c>
    </row>
    <row r="3231" spans="1:12">
      <c r="A3231" s="20" t="s">
        <v>1991</v>
      </c>
      <c r="B3231" s="21" t="s">
        <v>1050</v>
      </c>
      <c r="C3231" s="21" t="s">
        <v>1082</v>
      </c>
      <c r="D3231" s="21" t="s">
        <v>1007</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1992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1065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1463</v>
      </c>
      <c r="B3234" s="21" t="s">
        <v>1119</v>
      </c>
      <c r="C3234" s="21" t="s">
        <v>1082</v>
      </c>
      <c r="D3234" s="21" t="s">
        <v>1007</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1520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1056</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1426</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1993</v>
      </c>
      <c r="B3238" s="21" t="s">
        <v>1029</v>
      </c>
      <c r="C3238" s="21" t="s">
        <v>1111</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1994</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1906</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1020</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1339</v>
      </c>
      <c r="B3242" s="21" t="s">
        <v>1035</v>
      </c>
      <c r="C3242" s="21" t="s">
        <v>1017</v>
      </c>
      <c r="D3242" s="21" t="s">
        <v>1007</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1340</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1023</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1995</v>
      </c>
    </row>
    <row r="3247" spans="1:12">
      <c r="A3247" s="20" t="s">
        <v>1879</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1996</v>
      </c>
      <c r="B3248" s="21" t="s">
        <v>1050</v>
      </c>
      <c r="C3248" s="21" t="s">
        <v>1013</v>
      </c>
      <c r="D3248" s="21" t="s">
        <v>1007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1014</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1172</v>
      </c>
      <c r="B3250" s="21" t="s">
        <v>1022</v>
      </c>
      <c r="C3250" s="21" t="s">
        <v>1013</v>
      </c>
      <c r="D3250" s="21" t="s">
        <v>1007</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1132</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1935</v>
      </c>
      <c r="B3252" s="21" t="s">
        <v>1033</v>
      </c>
      <c r="C3252" s="21" t="s">
        <v>1006</v>
      </c>
      <c r="D3252" s="21" t="s">
        <v>1007</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1936</v>
      </c>
      <c r="B3253" s="21" t="s">
        <v>1035</v>
      </c>
      <c r="C3253" s="21" t="s">
        <v>1006</v>
      </c>
      <c r="D3253" s="21" t="s">
        <v>1007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1142</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1997</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1020</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1998</v>
      </c>
      <c r="B3257" s="21" t="s">
        <v>1085</v>
      </c>
      <c r="C3257" s="21" t="s">
        <v>1017</v>
      </c>
      <c r="D3257" s="21" t="s">
        <v>1007</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1286</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1999</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1023</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row>
    <row r="3262" spans="1:12">
      <c r="A3262" s="20" t="s">
        <v>2000</v>
      </c>
    </row>
    <row r="3263" spans="1:12">
      <c r="A3263" s="20" t="s">
        <v>11</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2001</v>
      </c>
      <c r="B3264" s="21" t="s">
        <v>1050</v>
      </c>
      <c r="C3264" s="21" t="s">
        <v>1017</v>
      </c>
      <c r="D3264" s="21" t="s">
        <v>1007</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1267</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1142</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1075</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2002</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1116</v>
      </c>
      <c r="B3270" s="21" t="s">
        <v>1005</v>
      </c>
      <c r="C3270" s="21" t="s">
        <v>1073</v>
      </c>
      <c r="D3270" s="21" t="s">
        <v>1007</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1065</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2001</v>
      </c>
      <c r="B3273" s="21" t="s">
        <v>1005</v>
      </c>
      <c r="C3273" s="21" t="s">
        <v>1017</v>
      </c>
      <c r="D3273" s="21" t="s">
        <v>1007</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1340</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1023</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row>
    <row r="3277" spans="1:12">
      <c r="A3277" s="20" t="s">
        <v>2003</v>
      </c>
    </row>
    <row r="3278" spans="1:12">
      <c r="A3278" s="20" t="s">
        <v>2004</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1030</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2005</v>
      </c>
      <c r="B3280" s="21" t="s">
        <v>1005</v>
      </c>
      <c r="C3280" s="21" t="s">
        <v>1048</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1182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1172</v>
      </c>
      <c r="B3282" s="21" t="s">
        <v>1005</v>
      </c>
      <c r="C3282" s="21" t="s">
        <v>1013</v>
      </c>
      <c r="D3282" s="21" t="s">
        <v>1007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1065</v>
      </c>
      <c r="B3283" s="21" t="s">
        <v>1154</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1142</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1164</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1269</v>
      </c>
      <c r="B3286" s="21" t="s">
        <v>1033</v>
      </c>
      <c r="C3286" s="21" t="s">
        <v>1059</v>
      </c>
      <c r="D3286" s="21" t="s">
        <v>1007</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2006</v>
      </c>
      <c r="B3287" s="21" t="s">
        <v>1022</v>
      </c>
      <c r="C3287" s="21" t="s">
        <v>1013</v>
      </c>
      <c r="D3287" s="21" t="s">
        <v>1007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1030</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2007</v>
      </c>
      <c r="B3289" s="21" t="s">
        <v>1033</v>
      </c>
      <c r="C3289" s="21" t="s">
        <v>1048</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1065</v>
      </c>
      <c r="B3290" s="21" t="s">
        <v>1154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1142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1164</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1324</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2008</v>
      </c>
      <c r="B3294" s="21" t="s">
        <v>1022</v>
      </c>
      <c r="C3294" s="21" t="s">
        <v>1013</v>
      </c>
      <c r="D3294" s="21" t="s">
        <v>1007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1142</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1030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1015</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2009</v>
      </c>
      <c r="B3298" s="21" t="s">
        <v>1033</v>
      </c>
      <c r="C3298" s="21" t="s">
        <v>1017</v>
      </c>
      <c r="D3298" s="21" t="s">
        <v>1007</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1286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2010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1018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56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1140</v>
      </c>
      <c r="B3303" s="21" t="s">
        <v>1005</v>
      </c>
      <c r="C3303" s="21" t="s">
        <v>1073</v>
      </c>
      <c r="D3303" s="21" t="s">
        <v>1007</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2011</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1114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2012</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1020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102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2013</v>
      </c>
      <c r="B3309" s="21" t="s">
        <v>1029</v>
      </c>
      <c r="C3309" s="21" t="s">
        <v>1006</v>
      </c>
      <c r="D3309" s="21" t="s">
        <v>1007</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1132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1020</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1020</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1021</v>
      </c>
      <c r="B3313" s="21" t="s">
        <v>1022</v>
      </c>
      <c r="C3313" s="21" t="s">
        <v>1006</v>
      </c>
      <c r="D3313" s="21" t="s">
        <v>1007</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1023</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row>
    <row r="3316" spans="1:12">
      <c r="A3316" s="20" t="s">
        <v>2014</v>
      </c>
    </row>
    <row r="3317" spans="1:12">
      <c r="A3317" s="20" t="s">
        <v>1400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1021</v>
      </c>
      <c r="B3318" s="21" t="s">
        <v>1050</v>
      </c>
      <c r="C3318" s="21" t="s">
        <v>1006</v>
      </c>
      <c r="D3318" s="21" t="s">
        <v>1007</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1142</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1075</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102</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2015</v>
      </c>
      <c r="B3322" s="21" t="s">
        <v>1005</v>
      </c>
      <c r="C3322" s="21" t="s">
        <v>1017</v>
      </c>
      <c r="D3322" s="21" t="s">
        <v>1007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1023</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row>
    <row r="3325" spans="1:12">
      <c r="A3325" s="20" t="s">
        <v>2016</v>
      </c>
    </row>
    <row r="3326" spans="1:12">
      <c r="A3326" s="20" t="s">
        <v>1400</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1873</v>
      </c>
      <c r="B3327" s="21" t="s">
        <v>1022</v>
      </c>
      <c r="C3327" s="21" t="s">
        <v>1059</v>
      </c>
      <c r="D3327" s="21" t="s">
        <v>1007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2017</v>
      </c>
      <c r="B3328" s="21" t="s">
        <v>1050</v>
      </c>
      <c r="C3328" s="21" t="s">
        <v>1017</v>
      </c>
      <c r="D3328" s="21" t="s">
        <v>1007</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1142</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1075</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102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2015</v>
      </c>
      <c r="B3332" s="21" t="s">
        <v>1005</v>
      </c>
      <c r="C3332" s="21" t="s">
        <v>1017</v>
      </c>
      <c r="D3332" s="21" t="s">
        <v>1007</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1023</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row>
    <row r="3335" spans="1:12">
      <c r="A3335" s="20" t="s">
        <v>2018</v>
      </c>
    </row>
    <row r="3336" spans="1:12">
      <c r="A3336" s="20" t="s">
        <v>11</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1156</v>
      </c>
      <c r="B3337" s="21" t="s">
        <v>1050</v>
      </c>
      <c r="C3337" s="21" t="s">
        <v>1017</v>
      </c>
      <c r="D3337" s="21" t="s">
        <v>1007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1453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1194</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1018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102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1156</v>
      </c>
      <c r="B3342" s="21" t="s">
        <v>1022</v>
      </c>
      <c r="C3342" s="21" t="s">
        <v>1017</v>
      </c>
      <c r="D3342" s="21" t="s">
        <v>1007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1453</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2019</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1018</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56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1921</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1683</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227</v>
      </c>
      <c r="B3349" s="21" t="s">
        <v>1154</v>
      </c>
      <c r="C3349" s="21" t="s">
        <v>1013</v>
      </c>
      <c r="D3349" s="21" t="s">
        <v>1007</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1030</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102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1156</v>
      </c>
      <c r="B3352" s="21" t="s">
        <v>1035</v>
      </c>
      <c r="C3352" s="21" t="s">
        <v>1017</v>
      </c>
      <c r="D3352" s="21" t="s">
        <v>1007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2020</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1410</v>
      </c>
      <c r="B3354" s="21" t="s">
        <v>1187</v>
      </c>
      <c r="C3354" s="21" t="s">
        <v>1013</v>
      </c>
      <c r="D3354" s="21" t="s">
        <v>1007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1014</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1020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1873</v>
      </c>
      <c r="B3357" s="21" t="s">
        <v>1130</v>
      </c>
      <c r="C3357" s="21" t="s">
        <v>1059</v>
      </c>
      <c r="D3357" s="21" t="s">
        <v>1007</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2021</v>
      </c>
      <c r="B3358" s="21" t="s">
        <v>1035</v>
      </c>
      <c r="C3358" s="21" t="s">
        <v>1017</v>
      </c>
      <c r="D3358" s="21" t="s">
        <v>1007</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1018</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2020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1410</v>
      </c>
      <c r="B3361" s="21" t="s">
        <v>1085</v>
      </c>
      <c r="C3361" s="21" t="s">
        <v>1013</v>
      </c>
      <c r="D3361" s="21" t="s">
        <v>1007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1014</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1902</v>
      </c>
      <c r="B3364" s="21" t="s">
        <v>1033</v>
      </c>
      <c r="C3364" s="21" t="s">
        <v>1059</v>
      </c>
      <c r="D3364" s="21" t="s">
        <v>1007</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1156</v>
      </c>
      <c r="B3365" s="21" t="s">
        <v>1022</v>
      </c>
      <c r="C3365" s="21" t="s">
        <v>1017</v>
      </c>
      <c r="D3365" s="21" t="s">
        <v>1007</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2022</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1023</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row>
    <row r="3369" spans="1:12">
      <c r="A3369" s="20" t="s">
        <v>2023</v>
      </c>
    </row>
    <row r="3370" spans="1:12">
      <c r="A3370" s="20" t="s">
        <v>2024</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2025</v>
      </c>
      <c r="B3371" s="21" t="s">
        <v>1085</v>
      </c>
      <c r="C3371" s="21" t="s">
        <v>1013</v>
      </c>
      <c r="D3371" s="21" t="s">
        <v>1007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1014</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2026</v>
      </c>
      <c r="B3373" s="21" t="s">
        <v>1022</v>
      </c>
      <c r="C3373" s="21" t="s">
        <v>1048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1065</v>
      </c>
      <c r="B3374" s="21" t="s">
        <v>1120</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1030</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1015</v>
      </c>
      <c r="B3376" s="21" t="s">
        <v>1035</v>
      </c>
      <c r="C3376" s="21" t="s">
        <v>1082</v>
      </c>
      <c r="D3376" s="21" t="s">
        <v>1007</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2027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1023</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row>
    <row r="3380" spans="1:12">
      <c r="A3380" s="20" t="s">
        <v>2028</v>
      </c>
    </row>
    <row r="3381" spans="1:12">
      <c r="A3381" s="20" t="s">
        <v>1153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1669</v>
      </c>
      <c r="B3382" s="21" t="s">
        <v>1050</v>
      </c>
      <c r="C3382" s="21" t="s">
        <v>1082</v>
      </c>
      <c r="D3382" s="21" t="s">
        <v>1007</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2029</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1273</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2025</v>
      </c>
      <c r="B3385" s="21" t="s">
        <v>1085</v>
      </c>
      <c r="C3385" s="21" t="s">
        <v>1041</v>
      </c>
      <c r="D3385" s="21" t="s">
        <v>1007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2030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1027</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2031</v>
      </c>
      <c r="B3388" s="21" t="s">
        <v>1029</v>
      </c>
      <c r="C3388" s="21" t="s">
        <v>1017</v>
      </c>
      <c r="D3388" s="21" t="s">
        <v>1007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1018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1020</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1339</v>
      </c>
      <c r="B3391" s="21" t="s">
        <v>1033</v>
      </c>
      <c r="C3391" s="21" t="s">
        <v>1017</v>
      </c>
      <c r="D3391" s="21" t="s">
        <v>1007</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1018</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56</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1027</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2032</v>
      </c>
      <c r="B3395" s="21" t="s">
        <v>1022</v>
      </c>
      <c r="C3395" s="21" t="s">
        <v>1013</v>
      </c>
      <c r="D3395" s="21" t="s">
        <v>1007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1014</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2033</v>
      </c>
      <c r="B3397" s="21" t="s">
        <v>1033</v>
      </c>
      <c r="C3397" s="21" t="s">
        <v>1048</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1018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1065</v>
      </c>
      <c r="B3399" s="21" t="s">
        <v>1263</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1027</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2034</v>
      </c>
      <c r="B3401" s="21" t="s">
        <v>1263</v>
      </c>
      <c r="C3401" s="21" t="s">
        <v>1017</v>
      </c>
      <c r="D3401" s="21" t="s">
        <v>1007</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56</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1015</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1016</v>
      </c>
      <c r="B3404" s="21" t="s">
        <v>1040</v>
      </c>
      <c r="C3404" s="21" t="s">
        <v>1013</v>
      </c>
      <c r="D3404" s="21" t="s">
        <v>1007</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1014</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102</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1156</v>
      </c>
      <c r="B3407" s="21" t="s">
        <v>1042</v>
      </c>
      <c r="C3407" s="21" t="s">
        <v>1017</v>
      </c>
      <c r="D3407" s="21" t="s">
        <v>1007</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2035</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2036</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1065</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1669</v>
      </c>
      <c r="B3411" s="21" t="s">
        <v>1067</v>
      </c>
      <c r="C3411" s="21" t="s">
        <v>1082</v>
      </c>
      <c r="D3411" s="21" t="s">
        <v>1007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2037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1107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2038</v>
      </c>
    </row>
    <row r="3416" spans="1:12">
      <c r="A3416" s="20" t="s">
        <v>1094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1009</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row>
    <row r="3419" spans="1:12">
      <c r="A3419" s="20" t="s">
        <v>1184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2039</v>
      </c>
    </row>
    <row r="3421" spans="1:12">
      <c r="A3421" s="20" t="s">
        <v>1136</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2040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1114</v>
      </c>
      <c r="B3423" s="21" t="s">
        <v>1050</v>
      </c>
      <c r="C3423" s="21" t="s">
        <v>1082</v>
      </c>
      <c r="D3423" s="21" t="s">
        <v>1007</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1065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885</v>
      </c>
      <c r="B3425" s="21" t="s">
        <v>1119</v>
      </c>
      <c r="C3425" s="21" t="s">
        <v>1082</v>
      </c>
      <c r="D3425" s="21" t="s">
        <v>1007</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2041</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1189</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2042</v>
      </c>
      <c r="B3428" s="21" t="s">
        <v>1029</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2043</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1014</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1228</v>
      </c>
      <c r="B3431" s="21" t="s">
        <v>1033</v>
      </c>
      <c r="C3431" s="21" t="s">
        <v>1048</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1023</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row>
    <row r="3434" spans="1:12">
      <c r="A3434" s="20" t="s">
        <v>2044</v>
      </c>
    </row>
    <row r="3435" spans="1:12">
      <c r="A3435" s="20" t="s">
        <v>2045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1065</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1199</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1459</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2046</v>
      </c>
      <c r="B3439" s="21" t="s">
        <v>1119</v>
      </c>
      <c r="C3439" s="21" t="s">
        <v>1013</v>
      </c>
      <c r="D3439" s="21" t="s">
        <v>1007</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1014</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1224</v>
      </c>
      <c r="B3441" s="21" t="s">
        <v>1033</v>
      </c>
      <c r="C3441" s="21" t="s">
        <v>1082</v>
      </c>
      <c r="D3441" s="21" t="s">
        <v>1007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1361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2047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1020</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1231</v>
      </c>
      <c r="B3445" s="21" t="s">
        <v>1029</v>
      </c>
      <c r="C3445" s="21" t="s">
        <v>1048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1694</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1978</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1023</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row>
    <row r="3450" spans="1:12">
      <c r="A3450" s="20" t="s">
        <v>2048</v>
      </c>
    </row>
    <row r="3451" spans="1:12">
      <c r="A3451" s="20" t="s">
        <v>1259</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1286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1039</v>
      </c>
      <c r="B3453" s="21" t="s">
        <v>1085</v>
      </c>
      <c r="C3453" s="21" t="s">
        <v>1103</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1097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893</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1077</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row>
    <row r="3458" spans="1:12">
      <c r="A3458" s="20" t="s">
        <v>2049</v>
      </c>
    </row>
    <row r="3459" spans="1:12">
      <c r="A3459" s="20" t="s">
        <v>1118</v>
      </c>
      <c r="B3459" s="21" t="s">
        <v>1005</v>
      </c>
      <c r="C3459" s="21" t="s">
        <v>1048</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1009</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2050</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1018</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2051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1286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1243</v>
      </c>
      <c r="B3465" s="21" t="s">
        <v>1119</v>
      </c>
      <c r="C3465" s="21" t="s">
        <v>1103</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1097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893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1023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2052</v>
      </c>
    </row>
    <row r="3471" spans="1:12">
      <c r="A3471" s="20" t="s">
        <v>1136</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1138</v>
      </c>
      <c r="B3472" s="21" t="s">
        <v>1050</v>
      </c>
      <c r="C3472" s="21" t="s">
        <v>1082</v>
      </c>
      <c r="D3472" s="21" t="s">
        <v>1007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1139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1065</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1142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1203</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2053</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1144</v>
      </c>
      <c r="B3478" s="21" t="s">
        <v>1029</v>
      </c>
      <c r="C3478" s="21" t="s">
        <v>1205</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1286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1576</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1065</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2054</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1693</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1020</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893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1023</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row>
    <row r="3488" spans="1:12">
      <c r="A3488" s="20" t="s">
        <v>2055</v>
      </c>
    </row>
    <row r="3489" spans="1:12">
      <c r="A3489" s="20" t="s">
        <v>1094</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1009</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2056</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2057</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1018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1299</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2058</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110</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1100</v>
      </c>
      <c r="B3497" s="21" t="s">
        <v>1064</v>
      </c>
      <c r="C3497" s="21" t="s">
        <v>1082</v>
      </c>
      <c r="D3497" s="21" t="s">
        <v>1007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1324</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2059</v>
      </c>
      <c r="B3499" s="21" t="s">
        <v>1064</v>
      </c>
      <c r="C3499" s="21" t="s">
        <v>1013</v>
      </c>
      <c r="D3499" s="21" t="s">
        <v>1007</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1127</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1569</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2060</v>
      </c>
      <c r="B3502" s="21" t="s">
        <v>1130</v>
      </c>
      <c r="C3502" s="21" t="s">
        <v>1041</v>
      </c>
      <c r="D3502" s="21" t="s">
        <v>1007</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1030</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2061</v>
      </c>
      <c r="B3504" s="21" t="s">
        <v>1035</v>
      </c>
      <c r="C3504" s="21" t="s">
        <v>1048</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1023</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row>
    <row r="3507" spans="1:12">
      <c r="A3507" s="20" t="s">
        <v>2062</v>
      </c>
    </row>
    <row r="3508" spans="1:12">
      <c r="A3508" s="20" t="s">
        <v>2056</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2057</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56</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2063</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1324</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2064</v>
      </c>
      <c r="B3513" s="21" t="s">
        <v>1029</v>
      </c>
      <c r="C3513" s="21" t="s">
        <v>1111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1030</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1284</v>
      </c>
      <c r="B3515" s="21" t="s">
        <v>1022</v>
      </c>
      <c r="C3515" s="21" t="s">
        <v>1073</v>
      </c>
      <c r="D3515" s="21" t="s">
        <v>1007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1023</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row>
    <row r="3518" spans="1:12">
      <c r="A3518" s="20" t="s">
        <v>2065</v>
      </c>
    </row>
    <row r="3519" spans="1:12">
      <c r="A3519" s="20" t="s">
        <v>1753</v>
      </c>
      <c r="B3519" s="21" t="s">
        <v>1050</v>
      </c>
      <c r="C3519" s="21" t="s">
        <v>1073</v>
      </c>
      <c r="D3519" s="21" t="s">
        <v>1007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1075</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1020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1768</v>
      </c>
      <c r="B3522" s="21" t="s">
        <v>1005</v>
      </c>
      <c r="C3522" s="21" t="s">
        <v>1013</v>
      </c>
      <c r="D3522" s="21" t="s">
        <v>1007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1065</v>
      </c>
      <c r="B3523" s="21" t="s">
        <v>1119</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1018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1612</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1139</v>
      </c>
      <c r="B3526" s="21" t="s">
        <v>1022</v>
      </c>
      <c r="C3526" s="21" t="s">
        <v>1013</v>
      </c>
      <c r="D3526" s="21" t="s">
        <v>1007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1018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1097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1020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2066</v>
      </c>
      <c r="B3530" s="21" t="s">
        <v>1033</v>
      </c>
      <c r="C3530" s="21" t="s">
        <v>1013</v>
      </c>
      <c r="D3530" s="21" t="s">
        <v>1007</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1014</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1015</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2067</v>
      </c>
      <c r="B3533" s="21" t="s">
        <v>1035</v>
      </c>
      <c r="C3533" s="21" t="s">
        <v>1017</v>
      </c>
      <c r="D3533" s="21" t="s">
        <v>1007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1030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1569</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1551</v>
      </c>
      <c r="B3536" s="21" t="s">
        <v>1035</v>
      </c>
      <c r="C3536" s="21" t="s">
        <v>1041</v>
      </c>
      <c r="D3536" s="21" t="s">
        <v>1007</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1075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1020</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193</v>
      </c>
      <c r="B3539" s="21" t="s">
        <v>1005</v>
      </c>
      <c r="C3539" s="21" t="s">
        <v>1013</v>
      </c>
      <c r="D3539" s="21" t="s">
        <v>1007</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1286</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2068</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1065</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1224</v>
      </c>
      <c r="B3543" s="21" t="s">
        <v>1154</v>
      </c>
      <c r="C3543" s="21" t="s">
        <v>1082</v>
      </c>
      <c r="D3543" s="21" t="s">
        <v>1007</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1739</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2069</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1030</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1015</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1104</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1105</v>
      </c>
      <c r="B3549" s="21" t="s">
        <v>1033</v>
      </c>
      <c r="C3549" s="21" t="s">
        <v>1017</v>
      </c>
      <c r="D3549" s="21" t="s">
        <v>1007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1023</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row>
    <row r="3552" spans="1:12">
      <c r="A3552" s="20" t="s">
        <v>2070</v>
      </c>
    </row>
    <row r="3553" spans="1:12">
      <c r="A3553" s="20" t="s">
        <v>1449</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1127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1056</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1391</v>
      </c>
      <c r="B3556" s="21" t="s">
        <v>1005</v>
      </c>
      <c r="C3556" s="21" t="s">
        <v>1111</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1101</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2071</v>
      </c>
      <c r="B3558" s="21" t="s">
        <v>1005</v>
      </c>
      <c r="C3558" s="21" t="s">
        <v>1006</v>
      </c>
      <c r="D3558" s="21" t="s">
        <v>1007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1023</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row>
    <row r="3561" spans="1:12">
      <c r="A3561" s="20" t="s">
        <v>2072</v>
      </c>
    </row>
    <row r="3562" spans="1:12">
      <c r="A3562" s="20" t="s">
        <v>2073</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2074</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1014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102</v>
      </c>
      <c r="B3565" s="21" t="s">
        <v>1029</v>
      </c>
      <c r="C3565" s="21" t="s">
        <v>1073</v>
      </c>
      <c r="D3565" s="21" t="s">
        <v>1007</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1065</v>
      </c>
      <c r="B3566" s="21" t="s">
        <v>1120</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1114</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2075</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1077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row>
    <row r="3571" spans="1:12">
      <c r="A3571" s="20" t="s">
        <v>1184</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2076</v>
      </c>
    </row>
    <row r="3573" spans="1:12">
      <c r="A3573" s="20" t="s">
        <v>1118</v>
      </c>
      <c r="B3573" s="21" t="s">
        <v>1005</v>
      </c>
      <c r="C3573" s="21" t="s">
        <v>1048</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1009</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1189</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2071</v>
      </c>
      <c r="B3577" s="21" t="s">
        <v>1119</v>
      </c>
      <c r="C3577" s="21" t="s">
        <v>1006</v>
      </c>
      <c r="D3577" s="21" t="s">
        <v>1007</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1189</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56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1436</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1286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1324</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1346</v>
      </c>
      <c r="B3583" s="21" t="s">
        <v>1040</v>
      </c>
      <c r="C3583" s="21" t="s">
        <v>1048</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1018</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1178</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1065</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2077</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1020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1020</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1211</v>
      </c>
      <c r="B3590" s="21" t="s">
        <v>1134</v>
      </c>
      <c r="C3590" s="21" t="s">
        <v>1006</v>
      </c>
      <c r="D3590" s="21" t="s">
        <v>1007</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1020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2078</v>
      </c>
      <c r="B3592" s="21" t="s">
        <v>1040</v>
      </c>
      <c r="C3592" s="21" t="s">
        <v>1059</v>
      </c>
      <c r="D3592" s="21" t="s">
        <v>1007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2079</v>
      </c>
      <c r="B3593" s="21" t="s">
        <v>1263</v>
      </c>
      <c r="C3593" s="21" t="s">
        <v>1017</v>
      </c>
      <c r="D3593" s="21" t="s">
        <v>1007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1436</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1075</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1056</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1391</v>
      </c>
      <c r="B3597" s="21" t="s">
        <v>1005</v>
      </c>
      <c r="C3597" s="21" t="s">
        <v>1111</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2080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1703</v>
      </c>
      <c r="B3599" s="21" t="s">
        <v>1154</v>
      </c>
      <c r="C3599" s="21" t="s">
        <v>1103</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2081</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1020</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1324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2082</v>
      </c>
      <c r="B3603" s="21" t="s">
        <v>1187</v>
      </c>
      <c r="C3603" s="21" t="s">
        <v>1013</v>
      </c>
      <c r="D3603" s="21" t="s">
        <v>1007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1014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1020</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2083</v>
      </c>
      <c r="B3606" s="21" t="s">
        <v>1035</v>
      </c>
      <c r="C3606" s="21" t="s">
        <v>1006</v>
      </c>
      <c r="D3606" s="21" t="s">
        <v>1007</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2084</v>
      </c>
      <c r="B3607" s="21" t="s">
        <v>1130</v>
      </c>
      <c r="C3607" s="21" t="s">
        <v>1006</v>
      </c>
      <c r="D3607" s="21" t="s">
        <v>1007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1023</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row>
    <row r="3610" spans="1:12">
      <c r="A3610" s="20" t="s">
        <v>2085</v>
      </c>
    </row>
    <row r="3611" spans="1:12">
      <c r="A3611" s="20" t="s">
        <v>1400</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2086</v>
      </c>
      <c r="B3612" s="21" t="s">
        <v>1050</v>
      </c>
      <c r="C3612" s="21" t="s">
        <v>1017</v>
      </c>
      <c r="D3612" s="21" t="s">
        <v>1007</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2087</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2088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1114</v>
      </c>
      <c r="B3615" s="21" t="s">
        <v>1085</v>
      </c>
      <c r="C3615" s="21" t="s">
        <v>1082</v>
      </c>
      <c r="D3615" s="21" t="s">
        <v>1007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2089</v>
      </c>
      <c r="B3616" s="21" t="s">
        <v>1005</v>
      </c>
      <c r="C3616" s="21" t="s">
        <v>1006</v>
      </c>
      <c r="D3616" s="21" t="s">
        <v>1007</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1018</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1324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2082</v>
      </c>
      <c r="B3619" s="21" t="s">
        <v>1022</v>
      </c>
      <c r="C3619" s="21" t="s">
        <v>1013</v>
      </c>
      <c r="D3619" s="21" t="s">
        <v>1007</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1014</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1020</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2005</v>
      </c>
      <c r="B3622" s="21" t="s">
        <v>1033</v>
      </c>
      <c r="C3622" s="21" t="s">
        <v>1017</v>
      </c>
      <c r="D3622" s="21" t="s">
        <v>1007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2090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1030</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102</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2091</v>
      </c>
      <c r="B3626" s="21" t="s">
        <v>1033</v>
      </c>
      <c r="C3626" s="21" t="s">
        <v>1006</v>
      </c>
      <c r="D3626" s="21" t="s">
        <v>1007</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2092</v>
      </c>
      <c r="B3627" s="21" t="s">
        <v>1035</v>
      </c>
      <c r="C3627" s="21" t="s">
        <v>1006</v>
      </c>
      <c r="D3627" s="21" t="s">
        <v>1007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1023</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row>
    <row r="3630" spans="1:12">
      <c r="A3630" s="20" t="s">
        <v>2093</v>
      </c>
    </row>
    <row r="3631" spans="1:12">
      <c r="A3631" s="20" t="s">
        <v>2094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1065</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1100</v>
      </c>
      <c r="B3633" s="21" t="s">
        <v>1029</v>
      </c>
      <c r="C3633" s="21" t="s">
        <v>1082</v>
      </c>
      <c r="D3633" s="21" t="s">
        <v>1007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2095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1435</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1703</v>
      </c>
      <c r="B3636" s="21" t="s">
        <v>1029</v>
      </c>
      <c r="C3636" s="21" t="s">
        <v>1041</v>
      </c>
      <c r="D3636" s="21" t="s">
        <v>1007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1299</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1124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1132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2096</v>
      </c>
      <c r="B3640" s="21" t="s">
        <v>1033</v>
      </c>
      <c r="C3640" s="21" t="s">
        <v>1048</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1020</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1873</v>
      </c>
      <c r="B3642" s="21" t="s">
        <v>1035</v>
      </c>
      <c r="C3642" s="21" t="s">
        <v>1059</v>
      </c>
      <c r="D3642" s="21" t="s">
        <v>1007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1605</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2097</v>
      </c>
      <c r="B3644" s="21" t="s">
        <v>1187</v>
      </c>
      <c r="C3644" s="21" t="s">
        <v>1017</v>
      </c>
      <c r="D3644" s="21" t="s">
        <v>1007</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1023</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row>
    <row r="3647" spans="1:12">
      <c r="A3647" s="20" t="s">
        <v>2098</v>
      </c>
    </row>
    <row r="3648" spans="1:12">
      <c r="A3648" s="20" t="s">
        <v>2099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1274</v>
      </c>
      <c r="B3649" s="21" t="s">
        <v>1005</v>
      </c>
      <c r="C3649" s="21" t="s">
        <v>1048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1450</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1014</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1015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2100</v>
      </c>
      <c r="B3653" s="21" t="s">
        <v>1187</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1020</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1211</v>
      </c>
      <c r="B3655" s="21" t="s">
        <v>1154</v>
      </c>
      <c r="C3655" s="21" t="s">
        <v>1006</v>
      </c>
      <c r="D3655" s="21" t="s">
        <v>1007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2101</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2102</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1015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2103</v>
      </c>
      <c r="B3659" s="21" t="s">
        <v>1022</v>
      </c>
      <c r="C3659" s="21" t="s">
        <v>1017</v>
      </c>
      <c r="D3659" s="21" t="s">
        <v>1007</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2104</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1023</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row>
    <row r="3663" spans="1:12">
      <c r="A3663" s="20" t="s">
        <v>2105</v>
      </c>
    </row>
    <row r="3664" spans="1:12">
      <c r="A3664" s="20" t="s">
        <v>2106</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1020</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1015</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2103</v>
      </c>
      <c r="B3667" s="21" t="s">
        <v>1085</v>
      </c>
      <c r="C3667" s="21" t="s">
        <v>1017</v>
      </c>
      <c r="D3667" s="21" t="s">
        <v>1007</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2104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1065</v>
      </c>
      <c r="B3669" s="21" t="s">
        <v>1154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1164</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2107</v>
      </c>
      <c r="B3671" s="21" t="s">
        <v>1022</v>
      </c>
      <c r="C3671" s="21" t="s">
        <v>1048</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2010</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1023</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row>
    <row r="3675" spans="1:12">
      <c r="A3675" s="20" t="s">
        <v>2108</v>
      </c>
    </row>
    <row r="3676" spans="1:12">
      <c r="A3676" s="20" t="s">
        <v>2106</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1065</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1075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1250</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1209</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1030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1331</v>
      </c>
      <c r="B3682" s="21" t="s">
        <v>1033</v>
      </c>
      <c r="C3682" s="21" t="s">
        <v>1048</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1097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1642</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1015</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1221</v>
      </c>
      <c r="B3686" s="21" t="s">
        <v>1064</v>
      </c>
      <c r="C3686" s="21" t="s">
        <v>1017</v>
      </c>
      <c r="D3686" s="21" t="s">
        <v>1007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1018</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1330</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1018</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1030</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1020</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2109</v>
      </c>
      <c r="B3692" s="21" t="s">
        <v>1067</v>
      </c>
      <c r="C3692" s="21" t="s">
        <v>1017</v>
      </c>
      <c r="D3692" s="21" t="s">
        <v>1007</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1018</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1387</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1020</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1026</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1056</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2110</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2111</v>
      </c>
      <c r="B3699" s="21" t="s">
        <v>1066</v>
      </c>
      <c r="C3699" s="21" t="s">
        <v>1013</v>
      </c>
      <c r="D3699" s="21" t="s">
        <v>1007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1020</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1279</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1460</v>
      </c>
      <c r="B3702" s="21" t="s">
        <v>1042</v>
      </c>
      <c r="C3702" s="21" t="s">
        <v>1041</v>
      </c>
      <c r="D3702" s="21" t="s">
        <v>1007</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1018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102</v>
      </c>
      <c r="B3704" s="21" t="s">
        <v>1033</v>
      </c>
      <c r="C3704" s="21" t="s">
        <v>1073</v>
      </c>
      <c r="D3704" s="21" t="s">
        <v>1007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1065</v>
      </c>
      <c r="B3705" s="21" t="s">
        <v>1263</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1839</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1182</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1065</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1463</v>
      </c>
      <c r="B3709" s="21" t="s">
        <v>1067</v>
      </c>
      <c r="C3709" s="21" t="s">
        <v>1082</v>
      </c>
      <c r="D3709" s="21" t="s">
        <v>1007</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2112</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1020</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1339</v>
      </c>
      <c r="B3712" s="21" t="s">
        <v>1066</v>
      </c>
      <c r="C3712" s="21" t="s">
        <v>1013</v>
      </c>
      <c r="D3712" s="21" t="s">
        <v>1007</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1014</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1015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1544</v>
      </c>
      <c r="B3715" s="21" t="s">
        <v>1044</v>
      </c>
      <c r="C3715" s="21" t="s">
        <v>1059</v>
      </c>
      <c r="D3715" s="21" t="s">
        <v>1007</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1655</v>
      </c>
      <c r="B3716" s="21" t="s">
        <v>1042</v>
      </c>
      <c r="C3716" s="21" t="s">
        <v>1017</v>
      </c>
      <c r="D3716" s="21" t="s">
        <v>1007</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1023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row>
    <row r="3719" spans="1:12">
      <c r="A3719" s="20" t="s">
        <v>2113</v>
      </c>
    </row>
    <row r="3720" spans="1:12">
      <c r="A3720" s="20" t="s">
        <v>2114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1020</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2115</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1030</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1015</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1555</v>
      </c>
      <c r="B3725" s="21" t="s">
        <v>1022</v>
      </c>
      <c r="C3725" s="21" t="s">
        <v>1017</v>
      </c>
      <c r="D3725" s="21" t="s">
        <v>1007</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1063</v>
      </c>
      <c r="B3726" s="21" t="s">
        <v>1033</v>
      </c>
      <c r="C3726" s="21" t="s">
        <v>1048</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1065</v>
      </c>
      <c r="B3727" s="21" t="s">
        <v>1263</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1142</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1075</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1199</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1020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1211</v>
      </c>
      <c r="B3732" s="21" t="s">
        <v>1035</v>
      </c>
      <c r="C3732" s="21" t="s">
        <v>1017</v>
      </c>
      <c r="D3732" s="21" t="s">
        <v>1007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1065</v>
      </c>
      <c r="B3733" s="21" t="s">
        <v>1251</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1061</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2116</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1330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1921</v>
      </c>
      <c r="B3737" s="21" t="s">
        <v>1253</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1056</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1065</v>
      </c>
      <c r="B3739" s="21" t="s">
        <v>1489</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2117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1183</v>
      </c>
      <c r="B3741" s="21" t="s">
        <v>1440</v>
      </c>
      <c r="C3741" s="21" t="s">
        <v>1048</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56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2118</v>
      </c>
      <c r="B3743" s="21" t="s">
        <v>1217</v>
      </c>
      <c r="C3743" s="21" t="s">
        <v>1048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1097</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1766</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56</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2119</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56</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1830</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1061</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86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1097</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456</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1030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102</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1156</v>
      </c>
      <c r="B3756" s="21" t="s">
        <v>1792</v>
      </c>
      <c r="C3756" s="21" t="s">
        <v>1013</v>
      </c>
      <c r="D3756" s="21" t="s">
        <v>1007</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1014</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1027</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1602</v>
      </c>
      <c r="B3759" s="21" t="s">
        <v>1793</v>
      </c>
      <c r="C3759" s="21" t="s">
        <v>1017</v>
      </c>
      <c r="D3759" s="21" t="s">
        <v>1007</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2120</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1023</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row>
    <row r="3763" spans="1:12">
      <c r="A3763" s="20" t="s">
        <v>2121</v>
      </c>
    </row>
    <row r="3764" spans="1:12">
      <c r="A3764" s="20" t="s">
        <v>1175</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1140</v>
      </c>
      <c r="B3765" s="21" t="s">
        <v>1050</v>
      </c>
      <c r="C3765" s="21" t="s">
        <v>1073</v>
      </c>
      <c r="D3765" s="21" t="s">
        <v>1007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1075</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1151</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1476</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2122</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1299</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1018</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1114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2123</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1056</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2124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2125</v>
      </c>
      <c r="B3776" s="21" t="s">
        <v>1029</v>
      </c>
      <c r="C3776" s="21" t="s">
        <v>1111</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1018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1114</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2123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1020</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2126</v>
      </c>
      <c r="B3781" s="21" t="s">
        <v>1029</v>
      </c>
      <c r="C3781" s="21" t="s">
        <v>1013</v>
      </c>
      <c r="D3781" s="21" t="s">
        <v>1007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1014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1324</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193</v>
      </c>
      <c r="B3784" s="21" t="s">
        <v>1033</v>
      </c>
      <c r="C3784" s="21" t="s">
        <v>1013</v>
      </c>
      <c r="D3784" s="21" t="s">
        <v>1007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1132</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1644</v>
      </c>
      <c r="B3787" s="21" t="s">
        <v>1035</v>
      </c>
      <c r="C3787" s="21" t="s">
        <v>1006</v>
      </c>
      <c r="D3787" s="21" t="s">
        <v>1007</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1018</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1065</v>
      </c>
      <c r="B3789" s="21" t="s">
        <v>1067</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1397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102</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2096</v>
      </c>
      <c r="B3792" s="21" t="s">
        <v>1130</v>
      </c>
      <c r="C3792" s="21" t="s">
        <v>1013</v>
      </c>
      <c r="D3792" s="21" t="s">
        <v>1007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2127</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1014</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102</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1391</v>
      </c>
      <c r="B3796" s="21" t="s">
        <v>1040</v>
      </c>
      <c r="C3796" s="21" t="s">
        <v>1017</v>
      </c>
      <c r="D3796" s="21" t="s">
        <v>1007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2071</v>
      </c>
      <c r="B3797" s="21" t="s">
        <v>1042</v>
      </c>
      <c r="C3797" s="21" t="s">
        <v>1006</v>
      </c>
      <c r="D3797" s="21" t="s">
        <v>1007</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1018</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2128</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1020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1207</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1030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1056</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1156</v>
      </c>
      <c r="B3804" s="21" t="s">
        <v>1035</v>
      </c>
      <c r="C3804" s="21" t="s">
        <v>1111</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2129</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1566</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2130</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1023</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row>
    <row r="3810" spans="1:12">
      <c r="A3810" s="20" t="s">
        <v>2131</v>
      </c>
    </row>
    <row r="3811" spans="1:12">
      <c r="A3811" s="20" t="s">
        <v>1147</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2132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2133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1020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1015</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1902</v>
      </c>
      <c r="B3816" s="21" t="s">
        <v>1033</v>
      </c>
      <c r="C3816" s="21" t="s">
        <v>1059</v>
      </c>
      <c r="D3816" s="21" t="s">
        <v>1007</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2134</v>
      </c>
      <c r="B3817" s="21" t="s">
        <v>1029</v>
      </c>
      <c r="C3817" s="21" t="s">
        <v>1017</v>
      </c>
      <c r="D3817" s="21" t="s">
        <v>1007</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56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1142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2132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2133</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1020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102</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2135</v>
      </c>
      <c r="B3824" s="21" t="s">
        <v>1187</v>
      </c>
      <c r="C3824" s="21" t="s">
        <v>1017</v>
      </c>
      <c r="D3824" s="21" t="s">
        <v>1007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1266</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1030</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1015</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2136</v>
      </c>
      <c r="B3828" s="21" t="s">
        <v>1033</v>
      </c>
      <c r="C3828" s="21" t="s">
        <v>1017</v>
      </c>
      <c r="D3828" s="21" t="s">
        <v>1007</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1906</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1020</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1027</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1172</v>
      </c>
      <c r="B3832" s="21" t="s">
        <v>1130</v>
      </c>
      <c r="C3832" s="21" t="s">
        <v>1017</v>
      </c>
      <c r="D3832" s="21" t="s">
        <v>1007</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1065</v>
      </c>
      <c r="B3833" s="21" t="s">
        <v>1251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2137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1279</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1243</v>
      </c>
      <c r="B3836" s="21" t="s">
        <v>1253</v>
      </c>
      <c r="C3836" s="21" t="s">
        <v>1041</v>
      </c>
      <c r="D3836" s="21" t="s">
        <v>1007</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1684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1065</v>
      </c>
      <c r="B3838" s="21" t="s">
        <v>1437</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1027</v>
      </c>
      <c r="B3839" s="21" t="s">
        <v>1487</v>
      </c>
      <c r="C3839" s="21" t="s">
        <v>1082</v>
      </c>
      <c r="D3839" s="21" t="s">
        <v>1007</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2138</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1097</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1015</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1544</v>
      </c>
      <c r="B3843" s="21" t="s">
        <v>1215</v>
      </c>
      <c r="C3843" s="21" t="s">
        <v>1059</v>
      </c>
      <c r="D3843" s="21" t="s">
        <v>1007</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1529</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2139</v>
      </c>
      <c r="B3845" s="21" t="s">
        <v>1044</v>
      </c>
      <c r="C3845" s="21" t="s">
        <v>1017</v>
      </c>
      <c r="D3845" s="21" t="s">
        <v>1007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1023</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row>
    <row r="3848" spans="1:12">
      <c r="A3848" s="20" t="s">
        <v>2140</v>
      </c>
    </row>
    <row r="3849" spans="1:12">
      <c r="A3849" s="20" t="s">
        <v>1094</v>
      </c>
      <c r="B3849" s="21" t="s">
        <v>1005</v>
      </c>
      <c r="C3849" s="21" t="s">
        <v>1048</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1009</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1175</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1279</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1262</v>
      </c>
      <c r="B3853" s="21" t="s">
        <v>1154</v>
      </c>
      <c r="C3853" s="21" t="s">
        <v>1041</v>
      </c>
      <c r="D3853" s="21" t="s">
        <v>1007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1255</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1157</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2141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1020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1638</v>
      </c>
      <c r="B3858" s="21" t="s">
        <v>1187</v>
      </c>
      <c r="C3858" s="21" t="s">
        <v>1006</v>
      </c>
      <c r="D3858" s="21" t="s">
        <v>1007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1020</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2142</v>
      </c>
      <c r="B3860" s="21" t="s">
        <v>1033</v>
      </c>
      <c r="C3860" s="21" t="s">
        <v>1013</v>
      </c>
      <c r="D3860" s="21" t="s">
        <v>1007</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1538</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1014</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2143</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2144</v>
      </c>
      <c r="B3864" s="21" t="s">
        <v>1035</v>
      </c>
      <c r="C3864" s="21" t="s">
        <v>1103</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1077</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row>
    <row r="3867" spans="1:12">
      <c r="A3867" s="20" t="s">
        <v>2145</v>
      </c>
    </row>
    <row r="3868" spans="1:12">
      <c r="A3868" s="20" t="s">
        <v>1118</v>
      </c>
      <c r="B3868" s="21" t="s">
        <v>1005</v>
      </c>
      <c r="C3868" s="21" t="s">
        <v>1013</v>
      </c>
      <c r="D3868" s="21" t="s">
        <v>1007</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1009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1080</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1083</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1020</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2146</v>
      </c>
      <c r="B3873" s="21" t="s">
        <v>1005</v>
      </c>
      <c r="C3873" s="21" t="s">
        <v>1017</v>
      </c>
      <c r="D3873" s="21" t="s">
        <v>1007</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1023</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2147</v>
      </c>
    </row>
    <row r="3877" spans="1:12">
      <c r="A3877" s="20" t="s">
        <v>2148</v>
      </c>
      <c r="B3877" s="21" t="s">
        <v>1050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1014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1015</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2149</v>
      </c>
      <c r="B3880" s="21" t="s">
        <v>1022</v>
      </c>
      <c r="C3880" s="21" t="s">
        <v>1017</v>
      </c>
      <c r="D3880" s="21" t="s">
        <v>1007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1018</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1324</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1014</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1027</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2150</v>
      </c>
      <c r="B3885" s="21" t="s">
        <v>1033</v>
      </c>
      <c r="C3885" s="21" t="s">
        <v>1017</v>
      </c>
      <c r="D3885" s="21" t="s">
        <v>1007</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2151</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1065</v>
      </c>
      <c r="B3887" s="21" t="s">
        <v>1134</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1178</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1179</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1030</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1020</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1307</v>
      </c>
      <c r="B3892" s="21" t="s">
        <v>1130</v>
      </c>
      <c r="C3892" s="21" t="s">
        <v>1013</v>
      </c>
      <c r="D3892" s="21" t="s">
        <v>1007</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2152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2153</v>
      </c>
      <c r="B3894" s="21" t="s">
        <v>1040</v>
      </c>
      <c r="C3894" s="21" t="s">
        <v>1006</v>
      </c>
      <c r="D3894" s="21" t="s">
        <v>1007</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1018</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1075</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1065</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1020</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1211</v>
      </c>
      <c r="B3899" s="21" t="s">
        <v>1119</v>
      </c>
      <c r="C3899" s="21" t="s">
        <v>1006</v>
      </c>
      <c r="D3899" s="21" t="s">
        <v>1007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2154</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86</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2155</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2156</v>
      </c>
      <c r="B3903" s="21" t="s">
        <v>1187</v>
      </c>
      <c r="C3903" s="21" t="s">
        <v>1205</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1023</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row>
    <row r="3906" spans="1:12">
      <c r="A3906" s="20" t="s">
        <v>2157</v>
      </c>
    </row>
    <row r="3907" spans="1:12">
      <c r="A3907" s="20" t="s">
        <v>1416</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1413</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1287</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1036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1027</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2158</v>
      </c>
      <c r="B3912" s="21" t="s">
        <v>1005</v>
      </c>
      <c r="C3912" s="21" t="s">
        <v>1017</v>
      </c>
      <c r="D3912" s="21" t="s">
        <v>1007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2159</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1018</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1684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1070</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1020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2160</v>
      </c>
      <c r="B3918" s="21" t="s">
        <v>1005</v>
      </c>
      <c r="C3918" s="21" t="s">
        <v>1017</v>
      </c>
      <c r="D3918" s="21" t="s">
        <v>1007</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1018</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1330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1255</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1124</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1413</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1287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1036</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1027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2158</v>
      </c>
      <c r="B3927" s="21" t="s">
        <v>1022</v>
      </c>
      <c r="C3927" s="21" t="s">
        <v>1017</v>
      </c>
      <c r="D3927" s="21" t="s">
        <v>1007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2161</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1018</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56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2162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1124</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2163</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2002</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2164</v>
      </c>
      <c r="B3935" s="21" t="s">
        <v>1029</v>
      </c>
      <c r="C3935" s="21" t="s">
        <v>1013</v>
      </c>
      <c r="D3935" s="21" t="s">
        <v>1007</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1020</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1020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2165</v>
      </c>
      <c r="B3938" s="21" t="s">
        <v>1033</v>
      </c>
      <c r="C3938" s="21" t="s">
        <v>1013</v>
      </c>
      <c r="D3938" s="21" t="s">
        <v>1007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1127</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102</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2166</v>
      </c>
      <c r="B3941" s="21" t="s">
        <v>1035</v>
      </c>
      <c r="C3941" s="21" t="s">
        <v>1017</v>
      </c>
      <c r="D3941" s="21" t="s">
        <v>1007</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1018</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2167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1114</v>
      </c>
      <c r="B3944" s="21" t="s">
        <v>1029</v>
      </c>
      <c r="C3944" s="21" t="s">
        <v>1082</v>
      </c>
      <c r="D3944" s="21" t="s">
        <v>1007</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1030</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102</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1988</v>
      </c>
      <c r="B3947" s="21" t="s">
        <v>1022</v>
      </c>
      <c r="C3947" s="21" t="s">
        <v>1017</v>
      </c>
      <c r="D3947" s="21" t="s">
        <v>1007</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1014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1065</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1015</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2168</v>
      </c>
      <c r="B3951" s="21" t="s">
        <v>1120</v>
      </c>
      <c r="C3951" s="21" t="s">
        <v>1017</v>
      </c>
      <c r="D3951" s="21" t="s">
        <v>1007</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1758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2169</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1286</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1018</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2170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56</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2171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1023</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row>
    <row r="3961" spans="1:12">
      <c r="A3961" s="20" t="s">
        <v>2172</v>
      </c>
    </row>
    <row r="3962" spans="1:12">
      <c r="A3962" s="20" t="s">
        <v>1153</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1669</v>
      </c>
      <c r="B3963" s="21" t="s">
        <v>1119</v>
      </c>
      <c r="C3963" s="21" t="s">
        <v>1082</v>
      </c>
      <c r="D3963" s="21" t="s">
        <v>1007</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2173</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1324</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227</v>
      </c>
      <c r="B3966" s="21" t="s">
        <v>1029</v>
      </c>
      <c r="C3966" s="21" t="s">
        <v>1111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2174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56</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2175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1015</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1544</v>
      </c>
      <c r="B3971" s="21" t="s">
        <v>1035</v>
      </c>
      <c r="C3971" s="21" t="s">
        <v>1059</v>
      </c>
      <c r="D3971" s="21" t="s">
        <v>1007</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2168</v>
      </c>
      <c r="B3972" s="21" t="s">
        <v>1187</v>
      </c>
      <c r="C3972" s="21" t="s">
        <v>1017</v>
      </c>
      <c r="D3972" s="21" t="s">
        <v>1007</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1018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1114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2173</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1056</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2176</v>
      </c>
      <c r="B3977" s="21" t="s">
        <v>1029</v>
      </c>
      <c r="C3977" s="21" t="s">
        <v>1111</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2177</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1030</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2178</v>
      </c>
      <c r="B3980" s="21" t="s">
        <v>1005</v>
      </c>
      <c r="C3980" s="21" t="s">
        <v>1006</v>
      </c>
      <c r="D3980" s="21" t="s">
        <v>1007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1140</v>
      </c>
      <c r="B3981" s="21" t="s">
        <v>1050</v>
      </c>
      <c r="C3981" s="21" t="s">
        <v>1073</v>
      </c>
      <c r="D3981" s="21" t="s">
        <v>1007</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1124</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1566</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2179</v>
      </c>
      <c r="B3984" s="21" t="s">
        <v>1085</v>
      </c>
      <c r="C3984" s="21" t="s">
        <v>1013</v>
      </c>
      <c r="D3984" s="21" t="s">
        <v>1007</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1097</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102</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1344</v>
      </c>
      <c r="B3987" s="21" t="s">
        <v>1022</v>
      </c>
      <c r="C3987" s="21" t="s">
        <v>1017</v>
      </c>
      <c r="D3987" s="21" t="s">
        <v>1007</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1194</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1014</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102</v>
      </c>
      <c r="B3990" s="21" t="s">
        <v>1130</v>
      </c>
      <c r="C3990" s="21" t="s">
        <v>1073</v>
      </c>
      <c r="D3990" s="21" t="s">
        <v>1007</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1065</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98</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1020</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2180</v>
      </c>
      <c r="B3994" s="21" t="s">
        <v>1064</v>
      </c>
      <c r="C3994" s="21" t="s">
        <v>1017</v>
      </c>
      <c r="D3994" s="21" t="s">
        <v>1007</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1014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1065</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1015</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1539</v>
      </c>
      <c r="B3998" s="21" t="s">
        <v>1251</v>
      </c>
      <c r="C3998" s="21" t="s">
        <v>1017</v>
      </c>
      <c r="D3998" s="21" t="s">
        <v>1007</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1142</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1157</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98</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1223</v>
      </c>
      <c r="B4002" s="21" t="s">
        <v>1253</v>
      </c>
      <c r="C4002" s="21" t="s">
        <v>1013</v>
      </c>
      <c r="D4002" s="21" t="s">
        <v>1007</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1020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1015</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1269</v>
      </c>
      <c r="B4005" s="21" t="s">
        <v>1215</v>
      </c>
      <c r="C4005" s="21" t="s">
        <v>1059</v>
      </c>
      <c r="D4005" s="21" t="s">
        <v>1007</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2168</v>
      </c>
      <c r="B4006" s="21" t="s">
        <v>1044</v>
      </c>
      <c r="C4006" s="21" t="s">
        <v>1017</v>
      </c>
      <c r="D4006" s="21" t="s">
        <v>1007</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1023</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row>
    <row r="4009" spans="1:12">
      <c r="A4009" s="20" t="s">
        <v>2181</v>
      </c>
    </row>
    <row r="4010" spans="1:12">
      <c r="A4010" s="20" t="s">
        <v>1373</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1140</v>
      </c>
      <c r="B4011" s="21" t="s">
        <v>1033</v>
      </c>
      <c r="C4011" s="21" t="s">
        <v>1073</v>
      </c>
      <c r="D4011" s="21" t="s">
        <v>1007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1018</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1020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102</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2182</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1020</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1339</v>
      </c>
      <c r="B4017" s="21" t="s">
        <v>1187</v>
      </c>
      <c r="C4017" s="21" t="s">
        <v>1013</v>
      </c>
      <c r="D4017" s="21" t="s">
        <v>1007</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1014</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1027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1617</v>
      </c>
      <c r="B4020" s="21" t="s">
        <v>1130</v>
      </c>
      <c r="C4020" s="21" t="s">
        <v>1059</v>
      </c>
      <c r="D4020" s="21" t="s">
        <v>1007</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1602</v>
      </c>
      <c r="B4021" s="21" t="s">
        <v>1035</v>
      </c>
      <c r="C4021" s="21" t="s">
        <v>1017</v>
      </c>
      <c r="D4021" s="21" t="s">
        <v>1007</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1018</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1142</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1199</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1387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1020</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1338</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1030</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1309</v>
      </c>
      <c r="B4029" s="21" t="s">
        <v>1033</v>
      </c>
      <c r="C4029" s="21" t="s">
        <v>1048</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102</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1156</v>
      </c>
      <c r="B4031" s="21" t="s">
        <v>1029</v>
      </c>
      <c r="C4031" s="21" t="s">
        <v>1013</v>
      </c>
      <c r="D4031" s="21" t="s">
        <v>1007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1018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1132</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1387</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1020</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1338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1030</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1309</v>
      </c>
      <c r="B4038" s="21" t="s">
        <v>1033</v>
      </c>
      <c r="C4038" s="21" t="s">
        <v>1013</v>
      </c>
      <c r="D4038" s="21" t="s">
        <v>1007</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1020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1638</v>
      </c>
      <c r="B4040" s="21" t="s">
        <v>1035</v>
      </c>
      <c r="C4040" s="21" t="s">
        <v>1006</v>
      </c>
      <c r="D4040" s="21" t="s">
        <v>1007</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1018</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1299</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1020</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2183</v>
      </c>
      <c r="B4044" s="21" t="s">
        <v>1154</v>
      </c>
      <c r="C4044" s="21" t="s">
        <v>1017</v>
      </c>
      <c r="D4044" s="21" t="s">
        <v>1007</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2184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1075</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1020</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1493</v>
      </c>
      <c r="B4048" s="21" t="s">
        <v>1022</v>
      </c>
      <c r="C4048" s="21" t="s">
        <v>1017</v>
      </c>
      <c r="D4048" s="21" t="s">
        <v>1007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1018</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1075</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102</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2185</v>
      </c>
      <c r="B4052" s="21" t="s">
        <v>1050</v>
      </c>
      <c r="C4052" s="21" t="s">
        <v>1013</v>
      </c>
      <c r="D4052" s="21" t="s">
        <v>1007</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1014</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1020</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1873</v>
      </c>
      <c r="B4055" s="21" t="s">
        <v>1033</v>
      </c>
      <c r="C4055" s="21" t="s">
        <v>1059</v>
      </c>
      <c r="D4055" s="21" t="s">
        <v>1007</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2017</v>
      </c>
      <c r="B4056" s="21" t="s">
        <v>1022</v>
      </c>
      <c r="C4056" s="21" t="s">
        <v>1017</v>
      </c>
      <c r="D4056" s="21" t="s">
        <v>1007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1023</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row>
    <row r="4059" spans="1:12">
      <c r="A4059" s="20" t="s">
        <v>2186</v>
      </c>
    </row>
    <row r="4060" spans="1:12">
      <c r="A4060" s="20" t="s">
        <v>1153</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1020</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2187</v>
      </c>
      <c r="B4062" s="21" t="s">
        <v>1005</v>
      </c>
      <c r="C4062" s="21" t="s">
        <v>1013</v>
      </c>
      <c r="D4062" s="21" t="s">
        <v>1007</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1030</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1309</v>
      </c>
      <c r="B4064" s="21" t="s">
        <v>1022</v>
      </c>
      <c r="C4064" s="21" t="s">
        <v>1048</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1450</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1014</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102</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2188</v>
      </c>
      <c r="B4068" s="21" t="s">
        <v>1033</v>
      </c>
      <c r="C4068" s="21" t="s">
        <v>1013</v>
      </c>
      <c r="D4068" s="21" t="s">
        <v>1007</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1014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1020</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1339</v>
      </c>
      <c r="B4071" s="21" t="s">
        <v>1035</v>
      </c>
      <c r="C4071" s="21" t="s">
        <v>1017</v>
      </c>
      <c r="D4071" s="21" t="s">
        <v>1007</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1018</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1583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562</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1036</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1140</v>
      </c>
      <c r="B4076" s="21" t="s">
        <v>1005</v>
      </c>
      <c r="C4076" s="21" t="s">
        <v>1073</v>
      </c>
      <c r="D4076" s="21" t="s">
        <v>1007</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1500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2189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1240</v>
      </c>
      <c r="B4079" s="21" t="s">
        <v>1005</v>
      </c>
      <c r="C4079" s="21" t="s">
        <v>1103</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1023</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row>
    <row r="4082" spans="1:12">
      <c r="A4082" s="20" t="s">
        <v>2190</v>
      </c>
    </row>
    <row r="4083" spans="1:12">
      <c r="A4083" s="20" t="s">
        <v>1094</v>
      </c>
      <c r="B4083" s="21" t="s">
        <v>1005</v>
      </c>
      <c r="C4083" s="21" t="s">
        <v>1048</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1009</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1136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1224</v>
      </c>
      <c r="B4086" s="21" t="s">
        <v>1119</v>
      </c>
      <c r="C4086" s="21" t="s">
        <v>1082</v>
      </c>
      <c r="D4086" s="21" t="s">
        <v>1007</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2191</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1056</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2192</v>
      </c>
      <c r="B4089" s="21" t="s">
        <v>1029</v>
      </c>
      <c r="C4089" s="21" t="s">
        <v>1111</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1014</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1065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2193</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1020</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2194</v>
      </c>
      <c r="B4094" s="21" t="s">
        <v>1064</v>
      </c>
      <c r="C4094" s="21" t="s">
        <v>1017</v>
      </c>
      <c r="D4094" s="21" t="s">
        <v>1007</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110</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1140</v>
      </c>
      <c r="B4096" s="21" t="s">
        <v>1134</v>
      </c>
      <c r="C4096" s="21" t="s">
        <v>1073</v>
      </c>
      <c r="D4096" s="21" t="s">
        <v>1007</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1097</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1020</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2165</v>
      </c>
      <c r="B4099" s="21" t="s">
        <v>1130</v>
      </c>
      <c r="C4099" s="21" t="s">
        <v>1013</v>
      </c>
      <c r="D4099" s="21" t="s">
        <v>1007</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1014</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1020</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1638</v>
      </c>
      <c r="B4102" s="21" t="s">
        <v>1040</v>
      </c>
      <c r="C4102" s="21" t="s">
        <v>1006</v>
      </c>
      <c r="D4102" s="21" t="s">
        <v>1007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2195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102</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2196</v>
      </c>
      <c r="B4105" s="21" t="s">
        <v>1040</v>
      </c>
      <c r="C4105" s="21" t="s">
        <v>1017</v>
      </c>
      <c r="D4105" s="21" t="s">
        <v>1007</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1023</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row>
    <row r="4108" spans="1:12">
      <c r="A4108" s="20" t="s">
        <v>2197</v>
      </c>
    </row>
    <row r="4109" spans="1:12">
      <c r="A4109" s="20" t="s">
        <v>2198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2199</v>
      </c>
      <c r="B4110" s="21" t="s">
        <v>1005</v>
      </c>
      <c r="C4110" s="21" t="s">
        <v>1048</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1065</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1140</v>
      </c>
      <c r="B4112" s="21" t="s">
        <v>1050</v>
      </c>
      <c r="C4112" s="21" t="s">
        <v>1073</v>
      </c>
      <c r="D4112" s="21" t="s">
        <v>1007</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1075</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1056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2200</v>
      </c>
      <c r="B4115" s="21" t="s">
        <v>1005</v>
      </c>
      <c r="C4115" s="21" t="s">
        <v>1013</v>
      </c>
      <c r="D4115" s="21" t="s">
        <v>1007</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1065</v>
      </c>
      <c r="B4116" s="21" t="s">
        <v>1119</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2201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1020</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2194</v>
      </c>
      <c r="B4119" s="21" t="s">
        <v>1029</v>
      </c>
      <c r="C4119" s="21" t="s">
        <v>1017</v>
      </c>
      <c r="D4119" s="21" t="s">
        <v>1007</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562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1023</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row>
    <row r="4123" spans="1:12">
      <c r="A4123" s="20" t="s">
        <v>2202</v>
      </c>
    </row>
    <row r="4124" spans="1:12">
      <c r="A4124" s="20" t="s">
        <v>1118</v>
      </c>
      <c r="B4124" s="21" t="s">
        <v>1005</v>
      </c>
      <c r="C4124" s="21" t="s">
        <v>1048</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1009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1857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1018</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1137</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1737</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1097</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1015</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2203</v>
      </c>
      <c r="B4132" s="21" t="s">
        <v>1029</v>
      </c>
      <c r="C4132" s="21" t="s">
        <v>1013</v>
      </c>
      <c r="D4132" s="21" t="s">
        <v>1007</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1014</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1273</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1274</v>
      </c>
      <c r="B4135" s="21" t="s">
        <v>1033</v>
      </c>
      <c r="C4135" s="21" t="s">
        <v>1041</v>
      </c>
      <c r="D4135" s="21" t="s">
        <v>1007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1097</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1969</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1182</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102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2196</v>
      </c>
      <c r="B4140" s="21" t="s">
        <v>1187</v>
      </c>
      <c r="C4140" s="21" t="s">
        <v>1017</v>
      </c>
      <c r="D4140" s="21" t="s">
        <v>1007</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1018</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2204</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1065</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1224</v>
      </c>
      <c r="B4144" s="21" t="s">
        <v>1119</v>
      </c>
      <c r="C4144" s="21" t="s">
        <v>1082</v>
      </c>
      <c r="D4144" s="21" t="s">
        <v>1007</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1142</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1520</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2205</v>
      </c>
      <c r="B4147" s="21" t="s">
        <v>1029</v>
      </c>
      <c r="C4147" s="21" t="s">
        <v>1048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1018</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56</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1142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1679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1014</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2206</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1030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1020</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1129</v>
      </c>
      <c r="B4156" s="21" t="s">
        <v>1130</v>
      </c>
      <c r="C4156" s="21" t="s">
        <v>1059</v>
      </c>
      <c r="D4156" s="21" t="s">
        <v>1007</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2207</v>
      </c>
      <c r="B4157" s="21" t="s">
        <v>1064</v>
      </c>
      <c r="C4157" s="21" t="s">
        <v>1017</v>
      </c>
      <c r="D4157" s="21" t="s">
        <v>1007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1299</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1351</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1020</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1315</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822</v>
      </c>
      <c r="B4162" s="21" t="s">
        <v>1029</v>
      </c>
      <c r="C4162" s="21" t="s">
        <v>1017</v>
      </c>
      <c r="D4162" s="21" t="s">
        <v>1007</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1508</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1018</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1407</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1466</v>
      </c>
      <c r="B4167" s="21" t="s">
        <v>1029</v>
      </c>
      <c r="C4167" s="21" t="s">
        <v>1017</v>
      </c>
      <c r="D4167" s="21" t="s">
        <v>1007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2208</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1065</v>
      </c>
      <c r="B4169" s="21" t="s">
        <v>1120</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2209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1140</v>
      </c>
      <c r="B4171" s="21" t="s">
        <v>1064</v>
      </c>
      <c r="C4171" s="21" t="s">
        <v>1073</v>
      </c>
      <c r="D4171" s="21" t="s">
        <v>1007</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1018</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2210</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1014</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1015</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1554</v>
      </c>
      <c r="B4176" s="21" t="s">
        <v>1035</v>
      </c>
      <c r="C4176" s="21" t="s">
        <v>1017</v>
      </c>
      <c r="D4176" s="21" t="s">
        <v>1007</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1491</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1018</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1065</v>
      </c>
      <c r="B4179" s="21" t="s">
        <v>1120</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2211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1273</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1274</v>
      </c>
      <c r="B4182" s="21" t="s">
        <v>1064</v>
      </c>
      <c r="C4182" s="21" t="s">
        <v>1041</v>
      </c>
      <c r="D4182" s="21" t="s">
        <v>1007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1014</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2212</v>
      </c>
      <c r="B4184" s="21" t="s">
        <v>1130</v>
      </c>
      <c r="C4184" s="21" t="s">
        <v>1048</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56</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2213</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2214</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1023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row>
    <row r="4190" spans="1:12">
      <c r="A4190" s="20" t="s">
        <v>2215</v>
      </c>
    </row>
    <row r="4191" spans="1:12">
      <c r="A4191" s="20" t="s">
        <v>11</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576</v>
      </c>
      <c r="B4192" s="21" t="s">
        <v>1005</v>
      </c>
      <c r="C4192" s="21" t="s">
        <v>1017</v>
      </c>
      <c r="D4192" s="21" t="s">
        <v>1007</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1018</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1065</v>
      </c>
      <c r="B4194" s="21" t="s">
        <v>1154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2216</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1036</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238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2217</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1127</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1279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1063</v>
      </c>
      <c r="B4201" s="21" t="s">
        <v>1022</v>
      </c>
      <c r="C4201" s="21" t="s">
        <v>1041</v>
      </c>
      <c r="D4201" s="21" t="s">
        <v>1007</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1436</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56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1978</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2218</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1632</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1020</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238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1436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2219</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2220</v>
      </c>
      <c r="B4211" s="21" t="s">
        <v>1066</v>
      </c>
      <c r="C4211" s="21" t="s">
        <v>1013</v>
      </c>
      <c r="D4211" s="21" t="s">
        <v>1007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1014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1495</v>
      </c>
      <c r="B4213" s="21" t="s">
        <v>1042</v>
      </c>
      <c r="C4213" s="21" t="s">
        <v>1048</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1097</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2221</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1140</v>
      </c>
      <c r="B4216" s="21" t="s">
        <v>1253</v>
      </c>
      <c r="C4216" s="21" t="s">
        <v>1073</v>
      </c>
      <c r="D4216" s="21" t="s">
        <v>1007</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1023</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row>
    <row r="4219" spans="1:12">
      <c r="A4219" s="20" t="s">
        <v>2222</v>
      </c>
    </row>
    <row r="4220" spans="1:12">
      <c r="A4220" s="20" t="s">
        <v>2223</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2224</v>
      </c>
      <c r="B4221" s="21" t="s">
        <v>1050</v>
      </c>
      <c r="C4221" s="21" t="s">
        <v>1013</v>
      </c>
      <c r="D4221" s="21" t="s">
        <v>1007</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2225</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1014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1020</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2226</v>
      </c>
      <c r="B4225" s="21" t="s">
        <v>1022</v>
      </c>
      <c r="C4225" s="21" t="s">
        <v>1006</v>
      </c>
      <c r="D4225" s="21" t="s">
        <v>1007</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2227</v>
      </c>
      <c r="B4226" s="21" t="s">
        <v>1033</v>
      </c>
      <c r="C4226" s="21" t="s">
        <v>1006</v>
      </c>
      <c r="D4226" s="21" t="s">
        <v>1007</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1018</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1065</v>
      </c>
      <c r="B4228" s="21" t="s">
        <v>1120</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2228</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1295</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1027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2229</v>
      </c>
      <c r="B4232" s="21" t="s">
        <v>1064</v>
      </c>
      <c r="C4232" s="21" t="s">
        <v>1205</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1229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1018</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1481</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1065</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1273</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1274</v>
      </c>
      <c r="B4238" s="21" t="s">
        <v>1119</v>
      </c>
      <c r="C4238" s="21" t="s">
        <v>1041</v>
      </c>
      <c r="D4238" s="21" t="s">
        <v>1007</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1312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2230</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1056</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2124</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2166</v>
      </c>
      <c r="B4243" s="21" t="s">
        <v>1029</v>
      </c>
      <c r="C4243" s="21" t="s">
        <v>1111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2231</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1065</v>
      </c>
      <c r="B4245" s="21" t="s">
        <v>1120</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2232</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2233</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1020</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897</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1030</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1015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1318</v>
      </c>
      <c r="B4252" s="21" t="s">
        <v>1130</v>
      </c>
      <c r="C4252" s="21" t="s">
        <v>1006</v>
      </c>
      <c r="D4252" s="21" t="s">
        <v>1007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1319</v>
      </c>
      <c r="B4253" s="21" t="s">
        <v>1040</v>
      </c>
      <c r="C4253" s="21" t="s">
        <v>1006</v>
      </c>
      <c r="D4253" s="21" t="s">
        <v>1007</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1023</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row>
    <row r="4256" spans="1:12">
      <c r="A4256" s="20" t="s">
        <v>2234</v>
      </c>
    </row>
    <row r="4257" spans="1:12">
      <c r="A4257" s="20" t="s">
        <v>1198</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1018</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1075</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1151</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102</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2196</v>
      </c>
      <c r="B4262" s="21" t="s">
        <v>1005</v>
      </c>
      <c r="C4262" s="21" t="s">
        <v>1017</v>
      </c>
      <c r="D4262" s="21" t="s">
        <v>1007</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1065</v>
      </c>
      <c r="B4263" s="21" t="s">
        <v>1187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1438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1020</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2235</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1077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row>
    <row r="4269" spans="1:12">
      <c r="A4269" s="20" t="s">
        <v>2236</v>
      </c>
    </row>
    <row r="4270" spans="1:12">
      <c r="A4270" s="20" t="s">
        <v>2237</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1274</v>
      </c>
      <c r="B4271" s="21" t="s">
        <v>1050</v>
      </c>
      <c r="C4271" s="21" t="s">
        <v>1041</v>
      </c>
      <c r="D4271" s="21" t="s">
        <v>1007</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1520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1585</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2179</v>
      </c>
      <c r="B4274" s="21" t="s">
        <v>1085</v>
      </c>
      <c r="C4274" s="21" t="s">
        <v>1103</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1077</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row>
    <row r="4277" spans="1:12">
      <c r="A4277" s="20" t="s">
        <v>2238</v>
      </c>
    </row>
    <row r="4278" spans="1:12">
      <c r="A4278" s="20" t="s">
        <v>1991</v>
      </c>
      <c r="B4278" s="21" t="s">
        <v>1050</v>
      </c>
      <c r="C4278" s="21" t="s">
        <v>1082</v>
      </c>
      <c r="D4278" s="21" t="s">
        <v>1007</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2239</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1065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1142</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1018</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56</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1015</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2240</v>
      </c>
      <c r="B4285" s="21" t="s">
        <v>1120</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2241</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1014</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102</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1168</v>
      </c>
      <c r="B4289" s="21" t="s">
        <v>1064</v>
      </c>
      <c r="C4289" s="21" t="s">
        <v>1017</v>
      </c>
      <c r="D4289" s="21" t="s">
        <v>1007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1194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1255</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1490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1065</v>
      </c>
      <c r="B4293" s="21" t="s">
        <v>1029</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1142</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1023</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row>
    <row r="4297" spans="1:12">
      <c r="A4297" s="20" t="s">
        <v>2242</v>
      </c>
    </row>
    <row r="4298" spans="1:12">
      <c r="A4298" s="20" t="s">
        <v>1094</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1009</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2243</v>
      </c>
      <c r="B4300" s="21" t="s">
        <v>1050</v>
      </c>
      <c r="C4300" s="21" t="s">
        <v>1082</v>
      </c>
      <c r="D4300" s="21" t="s">
        <v>1007</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1948</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1065</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1224</v>
      </c>
      <c r="B4303" s="21" t="s">
        <v>1119</v>
      </c>
      <c r="C4303" s="21" t="s">
        <v>1082</v>
      </c>
      <c r="D4303" s="21" t="s">
        <v>1007</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1520</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1324</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2244</v>
      </c>
      <c r="B4306" s="21" t="s">
        <v>1029</v>
      </c>
      <c r="C4306" s="21" t="s">
        <v>1111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1286</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2245</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1014</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102</v>
      </c>
      <c r="B4310" s="21" t="s">
        <v>1040</v>
      </c>
      <c r="C4310" s="21" t="s">
        <v>1073</v>
      </c>
      <c r="D4310" s="21" t="s">
        <v>1007</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1065</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1020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2005</v>
      </c>
      <c r="B4313" s="21" t="s">
        <v>1035</v>
      </c>
      <c r="C4313" s="21" t="s">
        <v>1013</v>
      </c>
      <c r="D4313" s="21" t="s">
        <v>1007</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2195</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102</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2196</v>
      </c>
      <c r="B4316" s="21" t="s">
        <v>1130</v>
      </c>
      <c r="C4316" s="21" t="s">
        <v>1017</v>
      </c>
      <c r="D4316" s="21" t="s">
        <v>1007</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1077</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row>
    <row r="4319" spans="1:12">
      <c r="A4319" s="20" t="s">
        <v>2246</v>
      </c>
    </row>
    <row r="4320" spans="1:12">
      <c r="A4320" s="20" t="s">
        <v>1118</v>
      </c>
      <c r="B4320" s="21" t="s">
        <v>1119</v>
      </c>
      <c r="C4320" s="21" t="s">
        <v>1048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1009</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2247</v>
      </c>
      <c r="B4322" s="21" t="s">
        <v>1033</v>
      </c>
      <c r="C4322" s="21" t="s">
        <v>1006</v>
      </c>
      <c r="D4322" s="21" t="s">
        <v>1007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1018</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1142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2248</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1018</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1061</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2249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1077</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row>
    <row r="4331" spans="1:12">
      <c r="A4331" s="20" t="s">
        <v>2250</v>
      </c>
    </row>
    <row r="4332" spans="1:12">
      <c r="A4332" s="20" t="s">
        <v>1094</v>
      </c>
      <c r="B4332" s="21" t="s">
        <v>1005</v>
      </c>
      <c r="C4332" s="21" t="s">
        <v>1048</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1009</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2247</v>
      </c>
      <c r="B4334" s="21" t="s">
        <v>1005</v>
      </c>
      <c r="C4334" s="21" t="s">
        <v>1006</v>
      </c>
      <c r="D4334" s="21" t="s">
        <v>1007</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1023</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row>
    <row r="4337" spans="1:12">
      <c r="A4337" s="20" t="s">
        <v>2251</v>
      </c>
    </row>
    <row r="4338" spans="1:12">
      <c r="A4338" s="20" t="s">
        <v>2252</v>
      </c>
      <c r="B4338" s="21" t="s">
        <v>1005</v>
      </c>
      <c r="C4338" s="21" t="s">
        <v>1048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1065</v>
      </c>
      <c r="B4339" s="21" t="s">
        <v>1029</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1224</v>
      </c>
      <c r="B4340" s="21" t="s">
        <v>1119</v>
      </c>
      <c r="C4340" s="21" t="s">
        <v>1082</v>
      </c>
      <c r="D4340" s="21" t="s">
        <v>1007</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1520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1118</v>
      </c>
      <c r="B4342" s="21" t="s">
        <v>1022</v>
      </c>
      <c r="C4342" s="21" t="s">
        <v>1006</v>
      </c>
      <c r="D4342" s="21" t="s">
        <v>1007</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1009</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2253</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1023</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row>
    <row r="4347" spans="1:12">
      <c r="A4347" s="20" t="s">
        <v>1184</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2254</v>
      </c>
    </row>
    <row r="4349" spans="1:12">
      <c r="A4349" s="20" t="s">
        <v>11</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1478</v>
      </c>
      <c r="B4350" s="21" t="s">
        <v>1050</v>
      </c>
      <c r="C4350" s="21" t="s">
        <v>1013</v>
      </c>
      <c r="D4350" s="21" t="s">
        <v>1007</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1014</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2255</v>
      </c>
      <c r="B4352" s="21" t="s">
        <v>1022</v>
      </c>
      <c r="C4352" s="21" t="s">
        <v>1048</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1075</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1065</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102</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2196</v>
      </c>
      <c r="B4356" s="21" t="s">
        <v>1119</v>
      </c>
      <c r="C4356" s="21" t="s">
        <v>1017</v>
      </c>
      <c r="D4356" s="21" t="s">
        <v>1007</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1124</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1413</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2002</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102</v>
      </c>
      <c r="B4360" s="21" t="s">
        <v>1005</v>
      </c>
      <c r="C4360" s="21" t="s">
        <v>1073</v>
      </c>
      <c r="D4360" s="21" t="s">
        <v>1007</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1065</v>
      </c>
      <c r="B4361" s="21" t="s">
        <v>1187</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1669</v>
      </c>
      <c r="B4362" s="21" t="s">
        <v>1154</v>
      </c>
      <c r="C4362" s="21" t="s">
        <v>1082</v>
      </c>
      <c r="D4362" s="21" t="s">
        <v>1007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1018</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1030</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102</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1156</v>
      </c>
      <c r="B4366" s="21" t="s">
        <v>1033</v>
      </c>
      <c r="C4366" s="21" t="s">
        <v>1013</v>
      </c>
      <c r="D4366" s="21" t="s">
        <v>1007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1014</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1027</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1243</v>
      </c>
      <c r="B4369" s="21" t="s">
        <v>1035</v>
      </c>
      <c r="C4369" s="21" t="s">
        <v>1017</v>
      </c>
      <c r="D4369" s="21" t="s">
        <v>1007</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1018</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2256</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1324</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1189</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1586</v>
      </c>
      <c r="B4374" s="21" t="s">
        <v>1022</v>
      </c>
      <c r="C4374" s="21" t="s">
        <v>1013</v>
      </c>
      <c r="D4374" s="21" t="s">
        <v>1007</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1097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1020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2257</v>
      </c>
      <c r="B4377" s="21" t="s">
        <v>1033</v>
      </c>
      <c r="C4377" s="21" t="s">
        <v>1017</v>
      </c>
      <c r="D4377" s="21" t="s">
        <v>1007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1189</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1023</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row>
    <row r="4381" spans="1:12">
      <c r="A4381" s="20" t="s">
        <v>2258</v>
      </c>
    </row>
    <row r="4382" spans="1:12">
      <c r="A4382" s="20" t="s">
        <v>11</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2196</v>
      </c>
      <c r="B4383" s="21" t="s">
        <v>1050</v>
      </c>
      <c r="C4383" s="21" t="s">
        <v>1017</v>
      </c>
      <c r="D4383" s="21" t="s">
        <v>1007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1075</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1324</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193</v>
      </c>
      <c r="B4386" s="21" t="s">
        <v>1005</v>
      </c>
      <c r="C4386" s="21" t="s">
        <v>1111</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1065</v>
      </c>
      <c r="B4387" s="21" t="s">
        <v>1119</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2259</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1324</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1843</v>
      </c>
      <c r="B4390" s="21" t="s">
        <v>1029</v>
      </c>
      <c r="C4390" s="21" t="s">
        <v>1111</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2260</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1065</v>
      </c>
      <c r="B4392" s="21" t="s">
        <v>1120</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1425</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1065</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1027</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1172</v>
      </c>
      <c r="B4396" s="21" t="s">
        <v>1263</v>
      </c>
      <c r="C4396" s="21" t="s">
        <v>1017</v>
      </c>
      <c r="D4396" s="21" t="s">
        <v>1007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2261</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1020</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2262</v>
      </c>
      <c r="B4399" s="21" t="s">
        <v>1134</v>
      </c>
      <c r="C4399" s="21" t="s">
        <v>1013</v>
      </c>
      <c r="D4399" s="21" t="s">
        <v>1007</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1014</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2263</v>
      </c>
      <c r="B4401" s="21" t="s">
        <v>1040</v>
      </c>
      <c r="C4401" s="21" t="s">
        <v>1048</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56</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1274</v>
      </c>
      <c r="B4403" s="21" t="s">
        <v>1042</v>
      </c>
      <c r="C4403" s="21" t="s">
        <v>1048</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1065</v>
      </c>
      <c r="B4404" s="21" t="s">
        <v>1251</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1142</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2264</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1014</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1686</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2265</v>
      </c>
      <c r="B4409" s="21" t="s">
        <v>1042</v>
      </c>
      <c r="C4409" s="21" t="s">
        <v>1103</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1018</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1274</v>
      </c>
      <c r="B4411" s="21" t="s">
        <v>1253</v>
      </c>
      <c r="C4411" s="21" t="s">
        <v>1013</v>
      </c>
      <c r="D4411" s="21" t="s">
        <v>1007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1014</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1167</v>
      </c>
      <c r="B4414" s="21" t="s">
        <v>1044</v>
      </c>
      <c r="C4414" s="21" t="s">
        <v>1013</v>
      </c>
      <c r="D4414" s="21" t="s">
        <v>1007</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1014</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102</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2071</v>
      </c>
      <c r="B4417" s="21" t="s">
        <v>1215</v>
      </c>
      <c r="C4417" s="21" t="s">
        <v>1006</v>
      </c>
      <c r="D4417" s="21" t="s">
        <v>1007</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56</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1014</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102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2089</v>
      </c>
      <c r="B4421" s="21" t="s">
        <v>1217</v>
      </c>
      <c r="C4421" s="21" t="s">
        <v>1006</v>
      </c>
      <c r="D4421" s="21" t="s">
        <v>1007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1023</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row>
    <row r="4424" spans="1:12">
      <c r="A4424" s="20" t="s">
        <v>2266</v>
      </c>
    </row>
    <row r="4425" spans="1:12">
      <c r="A4425" s="20" t="s">
        <v>1400</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1211</v>
      </c>
      <c r="B4426" s="21" t="s">
        <v>1050</v>
      </c>
      <c r="C4426" s="21" t="s">
        <v>1006</v>
      </c>
      <c r="D4426" s="21" t="s">
        <v>1007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2267</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1273</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2263</v>
      </c>
      <c r="B4429" s="21" t="s">
        <v>1085</v>
      </c>
      <c r="C4429" s="21" t="s">
        <v>1041</v>
      </c>
      <c r="D4429" s="21" t="s">
        <v>1007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1030</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1015</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1240</v>
      </c>
      <c r="B4432" s="21" t="s">
        <v>1005</v>
      </c>
      <c r="C4432" s="21" t="s">
        <v>2268</v>
      </c>
      <c r="D4432" s="21" t="s">
        <v>1007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329</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1023</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row>
    <row r="4436" spans="1:12">
      <c r="A4436" s="20" t="s">
        <v>2269</v>
      </c>
    </row>
    <row r="4437" spans="1:12">
      <c r="A4437" s="20" t="s">
        <v>2270</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1020</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102</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2271</v>
      </c>
      <c r="B4440" s="21" t="s">
        <v>1085</v>
      </c>
      <c r="C4440" s="21" t="s">
        <v>1006</v>
      </c>
      <c r="D4440" s="21" t="s">
        <v>1007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1097</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2272</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1020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102</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576</v>
      </c>
      <c r="B4445" s="21" t="s">
        <v>1022</v>
      </c>
      <c r="C4445" s="21" t="s">
        <v>1017</v>
      </c>
      <c r="D4445" s="21" t="s">
        <v>1007</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56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444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1020</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1840</v>
      </c>
      <c r="B4449" s="21" t="s">
        <v>1029</v>
      </c>
      <c r="C4449" s="21" t="s">
        <v>1017</v>
      </c>
      <c r="D4449" s="21" t="s">
        <v>1007</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1023</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row>
    <row r="4452" spans="1:12">
      <c r="A4452" s="20" t="s">
        <v>2273</v>
      </c>
    </row>
    <row r="4453" spans="1:12">
      <c r="A4453" s="20" t="s">
        <v>11</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2271</v>
      </c>
      <c r="B4454" s="21" t="s">
        <v>1050</v>
      </c>
      <c r="C4454" s="21" t="s">
        <v>1006</v>
      </c>
      <c r="D4454" s="21" t="s">
        <v>1007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1397</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1020</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576</v>
      </c>
      <c r="B4457" s="21" t="s">
        <v>1005</v>
      </c>
      <c r="C4457" s="21" t="s">
        <v>1006</v>
      </c>
      <c r="D4457" s="21" t="s">
        <v>1007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56</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2274</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1020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1840</v>
      </c>
      <c r="B4461" s="21" t="s">
        <v>1029</v>
      </c>
      <c r="C4461" s="21" t="s">
        <v>1017</v>
      </c>
      <c r="D4461" s="21" t="s">
        <v>1007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1018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1330</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102</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576</v>
      </c>
      <c r="B4465" s="21" t="s">
        <v>1119</v>
      </c>
      <c r="C4465" s="21" t="s">
        <v>1017</v>
      </c>
      <c r="D4465" s="21" t="s">
        <v>1007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56</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102</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1344</v>
      </c>
      <c r="B4468" s="21" t="s">
        <v>1033</v>
      </c>
      <c r="C4468" s="21" t="s">
        <v>1017</v>
      </c>
      <c r="D4468" s="21" t="s">
        <v>1007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1194</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1481</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1065</v>
      </c>
      <c r="B4471" s="21" t="s">
        <v>1029</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1142</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1023</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row>
    <row r="4475" spans="1:12">
      <c r="A4475" s="20" t="s">
        <v>2275</v>
      </c>
    </row>
    <row r="4476" spans="1:12">
      <c r="A4476" s="20" t="s">
        <v>1722</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1065</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1142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2276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102</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1309</v>
      </c>
      <c r="B4481" s="21" t="s">
        <v>1029</v>
      </c>
      <c r="C4481" s="21" t="s">
        <v>1017</v>
      </c>
      <c r="D4481" s="21" t="s">
        <v>1007</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1097</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1020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2017</v>
      </c>
      <c r="B4484" s="21" t="s">
        <v>1022</v>
      </c>
      <c r="C4484" s="21" t="s">
        <v>1017</v>
      </c>
      <c r="D4484" s="21" t="s">
        <v>1007</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1023</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row>
    <row r="4487" spans="1:12">
      <c r="A4487" s="20" t="s">
        <v>2277</v>
      </c>
    </row>
    <row r="4488" spans="1:12">
      <c r="A4488" s="20" t="s">
        <v>1722</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1065</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1015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2278</v>
      </c>
      <c r="B4491" s="21" t="s">
        <v>1119</v>
      </c>
      <c r="C4491" s="21" t="s">
        <v>1013</v>
      </c>
      <c r="D4491" s="21" t="s">
        <v>1007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1097</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1020</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2021</v>
      </c>
      <c r="B4494" s="21" t="s">
        <v>1033</v>
      </c>
      <c r="C4494" s="21" t="s">
        <v>1017</v>
      </c>
      <c r="D4494" s="21" t="s">
        <v>1007</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2279</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1925</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1626</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1097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2280</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1015</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2281</v>
      </c>
      <c r="B4501" s="21" t="s">
        <v>1187</v>
      </c>
      <c r="C4501" s="21" t="s">
        <v>1017</v>
      </c>
      <c r="D4501" s="21" t="s">
        <v>1007</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1023</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row>
    <row r="4504" spans="1:12">
      <c r="A4504" s="20" t="s">
        <v>2282</v>
      </c>
    </row>
    <row r="4505" spans="1:12">
      <c r="A4505" s="20" t="s">
        <v>1136</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102</v>
      </c>
      <c r="B4506" s="21" t="s">
        <v>1050</v>
      </c>
      <c r="C4506" s="21" t="s">
        <v>1073</v>
      </c>
      <c r="D4506" s="21" t="s">
        <v>1007</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1065</v>
      </c>
      <c r="B4507" s="21" t="s">
        <v>1187</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1366</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1030</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1020</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1307</v>
      </c>
      <c r="B4511" s="21" t="s">
        <v>1033</v>
      </c>
      <c r="C4511" s="21" t="s">
        <v>1013</v>
      </c>
      <c r="D4511" s="21" t="s">
        <v>1007</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2152</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2153</v>
      </c>
      <c r="B4513" s="21" t="s">
        <v>1035</v>
      </c>
      <c r="C4513" s="21" t="s">
        <v>1006</v>
      </c>
      <c r="D4513" s="21" t="s">
        <v>1007</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1397</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1065</v>
      </c>
      <c r="B4515" s="21" t="s">
        <v>1050</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2283</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2284</v>
      </c>
      <c r="B4518" s="21" t="s">
        <v>1085</v>
      </c>
      <c r="C4518" s="21" t="s">
        <v>1017</v>
      </c>
      <c r="D4518" s="21" t="s">
        <v>1007</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56</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2283</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1020</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2285</v>
      </c>
      <c r="B4522" s="21" t="s">
        <v>1029</v>
      </c>
      <c r="C4522" s="21" t="s">
        <v>1013</v>
      </c>
      <c r="D4522" s="21" t="s">
        <v>1007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1014</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102</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2196</v>
      </c>
      <c r="B4525" s="21" t="s">
        <v>1033</v>
      </c>
      <c r="C4525" s="21" t="s">
        <v>1017</v>
      </c>
      <c r="D4525" s="21" t="s">
        <v>1007</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1097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2286</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1273</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1274</v>
      </c>
      <c r="B4529" s="21" t="s">
        <v>1187</v>
      </c>
      <c r="C4529" s="21" t="s">
        <v>1041</v>
      </c>
      <c r="D4529" s="21" t="s">
        <v>1007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1030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1923</v>
      </c>
      <c r="B4531" s="21" t="s">
        <v>1033</v>
      </c>
      <c r="C4531" s="21" t="s">
        <v>1048</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1266</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2287</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2262</v>
      </c>
      <c r="B4534" s="21" t="s">
        <v>1064</v>
      </c>
      <c r="C4534" s="21" t="s">
        <v>1013</v>
      </c>
      <c r="D4534" s="21" t="s">
        <v>1007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1014</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102</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576</v>
      </c>
      <c r="B4537" s="21" t="s">
        <v>1130</v>
      </c>
      <c r="C4537" s="21" t="s">
        <v>1017</v>
      </c>
      <c r="D4537" s="21" t="s">
        <v>1007</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1018</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1266</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320</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1020</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102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1344</v>
      </c>
      <c r="B4543" s="21" t="s">
        <v>1029</v>
      </c>
      <c r="C4543" s="21" t="s">
        <v>1017</v>
      </c>
      <c r="D4543" s="21" t="s">
        <v>1007</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1194</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1023</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row>
    <row r="4547" spans="1:12">
      <c r="A4547" s="20" t="s">
        <v>2288</v>
      </c>
    </row>
    <row r="4548" spans="1:12">
      <c r="A4548" s="20" t="s">
        <v>1449</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2195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1122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1167</v>
      </c>
      <c r="B4551" s="21" t="s">
        <v>1005</v>
      </c>
      <c r="C4551" s="21" t="s">
        <v>1041</v>
      </c>
      <c r="D4551" s="21" t="s">
        <v>1007</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1014</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1168</v>
      </c>
      <c r="B4553" s="21" t="s">
        <v>1022</v>
      </c>
      <c r="C4553" s="21" t="s">
        <v>1013</v>
      </c>
      <c r="D4553" s="21" t="s">
        <v>1007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1014</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1555</v>
      </c>
      <c r="B4555" s="21" t="s">
        <v>1033</v>
      </c>
      <c r="C4555" s="21" t="s">
        <v>1048</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1065</v>
      </c>
      <c r="B4556" s="21" t="s">
        <v>1066</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1669</v>
      </c>
      <c r="B4557" s="21" t="s">
        <v>1067</v>
      </c>
      <c r="C4557" s="21" t="s">
        <v>1082</v>
      </c>
      <c r="D4557" s="21" t="s">
        <v>1007</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1616</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1014</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2289</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1018</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1299</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2290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1020</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1873</v>
      </c>
      <c r="B4565" s="21" t="s">
        <v>1033</v>
      </c>
      <c r="C4565" s="21" t="s">
        <v>1059</v>
      </c>
      <c r="D4565" s="21" t="s">
        <v>1007</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1339</v>
      </c>
      <c r="B4566" s="21" t="s">
        <v>1029</v>
      </c>
      <c r="C4566" s="21" t="s">
        <v>1017</v>
      </c>
      <c r="D4566" s="21" t="s">
        <v>1007</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56</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1142</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2291</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1367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2179</v>
      </c>
      <c r="B4571" s="21" t="s">
        <v>1187</v>
      </c>
      <c r="C4571" s="21" t="s">
        <v>1205</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1030</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2292</v>
      </c>
      <c r="B4573" s="21" t="s">
        <v>1033</v>
      </c>
      <c r="C4573" s="21" t="s">
        <v>1048</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1023</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row>
    <row r="4576" spans="1:12">
      <c r="A4576" s="20" t="s">
        <v>2293</v>
      </c>
    </row>
    <row r="4577" spans="1:12">
      <c r="A4577" s="20" t="s">
        <v>1094</v>
      </c>
      <c r="B4577" s="21" t="s">
        <v>1005</v>
      </c>
      <c r="C4577" s="21" t="s">
        <v>1048</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1009</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2294</v>
      </c>
      <c r="B4579" s="21" t="s">
        <v>1005</v>
      </c>
      <c r="C4579" s="21" t="s">
        <v>1006</v>
      </c>
      <c r="D4579" s="21" t="s">
        <v>1007</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1018</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1693</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1163</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1036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1056</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1612</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1299</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2295</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1324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2059</v>
      </c>
      <c r="B4589" s="21" t="s">
        <v>1187</v>
      </c>
      <c r="C4589" s="21" t="s">
        <v>1013</v>
      </c>
      <c r="D4589" s="21" t="s">
        <v>1007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1286</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2296</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1097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1081</v>
      </c>
      <c r="B4593" s="21" t="s">
        <v>1035</v>
      </c>
      <c r="C4593" s="21" t="s">
        <v>1082</v>
      </c>
      <c r="D4593" s="21" t="s">
        <v>1007</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1018</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2297</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1014</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2196</v>
      </c>
      <c r="B4597" s="21" t="s">
        <v>1035</v>
      </c>
      <c r="C4597" s="21" t="s">
        <v>1048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1023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row>
    <row r="4600" spans="1:12">
      <c r="A4600" s="20" t="s">
        <v>2298</v>
      </c>
    </row>
    <row r="4601" spans="1:12">
      <c r="A4601" s="20" t="s">
        <v>1400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2066</v>
      </c>
      <c r="B4602" s="21" t="s">
        <v>1050</v>
      </c>
      <c r="C4602" s="21" t="s">
        <v>1013</v>
      </c>
      <c r="D4602" s="21" t="s">
        <v>1007</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1014</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1027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1172</v>
      </c>
      <c r="B4605" s="21" t="s">
        <v>1022</v>
      </c>
      <c r="C4605" s="21" t="s">
        <v>1017</v>
      </c>
      <c r="D4605" s="21" t="s">
        <v>1007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2299</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1020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1369</v>
      </c>
      <c r="B4608" s="21" t="s">
        <v>1085</v>
      </c>
      <c r="C4608" s="21" t="s">
        <v>1017</v>
      </c>
      <c r="D4608" s="21" t="s">
        <v>1007</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1030</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1065</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885</v>
      </c>
      <c r="B4611" s="21" t="s">
        <v>1154</v>
      </c>
      <c r="C4611" s="21" t="s">
        <v>1082</v>
      </c>
      <c r="D4611" s="21" t="s">
        <v>1007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1114</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2300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1978</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1018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1030</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1020</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1054</v>
      </c>
      <c r="B4618" s="21" t="s">
        <v>1033</v>
      </c>
      <c r="C4618" s="21" t="s">
        <v>1006</v>
      </c>
      <c r="D4618" s="21" t="s">
        <v>1007</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1018</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2301</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2302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1023</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row>
    <row r="4624" spans="1:12">
      <c r="A4624" s="20" t="s">
        <v>2303</v>
      </c>
    </row>
    <row r="4625" spans="1:12">
      <c r="A4625" s="20" t="s">
        <v>2304</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885</v>
      </c>
      <c r="B4626" s="21" t="s">
        <v>1050</v>
      </c>
      <c r="C4626" s="21" t="s">
        <v>1082</v>
      </c>
      <c r="D4626" s="21" t="s">
        <v>1007</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2305</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102</v>
      </c>
      <c r="B4628" s="21" t="s">
        <v>1085</v>
      </c>
      <c r="C4628" s="21" t="s">
        <v>1073</v>
      </c>
      <c r="D4628" s="21" t="s">
        <v>1007</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1065</v>
      </c>
      <c r="B4629" s="21" t="s">
        <v>1154</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2306</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1018</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1451</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102</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2307</v>
      </c>
      <c r="B4634" s="21" t="s">
        <v>1187</v>
      </c>
      <c r="C4634" s="21" t="s">
        <v>1017</v>
      </c>
      <c r="D4634" s="21" t="s">
        <v>1007</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1065</v>
      </c>
      <c r="B4635" s="21" t="s">
        <v>1263</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2308</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2309</v>
      </c>
      <c r="B4637" s="21" t="s">
        <v>1134</v>
      </c>
      <c r="C4637" s="21" t="s">
        <v>1006</v>
      </c>
      <c r="D4637" s="21" t="s">
        <v>1007</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2310</v>
      </c>
      <c r="B4638" s="21" t="s">
        <v>1040</v>
      </c>
      <c r="C4638" s="21" t="s">
        <v>1006</v>
      </c>
      <c r="D4638" s="21" t="s">
        <v>1007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1018</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1065</v>
      </c>
      <c r="B4640" s="21" t="s">
        <v>1251</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1978</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1114</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2088</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2311</v>
      </c>
      <c r="B4644" s="21" t="s">
        <v>1253</v>
      </c>
      <c r="C4644" s="21" t="s">
        <v>1006</v>
      </c>
      <c r="D4644" s="21" t="s">
        <v>1007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2310</v>
      </c>
      <c r="B4645" s="21" t="s">
        <v>1044</v>
      </c>
      <c r="C4645" s="21" t="s">
        <v>1006</v>
      </c>
      <c r="D4645" s="21" t="s">
        <v>1007</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1018</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56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1203</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1056</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2312</v>
      </c>
      <c r="B4650" s="21" t="s">
        <v>1487</v>
      </c>
      <c r="C4650" s="21" t="s">
        <v>1013</v>
      </c>
      <c r="D4650" s="21" t="s">
        <v>1007</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1030</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102</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2313</v>
      </c>
      <c r="B4653" s="21" t="s">
        <v>1215</v>
      </c>
      <c r="C4653" s="21" t="s">
        <v>1006</v>
      </c>
      <c r="D4653" s="21" t="s">
        <v>1007</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1065</v>
      </c>
      <c r="B4654" s="21" t="s">
        <v>2314</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1752</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1065</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1203</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1172</v>
      </c>
      <c r="B4658" s="21" t="s">
        <v>1789</v>
      </c>
      <c r="C4658" s="21" t="s">
        <v>1013</v>
      </c>
      <c r="D4658" s="21" t="s">
        <v>1007</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1030</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1020</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1242</v>
      </c>
      <c r="B4661" s="21" t="s">
        <v>2315</v>
      </c>
      <c r="C4661" s="21" t="s">
        <v>1013</v>
      </c>
      <c r="D4661" s="21" t="s">
        <v>1007</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1014</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1027</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1243</v>
      </c>
      <c r="B4664" s="21" t="s">
        <v>1792</v>
      </c>
      <c r="C4664" s="21" t="s">
        <v>1017</v>
      </c>
      <c r="D4664" s="21" t="s">
        <v>1007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1065</v>
      </c>
      <c r="B4665" s="21" t="s">
        <v>2316</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2317</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1068</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2318</v>
      </c>
      <c r="B4668" s="21" t="s">
        <v>2319</v>
      </c>
      <c r="C4668" s="21" t="s">
        <v>1082</v>
      </c>
      <c r="D4668" s="21" t="s">
        <v>1007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2320</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1023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row>
    <row r="4672" spans="1:12">
      <c r="A4672" s="20" t="s">
        <v>2321</v>
      </c>
    </row>
    <row r="4673" spans="1:12">
      <c r="A4673" s="20" t="s">
        <v>1524</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1075</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1065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2322</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1140</v>
      </c>
      <c r="B4677" s="21" t="s">
        <v>1085</v>
      </c>
      <c r="C4677" s="21" t="s">
        <v>1073</v>
      </c>
      <c r="D4677" s="21" t="s">
        <v>1007</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1077</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row>
    <row r="4680" spans="1:12">
      <c r="A4680" s="20" t="s">
        <v>2323</v>
      </c>
    </row>
    <row r="4681" spans="1:12">
      <c r="A4681" s="20" t="s">
        <v>1524</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1075</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1065</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1114</v>
      </c>
      <c r="B4684" s="21" t="s">
        <v>1119</v>
      </c>
      <c r="C4684" s="21" t="s">
        <v>1082</v>
      </c>
      <c r="D4684" s="21" t="s">
        <v>1007</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1051</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1020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1026</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1182</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102</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2324</v>
      </c>
      <c r="B4690" s="21" t="s">
        <v>1029</v>
      </c>
      <c r="C4690" s="21" t="s">
        <v>1017</v>
      </c>
      <c r="D4690" s="21" t="s">
        <v>1007</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1077</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row>
    <row r="4693" spans="1:12">
      <c r="A4693" s="20" t="s">
        <v>2325</v>
      </c>
    </row>
    <row r="4694" spans="1:12">
      <c r="A4694" s="20" t="s">
        <v>1118</v>
      </c>
      <c r="B4694" s="21" t="s">
        <v>1005</v>
      </c>
      <c r="C4694" s="21" t="s">
        <v>1048</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1009</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row>
    <row r="4697" spans="1:12">
      <c r="A4697" s="20" t="s">
        <v>2326</v>
      </c>
    </row>
    <row r="4698" spans="1:12">
      <c r="A4698" s="20" t="s">
        <v>1147</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1075</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1367</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2327</v>
      </c>
      <c r="B4701" s="21" t="s">
        <v>1005</v>
      </c>
      <c r="C4701" s="21" t="s">
        <v>1205</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1065</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1203</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1970</v>
      </c>
      <c r="B4704" s="21" t="s">
        <v>1187</v>
      </c>
      <c r="C4704" s="21" t="s">
        <v>1048</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1036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2328</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1065</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2317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137</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1133</v>
      </c>
      <c r="B4710" s="21" t="s">
        <v>1064</v>
      </c>
      <c r="C4710" s="21" t="s">
        <v>1082</v>
      </c>
      <c r="D4710" s="21" t="s">
        <v>1007</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2320</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1023</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row>
    <row r="4714" spans="1:12">
      <c r="A4714" s="20" t="s">
        <v>2329</v>
      </c>
    </row>
    <row r="4715" spans="1:12">
      <c r="A4715" s="20" t="s">
        <v>1991</v>
      </c>
      <c r="B4715" s="21" t="s">
        <v>1050</v>
      </c>
      <c r="C4715" s="21" t="s">
        <v>1082</v>
      </c>
      <c r="D4715" s="21" t="s">
        <v>1007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2330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2331</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1018</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1776</v>
      </c>
      <c r="B4719" s="21" t="s">
        <v>1005</v>
      </c>
      <c r="C4719" s="21" t="s">
        <v>1013</v>
      </c>
      <c r="D4719" s="21" t="s">
        <v>1007</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1266</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2332</v>
      </c>
      <c r="B4721" s="21" t="s">
        <v>1022</v>
      </c>
      <c r="C4721" s="21" t="s">
        <v>1048</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1018</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1065</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2333</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1357</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1015</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2334</v>
      </c>
      <c r="B4727" s="21" t="s">
        <v>1029</v>
      </c>
      <c r="C4727" s="21" t="s">
        <v>1017</v>
      </c>
      <c r="D4727" s="21" t="s">
        <v>1007</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1020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186</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1030</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102</v>
      </c>
      <c r="B4731" s="21" t="s">
        <v>1130</v>
      </c>
      <c r="C4731" s="21" t="s">
        <v>1073</v>
      </c>
      <c r="D4731" s="21" t="s">
        <v>1007</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1065</v>
      </c>
      <c r="B4732" s="21" t="s">
        <v>1130</v>
      </c>
      <c r="C4732" s="21" t="s">
        <v>1074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1075</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1065</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1283</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110</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1036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102</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1344</v>
      </c>
      <c r="B4739" s="21" t="s">
        <v>1134</v>
      </c>
      <c r="C4739" s="21" t="s">
        <v>1017</v>
      </c>
      <c r="D4739" s="21" t="s">
        <v>1007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1194</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1023</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row>
    <row r="4743" spans="1:12">
      <c r="A4743" s="20" t="s">
        <v>2335</v>
      </c>
    </row>
    <row r="4744" spans="1:12">
      <c r="A4744" s="20" t="s">
        <v>1147</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2058</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2336</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102</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2337</v>
      </c>
      <c r="B4748" s="21" t="s">
        <v>1033</v>
      </c>
      <c r="C4748" s="21" t="s">
        <v>1059</v>
      </c>
      <c r="D4748" s="21" t="s">
        <v>1007</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1168</v>
      </c>
      <c r="B4749" s="21" t="s">
        <v>1029</v>
      </c>
      <c r="C4749" s="21" t="s">
        <v>1017</v>
      </c>
      <c r="D4749" s="21" t="s">
        <v>1007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1023</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row>
    <row r="4752" spans="1:12">
      <c r="A4752" s="20" t="s">
        <v>2338</v>
      </c>
    </row>
    <row r="4753" spans="1:12">
      <c r="A4753" s="20" t="s">
        <v>1629</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2339</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102</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2337</v>
      </c>
      <c r="B4756" s="21" t="s">
        <v>1033</v>
      </c>
      <c r="C4756" s="21" t="s">
        <v>1059</v>
      </c>
      <c r="D4756" s="21" t="s">
        <v>1007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1168</v>
      </c>
      <c r="B4757" s="21" t="s">
        <v>1029</v>
      </c>
      <c r="C4757" s="21" t="s">
        <v>1017</v>
      </c>
      <c r="D4757" s="21" t="s">
        <v>1007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1023</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row>
    <row r="4760" spans="1:12">
      <c r="A4760" s="20" t="s">
        <v>1184</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2340</v>
      </c>
    </row>
    <row r="4762" spans="1:12">
      <c r="A4762" s="20" t="s">
        <v>1136</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102</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1801</v>
      </c>
      <c r="B4764" s="21" t="s">
        <v>1050</v>
      </c>
      <c r="C4764" s="21" t="s">
        <v>1017</v>
      </c>
      <c r="D4764" s="21" t="s">
        <v>1007</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1014</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1224</v>
      </c>
      <c r="B4766" s="21" t="s">
        <v>1154</v>
      </c>
      <c r="C4766" s="21" t="s">
        <v>1082</v>
      </c>
      <c r="D4766" s="21" t="s">
        <v>1007</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2341</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2342</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1020</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2343</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2344</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1015</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2345</v>
      </c>
      <c r="B4773" s="21" t="s">
        <v>1134</v>
      </c>
      <c r="C4773" s="21" t="s">
        <v>1017</v>
      </c>
      <c r="D4773" s="21" t="s">
        <v>1007</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2346</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1018</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1014</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2341</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2342</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1020</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2347</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1133</v>
      </c>
      <c r="B4781" s="21" t="s">
        <v>1253</v>
      </c>
      <c r="C4781" s="21" t="s">
        <v>1082</v>
      </c>
      <c r="D4781" s="21" t="s">
        <v>1007</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2348</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1266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1901</v>
      </c>
      <c r="B4784" s="21" t="s">
        <v>1044</v>
      </c>
      <c r="C4784" s="21" t="s">
        <v>1048</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470</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1056</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1469</v>
      </c>
      <c r="B4787" s="21" t="s">
        <v>1120</v>
      </c>
      <c r="C4787" s="21" t="s">
        <v>1111</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1018</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1164</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1063</v>
      </c>
      <c r="B4790" s="21" t="s">
        <v>1005</v>
      </c>
      <c r="C4790" s="21" t="s">
        <v>1048</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2195</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1027</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2100</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1178</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1065</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2289</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1290</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2021</v>
      </c>
      <c r="B4798" s="21" t="s">
        <v>1120</v>
      </c>
      <c r="C4798" s="21" t="s">
        <v>1048</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1018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56</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93</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1189</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1140</v>
      </c>
      <c r="B4803" s="21" t="s">
        <v>1066</v>
      </c>
      <c r="C4803" s="21" t="s">
        <v>1073</v>
      </c>
      <c r="D4803" s="21" t="s">
        <v>1007</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1142</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1075</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1704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1189</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1023</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row>
    <row r="4810" spans="1:12">
      <c r="A4810" s="20" t="s">
        <v>2349</v>
      </c>
    </row>
    <row r="4811" spans="1:12">
      <c r="A4811" s="20" t="s">
        <v>1147</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1145</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2350</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2351</v>
      </c>
      <c r="B4814" s="21" t="s">
        <v>1029</v>
      </c>
      <c r="C4814" s="21" t="s">
        <v>1048</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1023</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row>
    <row r="4817" spans="1:12">
      <c r="A4817" s="20" t="s">
        <v>2352</v>
      </c>
    </row>
    <row r="4818" spans="1:12">
      <c r="A4818" s="20" t="s">
        <v>1147</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1145</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2353</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102</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2354</v>
      </c>
      <c r="B4822" s="21" t="s">
        <v>1029</v>
      </c>
      <c r="C4822" s="21" t="s">
        <v>1017</v>
      </c>
      <c r="D4822" s="21" t="s">
        <v>1007</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1023</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row>
    <row r="4825" spans="1:12">
      <c r="A4825" s="20" t="s">
        <v>2355</v>
      </c>
    </row>
    <row r="4826" spans="1:12">
      <c r="A4826" s="20" t="s">
        <v>1175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1800</v>
      </c>
      <c r="B4827" s="21" t="s">
        <v>1085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102</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1065</v>
      </c>
      <c r="B4829" s="21" t="s">
        <v>1022</v>
      </c>
      <c r="C4829" s="21" t="s">
        <v>1073</v>
      </c>
      <c r="D4829" s="21" t="s">
        <v>1007</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1138</v>
      </c>
      <c r="B4830" s="21" t="s">
        <v>1050</v>
      </c>
      <c r="C4830" s="21" t="s">
        <v>1082</v>
      </c>
      <c r="D4830" s="21" t="s">
        <v>1007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149</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110</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1097</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1969</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1182</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1140</v>
      </c>
      <c r="B4836" s="21" t="s">
        <v>1064</v>
      </c>
      <c r="C4836" s="21" t="s">
        <v>1073</v>
      </c>
      <c r="D4836" s="21" t="s">
        <v>1007</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1018</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2356</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1182</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1433</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102</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2357</v>
      </c>
      <c r="B4842" s="21" t="s">
        <v>1033</v>
      </c>
      <c r="C4842" s="21" t="s">
        <v>1205</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1018</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1458</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1014</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1015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1292</v>
      </c>
      <c r="B4847" s="21" t="s">
        <v>1187</v>
      </c>
      <c r="C4847" s="21" t="s">
        <v>1017</v>
      </c>
      <c r="D4847" s="21" t="s">
        <v>1007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1023</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row>
    <row r="4850" spans="1:12">
      <c r="A4850" s="20" t="s">
        <v>2358</v>
      </c>
    </row>
    <row r="4851" spans="1:12">
      <c r="A4851" s="20" t="s">
        <v>1094</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1009</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2359</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1014</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864</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1585</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2360</v>
      </c>
      <c r="B4857" s="21" t="s">
        <v>1029</v>
      </c>
      <c r="C4857" s="21" t="s">
        <v>1013</v>
      </c>
      <c r="D4857" s="21" t="s">
        <v>1007</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1014</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1569</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822</v>
      </c>
      <c r="B4860" s="21" t="s">
        <v>1033</v>
      </c>
      <c r="C4860" s="21" t="s">
        <v>1041</v>
      </c>
      <c r="D4860" s="21" t="s">
        <v>1007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1299</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1386</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1065</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1203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2361</v>
      </c>
      <c r="B4865" s="21" t="s">
        <v>1064</v>
      </c>
      <c r="C4865" s="21" t="s">
        <v>1048</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1476</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2362</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1030</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1760</v>
      </c>
      <c r="B4869" s="21" t="s">
        <v>1035</v>
      </c>
      <c r="C4869" s="21" t="s">
        <v>1013</v>
      </c>
      <c r="D4869" s="21" t="s">
        <v>1007</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1020</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36</v>
      </c>
      <c r="B4871" s="21" t="s">
        <v>1130</v>
      </c>
      <c r="C4871" s="21" t="s">
        <v>1006</v>
      </c>
      <c r="D4871" s="21" t="s">
        <v>1007</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1043</v>
      </c>
      <c r="B4872" s="21" t="s">
        <v>1040</v>
      </c>
      <c r="C4872" s="21" t="s">
        <v>1006</v>
      </c>
      <c r="D4872" s="21" t="s">
        <v>1007</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1023</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row>
    <row r="4875" spans="1:12">
      <c r="A4875" s="20" t="s">
        <v>2363</v>
      </c>
    </row>
    <row r="4876" spans="1:12">
      <c r="A4876" s="20" t="s">
        <v>2364</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1065</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1520</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1027</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1749</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2365</v>
      </c>
      <c r="B4881" s="21" t="s">
        <v>1029</v>
      </c>
      <c r="C4881" s="21" t="s">
        <v>2268</v>
      </c>
      <c r="D4881" s="21" t="s">
        <v>1007</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2366</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1018</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2367</v>
      </c>
      <c r="B4884" s="21" t="s">
        <v>1033</v>
      </c>
      <c r="C4884" s="21" t="s">
        <v>1048</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1077</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row>
    <row r="4887" spans="1:12">
      <c r="A4887" s="20" t="s">
        <v>2368</v>
      </c>
    </row>
    <row r="4888" spans="1:12">
      <c r="A4888" s="20" t="s">
        <v>2369</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102</v>
      </c>
      <c r="B4889" s="21" t="s">
        <v>1154</v>
      </c>
      <c r="C4889" s="21" t="s">
        <v>1073</v>
      </c>
      <c r="D4889" s="21" t="s">
        <v>1007</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1065</v>
      </c>
      <c r="B4890" s="21" t="s">
        <v>1134</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1180</v>
      </c>
      <c r="B4891" s="21" t="s">
        <v>1263</v>
      </c>
      <c r="C4891" s="21" t="s">
        <v>1082</v>
      </c>
      <c r="D4891" s="21" t="s">
        <v>1007</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1930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1132</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1056</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2370</v>
      </c>
      <c r="B4895" s="21" t="s">
        <v>1130</v>
      </c>
      <c r="C4895" s="21" t="s">
        <v>1111</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1065</v>
      </c>
      <c r="B4896" s="21" t="s">
        <v>1251</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1018</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2371</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1018</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2372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1030</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2373</v>
      </c>
      <c r="B4902" s="21" t="s">
        <v>1042</v>
      </c>
      <c r="C4902" s="21" t="s">
        <v>1013</v>
      </c>
      <c r="D4902" s="21" t="s">
        <v>1007</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1020</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1638</v>
      </c>
      <c r="B4904" s="21" t="s">
        <v>1044</v>
      </c>
      <c r="C4904" s="21" t="s">
        <v>1006</v>
      </c>
      <c r="D4904" s="21" t="s">
        <v>1007</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1684</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2374</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2375</v>
      </c>
      <c r="B4907" s="21" t="s">
        <v>1487</v>
      </c>
      <c r="C4907" s="21" t="s">
        <v>1082</v>
      </c>
      <c r="D4907" s="21" t="s">
        <v>1007</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1132</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1056</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2370</v>
      </c>
      <c r="B4910" s="21" t="s">
        <v>1044</v>
      </c>
      <c r="C4910" s="21" t="s">
        <v>1111</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2371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2376</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1065</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1061</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2339</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1020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1638</v>
      </c>
      <c r="B4917" s="21" t="s">
        <v>1187</v>
      </c>
      <c r="C4917" s="21" t="s">
        <v>1006</v>
      </c>
      <c r="D4917" s="21" t="s">
        <v>1007</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56</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102</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1597</v>
      </c>
      <c r="B4920" s="21" t="s">
        <v>1035</v>
      </c>
      <c r="C4920" s="21" t="s">
        <v>1017</v>
      </c>
      <c r="D4920" s="21" t="s">
        <v>1007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1663</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1020</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1499</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2377</v>
      </c>
      <c r="B4924" s="21" t="s">
        <v>1040</v>
      </c>
      <c r="C4924" s="21" t="s">
        <v>1048</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1077</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row>
    <row r="4927" spans="1:12">
      <c r="A4927" s="20" t="s">
        <v>2378</v>
      </c>
    </row>
    <row r="4928" spans="1:12">
      <c r="A4928" s="20" t="s">
        <v>2099</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1027</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1749</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2365</v>
      </c>
      <c r="B4931" s="21" t="s">
        <v>1005</v>
      </c>
      <c r="C4931" s="21" t="s">
        <v>2268</v>
      </c>
      <c r="D4931" s="21" t="s">
        <v>1007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1065</v>
      </c>
      <c r="B4932" s="21" t="s">
        <v>1029</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1729</v>
      </c>
      <c r="B4933" s="21" t="s">
        <v>1119</v>
      </c>
      <c r="C4933" s="21" t="s">
        <v>1082</v>
      </c>
      <c r="D4933" s="21" t="s">
        <v>1007</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2379</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1023</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row>
    <row r="4937" spans="1:12">
      <c r="A4937" s="20" t="s">
        <v>2380</v>
      </c>
    </row>
    <row r="4938" spans="1:12">
      <c r="A4938" s="20" t="s">
        <v>1701</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2381</v>
      </c>
      <c r="B4939" s="21" t="s">
        <v>1085</v>
      </c>
      <c r="C4939" s="21" t="s">
        <v>1048</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1030</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137</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1149</v>
      </c>
      <c r="B4942" s="21" t="s">
        <v>1119</v>
      </c>
      <c r="C4942" s="21" t="s">
        <v>1074</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1051</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2382</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1020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2383</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1036</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1020</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1315</v>
      </c>
      <c r="B4949" s="21" t="s">
        <v>1033</v>
      </c>
      <c r="C4949" s="21" t="s">
        <v>1017</v>
      </c>
      <c r="D4949" s="21" t="s">
        <v>1007</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1018</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1684</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1070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1018</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1065</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1075</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1056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2370</v>
      </c>
      <c r="B4957" s="21" t="s">
        <v>1033</v>
      </c>
      <c r="C4957" s="21" t="s">
        <v>1111</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2384</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1077</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row>
    <row r="4961" spans="1:12">
      <c r="A4961" s="20" t="s">
        <v>2385</v>
      </c>
    </row>
    <row r="4962" spans="1:12">
      <c r="A4962" s="20" t="s">
        <v>1259</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1459</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2386</v>
      </c>
      <c r="B4964" s="21" t="s">
        <v>1085</v>
      </c>
      <c r="C4964" s="21" t="s">
        <v>1103</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1030</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102</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2387</v>
      </c>
      <c r="B4967" s="21" t="s">
        <v>1005</v>
      </c>
      <c r="C4967" s="21" t="s">
        <v>1017</v>
      </c>
      <c r="D4967" s="21" t="s">
        <v>1007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1023</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row>
    <row r="4970" spans="1:12">
      <c r="A4970" s="20" t="s">
        <v>2388</v>
      </c>
    </row>
    <row r="4971" spans="1:12">
      <c r="A4971" s="20" t="s">
        <v>1562</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2386</v>
      </c>
      <c r="B4972" s="21" t="s">
        <v>1005</v>
      </c>
      <c r="C4972" s="21" t="s">
        <v>1013</v>
      </c>
      <c r="D4972" s="21" t="s">
        <v>1007</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1030</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102</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2387</v>
      </c>
      <c r="B4975" s="21" t="s">
        <v>1005</v>
      </c>
      <c r="C4975" s="21" t="s">
        <v>1017</v>
      </c>
      <c r="D4975" s="21" t="s">
        <v>1007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1023</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row>
    <row r="4978" spans="1:12">
      <c r="A4978" s="20" t="s">
        <v>2389</v>
      </c>
    </row>
    <row r="4979" spans="1:12">
      <c r="A4979" s="20" t="s">
        <v>1449</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2390</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2391</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1020</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705</v>
      </c>
      <c r="B4983" s="21" t="s">
        <v>1029</v>
      </c>
      <c r="C4983" s="21" t="s">
        <v>1017</v>
      </c>
      <c r="D4983" s="21" t="s">
        <v>1007</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1030</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102</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2387</v>
      </c>
      <c r="B4986" s="21" t="s">
        <v>1022</v>
      </c>
      <c r="C4986" s="21" t="s">
        <v>1017</v>
      </c>
      <c r="D4986" s="21" t="s">
        <v>1007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1137</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102</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1034</v>
      </c>
      <c r="B4989" s="21" t="s">
        <v>1154</v>
      </c>
      <c r="C4989" s="21" t="s">
        <v>1017</v>
      </c>
      <c r="D4989" s="21" t="s">
        <v>1007</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1051</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1116</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1163</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1020</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1020</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1873</v>
      </c>
      <c r="B4995" s="21" t="s">
        <v>1035</v>
      </c>
      <c r="C4995" s="21" t="s">
        <v>1059</v>
      </c>
      <c r="D4995" s="21" t="s">
        <v>1007</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1160</v>
      </c>
      <c r="B4996" s="21" t="s">
        <v>1033</v>
      </c>
      <c r="C4996" s="21" t="s">
        <v>1017</v>
      </c>
      <c r="D4996" s="21" t="s">
        <v>1007</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1018</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1330</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1138</v>
      </c>
      <c r="B4999" s="21" t="s">
        <v>1119</v>
      </c>
      <c r="C4999" s="21" t="s">
        <v>1082</v>
      </c>
      <c r="D4999" s="21" t="s">
        <v>1007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2392</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1020</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1068</v>
      </c>
      <c r="B5002" s="21" t="s">
        <v>1005</v>
      </c>
      <c r="C5002" s="21" t="s">
        <v>1013</v>
      </c>
      <c r="D5002" s="21" t="s">
        <v>1007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1631</v>
      </c>
      <c r="B5003" s="21" t="s">
        <v>1022</v>
      </c>
      <c r="C5003" s="21" t="s">
        <v>1082</v>
      </c>
      <c r="D5003" s="21" t="s">
        <v>1007</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1023</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row>
    <row r="5006" spans="1:12">
      <c r="A5006" s="20" t="s">
        <v>2325</v>
      </c>
    </row>
    <row r="5007" spans="1:12">
      <c r="A5007" s="20" t="s">
        <v>1118</v>
      </c>
      <c r="B5007" s="21" t="s">
        <v>1005</v>
      </c>
      <c r="C5007" s="21" t="s">
        <v>1048</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1009</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row>
    <row r="5010" spans="1:12">
      <c r="A5010" s="20" t="s">
        <v>2393</v>
      </c>
    </row>
    <row r="5011" spans="1:12">
      <c r="A5011" s="20" t="s">
        <v>1991</v>
      </c>
      <c r="B5011" s="21" t="s">
        <v>1050</v>
      </c>
      <c r="C5011" s="21" t="s">
        <v>1082</v>
      </c>
      <c r="D5011" s="21" t="s">
        <v>1007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1255</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715</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1023</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row>
    <row r="5016" spans="1:12">
      <c r="A5016" s="20" t="s">
        <v>2394</v>
      </c>
    </row>
    <row r="5017" spans="1:12">
      <c r="A5017" s="20" t="s">
        <v>1094</v>
      </c>
      <c r="B5017" s="21" t="s">
        <v>1005</v>
      </c>
      <c r="C5017" s="21" t="s">
        <v>1048</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1009</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1175</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1149</v>
      </c>
      <c r="B5020" s="21" t="s">
        <v>1119</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1051</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1020</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2395</v>
      </c>
      <c r="B5023" s="21" t="s">
        <v>1005</v>
      </c>
      <c r="C5023" s="21" t="s">
        <v>1013</v>
      </c>
      <c r="D5023" s="21" t="s">
        <v>1007</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1014</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1020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2396</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2397</v>
      </c>
      <c r="B5027" s="21" t="s">
        <v>1022</v>
      </c>
      <c r="C5027" s="21" t="s">
        <v>1017</v>
      </c>
      <c r="D5027" s="21" t="s">
        <v>1007</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1018</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1684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1070</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1018</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1056</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2370</v>
      </c>
      <c r="B5033" s="21" t="s">
        <v>1033</v>
      </c>
      <c r="C5033" s="21" t="s">
        <v>1111</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2371</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2376</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1077</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row>
    <row r="5038" spans="1:12">
      <c r="A5038" s="20" t="s">
        <v>2398</v>
      </c>
    </row>
    <row r="5039" spans="1:12">
      <c r="A5039" s="20" t="s">
        <v>1861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1065</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1075</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2399</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93</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1065</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1203</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1102</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1172</v>
      </c>
      <c r="B5047" s="21" t="s">
        <v>1064</v>
      </c>
      <c r="C5047" s="21" t="s">
        <v>1103</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1065</v>
      </c>
      <c r="B5048" s="21" t="s">
        <v>1067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1142</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2400</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1020</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705</v>
      </c>
      <c r="B5052" s="21" t="s">
        <v>1066</v>
      </c>
      <c r="C5052" s="21" t="s">
        <v>1017</v>
      </c>
      <c r="D5052" s="21" t="s">
        <v>1007</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1023</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row>
    <row r="5055" spans="1:12">
      <c r="A5055" s="20" t="s">
        <v>2401</v>
      </c>
    </row>
    <row r="5056" spans="1:12">
      <c r="A5056" s="20" t="s">
        <v>1962</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1065</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2054</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1387</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1020</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186</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1299</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1133</v>
      </c>
      <c r="B5063" s="21" t="s">
        <v>1154</v>
      </c>
      <c r="C5063" s="21" t="s">
        <v>1082</v>
      </c>
      <c r="D5063" s="21" t="s">
        <v>1007</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1763</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1065</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102</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1123</v>
      </c>
      <c r="B5067" s="21" t="s">
        <v>1120</v>
      </c>
      <c r="C5067" s="21" t="s">
        <v>1013</v>
      </c>
      <c r="D5067" s="21" t="s">
        <v>1007</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1020</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1020</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2078</v>
      </c>
      <c r="B5070" s="21" t="s">
        <v>1040</v>
      </c>
      <c r="C5070" s="21" t="s">
        <v>1059</v>
      </c>
      <c r="D5070" s="21" t="s">
        <v>1007</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2402</v>
      </c>
      <c r="B5071" s="21" t="s">
        <v>1130</v>
      </c>
      <c r="C5071" s="21" t="s">
        <v>1017</v>
      </c>
      <c r="D5071" s="21" t="s">
        <v>1007</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1142</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1114</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2403</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1014</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2404</v>
      </c>
      <c r="B5076" s="21" t="s">
        <v>1064</v>
      </c>
      <c r="C5076" s="21" t="s">
        <v>1013</v>
      </c>
      <c r="D5076" s="21" t="s">
        <v>1007</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1182</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1027</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2405</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1574</v>
      </c>
      <c r="B5080" s="21" t="s">
        <v>1130</v>
      </c>
      <c r="C5080" s="21" t="s">
        <v>1017</v>
      </c>
      <c r="D5080" s="21" t="s">
        <v>1007</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2406</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1023</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row>
    <row r="5084" spans="1:12">
      <c r="A5084" s="20" t="s">
        <v>2407</v>
      </c>
    </row>
    <row r="5085" spans="1:12">
      <c r="A5085" s="20" t="s">
        <v>1147</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1075</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1324</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1144</v>
      </c>
      <c r="B5088" s="21" t="s">
        <v>1005</v>
      </c>
      <c r="C5088" s="21" t="s">
        <v>1013</v>
      </c>
      <c r="D5088" s="21" t="s">
        <v>1007</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1014</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2408</v>
      </c>
      <c r="B5090" s="21" t="s">
        <v>1005</v>
      </c>
      <c r="C5090" s="21" t="s">
        <v>1048</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1684</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1014</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2409</v>
      </c>
      <c r="B5093" s="21" t="s">
        <v>1022</v>
      </c>
      <c r="C5093" s="21" t="s">
        <v>1048</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1018</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1142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1114</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2075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1014</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238</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2410</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1018</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2411</v>
      </c>
      <c r="B5102" s="21" t="s">
        <v>1033</v>
      </c>
      <c r="C5102" s="21" t="s">
        <v>1048</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1018</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1684</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1142</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1023</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row>
    <row r="5108" spans="1:12">
      <c r="A5108" s="20" t="s">
        <v>2412</v>
      </c>
    </row>
    <row r="5109" spans="1:12">
      <c r="A5109" s="20" t="s">
        <v>2413</v>
      </c>
      <c r="B5109" s="21" t="s">
        <v>1050</v>
      </c>
      <c r="C5109" s="21" t="s">
        <v>1013</v>
      </c>
      <c r="D5109" s="21" t="s">
        <v>1007</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1014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1604</v>
      </c>
      <c r="B5111" s="21" t="s">
        <v>1022</v>
      </c>
      <c r="C5111" s="21" t="s">
        <v>1082</v>
      </c>
      <c r="D5111" s="21" t="s">
        <v>1007</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1075</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2414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1324</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1144</v>
      </c>
      <c r="B5115" s="21" t="s">
        <v>1005</v>
      </c>
      <c r="C5115" s="21" t="s">
        <v>1111</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2415</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1023</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row>
    <row r="5119" spans="1:12">
      <c r="A5119" s="20" t="s">
        <v>2416</v>
      </c>
    </row>
    <row r="5120" spans="1:12">
      <c r="A5120" s="20" t="s">
        <v>2417</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1410</v>
      </c>
      <c r="B5121" s="21" t="s">
        <v>1085</v>
      </c>
      <c r="C5121" s="21" t="s">
        <v>1013</v>
      </c>
      <c r="D5121" s="21" t="s">
        <v>1007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1014</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1324</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808</v>
      </c>
      <c r="B5124" s="21" t="s">
        <v>1022</v>
      </c>
      <c r="C5124" s="21" t="s">
        <v>1111</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1065</v>
      </c>
      <c r="B5125" s="21" t="s">
        <v>1120</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2418</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1182</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1020</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1021</v>
      </c>
      <c r="B5129" s="21" t="s">
        <v>1035</v>
      </c>
      <c r="C5129" s="21" t="s">
        <v>1006</v>
      </c>
      <c r="D5129" s="21" t="s">
        <v>1007</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1018</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56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1763</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1065</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1030</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1015</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2419</v>
      </c>
      <c r="B5136" s="21" t="s">
        <v>1033</v>
      </c>
      <c r="C5136" s="21" t="s">
        <v>1013</v>
      </c>
      <c r="D5136" s="21" t="s">
        <v>1007</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1020</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1056</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1692</v>
      </c>
      <c r="B5139" s="21" t="s">
        <v>1035</v>
      </c>
      <c r="C5139" s="21" t="s">
        <v>1111</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2414</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2420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1137</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2204</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110</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1921</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193</v>
      </c>
      <c r="B5146" s="21" t="s">
        <v>1066</v>
      </c>
      <c r="C5146" s="21" t="s">
        <v>1103</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1065</v>
      </c>
      <c r="B5147" s="21" t="s">
        <v>1487</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2421</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2422</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2336</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1020</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1021</v>
      </c>
      <c r="B5152" s="21" t="s">
        <v>1187</v>
      </c>
      <c r="C5152" s="21" t="s">
        <v>1006</v>
      </c>
      <c r="D5152" s="21" t="s">
        <v>1007</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1023</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row>
    <row r="5155" spans="1:12">
      <c r="A5155" s="20" t="s">
        <v>2423</v>
      </c>
    </row>
    <row r="5156" spans="1:12">
      <c r="A5156" s="20" t="s">
        <v>2424</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1030</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1284</v>
      </c>
      <c r="B5158" s="21" t="s">
        <v>1005</v>
      </c>
      <c r="C5158" s="21" t="s">
        <v>1073</v>
      </c>
      <c r="D5158" s="21" t="s">
        <v>1007</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1587</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2109</v>
      </c>
      <c r="B5160" s="21" t="s">
        <v>1050</v>
      </c>
      <c r="C5160" s="21" t="s">
        <v>1103</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1077</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row>
    <row r="5163" spans="1:12">
      <c r="A5163" s="20" t="s">
        <v>2425</v>
      </c>
    </row>
    <row r="5164" spans="1:12">
      <c r="A5164" s="20" t="s">
        <v>1118</v>
      </c>
      <c r="B5164" s="21" t="s">
        <v>1005</v>
      </c>
      <c r="C5164" s="21" t="s">
        <v>1048</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1009</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1259</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1023</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row>
    <row r="5169" spans="1:12">
      <c r="A5169" s="20" t="s">
        <v>2426</v>
      </c>
    </row>
    <row r="5170" spans="1:12">
      <c r="A5170" s="20" t="s">
        <v>1962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1065</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1075</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2109</v>
      </c>
      <c r="B5173" s="21" t="s">
        <v>1005</v>
      </c>
      <c r="C5173" s="21" t="s">
        <v>1048</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1023</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row>
    <row r="5176" spans="1:12">
      <c r="A5176" s="20" t="s">
        <v>2427</v>
      </c>
    </row>
    <row r="5177" spans="1:12">
      <c r="A5177" s="20" t="s">
        <v>1088</v>
      </c>
      <c r="B5177" s="21" t="s">
        <v>1050</v>
      </c>
      <c r="C5177" s="21" t="s">
        <v>1073</v>
      </c>
      <c r="D5177" s="21" t="s">
        <v>1007</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1142</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1075</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1324</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1144</v>
      </c>
      <c r="B5181" s="21" t="s">
        <v>1005</v>
      </c>
      <c r="C5181" s="21" t="s">
        <v>1013</v>
      </c>
      <c r="D5181" s="21" t="s">
        <v>1007</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1014</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2408</v>
      </c>
      <c r="B5183" s="21" t="s">
        <v>1005</v>
      </c>
      <c r="C5183" s="21" t="s">
        <v>1048</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1684</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1014</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2409</v>
      </c>
      <c r="B5186" s="21" t="s">
        <v>1005</v>
      </c>
      <c r="C5186" s="21" t="s">
        <v>1048</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1023</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row>
    <row r="5189" spans="1:12">
      <c r="A5189" s="20" t="s">
        <v>2428</v>
      </c>
    </row>
    <row r="5190" spans="1:12">
      <c r="A5190" s="20" t="s">
        <v>1879</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1617</v>
      </c>
      <c r="B5191" s="21" t="s">
        <v>1022</v>
      </c>
      <c r="C5191" s="21" t="s">
        <v>1059</v>
      </c>
      <c r="D5191" s="21" t="s">
        <v>1007</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2429</v>
      </c>
      <c r="B5192" s="21" t="s">
        <v>1050</v>
      </c>
      <c r="C5192" s="21" t="s">
        <v>1017</v>
      </c>
      <c r="D5192" s="21" t="s">
        <v>1007</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2430</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1436</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56</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1137</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2239</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1617</v>
      </c>
      <c r="B5198" s="21" t="s">
        <v>1033</v>
      </c>
      <c r="C5198" s="21" t="s">
        <v>1059</v>
      </c>
      <c r="D5198" s="21" t="s">
        <v>1007</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1018</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1142</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1133</v>
      </c>
      <c r="B5201" s="21" t="s">
        <v>1187</v>
      </c>
      <c r="C5201" s="21" t="s">
        <v>1082</v>
      </c>
      <c r="D5201" s="21" t="s">
        <v>1007</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2431</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2432</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1020</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1015</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1758</v>
      </c>
      <c r="B5206" s="21" t="s">
        <v>1033</v>
      </c>
      <c r="C5206" s="21" t="s">
        <v>1017</v>
      </c>
      <c r="D5206" s="21" t="s">
        <v>1007</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1018</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2431</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1133</v>
      </c>
      <c r="B5209" s="21" t="s">
        <v>1085</v>
      </c>
      <c r="C5209" s="21" t="s">
        <v>1082</v>
      </c>
      <c r="D5209" s="21" t="s">
        <v>1007</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1020</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1295</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1027</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1172</v>
      </c>
      <c r="B5213" s="21" t="s">
        <v>1085</v>
      </c>
      <c r="C5213" s="21" t="s">
        <v>1013</v>
      </c>
      <c r="D5213" s="21" t="s">
        <v>1007</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1030</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102</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1156</v>
      </c>
      <c r="B5216" s="21" t="s">
        <v>1022</v>
      </c>
      <c r="C5216" s="21" t="s">
        <v>1017</v>
      </c>
      <c r="D5216" s="21" t="s">
        <v>1007</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1436</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1142</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1164</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1324</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1144</v>
      </c>
      <c r="B5221" s="21" t="s">
        <v>1005</v>
      </c>
      <c r="C5221" s="21" t="s">
        <v>1111</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2433</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1023</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row>
    <row r="5225" spans="1:12">
      <c r="A5225" s="20" t="s">
        <v>2434</v>
      </c>
    </row>
    <row r="5226" spans="1:12">
      <c r="A5226" s="20" t="s">
        <v>2099</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1063</v>
      </c>
      <c r="B5227" s="21" t="s">
        <v>1005</v>
      </c>
      <c r="C5227" s="21" t="s">
        <v>1048</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1030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1065</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1083</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1020</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1084</v>
      </c>
      <c r="B5232" s="21" t="s">
        <v>1119</v>
      </c>
      <c r="C5232" s="21" t="s">
        <v>1086</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2435</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1018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56</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2436</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1321</v>
      </c>
      <c r="B5237" s="21" t="s">
        <v>1029</v>
      </c>
      <c r="C5237" s="21" t="s">
        <v>1082</v>
      </c>
      <c r="D5237" s="21" t="s">
        <v>1007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1020</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1357</v>
      </c>
      <c r="B5239" s="21" t="s">
        <v>1029</v>
      </c>
      <c r="C5239" s="21" t="s">
        <v>1358</v>
      </c>
      <c r="D5239" s="21" t="s">
        <v>1007</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1669</v>
      </c>
      <c r="B5240" s="21" t="s">
        <v>1064</v>
      </c>
      <c r="C5240" s="21" t="s">
        <v>1082</v>
      </c>
      <c r="D5240" s="21" t="s">
        <v>1007</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2437</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1631</v>
      </c>
      <c r="B5242" s="21" t="s">
        <v>1064</v>
      </c>
      <c r="C5242" s="21" t="s">
        <v>1082</v>
      </c>
      <c r="D5242" s="21" t="s">
        <v>1007</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1018</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56</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1020</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1027</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1172</v>
      </c>
      <c r="B5247" s="21" t="s">
        <v>1035</v>
      </c>
      <c r="C5247" s="21" t="s">
        <v>1017</v>
      </c>
      <c r="D5247" s="21" t="s">
        <v>1007</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1065</v>
      </c>
      <c r="B5248" s="21" t="s">
        <v>1067</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2438</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56</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2439</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1014</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1324</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1021</v>
      </c>
      <c r="B5254" s="21" t="s">
        <v>1253</v>
      </c>
      <c r="C5254" s="21" t="s">
        <v>1006</v>
      </c>
      <c r="D5254" s="21" t="s">
        <v>1007</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1507</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56</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1508</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1023</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row>
    <row r="5260" spans="1:12">
      <c r="A5260" s="20" t="s">
        <v>2440</v>
      </c>
    </row>
    <row r="5261" spans="1:12">
      <c r="A5261" s="20" t="s">
        <v>2441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1321</v>
      </c>
      <c r="B5262" s="21" t="s">
        <v>1085</v>
      </c>
      <c r="C5262" s="21" t="s">
        <v>1082</v>
      </c>
      <c r="D5262" s="21" t="s">
        <v>1007</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1020</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1669</v>
      </c>
      <c r="B5264" s="21" t="s">
        <v>1119</v>
      </c>
      <c r="C5264" s="21" t="s">
        <v>1082</v>
      </c>
      <c r="D5264" s="21" t="s">
        <v>1007</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2442</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1143</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1322</v>
      </c>
      <c r="B5267" s="21" t="s">
        <v>1029</v>
      </c>
      <c r="C5267" s="21" t="s">
        <v>1041</v>
      </c>
      <c r="D5267" s="21" t="s">
        <v>1007</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1018</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1097</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1065</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1020</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2443</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808</v>
      </c>
      <c r="B5273" s="21" t="s">
        <v>1154</v>
      </c>
      <c r="C5273" s="21" t="s">
        <v>1013</v>
      </c>
      <c r="D5273" s="21" t="s">
        <v>1007</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1014</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1604</v>
      </c>
      <c r="B5275" s="21" t="s">
        <v>1035</v>
      </c>
      <c r="C5275" s="21" t="s">
        <v>1082</v>
      </c>
      <c r="D5275" s="21" t="s">
        <v>1007</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2444</v>
      </c>
      <c r="B5276" s="21" t="s">
        <v>1022</v>
      </c>
      <c r="C5276" s="21" t="s">
        <v>1048</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1023</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row>
    <row r="5279" spans="1:12">
      <c r="A5279" s="20" t="s">
        <v>2445</v>
      </c>
    </row>
    <row r="5280" spans="1:12">
      <c r="A5280" s="20" t="s">
        <v>1175</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1114</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1142</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2446</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1027</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1063</v>
      </c>
      <c r="B5285" s="21" t="s">
        <v>1085</v>
      </c>
      <c r="C5285" s="21" t="s">
        <v>1017</v>
      </c>
      <c r="D5285" s="21" t="s">
        <v>1007</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1018</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1114</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1142</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1030</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1015</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2447</v>
      </c>
      <c r="B5291" s="21" t="s">
        <v>1005</v>
      </c>
      <c r="C5291" s="21" t="s">
        <v>1017</v>
      </c>
      <c r="D5291" s="21" t="s">
        <v>1007</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1097</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110</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1027</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2448</v>
      </c>
      <c r="B5295" s="21" t="s">
        <v>1187</v>
      </c>
      <c r="C5295" s="21" t="s">
        <v>1017</v>
      </c>
      <c r="D5295" s="21" t="s">
        <v>1007</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1065</v>
      </c>
      <c r="B5296" s="21" t="s">
        <v>1263</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1075</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1250</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110</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1097</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2449</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1324</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1021</v>
      </c>
      <c r="B5303" s="21" t="s">
        <v>1253</v>
      </c>
      <c r="C5303" s="21" t="s">
        <v>1006</v>
      </c>
      <c r="D5303" s="21" t="s">
        <v>1007</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1999</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1018</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1142</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2432</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1097</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1669</v>
      </c>
      <c r="B5309" s="21" t="s">
        <v>1253</v>
      </c>
      <c r="C5309" s="21" t="s">
        <v>1082</v>
      </c>
      <c r="D5309" s="21" t="s">
        <v>1007</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1018</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1330</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1097</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1083</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1020</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1084</v>
      </c>
      <c r="B5315" s="21" t="s">
        <v>2314</v>
      </c>
      <c r="C5315" s="21" t="s">
        <v>1086</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1018</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1583</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2450</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1140</v>
      </c>
      <c r="B5319" s="21" t="s">
        <v>2451</v>
      </c>
      <c r="C5319" s="21" t="s">
        <v>1073</v>
      </c>
      <c r="D5319" s="21" t="s">
        <v>1007</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1023</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row>
    <row r="5322" spans="1:12">
      <c r="A5322" s="20" t="s">
        <v>2452</v>
      </c>
    </row>
    <row r="5323" spans="1:12">
      <c r="A5323" s="20" t="s">
        <v>2453</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1324</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2454</v>
      </c>
      <c r="B5325" s="21" t="s">
        <v>1005</v>
      </c>
      <c r="C5325" s="21" t="s">
        <v>1111</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2455</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1018</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1142</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1199</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1097</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1669</v>
      </c>
      <c r="B5331" s="21" t="s">
        <v>1005</v>
      </c>
      <c r="C5331" s="21" t="s">
        <v>1082</v>
      </c>
      <c r="D5331" s="21" t="s">
        <v>1007</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1018</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1330</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1097</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102</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1156</v>
      </c>
      <c r="B5336" s="21" t="s">
        <v>1022</v>
      </c>
      <c r="C5336" s="21" t="s">
        <v>1017</v>
      </c>
      <c r="D5336" s="21" t="s">
        <v>1007</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2035</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1023</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row>
    <row r="5340" spans="1:12">
      <c r="A5340" s="20" t="s">
        <v>2456</v>
      </c>
    </row>
    <row r="5341" spans="1:12">
      <c r="A5341" s="20" t="s">
        <v>1094</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1009</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1857</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1018</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1203</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2457</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1183</v>
      </c>
      <c r="B5347" s="21" t="s">
        <v>1022</v>
      </c>
      <c r="C5347" s="21" t="s">
        <v>1103</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2248</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1056</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2458</v>
      </c>
      <c r="B5350" s="21" t="s">
        <v>1029</v>
      </c>
      <c r="C5350" s="21" t="s">
        <v>1013</v>
      </c>
      <c r="D5350" s="21" t="s">
        <v>1007</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2459</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1020</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102</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2460</v>
      </c>
      <c r="B5354" s="21" t="s">
        <v>1033</v>
      </c>
      <c r="C5354" s="21" t="s">
        <v>1013</v>
      </c>
      <c r="D5354" s="21" t="s">
        <v>1007</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1014</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1020</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2461</v>
      </c>
      <c r="B5357" s="21" t="s">
        <v>1035</v>
      </c>
      <c r="C5357" s="21" t="s">
        <v>1017</v>
      </c>
      <c r="D5357" s="21" t="s">
        <v>1007</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2462</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1663</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1018</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1065</v>
      </c>
      <c r="B5361" s="21" t="s">
        <v>1067</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1018</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1612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1139</v>
      </c>
      <c r="B5364" s="21" t="s">
        <v>1040</v>
      </c>
      <c r="C5364" s="21" t="s">
        <v>1048</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1018</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1051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1163</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2463</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1009</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row>
    <row r="5371" spans="1:12">
      <c r="A5371" s="20" t="s">
        <v>2464</v>
      </c>
    </row>
    <row r="5372" spans="1:12">
      <c r="A5372" s="20" t="s">
        <v>767</v>
      </c>
      <c r="B5372" s="21" t="s">
        <v>1005</v>
      </c>
      <c r="C5372" s="21" t="s">
        <v>1006</v>
      </c>
      <c r="D5372" s="21" t="s">
        <v>1007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788</v>
      </c>
      <c r="B5373" s="21" t="s">
        <v>1005</v>
      </c>
      <c r="C5373" s="21" t="s">
        <v>1006</v>
      </c>
      <c r="D5373" s="21" t="s">
        <v>1007</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2465</v>
      </c>
      <c r="B5374" s="21" t="s">
        <v>1005</v>
      </c>
      <c r="C5374" s="21" t="s">
        <v>1006</v>
      </c>
      <c r="D5374" s="21" t="s">
        <v>1007</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1023</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row>
    <row r="5377" spans="1:12">
      <c r="A5377" s="20" t="s">
        <v>2466</v>
      </c>
    </row>
    <row r="5378" spans="1:12">
      <c r="A5378" s="20" t="s">
        <v>788</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1018</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2467</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500</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1163</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56</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93</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1436</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2468</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1056</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2469</v>
      </c>
      <c r="B5388" s="21" t="s">
        <v>1064</v>
      </c>
      <c r="C5388" s="21" t="s">
        <v>1013</v>
      </c>
      <c r="D5388" s="21" t="s">
        <v>1007</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1097</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788</v>
      </c>
      <c r="B5390" s="21" t="s">
        <v>1130</v>
      </c>
      <c r="C5390" s="21" t="s">
        <v>1006</v>
      </c>
      <c r="D5390" s="21" t="s">
        <v>1007</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1077</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row>
    <row r="5393" spans="1:12">
      <c r="A5393" s="20" t="s">
        <v>2470</v>
      </c>
    </row>
    <row r="5394" spans="1:12">
      <c r="A5394" s="20" t="s">
        <v>788</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1018</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774</v>
      </c>
      <c r="B5396" s="21" t="s">
        <v>1005</v>
      </c>
      <c r="C5396" s="21" t="s">
        <v>1013</v>
      </c>
      <c r="D5396" s="21" t="s">
        <v>1007</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1030</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1068</v>
      </c>
      <c r="B5398" s="21" t="s">
        <v>1005</v>
      </c>
      <c r="C5398" s="21" t="s">
        <v>1013</v>
      </c>
      <c r="D5398" s="21" t="s">
        <v>1007</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2318</v>
      </c>
      <c r="B5399" s="21" t="s">
        <v>1022</v>
      </c>
      <c r="C5399" s="21" t="s">
        <v>1082</v>
      </c>
      <c r="D5399" s="21" t="s">
        <v>1007</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1023</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row>
    <row r="5402" spans="1:12">
      <c r="A5402" s="20" t="s">
        <v>2471</v>
      </c>
    </row>
    <row r="5403" spans="1:12">
      <c r="A5403" s="20" t="s">
        <v>2056</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2057</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2472</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1023</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row>
    <row r="5408" spans="1:12">
      <c r="A5408" s="20" t="s">
        <v>2473</v>
      </c>
    </row>
    <row r="5409" spans="1:12">
      <c r="A5409" s="20" t="s">
        <v>1400</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781</v>
      </c>
      <c r="B5410" s="21" t="s">
        <v>1005</v>
      </c>
      <c r="C5410" s="21" t="s">
        <v>1048</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1018</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1030</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1065</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2474</v>
      </c>
      <c r="B5414" s="21" t="s">
        <v>1119</v>
      </c>
      <c r="C5414" s="21" t="s">
        <v>1048</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1114</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2475</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1018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1109</v>
      </c>
      <c r="B5418" s="21" t="s">
        <v>1119</v>
      </c>
      <c r="C5418" s="21" t="s">
        <v>1048</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1018</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1110</v>
      </c>
      <c r="B5420" s="21" t="s">
        <v>1033</v>
      </c>
      <c r="C5420" s="21" t="s">
        <v>1048</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1077</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row>
    <row r="5423" spans="1:12">
      <c r="A5423" s="20" t="s">
        <v>2476</v>
      </c>
    </row>
    <row r="5424" spans="1:12">
      <c r="A5424" s="20" t="s">
        <v>1991</v>
      </c>
      <c r="B5424" s="21" t="s">
        <v>1050</v>
      </c>
      <c r="C5424" s="21" t="s">
        <v>1082</v>
      </c>
      <c r="D5424" s="21" t="s">
        <v>1007</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2295</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1324</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2477</v>
      </c>
      <c r="B5427" s="21" t="s">
        <v>1085</v>
      </c>
      <c r="C5427" s="21" t="s">
        <v>1111</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1018</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1330</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1107</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row>
    <row r="5432" spans="1:12">
      <c r="A5432" s="20" t="s">
        <v>2478</v>
      </c>
    </row>
    <row r="5433" spans="1:12">
      <c r="A5433" s="20" t="s">
        <v>788</v>
      </c>
      <c r="B5433" s="21" t="s">
        <v>1005</v>
      </c>
      <c r="C5433" s="21" t="s">
        <v>1006</v>
      </c>
      <c r="D5433" s="21" t="s">
        <v>1007</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2465</v>
      </c>
      <c r="B5434" s="21" t="s">
        <v>1005</v>
      </c>
      <c r="C5434" s="21" t="s">
        <v>1006</v>
      </c>
      <c r="D5434" s="21" t="s">
        <v>1007</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1009</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row>
    <row r="5437" spans="1:12">
      <c r="A5437" s="20" t="s">
        <v>1184</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2479</v>
      </c>
    </row>
    <row r="5439" spans="1:12">
      <c r="A5439" s="20" t="s">
        <v>2480</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1026</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1324</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1843</v>
      </c>
      <c r="B5442" s="21" t="s">
        <v>1029</v>
      </c>
      <c r="C5442" s="21" t="s">
        <v>1111</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1476</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1286</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2481</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1018</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1330</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1107</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1189</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1110</v>
      </c>
      <c r="B5450" s="21" t="s">
        <v>1005</v>
      </c>
      <c r="C5450" s="21" t="s">
        <v>1048</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1189</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1018</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1739</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1065</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1150</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987</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1020</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2482</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1171</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1027</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1749</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1023</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row>
    <row r="5464" spans="1:12">
      <c r="A5464" s="20" t="s">
        <v>2483</v>
      </c>
    </row>
    <row r="5465" spans="1:12">
      <c r="A5465" s="20" t="s">
        <v>1094</v>
      </c>
      <c r="B5465" s="21" t="s">
        <v>1005</v>
      </c>
      <c r="C5465" s="21" t="s">
        <v>1048</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1009</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28</v>
      </c>
      <c r="B5467" s="21" t="s">
        <v>1005</v>
      </c>
      <c r="C5467" s="21" t="s">
        <v>1006</v>
      </c>
      <c r="D5467" s="21" t="s">
        <v>1007</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1018</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1141</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1065</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2484</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1020</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2485</v>
      </c>
      <c r="B5473" s="21" t="s">
        <v>1187</v>
      </c>
      <c r="C5473" s="21" t="s">
        <v>1017</v>
      </c>
      <c r="D5473" s="21" t="s">
        <v>1007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1014</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1065</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767</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row>
    <row r="5478" spans="1:12">
      <c r="A5478" s="20" t="s">
        <v>2486</v>
      </c>
    </row>
    <row r="5479" spans="1:12">
      <c r="A5479" s="20" t="s">
        <v>788</v>
      </c>
      <c r="B5479" s="21" t="s">
        <v>1050</v>
      </c>
      <c r="C5479" s="21" t="s">
        <v>1006</v>
      </c>
      <c r="D5479" s="21" t="s">
        <v>1007</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2487</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1127</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1324</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2488</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2489</v>
      </c>
      <c r="B5484" s="21" t="s">
        <v>1085</v>
      </c>
      <c r="C5484" s="21" t="s">
        <v>1006</v>
      </c>
      <c r="D5484" s="21" t="s">
        <v>1007</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2490</v>
      </c>
      <c r="B5485" s="21" t="s">
        <v>1022</v>
      </c>
      <c r="C5485" s="21" t="s">
        <v>1006</v>
      </c>
      <c r="D5485" s="21" t="s">
        <v>1007</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1097</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2491</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1020</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1021</v>
      </c>
      <c r="B5489" s="21" t="s">
        <v>1029</v>
      </c>
      <c r="C5489" s="21" t="s">
        <v>1006</v>
      </c>
      <c r="D5489" s="21" t="s">
        <v>1007</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1023</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row>
    <row r="5492" spans="1:12">
      <c r="A5492" s="20" t="s">
        <v>2492</v>
      </c>
    </row>
    <row r="5493" spans="1:12">
      <c r="A5493" s="20" t="s">
        <v>2493</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1065</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1075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1324</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193</v>
      </c>
      <c r="B5497" s="21" t="s">
        <v>1005</v>
      </c>
      <c r="C5497" s="21" t="s">
        <v>1111</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1065</v>
      </c>
      <c r="B5498" s="21" t="s">
        <v>1154</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1839</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2494</v>
      </c>
      <c r="B5500" s="21" t="s">
        <v>1187</v>
      </c>
      <c r="C5500" s="21" t="s">
        <v>1048</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1077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row>
    <row r="5503" spans="1:12">
      <c r="A5503" s="20" t="s">
        <v>2495</v>
      </c>
    </row>
    <row r="5504" spans="1:12">
      <c r="A5504" s="20" t="s">
        <v>1118</v>
      </c>
      <c r="B5504" s="21" t="s">
        <v>1005</v>
      </c>
      <c r="C5504" s="21" t="s">
        <v>1048</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1009</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2304</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1023</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row>
    <row r="5509" spans="1:12">
      <c r="A5509" s="20" t="s">
        <v>2496</v>
      </c>
    </row>
    <row r="5510" spans="1:12">
      <c r="A5510" s="20" t="s">
        <v>1400</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1129</v>
      </c>
      <c r="B5511" s="21" t="s">
        <v>1005</v>
      </c>
      <c r="C5511" s="21" t="s">
        <v>1059</v>
      </c>
      <c r="D5511" s="21" t="s">
        <v>1007</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808</v>
      </c>
      <c r="B5512" s="21" t="s">
        <v>1005</v>
      </c>
      <c r="C5512" s="21" t="s">
        <v>1017</v>
      </c>
      <c r="D5512" s="21" t="s">
        <v>1007</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1107</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row>
    <row r="5515" spans="1:12">
      <c r="A5515" s="20" t="s">
        <v>2497</v>
      </c>
    </row>
    <row r="5516" spans="1:12">
      <c r="A5516" s="20" t="s">
        <v>1991</v>
      </c>
      <c r="B5516" s="21" t="s">
        <v>1050</v>
      </c>
      <c r="C5516" s="21" t="s">
        <v>1082</v>
      </c>
      <c r="D5516" s="21" t="s">
        <v>1007</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1142</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2498</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1020</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186</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1030</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1020</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1021</v>
      </c>
      <c r="B5523" s="21" t="s">
        <v>1029</v>
      </c>
      <c r="C5523" s="21" t="s">
        <v>1006</v>
      </c>
      <c r="D5523" s="21" t="s">
        <v>1007</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1018</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1138</v>
      </c>
      <c r="B5525" s="21" t="s">
        <v>1119</v>
      </c>
      <c r="C5525" s="21" t="s">
        <v>1082</v>
      </c>
      <c r="D5525" s="21" t="s">
        <v>1007</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2498</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1610</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1014</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1020</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1021</v>
      </c>
      <c r="B5530" s="21" t="s">
        <v>1029</v>
      </c>
      <c r="C5530" s="21" t="s">
        <v>1006</v>
      </c>
      <c r="D5530" s="21" t="s">
        <v>1007</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56</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1018</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2499</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1142</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2232</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1020</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1020</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2500</v>
      </c>
      <c r="B5538" s="21" t="s">
        <v>1033</v>
      </c>
      <c r="C5538" s="21" t="s">
        <v>1017</v>
      </c>
      <c r="D5538" s="21" t="s">
        <v>1007</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1014</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98</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1020</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2501</v>
      </c>
      <c r="B5542" s="21" t="s">
        <v>1134</v>
      </c>
      <c r="C5542" s="21" t="s">
        <v>1017</v>
      </c>
      <c r="D5542" s="21" t="s">
        <v>1007</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1014</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2502</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2503</v>
      </c>
      <c r="B5545" s="21" t="s">
        <v>1253</v>
      </c>
      <c r="C5545" s="21" t="s">
        <v>1082</v>
      </c>
      <c r="D5545" s="21" t="s">
        <v>1007</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1014</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2265</v>
      </c>
      <c r="B5547" s="21" t="s">
        <v>1042</v>
      </c>
      <c r="C5547" s="21" t="s">
        <v>1048</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1596</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1531</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56</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2504</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56</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2505</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2503</v>
      </c>
      <c r="B5554" s="21" t="s">
        <v>1066</v>
      </c>
      <c r="C5554" s="21" t="s">
        <v>1082</v>
      </c>
      <c r="D5554" s="21" t="s">
        <v>1007</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1014</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1122</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2265</v>
      </c>
      <c r="B5557" s="21" t="s">
        <v>1040</v>
      </c>
      <c r="C5557" s="21" t="s">
        <v>1041</v>
      </c>
      <c r="D5557" s="21" t="s">
        <v>1007</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2506</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1018</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2414</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2507</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1018</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1141</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1065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1203</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2508</v>
      </c>
      <c r="B5566" s="21" t="s">
        <v>1064</v>
      </c>
      <c r="C5566" s="21" t="s">
        <v>1086</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1014</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2509</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1030</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102</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1801</v>
      </c>
      <c r="B5571" s="21" t="s">
        <v>1035</v>
      </c>
      <c r="C5571" s="21" t="s">
        <v>1017</v>
      </c>
      <c r="D5571" s="21" t="s">
        <v>1007</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1014</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1056</v>
      </c>
      <c r="B5573" s="21" t="s">
        <v>1067</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1014</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1015</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2510</v>
      </c>
      <c r="B5576" s="21" t="s">
        <v>1042</v>
      </c>
      <c r="C5576" s="21" t="s">
        <v>1013</v>
      </c>
      <c r="D5576" s="21" t="s">
        <v>1007</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1014</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1020</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1021</v>
      </c>
      <c r="B5579" s="21" t="s">
        <v>1044</v>
      </c>
      <c r="C5579" s="21" t="s">
        <v>1006</v>
      </c>
      <c r="D5579" s="21" t="s">
        <v>1007</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1114</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98</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2511</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2512</v>
      </c>
      <c r="B5583" s="21" t="s">
        <v>1066</v>
      </c>
      <c r="C5583" s="21" t="s">
        <v>1013</v>
      </c>
      <c r="D5583" s="21" t="s">
        <v>1007</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1014</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1020</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1021</v>
      </c>
      <c r="B5586" s="21" t="s">
        <v>1042</v>
      </c>
      <c r="C5586" s="21" t="s">
        <v>1006</v>
      </c>
      <c r="D5586" s="21" t="s">
        <v>1007</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1030</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2513</v>
      </c>
      <c r="B5588" s="21" t="s">
        <v>1040</v>
      </c>
      <c r="C5588" s="21" t="s">
        <v>1013</v>
      </c>
      <c r="D5588" s="21" t="s">
        <v>1007</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1014</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1020</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2078</v>
      </c>
      <c r="B5591" s="21" t="s">
        <v>1044</v>
      </c>
      <c r="C5591" s="21" t="s">
        <v>1059</v>
      </c>
      <c r="D5591" s="21" t="s">
        <v>1007</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2514</v>
      </c>
      <c r="B5592" s="21" t="s">
        <v>1042</v>
      </c>
      <c r="C5592" s="21" t="s">
        <v>1017</v>
      </c>
      <c r="D5592" s="21" t="s">
        <v>1007</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2515</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1023</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row>
    <row r="5596" spans="1:12">
      <c r="A5596" s="20" t="s">
        <v>2516</v>
      </c>
    </row>
    <row r="5597" spans="1:12">
      <c r="A5597" s="20" t="s">
        <v>1175</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1141</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1065</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1324</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2489</v>
      </c>
      <c r="B5601" s="21" t="s">
        <v>1119</v>
      </c>
      <c r="C5601" s="21" t="s">
        <v>1006</v>
      </c>
      <c r="D5601" s="21" t="s">
        <v>1007</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2490</v>
      </c>
      <c r="B5602" s="21" t="s">
        <v>1033</v>
      </c>
      <c r="C5602" s="21" t="s">
        <v>1006</v>
      </c>
      <c r="D5602" s="21" t="s">
        <v>1007</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1097</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1020</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1021</v>
      </c>
      <c r="B5605" s="21" t="s">
        <v>1033</v>
      </c>
      <c r="C5605" s="21" t="s">
        <v>1006</v>
      </c>
      <c r="D5605" s="21" t="s">
        <v>1007</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1075</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2517</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2518</v>
      </c>
      <c r="B5608" s="21" t="s">
        <v>1005</v>
      </c>
      <c r="C5608" s="21" t="s">
        <v>1073</v>
      </c>
      <c r="D5608" s="21" t="s">
        <v>1007</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1014</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1065</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1616</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1023</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row>
    <row r="5614" spans="1:12">
      <c r="A5614" s="20" t="s">
        <v>2519</v>
      </c>
    </row>
    <row r="5615" spans="1:12">
      <c r="A5615" s="20" t="s">
        <v>2520</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1014</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1056</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2521</v>
      </c>
      <c r="B5618" s="21" t="s">
        <v>1085</v>
      </c>
      <c r="C5618" s="21" t="s">
        <v>1013</v>
      </c>
      <c r="D5618" s="21" t="s">
        <v>1007</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1097</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1015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1269</v>
      </c>
      <c r="B5621" s="21" t="s">
        <v>1033</v>
      </c>
      <c r="C5621" s="21" t="s">
        <v>1059</v>
      </c>
      <c r="D5621" s="21" t="s">
        <v>1007</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2522</v>
      </c>
      <c r="B5622" s="21" t="s">
        <v>1022</v>
      </c>
      <c r="C5622" s="21" t="s">
        <v>1017</v>
      </c>
      <c r="D5622" s="21" t="s">
        <v>1007</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1142</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2432</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1036</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2523</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1330</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2524</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1030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1020</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2525</v>
      </c>
      <c r="B5631" s="21" t="s">
        <v>1130</v>
      </c>
      <c r="C5631" s="21" t="s">
        <v>1013</v>
      </c>
      <c r="D5631" s="21" t="s">
        <v>1007</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1014</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1020</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1021</v>
      </c>
      <c r="B5634" s="21" t="s">
        <v>1040</v>
      </c>
      <c r="C5634" s="21" t="s">
        <v>1006</v>
      </c>
      <c r="D5634" s="21" t="s">
        <v>1007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1018</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56</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1075</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1324</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193</v>
      </c>
      <c r="B5639" s="21" t="s">
        <v>1130</v>
      </c>
      <c r="C5639" s="21" t="s">
        <v>1111</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1065</v>
      </c>
      <c r="B5640" s="21" t="s">
        <v>1253</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2526</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1023</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row>
    <row r="5644" spans="1:12">
      <c r="A5644" s="20" t="s">
        <v>2527</v>
      </c>
    </row>
    <row r="5645" spans="1:12">
      <c r="A5645" s="20" t="s">
        <v>2528</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1083</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1020</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822</v>
      </c>
      <c r="B5648" s="21" t="s">
        <v>1005</v>
      </c>
      <c r="C5648" s="21" t="s">
        <v>1205</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1018</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1142</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2432</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1163</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1030</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2529</v>
      </c>
      <c r="B5654" s="21" t="s">
        <v>1022</v>
      </c>
      <c r="C5654" s="21" t="s">
        <v>1006</v>
      </c>
      <c r="D5654" s="21" t="s">
        <v>1007</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1018</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1330</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1030</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1433</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102</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1156</v>
      </c>
      <c r="B5660" s="21" t="s">
        <v>1022</v>
      </c>
      <c r="C5660" s="21" t="s">
        <v>1017</v>
      </c>
      <c r="D5660" s="21" t="s">
        <v>1007</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1018</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1020</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2530</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56</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1020</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2531</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1023</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row>
    <row r="5669" spans="1:12">
      <c r="A5669" s="20" t="s">
        <v>2532</v>
      </c>
    </row>
    <row r="5670" spans="1:12">
      <c r="A5670" s="20" t="s">
        <v>1094</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1009</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1416</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1587</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2059</v>
      </c>
      <c r="B5674" s="21" t="s">
        <v>1029</v>
      </c>
      <c r="C5674" s="21" t="s">
        <v>1103</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1020</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110</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1020</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2533</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2534</v>
      </c>
      <c r="B5679" s="21" t="s">
        <v>1187</v>
      </c>
      <c r="C5679" s="21" t="s">
        <v>1006</v>
      </c>
      <c r="D5679" s="21" t="s">
        <v>1007</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1009</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row>
    <row r="5682" spans="1:12">
      <c r="A5682" s="20" t="s">
        <v>2535</v>
      </c>
    </row>
    <row r="5683" spans="1:12">
      <c r="A5683" s="20" t="s">
        <v>2536</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1096</v>
      </c>
      <c r="B5684" s="21" t="s">
        <v>1119</v>
      </c>
      <c r="C5684" s="21" t="s">
        <v>1205</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1018</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1324</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2059</v>
      </c>
      <c r="B5687" s="21" t="s">
        <v>1033</v>
      </c>
      <c r="C5687" s="21" t="s">
        <v>1013</v>
      </c>
      <c r="D5687" s="21" t="s">
        <v>1007</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1014</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2537</v>
      </c>
      <c r="B5689" s="21" t="s">
        <v>1035</v>
      </c>
      <c r="C5689" s="21" t="s">
        <v>1048</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2538</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1107</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1094</v>
      </c>
      <c r="B5692" s="21" t="s">
        <v>1033</v>
      </c>
      <c r="C5692" s="21" t="s">
        <v>1006</v>
      </c>
      <c r="D5692" s="21" t="s">
        <v>1007</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1009</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28</v>
      </c>
      <c r="B5694" s="21" t="s">
        <v>1035</v>
      </c>
      <c r="C5694" s="21" t="s">
        <v>1006</v>
      </c>
      <c r="D5694" s="21" t="s">
        <v>1007</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1018</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2054</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1051</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1020</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417</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1321</v>
      </c>
      <c r="B5700" s="21" t="s">
        <v>1029</v>
      </c>
      <c r="C5700" s="21" t="s">
        <v>1082</v>
      </c>
      <c r="D5700" s="21" t="s">
        <v>1007</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1077</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row>
    <row r="5703" spans="1:12">
      <c r="A5703" s="20" t="s">
        <v>2539</v>
      </c>
    </row>
    <row r="5704" spans="1:12">
      <c r="A5704" s="20" t="s">
        <v>1118</v>
      </c>
      <c r="B5704" s="21" t="s">
        <v>1085</v>
      </c>
      <c r="C5704" s="21" t="s">
        <v>1048</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1009</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2540</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1018</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2392</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1020</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417</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1023</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row>
    <row r="5713" spans="1:12">
      <c r="A5713" s="20" t="s">
        <v>2541</v>
      </c>
    </row>
    <row r="5714" spans="1:12">
      <c r="A5714" s="20" t="s">
        <v>1094</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1009</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2542</v>
      </c>
      <c r="B5716" s="21" t="s">
        <v>1029</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1018</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1739</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2543</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1023</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row>
    <row r="5722" spans="1:12">
      <c r="A5722" s="20" t="s">
        <v>2544</v>
      </c>
    </row>
    <row r="5723" spans="1:12">
      <c r="A5723" s="20" t="s">
        <v>2534</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1009</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1400</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1427</v>
      </c>
      <c r="B5726" s="21" t="s">
        <v>1050</v>
      </c>
      <c r="C5726" s="21" t="s">
        <v>1013</v>
      </c>
      <c r="D5726" s="21" t="s">
        <v>1007</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1030</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1020</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2078</v>
      </c>
      <c r="B5729" s="21" t="s">
        <v>1033</v>
      </c>
      <c r="C5729" s="21" t="s">
        <v>1059</v>
      </c>
      <c r="D5729" s="21" t="s">
        <v>1007</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2545</v>
      </c>
      <c r="B5730" s="21" t="s">
        <v>1022</v>
      </c>
      <c r="C5730" s="21" t="s">
        <v>1017</v>
      </c>
      <c r="D5730" s="21" t="s">
        <v>1007</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2308</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1324</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2546</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2547</v>
      </c>
      <c r="B5734" s="21" t="s">
        <v>1085</v>
      </c>
      <c r="C5734" s="21" t="s">
        <v>1111</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1036</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2548</v>
      </c>
      <c r="B5736" s="21" t="s">
        <v>1005</v>
      </c>
      <c r="C5736" s="21" t="s">
        <v>1048</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1023</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row>
    <row r="5739" spans="1:12">
      <c r="A5739" s="20" t="s">
        <v>2549</v>
      </c>
    </row>
    <row r="5740" spans="1:12">
      <c r="A5740" s="20" t="s">
        <v>1118</v>
      </c>
      <c r="B5740" s="21" t="s">
        <v>1005</v>
      </c>
      <c r="C5740" s="21" t="s">
        <v>1048</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1009</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1449</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1056</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2457</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2550</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1182</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1020</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1211</v>
      </c>
      <c r="B5748" s="21" t="s">
        <v>1022</v>
      </c>
      <c r="C5748" s="21" t="s">
        <v>1006</v>
      </c>
      <c r="D5748" s="21" t="s">
        <v>1007</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1023</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row>
    <row r="5751" spans="1:12">
      <c r="A5751" s="20" t="s">
        <v>2551</v>
      </c>
    </row>
    <row r="5752" spans="1:12">
      <c r="A5752" s="20" t="s">
        <v>2534</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1009</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1400</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102</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1499</v>
      </c>
      <c r="B5756" s="21" t="s">
        <v>1022</v>
      </c>
      <c r="C5756" s="21" t="s">
        <v>1013</v>
      </c>
      <c r="D5756" s="21" t="s">
        <v>1007</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1014</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1485</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96</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1240</v>
      </c>
      <c r="B5760" s="21" t="s">
        <v>1033</v>
      </c>
      <c r="C5760" s="21" t="s">
        <v>1041</v>
      </c>
      <c r="D5760" s="21" t="s">
        <v>1007</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1018</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2552</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1097</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2553</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56</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2554</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1018</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102</v>
      </c>
      <c r="B5768" s="21" t="s">
        <v>1035</v>
      </c>
      <c r="C5768" s="21" t="s">
        <v>1073</v>
      </c>
      <c r="D5768" s="21" t="s">
        <v>1007</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1065</v>
      </c>
      <c r="B5769" s="21" t="s">
        <v>1154</v>
      </c>
      <c r="C5769" s="21" t="s">
        <v>1074</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1075</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1065</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1948</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1065</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2555</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102</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1401</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1065</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1333</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970</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1014</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1357</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1015</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2556</v>
      </c>
      <c r="B5783" s="21" t="s">
        <v>1066</v>
      </c>
      <c r="C5783" s="21" t="s">
        <v>1205</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1065</v>
      </c>
      <c r="B5784" s="21" t="s">
        <v>1437</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1178</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2557</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1127</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1020</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2462</v>
      </c>
      <c r="B5789" s="21" t="s">
        <v>1487</v>
      </c>
      <c r="C5789" s="21" t="s">
        <v>1017</v>
      </c>
      <c r="D5789" s="21" t="s">
        <v>1007</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1065</v>
      </c>
      <c r="B5790" s="21" t="s">
        <v>2451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1169</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1077</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row>
    <row r="5794" spans="1:12">
      <c r="A5794" s="20" t="s">
        <v>2325</v>
      </c>
    </row>
    <row r="5795" spans="1:12">
      <c r="A5795" s="20" t="s">
        <v>1118</v>
      </c>
      <c r="B5795" s="21" t="s">
        <v>1005</v>
      </c>
      <c r="C5795" s="21" t="s">
        <v>1048</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1009</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row>
    <row r="5798" spans="1:12">
      <c r="A5798" s="20" t="s">
        <v>2558</v>
      </c>
    </row>
    <row r="5799" spans="1:12">
      <c r="A5799" s="20" t="s">
        <v>1153</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2559</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1694</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1442</v>
      </c>
      <c r="B5802" s="21" t="s">
        <v>1035</v>
      </c>
      <c r="C5802" s="21" t="s">
        <v>1048</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1333</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2560</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1018</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1139</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1065</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1075</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1324</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1144</v>
      </c>
      <c r="B5810" s="21" t="s">
        <v>1005</v>
      </c>
      <c r="C5810" s="21" t="s">
        <v>1111</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1065</v>
      </c>
      <c r="B5811" s="21" t="s">
        <v>1154</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1199</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1051</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2561</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1036</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102</v>
      </c>
      <c r="B5816" s="21" t="s">
        <v>1033</v>
      </c>
      <c r="C5816" s="21" t="s">
        <v>1073</v>
      </c>
      <c r="D5816" s="21" t="s">
        <v>1007</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1065</v>
      </c>
      <c r="B5817" s="21" t="s">
        <v>1263</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1438</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2342</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1020</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2562</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1023</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row>
    <row r="5824" spans="1:12">
      <c r="A5824" s="20" t="s">
        <v>2563</v>
      </c>
    </row>
    <row r="5825" spans="1:12">
      <c r="A5825" s="20" t="s">
        <v>1861</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1065</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1020</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1021</v>
      </c>
      <c r="B5828" s="21" t="s">
        <v>1119</v>
      </c>
      <c r="C5828" s="21" t="s">
        <v>1006</v>
      </c>
      <c r="D5828" s="21" t="s">
        <v>1007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1014</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1065</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2564</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1030</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102</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1595</v>
      </c>
      <c r="B5834" s="21" t="s">
        <v>1035</v>
      </c>
      <c r="C5834" s="21" t="s">
        <v>1017</v>
      </c>
      <c r="D5834" s="21" t="s">
        <v>1007</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1075</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2517</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2518</v>
      </c>
      <c r="B5837" s="21" t="s">
        <v>1005</v>
      </c>
      <c r="C5837" s="21" t="s">
        <v>1073</v>
      </c>
      <c r="D5837" s="21" t="s">
        <v>1007</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1014</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1065</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1616</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1018</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1142</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1199</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1290</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1998</v>
      </c>
      <c r="B5845" s="21" t="s">
        <v>1187</v>
      </c>
      <c r="C5845" s="21" t="s">
        <v>1048</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1018</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1330</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1097</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1027</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1172</v>
      </c>
      <c r="B5850" s="21" t="s">
        <v>1035</v>
      </c>
      <c r="C5850" s="21" t="s">
        <v>1013</v>
      </c>
      <c r="D5850" s="21" t="s">
        <v>1007</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1014</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102</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1156</v>
      </c>
      <c r="B5853" s="21" t="s">
        <v>1130</v>
      </c>
      <c r="C5853" s="21" t="s">
        <v>1017</v>
      </c>
      <c r="D5853" s="21" t="s">
        <v>1007</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2035</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1023</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row>
    <row r="5857" spans="1:12">
      <c r="A5857" s="20" t="s">
        <v>2565</v>
      </c>
    </row>
    <row r="5858" spans="1:12">
      <c r="A5858" s="20" t="s">
        <v>1175</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1018</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2566</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1018</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2567</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1142</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1199</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1027</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2568</v>
      </c>
      <c r="B5866" s="21" t="s">
        <v>1085</v>
      </c>
      <c r="C5866" s="21" t="s">
        <v>1013</v>
      </c>
      <c r="D5866" s="21" t="s">
        <v>1007</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2569</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1014</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1020</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2021</v>
      </c>
      <c r="B5870" s="21" t="s">
        <v>1022</v>
      </c>
      <c r="C5870" s="21" t="s">
        <v>1017</v>
      </c>
      <c r="D5870" s="21" t="s">
        <v>1007</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1330</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1018</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1132</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885</v>
      </c>
      <c r="B5874" s="21" t="s">
        <v>1120</v>
      </c>
      <c r="C5874" s="21" t="s">
        <v>1082</v>
      </c>
      <c r="D5874" s="21" t="s">
        <v>1007</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1937</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1018</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1015</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1589</v>
      </c>
      <c r="B5878" s="21" t="s">
        <v>1064</v>
      </c>
      <c r="C5878" s="21" t="s">
        <v>1017</v>
      </c>
      <c r="D5878" s="21" t="s">
        <v>1007</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1023</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row>
    <row r="5881" spans="1:12">
      <c r="A5881" s="20" t="s">
        <v>2570</v>
      </c>
    </row>
    <row r="5882" spans="1:12">
      <c r="A5882" s="20" t="s">
        <v>1027</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1172</v>
      </c>
      <c r="B5883" s="21" t="s">
        <v>1005</v>
      </c>
      <c r="C5883" s="21" t="s">
        <v>1013</v>
      </c>
      <c r="D5883" s="21" t="s">
        <v>1007</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1014</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102</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1156</v>
      </c>
      <c r="B5886" s="21" t="s">
        <v>1005</v>
      </c>
      <c r="C5886" s="21" t="s">
        <v>1017</v>
      </c>
      <c r="D5886" s="21" t="s">
        <v>1007</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2035</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1065</v>
      </c>
      <c r="B5888" s="21" t="s">
        <v>1119</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2571</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1450</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1014</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1020</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1021</v>
      </c>
      <c r="B5893" s="21" t="s">
        <v>1033</v>
      </c>
      <c r="C5893" s="21" t="s">
        <v>1006</v>
      </c>
      <c r="D5893" s="21" t="s">
        <v>1007</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1018</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1450</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1014</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1027</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2572</v>
      </c>
      <c r="B5898" s="21" t="s">
        <v>1033</v>
      </c>
      <c r="C5898" s="21" t="s">
        <v>1017</v>
      </c>
      <c r="D5898" s="21" t="s">
        <v>1007</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2573</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1018</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1027</v>
      </c>
      <c r="B5901" s="21" t="s">
        <v>1005</v>
      </c>
      <c r="C5901" s="21" t="s">
        <v>1073</v>
      </c>
      <c r="D5901" s="21" t="s">
        <v>1007</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1065</v>
      </c>
      <c r="B5902" s="21" t="s">
        <v>1154</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2432</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2574</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102</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1183</v>
      </c>
      <c r="B5906" s="21" t="s">
        <v>1187</v>
      </c>
      <c r="C5906" s="21" t="s">
        <v>1017</v>
      </c>
      <c r="D5906" s="21" t="s">
        <v>1007</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1018</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1027</v>
      </c>
      <c r="B5908" s="21" t="s">
        <v>1022</v>
      </c>
      <c r="C5908" s="21" t="s">
        <v>1073</v>
      </c>
      <c r="D5908" s="21" t="s">
        <v>1007</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1065</v>
      </c>
      <c r="B5909" s="21" t="s">
        <v>1120</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2575</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1030</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1604</v>
      </c>
      <c r="B5912" s="21" t="s">
        <v>1035</v>
      </c>
      <c r="C5912" s="21" t="s">
        <v>1082</v>
      </c>
      <c r="D5912" s="21" t="s">
        <v>1007</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1357</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1015</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2334</v>
      </c>
      <c r="B5915" s="21" t="s">
        <v>1064</v>
      </c>
      <c r="C5915" s="21" t="s">
        <v>1017</v>
      </c>
      <c r="D5915" s="21" t="s">
        <v>1007</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1018</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1132</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2576</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1410</v>
      </c>
      <c r="B5919" s="21" t="s">
        <v>1134</v>
      </c>
      <c r="C5919" s="21" t="s">
        <v>1013</v>
      </c>
      <c r="D5919" s="21" t="s">
        <v>1007</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1014</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1020</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2078</v>
      </c>
      <c r="B5922" s="21" t="s">
        <v>1042</v>
      </c>
      <c r="C5922" s="21" t="s">
        <v>1059</v>
      </c>
      <c r="D5922" s="21" t="s">
        <v>1007</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2577</v>
      </c>
      <c r="B5923" s="21" t="s">
        <v>1040</v>
      </c>
      <c r="C5923" s="21" t="s">
        <v>1017</v>
      </c>
      <c r="D5923" s="21" t="s">
        <v>1007</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1018</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1097</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444</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1140</v>
      </c>
      <c r="B5927" s="21" t="s">
        <v>1064</v>
      </c>
      <c r="C5927" s="21" t="s">
        <v>1073</v>
      </c>
      <c r="D5927" s="21" t="s">
        <v>1007</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1023</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row>
    <row r="5930" spans="1:12">
      <c r="A5930" s="20" t="s">
        <v>2578</v>
      </c>
    </row>
    <row r="5931" spans="1:12">
      <c r="A5931" s="20" t="s">
        <v>1147</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1199</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2579</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1020</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1021</v>
      </c>
      <c r="B5935" s="21" t="s">
        <v>1085</v>
      </c>
      <c r="C5935" s="21" t="s">
        <v>1006</v>
      </c>
      <c r="D5935" s="21" t="s">
        <v>1007</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1065</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2580</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1018</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1330</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1324</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1021</v>
      </c>
      <c r="B5941" s="21" t="s">
        <v>1005</v>
      </c>
      <c r="C5941" s="21" t="s">
        <v>1006</v>
      </c>
      <c r="D5941" s="21" t="s">
        <v>1007</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1401</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1018</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2054</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1401</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1018</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1324</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193</v>
      </c>
      <c r="B5948" s="21" t="s">
        <v>1022</v>
      </c>
      <c r="C5948" s="21" t="s">
        <v>1111</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1065</v>
      </c>
      <c r="B5949" s="21" t="s">
        <v>1134</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1333</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86</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1097</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2115</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1056</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1019</v>
      </c>
      <c r="B5955" s="21" t="s">
        <v>1066</v>
      </c>
      <c r="C5955" s="21" t="s">
        <v>1111</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1065</v>
      </c>
      <c r="B5956" s="21" t="s">
        <v>1437</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2555</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1401</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1142</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2432</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1014</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102</v>
      </c>
      <c r="B5962" s="21" t="s">
        <v>1217</v>
      </c>
      <c r="C5962" s="21" t="s">
        <v>1073</v>
      </c>
      <c r="D5962" s="21" t="s">
        <v>1007</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1065</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2581</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1330</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1401</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1014</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102</v>
      </c>
      <c r="B5968" s="21" t="s">
        <v>2315</v>
      </c>
      <c r="C5968" s="21" t="s">
        <v>1073</v>
      </c>
      <c r="D5968" s="21" t="s">
        <v>1007</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1065</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2582</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2583</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1023</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row>
    <row r="5974" spans="1:12">
      <c r="A5974" s="20" t="s">
        <v>2584</v>
      </c>
    </row>
    <row r="5975" spans="1:12">
      <c r="A5975" s="20" t="s">
        <v>1094</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1009</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1259</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113</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1240</v>
      </c>
      <c r="B5979" s="21" t="s">
        <v>1085</v>
      </c>
      <c r="C5979" s="21" t="s">
        <v>1205</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t="s">
        <v>1065</v>
      </c>
      <c r="B5980" s="21" t="s">
        <v>1154</v>
      </c>
      <c r="E5980" s="22">
        <f>IF(D5980="?OLD","!!!","")</f>
        <v/>
      </c>
      <c r="F5980" s="23" t="str">
        <f>IF(OR(E5980="",E5980="!!!"),"",IF(NOT(ISNA(VLOOKUP(E5980,E$1:E5979,1,FALSE()))),"OLD",IF(AND(E5980&lt;&gt;"",E5980&lt;&gt;"!!!"),"NEW","")))</f>
        <v> </v>
      </c>
      <c r="G5980" s="24" t="str">
        <f>IF(OR(E5980="",E5980="!!!"),"",IF(OR(J5980=0,AND(J5980=1,K5980=1),AND(J5980=1,I5980="SBJ"),AND(J5980=1,I5980=0)),"?IN_FOCUS",IF(J5980&lt;=2,"?ACTIVATED",IF(J5980&lt;&gt;"","?FAMILIAR",IF(F5980="NEW",IF(ISNA(VLOOKUP(E5980,#REF!,1,FALSE())),"?TYPE_IDENTIFIABLE","?REFERENTIAL"),"_")))))</f>
        <v> </v>
      </c>
      <c r="H5980" s="25" t="str">
        <f>IF(J5980&lt;&gt;1,"",IF(I5980="SBJ","CB","?"))</f>
        <v> </v>
      </c>
      <c r="I5980" s="26" t="str">
        <f>IF(OR(E5980="",E5980="!!!",F5980="NEW"),"",INDEX(B5979:B$2,-1+SUMPRODUCT(MAX(ROW(E5979:E$2)*(E5980=E5979:E$2)))))</f>
        <v> </v>
      </c>
      <c r="J5980" s="26" t="str">
        <f>IF(OR(E5980="",E5980="!!!",F5980="NEW"),"",COUNTBLANK(OFFSET(A$1,,,SUMPRODUCT(MAX(ROW(E$2:E5980)*(E5980=E$2:E5980)))))-COUNTBLANK(OFFSET(A$1,,,SUMPRODUCT(MAX(ROW(E$1:E5979)*(E2=E$1:E5979))))))</f>
        <v> </v>
      </c>
      <c r="K5980" s="26" t="str">
        <f>IF(OR(E5980="",E5980="!!!",F5980="NEW"),"",INDEX(J$1:J5979,SUMPRODUCT(MAX(ROW(E$1:E5979)*(E5980=E$1:E5979)))))</f>
        <v> </v>
      </c>
      <c r="L5980" s="27"/>
    </row>
    <row r="5981" spans="1:12">
      <c r="A5981" s="20" t="s">
        <v>1397</v>
      </c>
      <c r="E5981" s="22">
        <f>IF(D5981="?OLD","!!!","")</f>
        <v/>
      </c>
      <c r="F5981" s="23" t="str">
        <f>IF(OR(E5981="",E5981="!!!"),"",IF(NOT(ISNA(VLOOKUP(E5981,E$1:E5980,1,FALSE()))),"OLD",IF(AND(E5981&lt;&gt;"",E5981&lt;&gt;"!!!"),"NEW","")))</f>
        <v> </v>
      </c>
      <c r="G5981" s="24" t="str">
        <f>IF(OR(E5981="",E5981="!!!"),"",IF(OR(J5981=0,AND(J5981=1,K5981=1),AND(J5981=1,I5981="SBJ"),AND(J5981=1,I5981=0)),"?IN_FOCUS",IF(J5981&lt;=2,"?ACTIVATED",IF(J5981&lt;&gt;"","?FAMILIAR",IF(F5981="NEW",IF(ISNA(VLOOKUP(E5981,#REF!,1,FALSE())),"?TYPE_IDENTIFIABLE","?REFERENTIAL"),"_")))))</f>
        <v> </v>
      </c>
      <c r="H5981" s="25" t="str">
        <f>IF(J5981&lt;&gt;1,"",IF(I5981="SBJ","CB","?"))</f>
        <v> </v>
      </c>
      <c r="I5981" s="26" t="str">
        <f>IF(OR(E5981="",E5981="!!!",F5981="NEW"),"",INDEX(B5980:B$2,-1+SUMPRODUCT(MAX(ROW(E5980:E$2)*(E5981=E5980:E$2)))))</f>
        <v> </v>
      </c>
      <c r="J5981" s="26" t="str">
        <f>IF(OR(E5981="",E5981="!!!",F5981="NEW"),"",COUNTBLANK(OFFSET(A$1,,,SUMPRODUCT(MAX(ROW(E$2:E5981)*(E5981=E$2:E5981)))))-COUNTBLANK(OFFSET(A$1,,,SUMPRODUCT(MAX(ROW(E$1:E5980)*(E2=E$1:E5980))))))</f>
        <v> </v>
      </c>
      <c r="K5981" s="26" t="str">
        <f>IF(OR(E5981="",E5981="!!!",F5981="NEW"),"",INDEX(J$1:J5980,SUMPRODUCT(MAX(ROW(E$1:E5980)*(E5981=E$1:E5980)))))</f>
        <v> </v>
      </c>
      <c r="L5981" s="27"/>
    </row>
    <row r="5982" spans="1:12">
      <c r="A5982" s="20" t="s">
        <v>2585</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1020</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1032</v>
      </c>
      <c r="B5984" s="21" t="s">
        <v>1033</v>
      </c>
      <c r="C5984" s="21" t="s">
        <v>1006</v>
      </c>
      <c r="D5984" s="21" t="s">
        <v>1007</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1018</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1030</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2586</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1023</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row>
    <row r="5990" spans="1:12">
      <c r="A5990" s="20" t="s">
        <v>2587</v>
      </c>
    </row>
    <row r="5991" spans="1:12">
      <c r="A5991" s="20" t="s">
        <v>2588</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2589</v>
      </c>
      <c r="B5992" s="21" t="s">
        <v>1005</v>
      </c>
      <c r="C5992" s="21" t="s">
        <v>1048</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1124</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1403</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1102</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2590</v>
      </c>
      <c r="B5996" s="21" t="s">
        <v>1085</v>
      </c>
      <c r="C5996" s="21" t="s">
        <v>1103</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2002</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2591</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t="s">
        <v>1030</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1020</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t="s">
        <v>2545</v>
      </c>
      <c r="B6001" s="21" t="s">
        <v>1033</v>
      </c>
      <c r="C6001" s="21" t="s">
        <v>1017</v>
      </c>
      <c r="D6001" s="21" t="s">
        <v>1007</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1014</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1065</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t="s">
        <v>2592</v>
      </c>
      <c r="B6004" s="21" t="s">
        <v>1263</v>
      </c>
      <c r="C6004" s="21" t="s">
        <v>1006</v>
      </c>
      <c r="D6004" s="21" t="s">
        <v>1007</v>
      </c>
      <c r="E6004" s="22">
        <f>IF(D6004="?OLD","!!!","")</f>
        <v/>
      </c>
      <c r="F6004" s="23" t="str">
        <f>IF(OR(E6004="",E6004="!!!"),"",IF(NOT(ISNA(VLOOKUP(E6004,E$1:E6003,1,FALSE()))),"OLD",IF(AND(E6004&lt;&gt;"",E6004&lt;&gt;"!!!"),"NEW","")))</f>
        <v> </v>
      </c>
      <c r="G6004" s="24" t="str">
        <f>IF(OR(E6004="",E6004="!!!"),"",IF(OR(J6004=0,AND(J6004=1,K6004=1),AND(J6004=1,I6004="SBJ"),AND(J6004=1,I6004=0)),"?IN_FOCUS",IF(J6004&lt;=2,"?ACTIVATED",IF(J6004&lt;&gt;"","?FAMILIAR",IF(F6004="NEW",IF(ISNA(VLOOKUP(E6004,#REF!,1,FALSE())),"?TYPE_IDENTIFIABLE","?REFERENTIAL"),"_")))))</f>
        <v> </v>
      </c>
      <c r="H6004" s="25" t="str">
        <f>IF(J6004&lt;&gt;1,"",IF(I6004="SBJ","CB","?"))</f>
        <v> </v>
      </c>
      <c r="I6004" s="26" t="str">
        <f>IF(OR(E6004="",E6004="!!!",F6004="NEW"),"",INDEX(B6003:B$2,-1+SUMPRODUCT(MAX(ROW(E6003:E$2)*(E6004=E6003:E$2)))))</f>
        <v> </v>
      </c>
      <c r="J6004" s="26" t="str">
        <f>IF(OR(E6004="",E6004="!!!",F6004="NEW"),"",COUNTBLANK(OFFSET(A$1,,,SUMPRODUCT(MAX(ROW(E$2:E6004)*(E6004=E$2:E6004)))))-COUNTBLANK(OFFSET(A$1,,,SUMPRODUCT(MAX(ROW(E$1:E6003)*(E2=E$1:E6003))))))</f>
        <v> </v>
      </c>
      <c r="K6004" s="26" t="str">
        <f>IF(OR(E6004="",E6004="!!!",F6004="NEW"),"",INDEX(J$1:J6003,SUMPRODUCT(MAX(ROW(E$1:E6003)*(E6004=E$1:E6003)))))</f>
        <v> </v>
      </c>
      <c r="L6004" s="27"/>
    </row>
    <row r="6005" spans="1:12">
      <c r="A6005" s="20" t="s">
        <v>2593</v>
      </c>
      <c r="B6005" s="21" t="s">
        <v>1040</v>
      </c>
      <c r="C6005" s="21" t="s">
        <v>1006</v>
      </c>
      <c r="D6005" s="21" t="s">
        <v>1007</v>
      </c>
      <c r="E6005" s="22">
        <f>IF(D6005="?OLD","!!!","")</f>
        <v/>
      </c>
      <c r="F6005" s="23" t="str">
        <f>IF(OR(E6005="",E6005="!!!"),"",IF(NOT(ISNA(VLOOKUP(E6005,E$1:E6004,1,FALSE()))),"OLD",IF(AND(E6005&lt;&gt;"",E6005&lt;&gt;"!!!"),"NEW","")))</f>
        <v> </v>
      </c>
      <c r="G6005" s="24" t="str">
        <f>IF(OR(E6005="",E6005="!!!"),"",IF(OR(J6005=0,AND(J6005=1,K6005=1),AND(J6005=1,I6005="SBJ"),AND(J6005=1,I6005=0)),"?IN_FOCUS",IF(J6005&lt;=2,"?ACTIVATED",IF(J6005&lt;&gt;"","?FAMILIAR",IF(F6005="NEW",IF(ISNA(VLOOKUP(E6005,#REF!,1,FALSE())),"?TYPE_IDENTIFIABLE","?REFERENTIAL"),"_")))))</f>
        <v> </v>
      </c>
      <c r="H6005" s="25" t="str">
        <f>IF(J6005&lt;&gt;1,"",IF(I6005="SBJ","CB","?"))</f>
        <v> </v>
      </c>
      <c r="I6005" s="26" t="str">
        <f>IF(OR(E6005="",E6005="!!!",F6005="NEW"),"",INDEX(B6004:B$2,-1+SUMPRODUCT(MAX(ROW(E6004:E$2)*(E6005=E6004:E$2)))))</f>
        <v> </v>
      </c>
      <c r="J6005" s="26" t="str">
        <f>IF(OR(E6005="",E6005="!!!",F6005="NEW"),"",COUNTBLANK(OFFSET(A$1,,,SUMPRODUCT(MAX(ROW(E$2:E6005)*(E6005=E$2:E6005)))))-COUNTBLANK(OFFSET(A$1,,,SUMPRODUCT(MAX(ROW(E$1:E6004)*(E2=E$1:E6004))))))</f>
        <v> </v>
      </c>
      <c r="K6005" s="26" t="str">
        <f>IF(OR(E6005="",E6005="!!!",F6005="NEW"),"",INDEX(J$1:J6004,SUMPRODUCT(MAX(ROW(E$1:E6004)*(E6005=E$1:E6004)))))</f>
        <v> </v>
      </c>
      <c r="L6005" s="27"/>
    </row>
    <row r="6006" spans="1:12">
      <c r="A6006" s="20" t="s">
        <v>2594</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1206</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1852</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1023</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row>
    <row r="6011" spans="1:12">
      <c r="A6011" s="20" t="s">
        <v>2595</v>
      </c>
    </row>
    <row r="6012" spans="1:12">
      <c r="A6012" s="20" t="s">
        <v>1147</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1075</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102</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2596</v>
      </c>
      <c r="B6015" s="21" t="s">
        <v>1022</v>
      </c>
      <c r="C6015" s="21" t="s">
        <v>1006</v>
      </c>
      <c r="D6015" s="21" t="s">
        <v>1007</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2597</v>
      </c>
      <c r="B6016" s="21" t="s">
        <v>1033</v>
      </c>
      <c r="C6016" s="21" t="s">
        <v>1006</v>
      </c>
      <c r="D6016" s="21" t="s">
        <v>1007</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1065</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1030</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1015</v>
      </c>
      <c r="B6019" s="21" t="s">
        <v>1119</v>
      </c>
      <c r="C6019" s="21" t="s">
        <v>1073</v>
      </c>
      <c r="D6019" s="21" t="s">
        <v>1007</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1051</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1020</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2598</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1023</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row>
    <row r="6025" spans="1:12">
      <c r="A6025" s="20" t="s">
        <v>2599</v>
      </c>
    </row>
    <row r="6026" spans="1:12">
      <c r="A6026" s="20" t="s">
        <v>2600</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1669</v>
      </c>
      <c r="B6027" s="21" t="s">
        <v>1005</v>
      </c>
      <c r="C6027" s="21" t="s">
        <v>1082</v>
      </c>
      <c r="D6027" s="21" t="s">
        <v>1007</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1018</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1036</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102</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70</v>
      </c>
      <c r="B6031" s="21" t="s">
        <v>1005</v>
      </c>
      <c r="C6031" s="21" t="s">
        <v>1013</v>
      </c>
      <c r="D6031" s="21" t="s">
        <v>1007</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1014</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1020</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2462</v>
      </c>
      <c r="B6034" s="21" t="s">
        <v>1022</v>
      </c>
      <c r="C6034" s="21" t="s">
        <v>1017</v>
      </c>
      <c r="D6034" s="21" t="s">
        <v>1007</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56</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1014</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1020</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2601</v>
      </c>
      <c r="B6038" s="21" t="s">
        <v>1033</v>
      </c>
      <c r="C6038" s="21" t="s">
        <v>1017</v>
      </c>
      <c r="D6038" s="21" t="s">
        <v>1007</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1018</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1065</v>
      </c>
      <c r="B6040" s="21" t="s">
        <v>1263</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1438</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1020</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2598</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102</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2596</v>
      </c>
      <c r="B6045" s="21" t="s">
        <v>1134</v>
      </c>
      <c r="C6045" s="21" t="s">
        <v>1006</v>
      </c>
      <c r="D6045" s="21" t="s">
        <v>1007</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2597</v>
      </c>
      <c r="B6046" s="21" t="s">
        <v>1040</v>
      </c>
      <c r="C6046" s="21" t="s">
        <v>1006</v>
      </c>
      <c r="D6046" s="21" t="s">
        <v>1007</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1023</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row>
    <row r="6049" spans="1:12">
      <c r="A6049" s="20" t="s">
        <v>2602</v>
      </c>
    </row>
    <row r="6050" spans="1:12">
      <c r="A6050" s="20" t="s">
        <v>1879</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1803</v>
      </c>
      <c r="B6051" s="21" t="s">
        <v>1022</v>
      </c>
      <c r="C6051" s="21" t="s">
        <v>1059</v>
      </c>
      <c r="D6051" s="21" t="s">
        <v>1007</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1039</v>
      </c>
      <c r="B6052" s="21" t="s">
        <v>1050</v>
      </c>
      <c r="C6052" s="21" t="s">
        <v>1017</v>
      </c>
      <c r="D6052" s="21" t="s">
        <v>1007</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1361</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1132</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1324</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2603</v>
      </c>
      <c r="B6056" s="21" t="s">
        <v>1005</v>
      </c>
      <c r="C6056" s="21" t="s">
        <v>1111</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2604</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1030</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102</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2605</v>
      </c>
      <c r="B6060" s="21" t="s">
        <v>1022</v>
      </c>
      <c r="C6060" s="21" t="s">
        <v>1013</v>
      </c>
      <c r="D6060" s="21" t="s">
        <v>1007</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1014</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1143</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2606</v>
      </c>
      <c r="B6063" s="21" t="s">
        <v>1033</v>
      </c>
      <c r="C6063" s="21" t="s">
        <v>1041</v>
      </c>
      <c r="D6063" s="21" t="s">
        <v>1007</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t="s">
        <v>2301</v>
      </c>
      <c r="E6064" s="22">
        <f>IF(D6064="?OLD","!!!","")</f>
        <v/>
      </c>
      <c r="F6064" s="23" t="str">
        <f>IF(OR(E6064="",E6064="!!!"),"",IF(NOT(ISNA(VLOOKUP(E6064,E$1:E6063,1,FALSE()))),"OLD",IF(AND(E6064&lt;&gt;"",E6064&lt;&gt;"!!!"),"NEW","")))</f>
        <v> </v>
      </c>
      <c r="G6064" s="24" t="str">
        <f>IF(OR(E6064="",E6064="!!!"),"",IF(OR(J6064=0,AND(J6064=1,K6064=1),AND(J6064=1,I6064="SBJ"),AND(J6064=1,I6064=0)),"?IN_FOCUS",IF(J6064&lt;=2,"?ACTIVATED",IF(J6064&lt;&gt;"","?FAMILIAR",IF(F6064="NEW",IF(ISNA(VLOOKUP(E6064,#REF!,1,FALSE())),"?TYPE_IDENTIFIABLE","?REFERENTIAL"),"_")))))</f>
        <v> </v>
      </c>
      <c r="H6064" s="25" t="str">
        <f>IF(J6064&lt;&gt;1,"",IF(I6064="SBJ","CB","?"))</f>
        <v> </v>
      </c>
      <c r="I6064" s="26" t="str">
        <f>IF(OR(E6064="",E6064="!!!",F6064="NEW"),"",INDEX(B6063:B$2,-1+SUMPRODUCT(MAX(ROW(E6063:E$2)*(E6064=E6063:E$2)))))</f>
        <v> </v>
      </c>
      <c r="J6064" s="26" t="str">
        <f>IF(OR(E6064="",E6064="!!!",F6064="NEW"),"",COUNTBLANK(OFFSET(A$1,,,SUMPRODUCT(MAX(ROW(E$2:E6064)*(E6064=E$2:E6064)))))-COUNTBLANK(OFFSET(A$1,,,SUMPRODUCT(MAX(ROW(E$1:E6063)*(E2=E$1:E6063))))))</f>
        <v> </v>
      </c>
      <c r="K6064" s="26" t="str">
        <f>IF(OR(E6064="",E6064="!!!",F6064="NEW"),"",INDEX(J$1:J6063,SUMPRODUCT(MAX(ROW(E$1:E6063)*(E6064=E$1:E6063)))))</f>
        <v> </v>
      </c>
      <c r="L6064" s="27"/>
    </row>
    <row r="6065" spans="1:12">
      <c r="A6065" s="20" t="s">
        <v>2607</v>
      </c>
      <c r="E6065" s="22">
        <f>IF(D6065="?OLD","!!!","")</f>
        <v/>
      </c>
      <c r="F6065" s="23" t="str">
        <f>IF(OR(E6065="",E6065="!!!"),"",IF(NOT(ISNA(VLOOKUP(E6065,E$1:E6064,1,FALSE()))),"OLD",IF(AND(E6065&lt;&gt;"",E6065&lt;&gt;"!!!"),"NEW","")))</f>
        <v> </v>
      </c>
      <c r="G6065" s="24" t="str">
        <f>IF(OR(E6065="",E6065="!!!"),"",IF(OR(J6065=0,AND(J6065=1,K6065=1),AND(J6065=1,I6065="SBJ"),AND(J6065=1,I6065=0)),"?IN_FOCUS",IF(J6065&lt;=2,"?ACTIVATED",IF(J6065&lt;&gt;"","?FAMILIAR",IF(F6065="NEW",IF(ISNA(VLOOKUP(E6065,#REF!,1,FALSE())),"?TYPE_IDENTIFIABLE","?REFERENTIAL"),"_")))))</f>
        <v> </v>
      </c>
      <c r="H6065" s="25" t="str">
        <f>IF(J6065&lt;&gt;1,"",IF(I6065="SBJ","CB","?"))</f>
        <v> </v>
      </c>
      <c r="I6065" s="26" t="str">
        <f>IF(OR(E6065="",E6065="!!!",F6065="NEW"),"",INDEX(B6064:B$2,-1+SUMPRODUCT(MAX(ROW(E6064:E$2)*(E6065=E6064:E$2)))))</f>
        <v> </v>
      </c>
      <c r="J6065" s="26" t="str">
        <f>IF(OR(E6065="",E6065="!!!",F6065="NEW"),"",COUNTBLANK(OFFSET(A$1,,,SUMPRODUCT(MAX(ROW(E$2:E6065)*(E6065=E$2:E6065)))))-COUNTBLANK(OFFSET(A$1,,,SUMPRODUCT(MAX(ROW(E$1:E6064)*(E2=E$1:E6064))))))</f>
        <v> </v>
      </c>
      <c r="K6065" s="26" t="str">
        <f>IF(OR(E6065="",E6065="!!!",F6065="NEW"),"",INDEX(J$1:J6064,SUMPRODUCT(MAX(ROW(E$1:E6064)*(E6065=E$1:E6064)))))</f>
        <v> </v>
      </c>
      <c r="L6065" s="27"/>
    </row>
    <row r="6066" spans="1:12">
      <c r="A6066" s="20" t="s">
        <v>1018</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1330</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885</v>
      </c>
      <c r="B6068" s="21" t="s">
        <v>1119</v>
      </c>
      <c r="C6068" s="21" t="s">
        <v>1082</v>
      </c>
      <c r="D6068" s="21" t="s">
        <v>1007</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2054</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2435</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1065</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1203</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1285</v>
      </c>
      <c r="B6073" s="21" t="s">
        <v>1187</v>
      </c>
      <c r="C6073" s="21" t="s">
        <v>1048</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1014</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110</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2508</v>
      </c>
      <c r="B6076" s="21" t="s">
        <v>1134</v>
      </c>
      <c r="C6076" s="21" t="s">
        <v>1086</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1127</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1140</v>
      </c>
      <c r="B6078" s="21" t="s">
        <v>1040</v>
      </c>
      <c r="C6078" s="21" t="s">
        <v>1073</v>
      </c>
      <c r="D6078" s="21" t="s">
        <v>1007</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1023</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row>
    <row r="6081" spans="1:12">
      <c r="A6081" s="20" t="s">
        <v>2608</v>
      </c>
    </row>
    <row r="6082" spans="1:12">
      <c r="A6082" s="20" t="s">
        <v>1175</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885</v>
      </c>
      <c r="B6083" s="21" t="s">
        <v>1005</v>
      </c>
      <c r="C6083" s="21" t="s">
        <v>1082</v>
      </c>
      <c r="D6083" s="21" t="s">
        <v>1007</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1255</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1023</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row>
    <row r="6087" spans="1:12">
      <c r="A6087" s="20" t="s">
        <v>2609</v>
      </c>
    </row>
    <row r="6088" spans="1:12">
      <c r="A6088" s="20" t="s">
        <v>1118</v>
      </c>
      <c r="B6088" s="21" t="s">
        <v>1050</v>
      </c>
      <c r="C6088" s="21" t="s">
        <v>1048</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1009</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1527</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1018</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1203</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1065</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889</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1065</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1015</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2263</v>
      </c>
      <c r="B6097" s="21" t="s">
        <v>1119</v>
      </c>
      <c r="C6097" s="21" t="s">
        <v>1013</v>
      </c>
      <c r="D6097" s="21" t="s">
        <v>1007</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1014</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102</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2596</v>
      </c>
      <c r="B6100" s="21" t="s">
        <v>1033</v>
      </c>
      <c r="C6100" s="21" t="s">
        <v>1006</v>
      </c>
      <c r="D6100" s="21" t="s">
        <v>1007</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2597</v>
      </c>
      <c r="B6101" s="21" t="s">
        <v>1035</v>
      </c>
      <c r="C6101" s="21" t="s">
        <v>1006</v>
      </c>
      <c r="D6101" s="21" t="s">
        <v>1007</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2610</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2611</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1023</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row>
    <row r="6106" spans="1:12">
      <c r="A6106" s="20" t="s">
        <v>2612</v>
      </c>
    </row>
    <row r="6107" spans="1:12">
      <c r="A6107" s="20" t="s">
        <v>2613</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1933</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1056</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2312</v>
      </c>
      <c r="B6110" s="21" t="s">
        <v>1050</v>
      </c>
      <c r="C6110" s="21" t="s">
        <v>1013</v>
      </c>
      <c r="D6110" s="21" t="s">
        <v>1007</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1030</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2614</v>
      </c>
      <c r="B6112" s="21" t="s">
        <v>1022</v>
      </c>
      <c r="C6112" s="21" t="s">
        <v>1006</v>
      </c>
      <c r="D6112" s="21" t="s">
        <v>1007</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1065</v>
      </c>
      <c r="B6113" s="21" t="s">
        <v>1154</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2615</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1324</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193</v>
      </c>
      <c r="B6116" s="21" t="s">
        <v>1187</v>
      </c>
      <c r="C6116" s="21" t="s">
        <v>1111</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1421</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102</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t="s">
        <v>2616</v>
      </c>
      <c r="B6119" s="21" t="s">
        <v>1120</v>
      </c>
      <c r="C6119" s="21" t="s">
        <v>1006</v>
      </c>
      <c r="D6119" s="21" t="s">
        <v>1007</v>
      </c>
      <c r="E6119" s="22">
        <f>IF(D6119="?OLD","!!!","")</f>
        <v/>
      </c>
      <c r="F6119" s="23" t="str">
        <f>IF(OR(E6119="",E6119="!!!"),"",IF(NOT(ISNA(VLOOKUP(E6119,E$1:E6118,1,FALSE()))),"OLD",IF(AND(E6119&lt;&gt;"",E6119&lt;&gt;"!!!"),"NEW","")))</f>
        <v> </v>
      </c>
      <c r="G6119" s="24" t="str">
        <f>IF(OR(E6119="",E6119="!!!"),"",IF(OR(J6119=0,AND(J6119=1,K6119=1),AND(J6119=1,I6119="SBJ"),AND(J6119=1,I6119=0)),"?IN_FOCUS",IF(J6119&lt;=2,"?ACTIVATED",IF(J6119&lt;&gt;"","?FAMILIAR",IF(F6119="NEW",IF(ISNA(VLOOKUP(E6119,#REF!,1,FALSE())),"?TYPE_IDENTIFIABLE","?REFERENTIAL"),"_")))))</f>
        <v> </v>
      </c>
      <c r="H6119" s="25" t="str">
        <f>IF(J6119&lt;&gt;1,"",IF(I6119="SBJ","CB","?"))</f>
        <v> </v>
      </c>
      <c r="I6119" s="26" t="str">
        <f>IF(OR(E6119="",E6119="!!!",F6119="NEW"),"",INDEX(B6118:B$2,-1+SUMPRODUCT(MAX(ROW(E6118:E$2)*(E6119=E6118:E$2)))))</f>
        <v> </v>
      </c>
      <c r="J6119" s="26" t="str">
        <f>IF(OR(E6119="",E6119="!!!",F6119="NEW"),"",COUNTBLANK(OFFSET(A$1,,,SUMPRODUCT(MAX(ROW(E$2:E6119)*(E6119=E$2:E6119)))))-COUNTBLANK(OFFSET(A$1,,,SUMPRODUCT(MAX(ROW(E$1:E6118)*(E2=E$1:E6118))))))</f>
        <v> </v>
      </c>
      <c r="K6119" s="26" t="str">
        <f>IF(OR(E6119="",E6119="!!!",F6119="NEW"),"",INDEX(J$1:J6118,SUMPRODUCT(MAX(ROW(E$1:E6118)*(E6119=E$1:E6118)))))</f>
        <v> </v>
      </c>
      <c r="L6119" s="27"/>
    </row>
    <row r="6120" spans="1:12">
      <c r="A6120" s="20" t="s">
        <v>1014</v>
      </c>
      <c r="E6120" s="22">
        <f>IF(D6120="?OLD","!!!","")</f>
        <v/>
      </c>
      <c r="F6120" s="23" t="str">
        <f>IF(OR(E6120="",E6120="!!!"),"",IF(NOT(ISNA(VLOOKUP(E6120,E$1:E6119,1,FALSE()))),"OLD",IF(AND(E6120&lt;&gt;"",E6120&lt;&gt;"!!!"),"NEW","")))</f>
        <v> </v>
      </c>
      <c r="G6120" s="24" t="str">
        <f>IF(OR(E6120="",E6120="!!!"),"",IF(OR(J6120=0,AND(J6120=1,K6120=1),AND(J6120=1,I6120="SBJ"),AND(J6120=1,I6120=0)),"?IN_FOCUS",IF(J6120&lt;=2,"?ACTIVATED",IF(J6120&lt;&gt;"","?FAMILIAR",IF(F6120="NEW",IF(ISNA(VLOOKUP(E6120,#REF!,1,FALSE())),"?TYPE_IDENTIFIABLE","?REFERENTIAL"),"_")))))</f>
        <v> </v>
      </c>
      <c r="H6120" s="25" t="str">
        <f>IF(J6120&lt;&gt;1,"",IF(I6120="SBJ","CB","?"))</f>
        <v> </v>
      </c>
      <c r="I6120" s="26" t="str">
        <f>IF(OR(E6120="",E6120="!!!",F6120="NEW"),"",INDEX(B6119:B$2,-1+SUMPRODUCT(MAX(ROW(E6119:E$2)*(E6120=E6119:E$2)))))</f>
        <v> </v>
      </c>
      <c r="J6120" s="26" t="str">
        <f>IF(OR(E6120="",E6120="!!!",F6120="NEW"),"",COUNTBLANK(OFFSET(A$1,,,SUMPRODUCT(MAX(ROW(E$2:E6120)*(E6120=E$2:E6120)))))-COUNTBLANK(OFFSET(A$1,,,SUMPRODUCT(MAX(ROW(E$1:E6119)*(E2=E$1:E6119))))))</f>
        <v> </v>
      </c>
      <c r="K6120" s="26" t="str">
        <f>IF(OR(E6120="",E6120="!!!",F6120="NEW"),"",INDEX(J$1:J6119,SUMPRODUCT(MAX(ROW(E$1:E6119)*(E6120=E$1:E6119)))))</f>
        <v> </v>
      </c>
      <c r="L6120" s="27"/>
    </row>
    <row r="6121" spans="1:12">
      <c r="A6121" s="20" t="s">
        <v>2617</v>
      </c>
      <c r="B6121" s="21" t="s">
        <v>1130</v>
      </c>
      <c r="C6121" s="21" t="s">
        <v>1006</v>
      </c>
      <c r="D6121" s="21" t="s">
        <v>1007</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1018</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1065</v>
      </c>
      <c r="B6123" s="21" t="s">
        <v>1067</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1752</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1065</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1020</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1873</v>
      </c>
      <c r="B6127" s="21" t="s">
        <v>1044</v>
      </c>
      <c r="C6127" s="21" t="s">
        <v>1059</v>
      </c>
      <c r="D6127" s="21" t="s">
        <v>1007</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2618</v>
      </c>
      <c r="B6128" s="21" t="s">
        <v>1251</v>
      </c>
      <c r="C6128" s="21" t="s">
        <v>1013</v>
      </c>
      <c r="D6128" s="21" t="s">
        <v>1007</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1014</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1691</v>
      </c>
      <c r="B6130" s="21" t="s">
        <v>1044</v>
      </c>
      <c r="C6130" s="21" t="s">
        <v>1048</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1075</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2619</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1137</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1020</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1738</v>
      </c>
      <c r="B6135" s="21" t="s">
        <v>1437</v>
      </c>
      <c r="C6135" s="21" t="s">
        <v>1013</v>
      </c>
      <c r="D6135" s="21" t="s">
        <v>1007</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1014</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1429</v>
      </c>
      <c r="B6137" s="21" t="s">
        <v>1215</v>
      </c>
      <c r="C6137" s="21" t="s">
        <v>1013</v>
      </c>
      <c r="D6137" s="21" t="s">
        <v>1007</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t="s">
        <v>1014</v>
      </c>
      <c r="E6138" s="22">
        <f>IF(D6138="?OLD","!!!","")</f>
        <v/>
      </c>
      <c r="F6138" s="23" t="str">
        <f>IF(OR(E6138="",E6138="!!!"),"",IF(NOT(ISNA(VLOOKUP(E6138,E$1:E6137,1,FALSE()))),"OLD",IF(AND(E6138&lt;&gt;"",E6138&lt;&gt;"!!!"),"NEW","")))</f>
        <v> </v>
      </c>
      <c r="G6138" s="24" t="str">
        <f>IF(OR(E6138="",E6138="!!!"),"",IF(OR(J6138=0,AND(J6138=1,K6138=1),AND(J6138=1,I6138="SBJ"),AND(J6138=1,I6138=0)),"?IN_FOCUS",IF(J6138&lt;=2,"?ACTIVATED",IF(J6138&lt;&gt;"","?FAMILIAR",IF(F6138="NEW",IF(ISNA(VLOOKUP(E6138,#REF!,1,FALSE())),"?TYPE_IDENTIFIABLE","?REFERENTIAL"),"_")))))</f>
        <v> </v>
      </c>
      <c r="H6138" s="25" t="str">
        <f>IF(J6138&lt;&gt;1,"",IF(I6138="SBJ","CB","?"))</f>
        <v> </v>
      </c>
      <c r="I6138" s="26" t="str">
        <f>IF(OR(E6138="",E6138="!!!",F6138="NEW"),"",INDEX(B6137:B$2,-1+SUMPRODUCT(MAX(ROW(E6137:E$2)*(E6138=E6137:E$2)))))</f>
        <v> </v>
      </c>
      <c r="J6138" s="26" t="str">
        <f>IF(OR(E6138="",E6138="!!!",F6138="NEW"),"",COUNTBLANK(OFFSET(A$1,,,SUMPRODUCT(MAX(ROW(E$2:E6138)*(E6138=E$2:E6138)))))-COUNTBLANK(OFFSET(A$1,,,SUMPRODUCT(MAX(ROW(E$1:E6137)*(E2=E$1:E6137))))))</f>
        <v> </v>
      </c>
      <c r="K6138" s="26" t="str">
        <f>IF(OR(E6138="",E6138="!!!",F6138="NEW"),"",INDEX(J$1:J6137,SUMPRODUCT(MAX(ROW(E$1:E6137)*(E6138=E$1:E6137)))))</f>
        <v> </v>
      </c>
      <c r="L6138" s="27"/>
    </row>
    <row r="6139" spans="1:12">
      <c r="A6139" s="20" t="s">
        <v>102</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1168</v>
      </c>
      <c r="B6140" s="21" t="s">
        <v>1217</v>
      </c>
      <c r="C6140" s="21" t="s">
        <v>1017</v>
      </c>
      <c r="D6140" s="21" t="s">
        <v>1007</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1114</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2009</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2620</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1030</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1324</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2537</v>
      </c>
      <c r="B6146" s="21" t="s">
        <v>1487</v>
      </c>
      <c r="C6146" s="21" t="s">
        <v>1013</v>
      </c>
      <c r="D6146" s="21" t="s">
        <v>1007</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1014</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2621</v>
      </c>
      <c r="B6148" s="21" t="s">
        <v>1215</v>
      </c>
      <c r="C6148" s="21" t="s">
        <v>1048</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1018</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56</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1018</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1646</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1346</v>
      </c>
      <c r="B6153" s="21" t="s">
        <v>1217</v>
      </c>
      <c r="C6153" s="21" t="s">
        <v>1103</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1065</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1140</v>
      </c>
      <c r="B6155" s="21" t="s">
        <v>1795</v>
      </c>
      <c r="C6155" s="21" t="s">
        <v>1073</v>
      </c>
      <c r="D6155" s="21" t="s">
        <v>1007</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1759</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1018</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1616</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1014</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2622</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56</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1014</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2623</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1015</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t="s">
        <v>1269</v>
      </c>
      <c r="B6165" s="21" t="s">
        <v>1792</v>
      </c>
      <c r="C6165" s="21" t="s">
        <v>1059</v>
      </c>
      <c r="D6165" s="21" t="s">
        <v>1007</v>
      </c>
      <c r="E6165" s="22">
        <f>IF(D6165="?OLD","!!!","")</f>
        <v/>
      </c>
      <c r="F6165" s="23" t="str">
        <f>IF(OR(E6165="",E6165="!!!"),"",IF(NOT(ISNA(VLOOKUP(E6165,E$1:E6164,1,FALSE()))),"OLD",IF(AND(E6165&lt;&gt;"",E6165&lt;&gt;"!!!"),"NEW","")))</f>
        <v> </v>
      </c>
      <c r="G6165" s="24" t="str">
        <f>IF(OR(E6165="",E6165="!!!"),"",IF(OR(J6165=0,AND(J6165=1,K6165=1),AND(J6165=1,I6165="SBJ"),AND(J6165=1,I6165=0)),"?IN_FOCUS",IF(J6165&lt;=2,"?ACTIVATED",IF(J6165&lt;&gt;"","?FAMILIAR",IF(F6165="NEW",IF(ISNA(VLOOKUP(E6165,#REF!,1,FALSE())),"?TYPE_IDENTIFIABLE","?REFERENTIAL"),"_")))))</f>
        <v> </v>
      </c>
      <c r="H6165" s="25" t="str">
        <f>IF(J6165&lt;&gt;1,"",IF(I6165="SBJ","CB","?"))</f>
        <v> </v>
      </c>
      <c r="I6165" s="26" t="str">
        <f>IF(OR(E6165="",E6165="!!!",F6165="NEW"),"",INDEX(B6164:B$2,-1+SUMPRODUCT(MAX(ROW(E6164:E$2)*(E6165=E6164:E$2)))))</f>
        <v> </v>
      </c>
      <c r="J6165" s="26" t="str">
        <f>IF(OR(E6165="",E6165="!!!",F6165="NEW"),"",COUNTBLANK(OFFSET(A$1,,,SUMPRODUCT(MAX(ROW(E$2:E6165)*(E6165=E$2:E6165)))))-COUNTBLANK(OFFSET(A$1,,,SUMPRODUCT(MAX(ROW(E$1:E6164)*(E2=E$1:E6164))))))</f>
        <v> </v>
      </c>
      <c r="K6165" s="26" t="str">
        <f>IF(OR(E6165="",E6165="!!!",F6165="NEW"),"",INDEX(J$1:J6164,SUMPRODUCT(MAX(ROW(E$1:E6164)*(E6165=E$1:E6164)))))</f>
        <v> </v>
      </c>
      <c r="L6165" s="27"/>
    </row>
    <row r="6166" spans="1:12">
      <c r="A6166" s="20" t="s">
        <v>1012</v>
      </c>
      <c r="B6166" s="21" t="s">
        <v>1791</v>
      </c>
      <c r="C6166" s="21" t="s">
        <v>1013</v>
      </c>
      <c r="D6166" s="21" t="s">
        <v>1007</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1014</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1691</v>
      </c>
      <c r="B6168" s="21" t="s">
        <v>1792</v>
      </c>
      <c r="C6168" s="21" t="s">
        <v>1048</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1023</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row>
    <row r="6171" spans="1:12">
      <c r="A6171" s="20" t="s">
        <v>2624</v>
      </c>
    </row>
    <row r="6172" spans="1:12">
      <c r="A6172" s="20" t="s">
        <v>2625</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1018</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1140</v>
      </c>
      <c r="B6174" s="21" t="s">
        <v>1050</v>
      </c>
      <c r="C6174" s="21" t="s">
        <v>1073</v>
      </c>
      <c r="D6174" s="21" t="s">
        <v>1007</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1142</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1124</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2626</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2627</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1065</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1015</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t="s">
        <v>2263</v>
      </c>
      <c r="B6181" s="21" t="s">
        <v>1119</v>
      </c>
      <c r="C6181" s="21" t="s">
        <v>1017</v>
      </c>
      <c r="D6181" s="21" t="s">
        <v>1007</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2610</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1903</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2628</v>
      </c>
      <c r="B6184" s="21" t="s">
        <v>1029</v>
      </c>
      <c r="C6184" s="21" t="s">
        <v>1013</v>
      </c>
      <c r="D6184" s="21" t="s">
        <v>1007</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1014</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2621</v>
      </c>
      <c r="B6186" s="21" t="s">
        <v>1033</v>
      </c>
      <c r="C6186" s="21" t="s">
        <v>1048</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t="s">
        <v>1018</v>
      </c>
      <c r="E6187" s="22">
        <f>IF(D6187="?OLD","!!!","")</f>
        <v/>
      </c>
      <c r="F6187" s="23" t="str">
        <f>IF(OR(E6187="",E6187="!!!"),"",IF(NOT(ISNA(VLOOKUP(E6187,E$1:E6186,1,FALSE()))),"OLD",IF(AND(E6187&lt;&gt;"",E6187&lt;&gt;"!!!"),"NEW","")))</f>
        <v> </v>
      </c>
      <c r="G6187" s="24" t="str">
        <f>IF(OR(E6187="",E6187="!!!"),"",IF(OR(J6187=0,AND(J6187=1,K6187=1),AND(J6187=1,I6187="SBJ"),AND(J6187=1,I6187=0)),"?IN_FOCUS",IF(J6187&lt;=2,"?ACTIVATED",IF(J6187&lt;&gt;"","?FAMILIAR",IF(F6187="NEW",IF(ISNA(VLOOKUP(E6187,#REF!,1,FALSE())),"?TYPE_IDENTIFIABLE","?REFERENTIAL"),"_")))))</f>
        <v> </v>
      </c>
      <c r="H6187" s="25" t="str">
        <f>IF(J6187&lt;&gt;1,"",IF(I6187="SBJ","CB","?"))</f>
        <v> </v>
      </c>
      <c r="I6187" s="26" t="str">
        <f>IF(OR(E6187="",E6187="!!!",F6187="NEW"),"",INDEX(B6186:B$2,-1+SUMPRODUCT(MAX(ROW(E6186:E$2)*(E6187=E6186:E$2)))))</f>
        <v> </v>
      </c>
      <c r="J6187" s="26" t="str">
        <f>IF(OR(E6187="",E6187="!!!",F6187="NEW"),"",COUNTBLANK(OFFSET(A$1,,,SUMPRODUCT(MAX(ROW(E$2:E6187)*(E6187=E$2:E6187)))))-COUNTBLANK(OFFSET(A$1,,,SUMPRODUCT(MAX(ROW(E$1:E6186)*(E2=E$1:E6186))))))</f>
        <v> </v>
      </c>
      <c r="K6187" s="26" t="str">
        <f>IF(OR(E6187="",E6187="!!!",F6187="NEW"),"",INDEX(J$1:J6186,SUMPRODUCT(MAX(ROW(E$1:E6186)*(E6187=E$1:E6186)))))</f>
        <v> </v>
      </c>
      <c r="L6187" s="27"/>
    </row>
    <row r="6188" spans="1:12">
      <c r="A6188" s="20" t="s">
        <v>56</v>
      </c>
      <c r="E6188" s="22">
        <f>IF(D6188="?OLD","!!!","")</f>
        <v/>
      </c>
      <c r="F6188" s="23" t="str">
        <f>IF(OR(E6188="",E6188="!!!"),"",IF(NOT(ISNA(VLOOKUP(E6188,E$1:E6187,1,FALSE()))),"OLD",IF(AND(E6188&lt;&gt;"",E6188&lt;&gt;"!!!"),"NEW","")))</f>
        <v> </v>
      </c>
      <c r="G6188" s="24" t="str">
        <f>IF(OR(E6188="",E6188="!!!"),"",IF(OR(J6188=0,AND(J6188=1,K6188=1),AND(J6188=1,I6188="SBJ"),AND(J6188=1,I6188=0)),"?IN_FOCUS",IF(J6188&lt;=2,"?ACTIVATED",IF(J6188&lt;&gt;"","?FAMILIAR",IF(F6188="NEW",IF(ISNA(VLOOKUP(E6188,#REF!,1,FALSE())),"?TYPE_IDENTIFIABLE","?REFERENTIAL"),"_")))))</f>
        <v> </v>
      </c>
      <c r="H6188" s="25" t="str">
        <f>IF(J6188&lt;&gt;1,"",IF(I6188="SBJ","CB","?"))</f>
        <v> </v>
      </c>
      <c r="I6188" s="26" t="str">
        <f>IF(OR(E6188="",E6188="!!!",F6188="NEW"),"",INDEX(B6187:B$2,-1+SUMPRODUCT(MAX(ROW(E6187:E$2)*(E6188=E6187:E$2)))))</f>
        <v> </v>
      </c>
      <c r="J6188" s="26" t="str">
        <f>IF(OR(E6188="",E6188="!!!",F6188="NEW"),"",COUNTBLANK(OFFSET(A$1,,,SUMPRODUCT(MAX(ROW(E$2:E6188)*(E6188=E$2:E6188)))))-COUNTBLANK(OFFSET(A$1,,,SUMPRODUCT(MAX(ROW(E$1:E6187)*(E2=E$1:E6187))))))</f>
        <v> </v>
      </c>
      <c r="K6188" s="26" t="str">
        <f>IF(OR(E6188="",E6188="!!!",F6188="NEW"),"",INDEX(J$1:J6187,SUMPRODUCT(MAX(ROW(E$1:E6187)*(E6188=E$1:E6187)))))</f>
        <v> </v>
      </c>
      <c r="L6188" s="27"/>
    </row>
    <row r="6189" spans="1:12">
      <c r="A6189" s="20" t="s">
        <v>1075</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1036</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1140</v>
      </c>
      <c r="B6191" s="21" t="s">
        <v>1022</v>
      </c>
      <c r="C6191" s="21" t="s">
        <v>1073</v>
      </c>
      <c r="D6191" s="21" t="s">
        <v>1007</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1065</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1030</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1015</v>
      </c>
      <c r="B6194" s="21" t="s">
        <v>1035</v>
      </c>
      <c r="C6194" s="21" t="s">
        <v>1082</v>
      </c>
      <c r="D6194" s="21" t="s">
        <v>1007</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2629</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1978</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1182</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1122</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2630</v>
      </c>
      <c r="B6199" s="21" t="s">
        <v>1035</v>
      </c>
      <c r="C6199" s="21" t="s">
        <v>1041</v>
      </c>
      <c r="D6199" s="21" t="s">
        <v>1007</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1330</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2054</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1203</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2631</v>
      </c>
      <c r="B6203" s="21" t="s">
        <v>1134</v>
      </c>
      <c r="C6203" s="21" t="s">
        <v>1048</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1018</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1299</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102</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70</v>
      </c>
      <c r="B6207" s="21" t="s">
        <v>1119</v>
      </c>
      <c r="C6207" s="21" t="s">
        <v>1013</v>
      </c>
      <c r="D6207" s="21" t="s">
        <v>1007</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1014</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1015</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2632</v>
      </c>
      <c r="B6210" s="21" t="s">
        <v>1033</v>
      </c>
      <c r="C6210" s="21" t="s">
        <v>1017</v>
      </c>
      <c r="D6210" s="21" t="s">
        <v>1007</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1255</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1124</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t="s">
        <v>2633</v>
      </c>
      <c r="E6213" s="22">
        <f>IF(D6213="?OLD","!!!","")</f>
        <v/>
      </c>
      <c r="F6213" s="23" t="str">
        <f>IF(OR(E6213="",E6213="!!!"),"",IF(NOT(ISNA(VLOOKUP(E6213,E$1:E6212,1,FALSE()))),"OLD",IF(AND(E6213&lt;&gt;"",E6213&lt;&gt;"!!!"),"NEW","")))</f>
        <v> </v>
      </c>
      <c r="G6213" s="24" t="str">
        <f>IF(OR(E6213="",E6213="!!!"),"",IF(OR(J6213=0,AND(J6213=1,K6213=1),AND(J6213=1,I6213="SBJ"),AND(J6213=1,I6213=0)),"?IN_FOCUS",IF(J6213&lt;=2,"?ACTIVATED",IF(J6213&lt;&gt;"","?FAMILIAR",IF(F6213="NEW",IF(ISNA(VLOOKUP(E6213,#REF!,1,FALSE())),"?TYPE_IDENTIFIABLE","?REFERENTIAL"),"_")))))</f>
        <v> </v>
      </c>
      <c r="H6213" s="25" t="str">
        <f>IF(J6213&lt;&gt;1,"",IF(I6213="SBJ","CB","?"))</f>
        <v> </v>
      </c>
      <c r="I6213" s="26" t="str">
        <f>IF(OR(E6213="",E6213="!!!",F6213="NEW"),"",INDEX(B6212:B$2,-1+SUMPRODUCT(MAX(ROW(E6212:E$2)*(E6213=E6212:E$2)))))</f>
        <v> </v>
      </c>
      <c r="J6213" s="26" t="str">
        <f>IF(OR(E6213="",E6213="!!!",F6213="NEW"),"",COUNTBLANK(OFFSET(A$1,,,SUMPRODUCT(MAX(ROW(E$2:E6213)*(E6213=E$2:E6213)))))-COUNTBLANK(OFFSET(A$1,,,SUMPRODUCT(MAX(ROW(E$1:E6212)*(E2=E$1:E6212))))))</f>
        <v> </v>
      </c>
      <c r="K6213" s="26" t="str">
        <f>IF(OR(E6213="",E6213="!!!",F6213="NEW"),"",INDEX(J$1:J6212,SUMPRODUCT(MAX(ROW(E$1:E6212)*(E6213=E$1:E6212)))))</f>
        <v> </v>
      </c>
      <c r="L6213" s="27"/>
    </row>
    <row r="6214" spans="1:12">
      <c r="A6214" s="20" t="s">
        <v>1450</v>
      </c>
      <c r="E6214" s="22">
        <f>IF(D6214="?OLD","!!!","")</f>
        <v/>
      </c>
      <c r="F6214" s="23" t="str">
        <f>IF(OR(E6214="",E6214="!!!"),"",IF(NOT(ISNA(VLOOKUP(E6214,E$1:E6213,1,FALSE()))),"OLD",IF(AND(E6214&lt;&gt;"",E6214&lt;&gt;"!!!"),"NEW","")))</f>
        <v> </v>
      </c>
      <c r="G6214" s="24" t="str">
        <f>IF(OR(E6214="",E6214="!!!"),"",IF(OR(J6214=0,AND(J6214=1,K6214=1),AND(J6214=1,I6214="SBJ"),AND(J6214=1,I6214=0)),"?IN_FOCUS",IF(J6214&lt;=2,"?ACTIVATED",IF(J6214&lt;&gt;"","?FAMILIAR",IF(F6214="NEW",IF(ISNA(VLOOKUP(E6214,#REF!,1,FALSE())),"?TYPE_IDENTIFIABLE","?REFERENTIAL"),"_")))))</f>
        <v> </v>
      </c>
      <c r="H6214" s="25" t="str">
        <f>IF(J6214&lt;&gt;1,"",IF(I6214="SBJ","CB","?"))</f>
        <v> </v>
      </c>
      <c r="I6214" s="26" t="str">
        <f>IF(OR(E6214="",E6214="!!!",F6214="NEW"),"",INDEX(B6213:B$2,-1+SUMPRODUCT(MAX(ROW(E6213:E$2)*(E6214=E6213:E$2)))))</f>
        <v> </v>
      </c>
      <c r="J6214" s="26" t="str">
        <f>IF(OR(E6214="",E6214="!!!",F6214="NEW"),"",COUNTBLANK(OFFSET(A$1,,,SUMPRODUCT(MAX(ROW(E$2:E6214)*(E6214=E$2:E6214)))))-COUNTBLANK(OFFSET(A$1,,,SUMPRODUCT(MAX(ROW(E$1:E6213)*(E2=E$1:E6213))))))</f>
        <v> </v>
      </c>
      <c r="K6214" s="26" t="str">
        <f>IF(OR(E6214="",E6214="!!!",F6214="NEW"),"",INDEX(J$1:J6213,SUMPRODUCT(MAX(ROW(E$1:E6213)*(E6214=E$1:E6213)))))</f>
        <v> </v>
      </c>
      <c r="L6214" s="27"/>
    </row>
    <row r="6215" spans="1:12">
      <c r="A6215" s="20" t="s">
        <v>1014</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1020</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1513</v>
      </c>
      <c r="B6217" s="21" t="s">
        <v>1033</v>
      </c>
      <c r="C6217" s="21" t="s">
        <v>1017</v>
      </c>
      <c r="D6217" s="21" t="s">
        <v>1007</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1023</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row>
    <row r="6220" spans="1:12">
      <c r="A6220" s="20" t="s">
        <v>2634</v>
      </c>
    </row>
    <row r="6221" spans="1:12">
      <c r="A6221" s="20" t="s">
        <v>1991</v>
      </c>
      <c r="B6221" s="21" t="s">
        <v>1050</v>
      </c>
      <c r="C6221" s="21" t="s">
        <v>1082</v>
      </c>
      <c r="D6221" s="21" t="s">
        <v>1007</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1150</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1324</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2635</v>
      </c>
      <c r="B6224" s="21" t="s">
        <v>1005</v>
      </c>
      <c r="C6224" s="21" t="s">
        <v>1111</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2636</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1014</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1065</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1056</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2637</v>
      </c>
      <c r="B6229" s="21" t="s">
        <v>1154</v>
      </c>
      <c r="C6229" s="21" t="s">
        <v>1111</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1061</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2638</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1114</v>
      </c>
      <c r="B6232" s="21" t="s">
        <v>1187</v>
      </c>
      <c r="C6232" s="21" t="s">
        <v>1082</v>
      </c>
      <c r="D6232" s="21" t="s">
        <v>1007</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1030</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2639</v>
      </c>
      <c r="B6234" s="21" t="s">
        <v>1033</v>
      </c>
      <c r="C6234" s="21" t="s">
        <v>1013</v>
      </c>
      <c r="D6234" s="21" t="s">
        <v>1007</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1014</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2640</v>
      </c>
      <c r="B6236" s="21" t="s">
        <v>1035</v>
      </c>
      <c r="C6236" s="21" t="s">
        <v>1013</v>
      </c>
      <c r="D6236" s="21" t="s">
        <v>1007</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2195</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1015</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2641</v>
      </c>
      <c r="B6239" s="21" t="s">
        <v>1130</v>
      </c>
      <c r="C6239" s="21" t="s">
        <v>1017</v>
      </c>
      <c r="D6239" s="21" t="s">
        <v>1007</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1286</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2642</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56</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2195</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t="s">
        <v>1027</v>
      </c>
      <c r="E6244" s="22">
        <f>IF(D6244="?OLD","!!!","")</f>
        <v/>
      </c>
      <c r="F6244" s="23" t="str">
        <f>IF(OR(E6244="",E6244="!!!"),"",IF(NOT(ISNA(VLOOKUP(E6244,E$1:E6243,1,FALSE()))),"OLD",IF(AND(E6244&lt;&gt;"",E6244&lt;&gt;"!!!"),"NEW","")))</f>
        <v> </v>
      </c>
      <c r="G6244" s="24" t="str">
        <f>IF(OR(E6244="",E6244="!!!"),"",IF(OR(J6244=0,AND(J6244=1,K6244=1),AND(J6244=1,I6244="SBJ"),AND(J6244=1,I6244=0)),"?IN_FOCUS",IF(J6244&lt;=2,"?ACTIVATED",IF(J6244&lt;&gt;"","?FAMILIAR",IF(F6244="NEW",IF(ISNA(VLOOKUP(E6244,#REF!,1,FALSE())),"?TYPE_IDENTIFIABLE","?REFERENTIAL"),"_")))))</f>
        <v> </v>
      </c>
      <c r="H6244" s="25" t="str">
        <f>IF(J6244&lt;&gt;1,"",IF(I6244="SBJ","CB","?"))</f>
        <v> </v>
      </c>
      <c r="I6244" s="26" t="str">
        <f>IF(OR(E6244="",E6244="!!!",F6244="NEW"),"",INDEX(B6243:B$2,-1+SUMPRODUCT(MAX(ROW(E6243:E$2)*(E6244=E6243:E$2)))))</f>
        <v> </v>
      </c>
      <c r="J6244" s="26" t="str">
        <f>IF(OR(E6244="",E6244="!!!",F6244="NEW"),"",COUNTBLANK(OFFSET(A$1,,,SUMPRODUCT(MAX(ROW(E$2:E6244)*(E6244=E$2:E6244)))))-COUNTBLANK(OFFSET(A$1,,,SUMPRODUCT(MAX(ROW(E$1:E6243)*(E2=E$1:E6243))))))</f>
        <v> </v>
      </c>
      <c r="K6244" s="26" t="str">
        <f>IF(OR(E6244="",E6244="!!!",F6244="NEW"),"",INDEX(J$1:J6243,SUMPRODUCT(MAX(ROW(E$1:E6243)*(E6244=E$1:E6243)))))</f>
        <v> </v>
      </c>
      <c r="L6244" s="27"/>
    </row>
    <row r="6245" spans="1:12">
      <c r="A6245" s="20" t="s">
        <v>1286</v>
      </c>
      <c r="E6245" s="22">
        <f>IF(D6245="?OLD","!!!","")</f>
        <v/>
      </c>
      <c r="F6245" s="23" t="str">
        <f>IF(OR(E6245="",E6245="!!!"),"",IF(NOT(ISNA(VLOOKUP(E6245,E$1:E6244,1,FALSE()))),"OLD",IF(AND(E6245&lt;&gt;"",E6245&lt;&gt;"!!!"),"NEW","")))</f>
        <v> </v>
      </c>
      <c r="G6245" s="24" t="str">
        <f>IF(OR(E6245="",E6245="!!!"),"",IF(OR(J6245=0,AND(J6245=1,K6245=1),AND(J6245=1,I6245="SBJ"),AND(J6245=1,I6245=0)),"?IN_FOCUS",IF(J6245&lt;=2,"?ACTIVATED",IF(J6245&lt;&gt;"","?FAMILIAR",IF(F6245="NEW",IF(ISNA(VLOOKUP(E6245,#REF!,1,FALSE())),"?TYPE_IDENTIFIABLE","?REFERENTIAL"),"_")))))</f>
        <v> </v>
      </c>
      <c r="H6245" s="25" t="str">
        <f>IF(J6245&lt;&gt;1,"",IF(I6245="SBJ","CB","?"))</f>
        <v> </v>
      </c>
      <c r="I6245" s="26" t="str">
        <f>IF(OR(E6245="",E6245="!!!",F6245="NEW"),"",INDEX(B6244:B$2,-1+SUMPRODUCT(MAX(ROW(E6244:E$2)*(E6245=E6244:E$2)))))</f>
        <v> </v>
      </c>
      <c r="J6245" s="26" t="str">
        <f>IF(OR(E6245="",E6245="!!!",F6245="NEW"),"",COUNTBLANK(OFFSET(A$1,,,SUMPRODUCT(MAX(ROW(E$2:E6245)*(E6245=E$2:E6245)))))-COUNTBLANK(OFFSET(A$1,,,SUMPRODUCT(MAX(ROW(E$1:E6244)*(E2=E$1:E6244))))))</f>
        <v> </v>
      </c>
      <c r="K6245" s="26" t="str">
        <f>IF(OR(E6245="",E6245="!!!",F6245="NEW"),"",INDEX(J$1:J6244,SUMPRODUCT(MAX(ROW(E$1:E6244)*(E6245=E$1:E6244)))))</f>
        <v> </v>
      </c>
      <c r="L6245" s="27"/>
    </row>
    <row r="6246" spans="1:12">
      <c r="A6246" s="20" t="s">
        <v>2643</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2644</v>
      </c>
      <c r="B6247" s="21" t="s">
        <v>1042</v>
      </c>
      <c r="C6247" s="21" t="s">
        <v>1013</v>
      </c>
      <c r="D6247" s="21" t="s">
        <v>1007</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1014</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1243</v>
      </c>
      <c r="B6249" s="21" t="s">
        <v>1044</v>
      </c>
      <c r="C6249" s="21" t="s">
        <v>1013</v>
      </c>
      <c r="D6249" s="21" t="s">
        <v>1007</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1030</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1433</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102</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1156</v>
      </c>
      <c r="B6253" s="21" t="s">
        <v>1215</v>
      </c>
      <c r="C6253" s="21" t="s">
        <v>1017</v>
      </c>
      <c r="D6253" s="21" t="s">
        <v>1007</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t="s">
        <v>1018</v>
      </c>
      <c r="E6254" s="22">
        <f>IF(D6254="?OLD","!!!","")</f>
        <v/>
      </c>
      <c r="F6254" s="23" t="str">
        <f>IF(OR(E6254="",E6254="!!!"),"",IF(NOT(ISNA(VLOOKUP(E6254,E$1:E6253,1,FALSE()))),"OLD",IF(AND(E6254&lt;&gt;"",E6254&lt;&gt;"!!!"),"NEW","")))</f>
        <v> </v>
      </c>
      <c r="G6254" s="24" t="str">
        <f>IF(OR(E6254="",E6254="!!!"),"",IF(OR(J6254=0,AND(J6254=1,K6254=1),AND(J6254=1,I6254="SBJ"),AND(J6254=1,I6254=0)),"?IN_FOCUS",IF(J6254&lt;=2,"?ACTIVATED",IF(J6254&lt;&gt;"","?FAMILIAR",IF(F6254="NEW",IF(ISNA(VLOOKUP(E6254,#REF!,1,FALSE())),"?TYPE_IDENTIFIABLE","?REFERENTIAL"),"_")))))</f>
        <v> </v>
      </c>
      <c r="H6254" s="25" t="str">
        <f>IF(J6254&lt;&gt;1,"",IF(I6254="SBJ","CB","?"))</f>
        <v> </v>
      </c>
      <c r="I6254" s="26" t="str">
        <f>IF(OR(E6254="",E6254="!!!",F6254="NEW"),"",INDEX(B6253:B$2,-1+SUMPRODUCT(MAX(ROW(E6253:E$2)*(E6254=E6253:E$2)))))</f>
        <v> </v>
      </c>
      <c r="J6254" s="26" t="str">
        <f>IF(OR(E6254="",E6254="!!!",F6254="NEW"),"",COUNTBLANK(OFFSET(A$1,,,SUMPRODUCT(MAX(ROW(E$2:E6254)*(E6254=E$2:E6254)))))-COUNTBLANK(OFFSET(A$1,,,SUMPRODUCT(MAX(ROW(E$1:E6253)*(E2=E$1:E6253))))))</f>
        <v> </v>
      </c>
      <c r="K6254" s="26" t="str">
        <f>IF(OR(E6254="",E6254="!!!",F6254="NEW"),"",INDEX(J$1:J6253,SUMPRODUCT(MAX(ROW(E$1:E6253)*(E6254=E$1:E6253)))))</f>
        <v> </v>
      </c>
      <c r="L6254" s="27"/>
    </row>
    <row r="6255" spans="1:12">
      <c r="A6255" s="20" t="s">
        <v>56</v>
      </c>
      <c r="E6255" s="22">
        <f>IF(D6255="?OLD","!!!","")</f>
        <v/>
      </c>
      <c r="F6255" s="23" t="str">
        <f>IF(OR(E6255="",E6255="!!!"),"",IF(NOT(ISNA(VLOOKUP(E6255,E$1:E6254,1,FALSE()))),"OLD",IF(AND(E6255&lt;&gt;"",E6255&lt;&gt;"!!!"),"NEW","")))</f>
        <v> </v>
      </c>
      <c r="G6255" s="24" t="str">
        <f>IF(OR(E6255="",E6255="!!!"),"",IF(OR(J6255=0,AND(J6255=1,K6255=1),AND(J6255=1,I6255="SBJ"),AND(J6255=1,I6255=0)),"?IN_FOCUS",IF(J6255&lt;=2,"?ACTIVATED",IF(J6255&lt;&gt;"","?FAMILIAR",IF(F6255="NEW",IF(ISNA(VLOOKUP(E6255,#REF!,1,FALSE())),"?TYPE_IDENTIFIABLE","?REFERENTIAL"),"_")))))</f>
        <v> </v>
      </c>
      <c r="H6255" s="25" t="str">
        <f>IF(J6255&lt;&gt;1,"",IF(I6255="SBJ","CB","?"))</f>
        <v> </v>
      </c>
      <c r="I6255" s="26" t="str">
        <f>IF(OR(E6255="",E6255="!!!",F6255="NEW"),"",INDEX(B6254:B$2,-1+SUMPRODUCT(MAX(ROW(E6254:E$2)*(E6255=E6254:E$2)))))</f>
        <v> </v>
      </c>
      <c r="J6255" s="26" t="str">
        <f>IF(OR(E6255="",E6255="!!!",F6255="NEW"),"",COUNTBLANK(OFFSET(A$1,,,SUMPRODUCT(MAX(ROW(E$2:E6255)*(E6255=E$2:E6255)))))-COUNTBLANK(OFFSET(A$1,,,SUMPRODUCT(MAX(ROW(E$1:E6254)*(E2=E$1:E6254))))))</f>
        <v> </v>
      </c>
      <c r="K6255" s="26" t="str">
        <f>IF(OR(E6255="",E6255="!!!",F6255="NEW"),"",INDEX(J$1:J6254,SUMPRODUCT(MAX(ROW(E$1:E6254)*(E6255=E$1:E6254)))))</f>
        <v> </v>
      </c>
      <c r="L6255" s="27"/>
    </row>
    <row r="6256" spans="1:12">
      <c r="A6256" s="20" t="s">
        <v>2645</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1023</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row>
    <row r="6259" spans="1:12">
      <c r="A6259" s="20" t="s">
        <v>2646</v>
      </c>
    </row>
    <row r="6260" spans="1:12">
      <c r="A6260" s="20" t="s">
        <v>1175</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1139</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1065</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1140</v>
      </c>
      <c r="B6263" s="21" t="s">
        <v>1119</v>
      </c>
      <c r="C6263" s="21" t="s">
        <v>1073</v>
      </c>
      <c r="D6263" s="21" t="s">
        <v>1007</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1075</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1324</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193</v>
      </c>
      <c r="B6266" s="21" t="s">
        <v>1005</v>
      </c>
      <c r="C6266" s="21" t="s">
        <v>1111</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1065</v>
      </c>
      <c r="B6267" s="21" t="s">
        <v>1154</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1030</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1015</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1425</v>
      </c>
      <c r="B6270" s="21" t="s">
        <v>1033</v>
      </c>
      <c r="C6270" s="21" t="s">
        <v>1017</v>
      </c>
      <c r="D6270" s="21" t="s">
        <v>1007</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98</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2631</v>
      </c>
      <c r="B6272" s="21" t="s">
        <v>1120</v>
      </c>
      <c r="C6272" s="21" t="s">
        <v>1048</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t="s">
        <v>2520</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1014</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2647</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2503</v>
      </c>
      <c r="B6276" s="21" t="s">
        <v>1064</v>
      </c>
      <c r="C6276" s="21" t="s">
        <v>1082</v>
      </c>
      <c r="D6276" s="21" t="s">
        <v>1007</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1097</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2648</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t="s">
        <v>2503</v>
      </c>
      <c r="B6279" s="21" t="s">
        <v>1134</v>
      </c>
      <c r="C6279" s="21" t="s">
        <v>1082</v>
      </c>
      <c r="D6279" s="21" t="s">
        <v>1007</v>
      </c>
      <c r="E6279" s="22">
        <f>IF(D6279="?OLD","!!!","")</f>
        <v/>
      </c>
      <c r="F6279" s="23" t="str">
        <f>IF(OR(E6279="",E6279="!!!"),"",IF(NOT(ISNA(VLOOKUP(E6279,E$1:E6278,1,FALSE()))),"OLD",IF(AND(E6279&lt;&gt;"",E6279&lt;&gt;"!!!"),"NEW","")))</f>
        <v> </v>
      </c>
      <c r="G6279" s="24" t="str">
        <f>IF(OR(E6279="",E6279="!!!"),"",IF(OR(J6279=0,AND(J6279=1,K6279=1),AND(J6279=1,I6279="SBJ"),AND(J6279=1,I6279=0)),"?IN_FOCUS",IF(J6279&lt;=2,"?ACTIVATED",IF(J6279&lt;&gt;"","?FAMILIAR",IF(F6279="NEW",IF(ISNA(VLOOKUP(E6279,#REF!,1,FALSE())),"?TYPE_IDENTIFIABLE","?REFERENTIAL"),"_")))))</f>
        <v> </v>
      </c>
      <c r="H6279" s="25" t="str">
        <f>IF(J6279&lt;&gt;1,"",IF(I6279="SBJ","CB","?"))</f>
        <v> </v>
      </c>
      <c r="I6279" s="26" t="str">
        <f>IF(OR(E6279="",E6279="!!!",F6279="NEW"),"",INDEX(B6278:B$2,-1+SUMPRODUCT(MAX(ROW(E6278:E$2)*(E6279=E6278:E$2)))))</f>
        <v> </v>
      </c>
      <c r="J6279" s="26" t="str">
        <f>IF(OR(E6279="",E6279="!!!",F6279="NEW"),"",COUNTBLANK(OFFSET(A$1,,,SUMPRODUCT(MAX(ROW(E$2:E6279)*(E6279=E$2:E6279)))))-COUNTBLANK(OFFSET(A$1,,,SUMPRODUCT(MAX(ROW(E$1:E6278)*(E2=E$1:E6278))))))</f>
        <v> </v>
      </c>
      <c r="K6279" s="26" t="str">
        <f>IF(OR(E6279="",E6279="!!!",F6279="NEW"),"",INDEX(J$1:J6278,SUMPRODUCT(MAX(ROW(E$1:E6278)*(E6279=E$1:E6278)))))</f>
        <v> </v>
      </c>
      <c r="L6279" s="27"/>
    </row>
    <row r="6280" spans="1:12">
      <c r="A6280" s="20" t="s">
        <v>2649</v>
      </c>
      <c r="E6280" s="22">
        <f>IF(D6280="?OLD","!!!","")</f>
        <v/>
      </c>
      <c r="F6280" s="23" t="str">
        <f>IF(OR(E6280="",E6280="!!!"),"",IF(NOT(ISNA(VLOOKUP(E6280,E$1:E6279,1,FALSE()))),"OLD",IF(AND(E6280&lt;&gt;"",E6280&lt;&gt;"!!!"),"NEW","")))</f>
        <v> </v>
      </c>
      <c r="G6280" s="24" t="str">
        <f>IF(OR(E6280="",E6280="!!!"),"",IF(OR(J6280=0,AND(J6280=1,K6280=1),AND(J6280=1,I6280="SBJ"),AND(J6280=1,I6280=0)),"?IN_FOCUS",IF(J6280&lt;=2,"?ACTIVATED",IF(J6280&lt;&gt;"","?FAMILIAR",IF(F6280="NEW",IF(ISNA(VLOOKUP(E6280,#REF!,1,FALSE())),"?TYPE_IDENTIFIABLE","?REFERENTIAL"),"_")))))</f>
        <v> </v>
      </c>
      <c r="H6280" s="25" t="str">
        <f>IF(J6280&lt;&gt;1,"",IF(I6280="SBJ","CB","?"))</f>
        <v> </v>
      </c>
      <c r="I6280" s="26" t="str">
        <f>IF(OR(E6280="",E6280="!!!",F6280="NEW"),"",INDEX(B6279:B$2,-1+SUMPRODUCT(MAX(ROW(E6279:E$2)*(E6280=E6279:E$2)))))</f>
        <v> </v>
      </c>
      <c r="J6280" s="26" t="str">
        <f>IF(OR(E6280="",E6280="!!!",F6280="NEW"),"",COUNTBLANK(OFFSET(A$1,,,SUMPRODUCT(MAX(ROW(E$2:E6280)*(E6280=E$2:E6280)))))-COUNTBLANK(OFFSET(A$1,,,SUMPRODUCT(MAX(ROW(E$1:E6279)*(E2=E$1:E6279))))))</f>
        <v> </v>
      </c>
      <c r="K6280" s="26" t="str">
        <f>IF(OR(E6280="",E6280="!!!",F6280="NEW"),"",INDEX(J$1:J6279,SUMPRODUCT(MAX(ROW(E$1:E6279)*(E6280=E$1:E6279)))))</f>
        <v> </v>
      </c>
      <c r="L6280" s="27"/>
    </row>
    <row r="6281" spans="1:12">
      <c r="A6281" s="20" t="s">
        <v>1018</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1142</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2432</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1020</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1015</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t="s">
        <v>2650</v>
      </c>
      <c r="B6286" s="21" t="s">
        <v>1085</v>
      </c>
      <c r="C6286" s="21" t="s">
        <v>1017</v>
      </c>
      <c r="D6286" s="21" t="s">
        <v>1007</v>
      </c>
      <c r="E6286" s="22">
        <f>IF(D6286="?OLD","!!!","")</f>
        <v/>
      </c>
      <c r="F6286" s="23" t="str">
        <f>IF(OR(E6286="",E6286="!!!"),"",IF(NOT(ISNA(VLOOKUP(E6286,E$1:E6285,1,FALSE()))),"OLD",IF(AND(E6286&lt;&gt;"",E6286&lt;&gt;"!!!"),"NEW","")))</f>
        <v> </v>
      </c>
      <c r="G6286" s="24" t="str">
        <f>IF(OR(E6286="",E6286="!!!"),"",IF(OR(J6286=0,AND(J6286=1,K6286=1),AND(J6286=1,I6286="SBJ"),AND(J6286=1,I6286=0)),"?IN_FOCUS",IF(J6286&lt;=2,"?ACTIVATED",IF(J6286&lt;&gt;"","?FAMILIAR",IF(F6286="NEW",IF(ISNA(VLOOKUP(E6286,#REF!,1,FALSE())),"?TYPE_IDENTIFIABLE","?REFERENTIAL"),"_")))))</f>
        <v> </v>
      </c>
      <c r="H6286" s="25" t="str">
        <f>IF(J6286&lt;&gt;1,"",IF(I6286="SBJ","CB","?"))</f>
        <v> </v>
      </c>
      <c r="I6286" s="26" t="str">
        <f>IF(OR(E6286="",E6286="!!!",F6286="NEW"),"",INDEX(B6285:B$2,-1+SUMPRODUCT(MAX(ROW(E6285:E$2)*(E6286=E6285:E$2)))))</f>
        <v> </v>
      </c>
      <c r="J6286" s="26" t="str">
        <f>IF(OR(E6286="",E6286="!!!",F6286="NEW"),"",COUNTBLANK(OFFSET(A$1,,,SUMPRODUCT(MAX(ROW(E$2:E6286)*(E6286=E$2:E6286)))))-COUNTBLANK(OFFSET(A$1,,,SUMPRODUCT(MAX(ROW(E$1:E6285)*(E2=E$1:E6285))))))</f>
        <v> </v>
      </c>
      <c r="K6286" s="26" t="str">
        <f>IF(OR(E6286="",E6286="!!!",F6286="NEW"),"",INDEX(J$1:J6285,SUMPRODUCT(MAX(ROW(E$1:E6285)*(E6286=E$1:E6285)))))</f>
        <v> </v>
      </c>
      <c r="L6286" s="27"/>
    </row>
    <row r="6287" spans="1:12">
      <c r="A6287" s="20" t="s">
        <v>2067</v>
      </c>
      <c r="E6287" s="22">
        <f>IF(D6287="?OLD","!!!","")</f>
        <v/>
      </c>
      <c r="F6287" s="23" t="str">
        <f>IF(OR(E6287="",E6287="!!!"),"",IF(NOT(ISNA(VLOOKUP(E6287,E$1:E6286,1,FALSE()))),"OLD",IF(AND(E6287&lt;&gt;"",E6287&lt;&gt;"!!!"),"NEW","")))</f>
        <v> </v>
      </c>
      <c r="G6287" s="24" t="str">
        <f>IF(OR(E6287="",E6287="!!!"),"",IF(OR(J6287=0,AND(J6287=1,K6287=1),AND(J6287=1,I6287="SBJ"),AND(J6287=1,I6287=0)),"?IN_FOCUS",IF(J6287&lt;=2,"?ACTIVATED",IF(J6287&lt;&gt;"","?FAMILIAR",IF(F6287="NEW",IF(ISNA(VLOOKUP(E6287,#REF!,1,FALSE())),"?TYPE_IDENTIFIABLE","?REFERENTIAL"),"_")))))</f>
        <v> </v>
      </c>
      <c r="H6287" s="25" t="str">
        <f>IF(J6287&lt;&gt;1,"",IF(I6287="SBJ","CB","?"))</f>
        <v> </v>
      </c>
      <c r="I6287" s="26" t="str">
        <f>IF(OR(E6287="",E6287="!!!",F6287="NEW"),"",INDEX(B6286:B$2,-1+SUMPRODUCT(MAX(ROW(E6286:E$2)*(E6287=E6286:E$2)))))</f>
        <v> </v>
      </c>
      <c r="J6287" s="26" t="str">
        <f>IF(OR(E6287="",E6287="!!!",F6287="NEW"),"",COUNTBLANK(OFFSET(A$1,,,SUMPRODUCT(MAX(ROW(E$2:E6287)*(E6287=E$2:E6287)))))-COUNTBLANK(OFFSET(A$1,,,SUMPRODUCT(MAX(ROW(E$1:E6286)*(E2=E$1:E6286))))))</f>
        <v> </v>
      </c>
      <c r="K6287" s="26" t="str">
        <f>IF(OR(E6287="",E6287="!!!",F6287="NEW"),"",INDEX(J$1:J6286,SUMPRODUCT(MAX(ROW(E$1:E6286)*(E6287=E$1:E6286)))))</f>
        <v> </v>
      </c>
      <c r="L6287" s="27"/>
    </row>
    <row r="6288" spans="1:12">
      <c r="A6288" s="20" t="s">
        <v>1018</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1330</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t="s">
        <v>1020</v>
      </c>
      <c r="E6290" s="22">
        <f>IF(D6290="?OLD","!!!","")</f>
        <v/>
      </c>
      <c r="F6290" s="23" t="str">
        <f>IF(OR(E6290="",E6290="!!!"),"",IF(NOT(ISNA(VLOOKUP(E6290,E$1:E6289,1,FALSE()))),"OLD",IF(AND(E6290&lt;&gt;"",E6290&lt;&gt;"!!!"),"NEW","")))</f>
        <v> </v>
      </c>
      <c r="G6290" s="24" t="str">
        <f>IF(OR(E6290="",E6290="!!!"),"",IF(OR(J6290=0,AND(J6290=1,K6290=1),AND(J6290=1,I6290="SBJ"),AND(J6290=1,I6290=0)),"?IN_FOCUS",IF(J6290&lt;=2,"?ACTIVATED",IF(J6290&lt;&gt;"","?FAMILIAR",IF(F6290="NEW",IF(ISNA(VLOOKUP(E6290,#REF!,1,FALSE())),"?TYPE_IDENTIFIABLE","?REFERENTIAL"),"_")))))</f>
        <v> </v>
      </c>
      <c r="H6290" s="25" t="str">
        <f>IF(J6290&lt;&gt;1,"",IF(I6290="SBJ","CB","?"))</f>
        <v> </v>
      </c>
      <c r="I6290" s="26" t="str">
        <f>IF(OR(E6290="",E6290="!!!",F6290="NEW"),"",INDEX(B6289:B$2,-1+SUMPRODUCT(MAX(ROW(E6289:E$2)*(E6290=E6289:E$2)))))</f>
        <v> </v>
      </c>
      <c r="J6290" s="26" t="str">
        <f>IF(OR(E6290="",E6290="!!!",F6290="NEW"),"",COUNTBLANK(OFFSET(A$1,,,SUMPRODUCT(MAX(ROW(E$2:E6290)*(E6290=E$2:E6290)))))-COUNTBLANK(OFFSET(A$1,,,SUMPRODUCT(MAX(ROW(E$1:E6289)*(E2=E$1:E6289))))))</f>
        <v> </v>
      </c>
      <c r="K6290" s="26" t="str">
        <f>IF(OR(E6290="",E6290="!!!",F6290="NEW"),"",INDEX(J$1:J6289,SUMPRODUCT(MAX(ROW(E$1:E6289)*(E6290=E$1:E6289)))))</f>
        <v> </v>
      </c>
      <c r="L6290" s="27"/>
    </row>
    <row r="6291" spans="1:12">
      <c r="A6291" s="20" t="s">
        <v>102</v>
      </c>
      <c r="E6291" s="22">
        <f>IF(D6291="?OLD","!!!","")</f>
        <v/>
      </c>
      <c r="F6291" s="23" t="str">
        <f>IF(OR(E6291="",E6291="!!!"),"",IF(NOT(ISNA(VLOOKUP(E6291,E$1:E6290,1,FALSE()))),"OLD",IF(AND(E6291&lt;&gt;"",E6291&lt;&gt;"!!!"),"NEW","")))</f>
        <v> </v>
      </c>
      <c r="G6291" s="24" t="str">
        <f>IF(OR(E6291="",E6291="!!!"),"",IF(OR(J6291=0,AND(J6291=1,K6291=1),AND(J6291=1,I6291="SBJ"),AND(J6291=1,I6291=0)),"?IN_FOCUS",IF(J6291&lt;=2,"?ACTIVATED",IF(J6291&lt;&gt;"","?FAMILIAR",IF(F6291="NEW",IF(ISNA(VLOOKUP(E6291,#REF!,1,FALSE())),"?TYPE_IDENTIFIABLE","?REFERENTIAL"),"_")))))</f>
        <v> </v>
      </c>
      <c r="H6291" s="25" t="str">
        <f>IF(J6291&lt;&gt;1,"",IF(I6291="SBJ","CB","?"))</f>
        <v> </v>
      </c>
      <c r="I6291" s="26" t="str">
        <f>IF(OR(E6291="",E6291="!!!",F6291="NEW"),"",INDEX(B6290:B$2,-1+SUMPRODUCT(MAX(ROW(E6290:E$2)*(E6291=E6290:E$2)))))</f>
        <v> </v>
      </c>
      <c r="J6291" s="26" t="str">
        <f>IF(OR(E6291="",E6291="!!!",F6291="NEW"),"",COUNTBLANK(OFFSET(A$1,,,SUMPRODUCT(MAX(ROW(E$2:E6291)*(E6291=E$2:E6291)))))-COUNTBLANK(OFFSET(A$1,,,SUMPRODUCT(MAX(ROW(E$1:E6290)*(E2=E$1:E6290))))))</f>
        <v> </v>
      </c>
      <c r="K6291" s="26" t="str">
        <f>IF(OR(E6291="",E6291="!!!",F6291="NEW"),"",INDEX(J$1:J6290,SUMPRODUCT(MAX(ROW(E$1:E6290)*(E6291=E$1:E6290)))))</f>
        <v> </v>
      </c>
      <c r="L6291" s="27"/>
    </row>
    <row r="6292" spans="1:12">
      <c r="A6292" s="20" t="s">
        <v>1195</v>
      </c>
      <c r="B6292" s="21" t="s">
        <v>1022</v>
      </c>
      <c r="C6292" s="21" t="s">
        <v>1013</v>
      </c>
      <c r="D6292" s="21" t="s">
        <v>1007</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2651</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1030</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102</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1156</v>
      </c>
      <c r="B6296" s="21" t="s">
        <v>1033</v>
      </c>
      <c r="C6296" s="21" t="s">
        <v>1017</v>
      </c>
      <c r="D6296" s="21" t="s">
        <v>1007</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2035</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1023</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row>
    <row r="6300" spans="1:12">
      <c r="A6300" s="20" t="s">
        <v>2652</v>
      </c>
    </row>
    <row r="6301" spans="1:12">
      <c r="A6301" s="20" t="s">
        <v>11</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2354</v>
      </c>
      <c r="B6302" s="21" t="s">
        <v>1119</v>
      </c>
      <c r="C6302" s="21" t="s">
        <v>1017</v>
      </c>
      <c r="D6302" s="21" t="s">
        <v>1007</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1142</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1075</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1056</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2653</v>
      </c>
      <c r="B6306" s="21" t="s">
        <v>1050</v>
      </c>
      <c r="C6306" s="21" t="s">
        <v>1111</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t="s">
        <v>1018</v>
      </c>
      <c r="E6307" s="22">
        <f>IF(D6307="?OLD","!!!","")</f>
        <v/>
      </c>
      <c r="F6307" s="23" t="str">
        <f>IF(OR(E6307="",E6307="!!!"),"",IF(NOT(ISNA(VLOOKUP(E6307,E$1:E6306,1,FALSE()))),"OLD",IF(AND(E6307&lt;&gt;"",E6307&lt;&gt;"!!!"),"NEW","")))</f>
        <v> </v>
      </c>
      <c r="G6307" s="24" t="str">
        <f>IF(OR(E6307="",E6307="!!!"),"",IF(OR(J6307=0,AND(J6307=1,K6307=1),AND(J6307=1,I6307="SBJ"),AND(J6307=1,I6307=0)),"?IN_FOCUS",IF(J6307&lt;=2,"?ACTIVATED",IF(J6307&lt;&gt;"","?FAMILIAR",IF(F6307="NEW",IF(ISNA(VLOOKUP(E6307,#REF!,1,FALSE())),"?TYPE_IDENTIFIABLE","?REFERENTIAL"),"_")))))</f>
        <v> </v>
      </c>
      <c r="H6307" s="25" t="str">
        <f>IF(J6307&lt;&gt;1,"",IF(I6307="SBJ","CB","?"))</f>
        <v> </v>
      </c>
      <c r="I6307" s="26" t="str">
        <f>IF(OR(E6307="",E6307="!!!",F6307="NEW"),"",INDEX(B6306:B$2,-1+SUMPRODUCT(MAX(ROW(E6306:E$2)*(E6307=E6306:E$2)))))</f>
        <v> </v>
      </c>
      <c r="J6307" s="26" t="str">
        <f>IF(OR(E6307="",E6307="!!!",F6307="NEW"),"",COUNTBLANK(OFFSET(A$1,,,SUMPRODUCT(MAX(ROW(E$2:E6307)*(E6307=E$2:E6307)))))-COUNTBLANK(OFFSET(A$1,,,SUMPRODUCT(MAX(ROW(E$1:E6306)*(E2=E$1:E6306))))))</f>
        <v> </v>
      </c>
      <c r="K6307" s="26" t="str">
        <f>IF(OR(E6307="",E6307="!!!",F6307="NEW"),"",INDEX(J$1:J6306,SUMPRODUCT(MAX(ROW(E$1:E6306)*(E6307=E$1:E6306)))))</f>
        <v> </v>
      </c>
      <c r="L6307" s="27"/>
    </row>
    <row r="6308" spans="1:12">
      <c r="A6308" s="20" t="s">
        <v>1020</v>
      </c>
      <c r="E6308" s="22">
        <f>IF(D6308="?OLD","!!!","")</f>
        <v/>
      </c>
      <c r="F6308" s="23" t="str">
        <f>IF(OR(E6308="",E6308="!!!"),"",IF(NOT(ISNA(VLOOKUP(E6308,E$1:E6307,1,FALSE()))),"OLD",IF(AND(E6308&lt;&gt;"",E6308&lt;&gt;"!!!"),"NEW","")))</f>
        <v> </v>
      </c>
      <c r="G6308" s="24" t="str">
        <f>IF(OR(E6308="",E6308="!!!"),"",IF(OR(J6308=0,AND(J6308=1,K6308=1),AND(J6308=1,I6308="SBJ"),AND(J6308=1,I6308=0)),"?IN_FOCUS",IF(J6308&lt;=2,"?ACTIVATED",IF(J6308&lt;&gt;"","?FAMILIAR",IF(F6308="NEW",IF(ISNA(VLOOKUP(E6308,#REF!,1,FALSE())),"?TYPE_IDENTIFIABLE","?REFERENTIAL"),"_")))))</f>
        <v> </v>
      </c>
      <c r="H6308" s="25" t="str">
        <f>IF(J6308&lt;&gt;1,"",IF(I6308="SBJ","CB","?"))</f>
        <v> </v>
      </c>
      <c r="I6308" s="26" t="str">
        <f>IF(OR(E6308="",E6308="!!!",F6308="NEW"),"",INDEX(B6307:B$2,-1+SUMPRODUCT(MAX(ROW(E6307:E$2)*(E6308=E6307:E$2)))))</f>
        <v> </v>
      </c>
      <c r="J6308" s="26" t="str">
        <f>IF(OR(E6308="",E6308="!!!",F6308="NEW"),"",COUNTBLANK(OFFSET(A$1,,,SUMPRODUCT(MAX(ROW(E$2:E6308)*(E6308=E$2:E6308)))))-COUNTBLANK(OFFSET(A$1,,,SUMPRODUCT(MAX(ROW(E$1:E6307)*(E2=E$1:E6307))))))</f>
        <v> </v>
      </c>
      <c r="K6308" s="26" t="str">
        <f>IF(OR(E6308="",E6308="!!!",F6308="NEW"),"",INDEX(J$1:J6307,SUMPRODUCT(MAX(ROW(E$1:E6307)*(E6308=E$1:E6307)))))</f>
        <v> </v>
      </c>
      <c r="L6308" s="27"/>
    </row>
    <row r="6309" spans="1:12">
      <c r="A6309" s="20" t="s">
        <v>1751</v>
      </c>
      <c r="B6309" s="21" t="s">
        <v>1022</v>
      </c>
      <c r="C6309" s="21" t="s">
        <v>1017</v>
      </c>
      <c r="D6309" s="21" t="s">
        <v>1007</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1142</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1075</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1056</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2653</v>
      </c>
      <c r="B6313" s="21" t="s">
        <v>1005</v>
      </c>
      <c r="C6313" s="21" t="s">
        <v>1111</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1018</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56</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1142</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1846</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238</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2654</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t="s">
        <v>1030</v>
      </c>
      <c r="E6320" s="22">
        <f>IF(D6320="?OLD","!!!","")</f>
        <v/>
      </c>
      <c r="F6320" s="23" t="str">
        <f>IF(OR(E6320="",E6320="!!!"),"",IF(NOT(ISNA(VLOOKUP(E6320,E$1:E6319,1,FALSE()))),"OLD",IF(AND(E6320&lt;&gt;"",E6320&lt;&gt;"!!!"),"NEW","")))</f>
        <v> </v>
      </c>
      <c r="G6320" s="24" t="str">
        <f>IF(OR(E6320="",E6320="!!!"),"",IF(OR(J6320=0,AND(J6320=1,K6320=1),AND(J6320=1,I6320="SBJ"),AND(J6320=1,I6320=0)),"?IN_FOCUS",IF(J6320&lt;=2,"?ACTIVATED",IF(J6320&lt;&gt;"","?FAMILIAR",IF(F6320="NEW",IF(ISNA(VLOOKUP(E6320,#REF!,1,FALSE())),"?TYPE_IDENTIFIABLE","?REFERENTIAL"),"_")))))</f>
        <v> </v>
      </c>
      <c r="H6320" s="25" t="str">
        <f>IF(J6320&lt;&gt;1,"",IF(I6320="SBJ","CB","?"))</f>
        <v> </v>
      </c>
      <c r="I6320" s="26" t="str">
        <f>IF(OR(E6320="",E6320="!!!",F6320="NEW"),"",INDEX(B6319:B$2,-1+SUMPRODUCT(MAX(ROW(E6319:E$2)*(E6320=E6319:E$2)))))</f>
        <v> </v>
      </c>
      <c r="J6320" s="26" t="str">
        <f>IF(OR(E6320="",E6320="!!!",F6320="NEW"),"",COUNTBLANK(OFFSET(A$1,,,SUMPRODUCT(MAX(ROW(E$2:E6320)*(E6320=E$2:E6320)))))-COUNTBLANK(OFFSET(A$1,,,SUMPRODUCT(MAX(ROW(E$1:E6319)*(E2=E$1:E6319))))))</f>
        <v> </v>
      </c>
      <c r="K6320" s="26" t="str">
        <f>IF(OR(E6320="",E6320="!!!",F6320="NEW"),"",INDEX(J$1:J6319,SUMPRODUCT(MAX(ROW(E$1:E6319)*(E6320=E$1:E6319)))))</f>
        <v> </v>
      </c>
      <c r="L6320" s="27"/>
    </row>
    <row r="6321" spans="1:12">
      <c r="A6321" s="20" t="s">
        <v>1027</v>
      </c>
      <c r="E6321" s="22">
        <f>IF(D6321="?OLD","!!!","")</f>
        <v/>
      </c>
      <c r="F6321" s="23" t="str">
        <f>IF(OR(E6321="",E6321="!!!"),"",IF(NOT(ISNA(VLOOKUP(E6321,E$1:E6320,1,FALSE()))),"OLD",IF(AND(E6321&lt;&gt;"",E6321&lt;&gt;"!!!"),"NEW","")))</f>
        <v> </v>
      </c>
      <c r="G6321" s="24" t="str">
        <f>IF(OR(E6321="",E6321="!!!"),"",IF(OR(J6321=0,AND(J6321=1,K6321=1),AND(J6321=1,I6321="SBJ"),AND(J6321=1,I6321=0)),"?IN_FOCUS",IF(J6321&lt;=2,"?ACTIVATED",IF(J6321&lt;&gt;"","?FAMILIAR",IF(F6321="NEW",IF(ISNA(VLOOKUP(E6321,#REF!,1,FALSE())),"?TYPE_IDENTIFIABLE","?REFERENTIAL"),"_")))))</f>
        <v> </v>
      </c>
      <c r="H6321" s="25" t="str">
        <f>IF(J6321&lt;&gt;1,"",IF(I6321="SBJ","CB","?"))</f>
        <v> </v>
      </c>
      <c r="I6321" s="26" t="str">
        <f>IF(OR(E6321="",E6321="!!!",F6321="NEW"),"",INDEX(B6320:B$2,-1+SUMPRODUCT(MAX(ROW(E6320:E$2)*(E6321=E6320:E$2)))))</f>
        <v> </v>
      </c>
      <c r="J6321" s="26" t="str">
        <f>IF(OR(E6321="",E6321="!!!",F6321="NEW"),"",COUNTBLANK(OFFSET(A$1,,,SUMPRODUCT(MAX(ROW(E$2:E6321)*(E6321=E$2:E6321)))))-COUNTBLANK(OFFSET(A$1,,,SUMPRODUCT(MAX(ROW(E$1:E6320)*(E2=E$1:E6320))))))</f>
        <v> </v>
      </c>
      <c r="K6321" s="26" t="str">
        <f>IF(OR(E6321="",E6321="!!!",F6321="NEW"),"",INDEX(J$1:J6320,SUMPRODUCT(MAX(ROW(E$1:E6320)*(E6321=E$1:E6320)))))</f>
        <v> </v>
      </c>
      <c r="L6321" s="27"/>
    </row>
    <row r="6322" spans="1:12">
      <c r="A6322" s="20" t="s">
        <v>1617</v>
      </c>
      <c r="B6322" s="21" t="s">
        <v>1035</v>
      </c>
      <c r="C6322" s="21" t="s">
        <v>1059</v>
      </c>
      <c r="D6322" s="21" t="s">
        <v>1007</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2655</v>
      </c>
      <c r="B6323" s="21" t="s">
        <v>1033</v>
      </c>
      <c r="C6323" s="21" t="s">
        <v>1017</v>
      </c>
      <c r="D6323" s="21" t="s">
        <v>1007</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2656</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1023</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row>
    <row r="6327" spans="1:12">
      <c r="A6327" s="20" t="s">
        <v>2657</v>
      </c>
    </row>
    <row r="6328" spans="1:12">
      <c r="A6328" s="20" t="s">
        <v>1094</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1009</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1147</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1386</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1476</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1597</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1132</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1114</v>
      </c>
      <c r="B6335" s="21" t="s">
        <v>1154</v>
      </c>
      <c r="C6335" s="21" t="s">
        <v>1082</v>
      </c>
      <c r="D6335" s="21" t="s">
        <v>1007</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2658</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1020</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705</v>
      </c>
      <c r="B6338" s="21" t="s">
        <v>1187</v>
      </c>
      <c r="C6338" s="21" t="s">
        <v>1017</v>
      </c>
      <c r="D6338" s="21" t="s">
        <v>1007</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1020</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1056</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1057</v>
      </c>
      <c r="B6341" s="21" t="s">
        <v>1033</v>
      </c>
      <c r="C6341" s="21" t="s">
        <v>1111</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1023</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row>
    <row r="6344" spans="1:12">
      <c r="A6344" s="20" t="s">
        <v>2659</v>
      </c>
    </row>
    <row r="6345" spans="1:12">
      <c r="A6345" s="20" t="s">
        <v>1330</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2660</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1065</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1020</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705</v>
      </c>
      <c r="B6349" s="21" t="s">
        <v>1119</v>
      </c>
      <c r="C6349" s="21" t="s">
        <v>1017</v>
      </c>
      <c r="D6349" s="21" t="s">
        <v>1007</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1051</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1163</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1023</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row>
    <row r="6354" spans="1:12">
      <c r="A6354" s="20" t="s">
        <v>2661</v>
      </c>
    </row>
    <row r="6355" spans="1:12">
      <c r="A6355" s="20" t="s">
        <v>2534</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1009</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1247</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2662</v>
      </c>
      <c r="B6358" s="21" t="s">
        <v>1022</v>
      </c>
      <c r="C6358" s="21" t="s">
        <v>1048</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2663</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1023</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row>
    <row r="6362" spans="1:12">
      <c r="A6362" s="20" t="s">
        <v>2664</v>
      </c>
    </row>
    <row r="6363" spans="1:12">
      <c r="A6363" s="20" t="s">
        <v>1118</v>
      </c>
      <c r="B6363" s="21" t="s">
        <v>1050</v>
      </c>
      <c r="C6363" s="21" t="s">
        <v>1048</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1009</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2665</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1056</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774</v>
      </c>
      <c r="B6367" s="21" t="s">
        <v>1005</v>
      </c>
      <c r="C6367" s="21" t="s">
        <v>1111</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2666</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2667</v>
      </c>
      <c r="B6369" s="21" t="s">
        <v>1029</v>
      </c>
      <c r="C6369" s="21" t="s">
        <v>1082</v>
      </c>
      <c r="D6369" s="21" t="s">
        <v>1007</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1018</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56</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1176</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1065</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1020</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1129</v>
      </c>
      <c r="B6375" s="21" t="s">
        <v>1130</v>
      </c>
      <c r="C6375" s="21" t="s">
        <v>1059</v>
      </c>
      <c r="D6375" s="21" t="s">
        <v>1007</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2668</v>
      </c>
      <c r="B6376" s="21" t="s">
        <v>1120</v>
      </c>
      <c r="C6376" s="21" t="s">
        <v>1017</v>
      </c>
      <c r="D6376" s="21" t="s">
        <v>1007</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1070</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1596</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1926</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1132</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1020</v>
      </c>
      <c r="B6381" s="21" t="s">
        <v>1033</v>
      </c>
      <c r="C6381" s="21" t="s">
        <v>1073</v>
      </c>
      <c r="D6381" s="21" t="s">
        <v>1007</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1065</v>
      </c>
      <c r="B6382" s="21" t="s">
        <v>1134</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1138</v>
      </c>
      <c r="B6383" s="21" t="s">
        <v>1263</v>
      </c>
      <c r="C6383" s="21" t="s">
        <v>1082</v>
      </c>
      <c r="D6383" s="21" t="s">
        <v>1007</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2295</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1014</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1357</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2669</v>
      </c>
      <c r="B6387" s="21" t="s">
        <v>1134</v>
      </c>
      <c r="C6387" s="21" t="s">
        <v>1082</v>
      </c>
      <c r="D6387" s="21" t="s">
        <v>1007</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1023</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row>
    <row r="6390" spans="1:12">
      <c r="A6390" s="20" t="s">
        <v>2670</v>
      </c>
    </row>
    <row r="6391" spans="1:12">
      <c r="A6391" s="20" t="s">
        <v>1094</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1009</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1960</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1018</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788</v>
      </c>
      <c r="B6395" s="21" t="s">
        <v>1005</v>
      </c>
      <c r="C6395" s="21" t="s">
        <v>1006</v>
      </c>
      <c r="D6395" s="21" t="s">
        <v>1007</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1023</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row>
    <row r="6398" spans="1:12">
      <c r="A6398" s="20" t="s">
        <v>2671</v>
      </c>
    </row>
    <row r="6399" spans="1:12">
      <c r="A6399" s="20" t="s">
        <v>11</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2672</v>
      </c>
      <c r="B6400" s="21" t="s">
        <v>1050</v>
      </c>
      <c r="C6400" s="21" t="s">
        <v>1006</v>
      </c>
      <c r="D6400" s="21" t="s">
        <v>1007</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2673</v>
      </c>
      <c r="B6401" s="21" t="s">
        <v>1022</v>
      </c>
      <c r="C6401" s="21" t="s">
        <v>1006</v>
      </c>
      <c r="D6401" s="21" t="s">
        <v>1007</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2674</v>
      </c>
      <c r="B6402" s="21" t="s">
        <v>1022</v>
      </c>
      <c r="C6402" s="21" t="s">
        <v>1006</v>
      </c>
      <c r="D6402" s="21" t="s">
        <v>1007</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1933</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2267</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1324</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2675</v>
      </c>
      <c r="B6406" s="21" t="s">
        <v>1085</v>
      </c>
      <c r="C6406" s="21" t="s">
        <v>1013</v>
      </c>
      <c r="D6406" s="21" t="s">
        <v>1007</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t="s">
        <v>1097</v>
      </c>
      <c r="E6407" s="22">
        <f>IF(D6407="?OLD","!!!","")</f>
        <v/>
      </c>
      <c r="F6407" s="23" t="str">
        <f>IF(OR(E6407="",E6407="!!!"),"",IF(NOT(ISNA(VLOOKUP(E6407,E$1:E6406,1,FALSE()))),"OLD",IF(AND(E6407&lt;&gt;"",E6407&lt;&gt;"!!!"),"NEW","")))</f>
        <v> </v>
      </c>
      <c r="G6407" s="24" t="str">
        <f>IF(OR(E6407="",E6407="!!!"),"",IF(OR(J6407=0,AND(J6407=1,K6407=1),AND(J6407=1,I6407="SBJ"),AND(J6407=1,I6407=0)),"?IN_FOCUS",IF(J6407&lt;=2,"?ACTIVATED",IF(J6407&lt;&gt;"","?FAMILIAR",IF(F6407="NEW",IF(ISNA(VLOOKUP(E6407,#REF!,1,FALSE())),"?TYPE_IDENTIFIABLE","?REFERENTIAL"),"_")))))</f>
        <v> </v>
      </c>
      <c r="H6407" s="25" t="str">
        <f>IF(J6407&lt;&gt;1,"",IF(I6407="SBJ","CB","?"))</f>
        <v> </v>
      </c>
      <c r="I6407" s="26" t="str">
        <f>IF(OR(E6407="",E6407="!!!",F6407="NEW"),"",INDEX(B6406:B$2,-1+SUMPRODUCT(MAX(ROW(E6406:E$2)*(E6407=E6406:E$2)))))</f>
        <v> </v>
      </c>
      <c r="J6407" s="26" t="str">
        <f>IF(OR(E6407="",E6407="!!!",F6407="NEW"),"",COUNTBLANK(OFFSET(A$1,,,SUMPRODUCT(MAX(ROW(E$2:E6407)*(E6407=E$2:E6407)))))-COUNTBLANK(OFFSET(A$1,,,SUMPRODUCT(MAX(ROW(E$1:E6406)*(E2=E$1:E6406))))))</f>
        <v> </v>
      </c>
      <c r="K6407" s="26" t="str">
        <f>IF(OR(E6407="",E6407="!!!",F6407="NEW"),"",INDEX(J$1:J6406,SUMPRODUCT(MAX(ROW(E$1:E6406)*(E6407=E$1:E6406)))))</f>
        <v> </v>
      </c>
      <c r="L6407" s="27"/>
    </row>
    <row r="6408" spans="1:12">
      <c r="A6408" s="20" t="s">
        <v>1081</v>
      </c>
      <c r="B6408" s="21" t="s">
        <v>1022</v>
      </c>
      <c r="C6408" s="21" t="s">
        <v>1082</v>
      </c>
      <c r="D6408" s="21" t="s">
        <v>1007</v>
      </c>
      <c r="E6408" s="22">
        <f>IF(D6408="?OLD","!!!","")</f>
        <v/>
      </c>
      <c r="F6408" s="23" t="str">
        <f>IF(OR(E6408="",E6408="!!!"),"",IF(NOT(ISNA(VLOOKUP(E6408,E$1:E6407,1,FALSE()))),"OLD",IF(AND(E6408&lt;&gt;"",E6408&lt;&gt;"!!!"),"NEW","")))</f>
        <v> </v>
      </c>
      <c r="G6408" s="24" t="str">
        <f>IF(OR(E6408="",E6408="!!!"),"",IF(OR(J6408=0,AND(J6408=1,K6408=1),AND(J6408=1,I6408="SBJ"),AND(J6408=1,I6408=0)),"?IN_FOCUS",IF(J6408&lt;=2,"?ACTIVATED",IF(J6408&lt;&gt;"","?FAMILIAR",IF(F6408="NEW",IF(ISNA(VLOOKUP(E6408,#REF!,1,FALSE())),"?TYPE_IDENTIFIABLE","?REFERENTIAL"),"_")))))</f>
        <v> </v>
      </c>
      <c r="H6408" s="25" t="str">
        <f>IF(J6408&lt;&gt;1,"",IF(I6408="SBJ","CB","?"))</f>
        <v> </v>
      </c>
      <c r="I6408" s="26" t="str">
        <f>IF(OR(E6408="",E6408="!!!",F6408="NEW"),"",INDEX(B6407:B$2,-1+SUMPRODUCT(MAX(ROW(E6407:E$2)*(E6408=E6407:E$2)))))</f>
        <v> </v>
      </c>
      <c r="J6408" s="26" t="str">
        <f>IF(OR(E6408="",E6408="!!!",F6408="NEW"),"",COUNTBLANK(OFFSET(A$1,,,SUMPRODUCT(MAX(ROW(E$2:E6408)*(E6408=E$2:E6408)))))-COUNTBLANK(OFFSET(A$1,,,SUMPRODUCT(MAX(ROW(E$1:E6407)*(E2=E$1:E6407))))))</f>
        <v> </v>
      </c>
      <c r="K6408" s="26" t="str">
        <f>IF(OR(E6408="",E6408="!!!",F6408="NEW"),"",INDEX(J$1:J6407,SUMPRODUCT(MAX(ROW(E$1:E6407)*(E6408=E$1:E6407)))))</f>
        <v> </v>
      </c>
      <c r="L6408" s="27"/>
    </row>
    <row r="6409" spans="1:12">
      <c r="A6409" s="20" t="s">
        <v>1023</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row>
    <row r="6411" spans="1:12">
      <c r="A6411" s="20" t="s">
        <v>2676</v>
      </c>
    </row>
    <row r="6412" spans="1:12">
      <c r="A6412" s="20" t="s">
        <v>1025</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1014</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98</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2501</v>
      </c>
      <c r="B6415" s="21" t="s">
        <v>1029</v>
      </c>
      <c r="C6415" s="21" t="s">
        <v>1048</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1014</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2677</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1020</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1020</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1638</v>
      </c>
      <c r="B6420" s="21" t="s">
        <v>1035</v>
      </c>
      <c r="C6420" s="21" t="s">
        <v>1006</v>
      </c>
      <c r="D6420" s="21" t="s">
        <v>1007</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1077</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row>
    <row r="6423" spans="1:12">
      <c r="A6423" s="20" t="s">
        <v>2678</v>
      </c>
    </row>
    <row r="6424" spans="1:12">
      <c r="A6424" s="20" t="s">
        <v>1118</v>
      </c>
      <c r="B6424" s="21" t="s">
        <v>1005</v>
      </c>
      <c r="C6424" s="21" t="s">
        <v>1048</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1009</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2679</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1023</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row>
    <row r="6429" spans="1:12">
      <c r="A6429" s="20" t="s">
        <v>1184</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2680</v>
      </c>
    </row>
    <row r="6431" spans="1:12">
      <c r="A6431" s="20" t="s">
        <v>1247</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1020</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2109</v>
      </c>
      <c r="B6433" s="21" t="s">
        <v>1022</v>
      </c>
      <c r="C6433" s="21" t="s">
        <v>1017</v>
      </c>
      <c r="D6433" s="21" t="s">
        <v>1007</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1142</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1203</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2199</v>
      </c>
      <c r="B6436" s="21" t="s">
        <v>1029</v>
      </c>
      <c r="C6436" s="21" t="s">
        <v>1048</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1014</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1065</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1015</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2681</v>
      </c>
      <c r="B6440" s="21" t="s">
        <v>1120</v>
      </c>
      <c r="C6440" s="21" t="s">
        <v>1017</v>
      </c>
      <c r="D6440" s="21" t="s">
        <v>1007</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1065</v>
      </c>
      <c r="B6441" s="21" t="s">
        <v>1067</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2682</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1030</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1020</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1493</v>
      </c>
      <c r="B6445" s="21" t="s">
        <v>1130</v>
      </c>
      <c r="C6445" s="21" t="s">
        <v>1013</v>
      </c>
      <c r="D6445" s="21" t="s">
        <v>1007</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1014</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1122</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2683</v>
      </c>
      <c r="B6448" s="21" t="s">
        <v>1040</v>
      </c>
      <c r="C6448" s="21" t="s">
        <v>1041</v>
      </c>
      <c r="D6448" s="21" t="s">
        <v>1007</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1361</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1014</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102</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2001</v>
      </c>
      <c r="B6452" s="21" t="s">
        <v>1033</v>
      </c>
      <c r="C6452" s="21" t="s">
        <v>1017</v>
      </c>
      <c r="D6452" s="21" t="s">
        <v>1007</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1267</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56</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1014</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1015</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2681</v>
      </c>
      <c r="B6457" s="21" t="s">
        <v>1035</v>
      </c>
      <c r="C6457" s="21" t="s">
        <v>1013</v>
      </c>
      <c r="D6457" s="21" t="s">
        <v>1007</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2684</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1020</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1020</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2685</v>
      </c>
      <c r="B6461" s="21" t="s">
        <v>1130</v>
      </c>
      <c r="C6461" s="21" t="s">
        <v>1013</v>
      </c>
      <c r="D6461" s="21" t="s">
        <v>1007</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2686</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1030</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t="s">
        <v>1015</v>
      </c>
      <c r="E6464" s="22">
        <f>IF(D6464="?OLD","!!!","")</f>
        <v/>
      </c>
      <c r="F6464" s="23" t="str">
        <f>IF(OR(E6464="",E6464="!!!"),"",IF(NOT(ISNA(VLOOKUP(E6464,E$1:E6463,1,FALSE()))),"OLD",IF(AND(E6464&lt;&gt;"",E6464&lt;&gt;"!!!"),"NEW","")))</f>
        <v> </v>
      </c>
      <c r="G6464" s="24" t="str">
        <f>IF(OR(E6464="",E6464="!!!"),"",IF(OR(J6464=0,AND(J6464=1,K6464=1),AND(J6464=1,I6464="SBJ"),AND(J6464=1,I6464=0)),"?IN_FOCUS",IF(J6464&lt;=2,"?ACTIVATED",IF(J6464&lt;&gt;"","?FAMILIAR",IF(F6464="NEW",IF(ISNA(VLOOKUP(E6464,#REF!,1,FALSE())),"?TYPE_IDENTIFIABLE","?REFERENTIAL"),"_")))))</f>
        <v> </v>
      </c>
      <c r="H6464" s="25" t="str">
        <f>IF(J6464&lt;&gt;1,"",IF(I6464="SBJ","CB","?"))</f>
        <v> </v>
      </c>
      <c r="I6464" s="26" t="str">
        <f>IF(OR(E6464="",E6464="!!!",F6464="NEW"),"",INDEX(B6463:B$2,-1+SUMPRODUCT(MAX(ROW(E6463:E$2)*(E6464=E6463:E$2)))))</f>
        <v> </v>
      </c>
      <c r="J6464" s="26" t="str">
        <f>IF(OR(E6464="",E6464="!!!",F6464="NEW"),"",COUNTBLANK(OFFSET(A$1,,,SUMPRODUCT(MAX(ROW(E$2:E6464)*(E6464=E$2:E6464)))))-COUNTBLANK(OFFSET(A$1,,,SUMPRODUCT(MAX(ROW(E$1:E6463)*(E2=E$1:E6463))))))</f>
        <v> </v>
      </c>
      <c r="K6464" s="26" t="str">
        <f>IF(OR(E6464="",E6464="!!!",F6464="NEW"),"",INDEX(J$1:J6463,SUMPRODUCT(MAX(ROW(E$1:E6463)*(E6464=E$1:E6463)))))</f>
        <v> </v>
      </c>
      <c r="L6464" s="27"/>
    </row>
    <row r="6465" spans="1:12">
      <c r="A6465" s="20" t="s">
        <v>1318</v>
      </c>
      <c r="B6465" s="21" t="s">
        <v>1040</v>
      </c>
      <c r="C6465" s="21" t="s">
        <v>1006</v>
      </c>
      <c r="D6465" s="21" t="s">
        <v>1007</v>
      </c>
      <c r="E6465" s="22">
        <f>IF(D6465="?OLD","!!!","")</f>
        <v/>
      </c>
      <c r="F6465" s="23" t="str">
        <f>IF(OR(E6465="",E6465="!!!"),"",IF(NOT(ISNA(VLOOKUP(E6465,E$1:E6464,1,FALSE()))),"OLD",IF(AND(E6465&lt;&gt;"",E6465&lt;&gt;"!!!"),"NEW","")))</f>
        <v> </v>
      </c>
      <c r="G6465" s="24" t="str">
        <f>IF(OR(E6465="",E6465="!!!"),"",IF(OR(J6465=0,AND(J6465=1,K6465=1),AND(J6465=1,I6465="SBJ"),AND(J6465=1,I6465=0)),"?IN_FOCUS",IF(J6465&lt;=2,"?ACTIVATED",IF(J6465&lt;&gt;"","?FAMILIAR",IF(F6465="NEW",IF(ISNA(VLOOKUP(E6465,#REF!,1,FALSE())),"?TYPE_IDENTIFIABLE","?REFERENTIAL"),"_")))))</f>
        <v> </v>
      </c>
      <c r="H6465" s="25" t="str">
        <f>IF(J6465&lt;&gt;1,"",IF(I6465="SBJ","CB","?"))</f>
        <v> </v>
      </c>
      <c r="I6465" s="26" t="str">
        <f>IF(OR(E6465="",E6465="!!!",F6465="NEW"),"",INDEX(B6464:B$2,-1+SUMPRODUCT(MAX(ROW(E6464:E$2)*(E6465=E6464:E$2)))))</f>
        <v> </v>
      </c>
      <c r="J6465" s="26" t="str">
        <f>IF(OR(E6465="",E6465="!!!",F6465="NEW"),"",COUNTBLANK(OFFSET(A$1,,,SUMPRODUCT(MAX(ROW(E$2:E6465)*(E6465=E$2:E6465)))))-COUNTBLANK(OFFSET(A$1,,,SUMPRODUCT(MAX(ROW(E$1:E6464)*(E2=E$1:E6464))))))</f>
        <v> </v>
      </c>
      <c r="K6465" s="26" t="str">
        <f>IF(OR(E6465="",E6465="!!!",F6465="NEW"),"",INDEX(J$1:J6464,SUMPRODUCT(MAX(ROW(E$1:E6464)*(E6465=E$1:E6464)))))</f>
        <v> </v>
      </c>
      <c r="L6465" s="27"/>
    </row>
    <row r="6466" spans="1:12">
      <c r="A6466" s="20" t="s">
        <v>1319</v>
      </c>
      <c r="B6466" s="21" t="s">
        <v>1042</v>
      </c>
      <c r="C6466" s="21" t="s">
        <v>1006</v>
      </c>
      <c r="D6466" s="21" t="s">
        <v>1007</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56</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1030</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1433</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102</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1156</v>
      </c>
      <c r="B6471" s="21" t="s">
        <v>1040</v>
      </c>
      <c r="C6471" s="21" t="s">
        <v>1017</v>
      </c>
      <c r="D6471" s="21" t="s">
        <v>1007</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1018</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56</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1139</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1065</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1018</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1114</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1020</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1323</v>
      </c>
      <c r="B6479" s="21" t="s">
        <v>1263</v>
      </c>
      <c r="C6479" s="21" t="s">
        <v>1017</v>
      </c>
      <c r="D6479" s="21" t="s">
        <v>1007</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1979</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1978</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1020</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93</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1018</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1189</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2687</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1140</v>
      </c>
      <c r="B6487" s="21" t="s">
        <v>1134</v>
      </c>
      <c r="C6487" s="21" t="s">
        <v>1073</v>
      </c>
      <c r="D6487" s="21" t="s">
        <v>1007</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1189</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1018</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1075</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1324</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193</v>
      </c>
      <c r="B6492" s="21" t="s">
        <v>1033</v>
      </c>
      <c r="C6492" s="21" t="s">
        <v>1111</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t="s">
        <v>1065</v>
      </c>
      <c r="B6493" s="21" t="s">
        <v>1067</v>
      </c>
      <c r="E6493" s="22">
        <f>IF(D6493="?OLD","!!!","")</f>
        <v/>
      </c>
      <c r="F6493" s="23" t="str">
        <f>IF(OR(E6493="",E6493="!!!"),"",IF(NOT(ISNA(VLOOKUP(E6493,E$1:E6492,1,FALSE()))),"OLD",IF(AND(E6493&lt;&gt;"",E6493&lt;&gt;"!!!"),"NEW","")))</f>
        <v> </v>
      </c>
      <c r="G6493" s="24" t="str">
        <f>IF(OR(E6493="",E6493="!!!"),"",IF(OR(J6493=0,AND(J6493=1,K6493=1),AND(J6493=1,I6493="SBJ"),AND(J6493=1,I6493=0)),"?IN_FOCUS",IF(J6493&lt;=2,"?ACTIVATED",IF(J6493&lt;&gt;"","?FAMILIAR",IF(F6493="NEW",IF(ISNA(VLOOKUP(E6493,#REF!,1,FALSE())),"?TYPE_IDENTIFIABLE","?REFERENTIAL"),"_")))))</f>
        <v> </v>
      </c>
      <c r="H6493" s="25" t="str">
        <f>IF(J6493&lt;&gt;1,"",IF(I6493="SBJ","CB","?"))</f>
        <v> </v>
      </c>
      <c r="I6493" s="26" t="str">
        <f>IF(OR(E6493="",E6493="!!!",F6493="NEW"),"",INDEX(B6492:B$2,-1+SUMPRODUCT(MAX(ROW(E6492:E$2)*(E6493=E6492:E$2)))))</f>
        <v> </v>
      </c>
      <c r="J6493" s="26" t="str">
        <f>IF(OR(E6493="",E6493="!!!",F6493="NEW"),"",COUNTBLANK(OFFSET(A$1,,,SUMPRODUCT(MAX(ROW(E$2:E6493)*(E6493=E$2:E6493)))))-COUNTBLANK(OFFSET(A$1,,,SUMPRODUCT(MAX(ROW(E$1:E6492)*(E2=E$1:E6492))))))</f>
        <v> </v>
      </c>
      <c r="K6493" s="26" t="str">
        <f>IF(OR(E6493="",E6493="!!!",F6493="NEW"),"",INDEX(J$1:J6492,SUMPRODUCT(MAX(ROW(E$1:E6492)*(E6493=E$1:E6492)))))</f>
        <v> </v>
      </c>
      <c r="L6493" s="27"/>
    </row>
    <row r="6494" spans="1:12">
      <c r="A6494" s="20" t="s">
        <v>2688</v>
      </c>
      <c r="E6494" s="22">
        <f>IF(D6494="?OLD","!!!","")</f>
        <v/>
      </c>
      <c r="F6494" s="23" t="str">
        <f>IF(OR(E6494="",E6494="!!!"),"",IF(NOT(ISNA(VLOOKUP(E6494,E$1:E6493,1,FALSE()))),"OLD",IF(AND(E6494&lt;&gt;"",E6494&lt;&gt;"!!!"),"NEW","")))</f>
        <v> </v>
      </c>
      <c r="G6494" s="24" t="str">
        <f>IF(OR(E6494="",E6494="!!!"),"",IF(OR(J6494=0,AND(J6494=1,K6494=1),AND(J6494=1,I6494="SBJ"),AND(J6494=1,I6494=0)),"?IN_FOCUS",IF(J6494&lt;=2,"?ACTIVATED",IF(J6494&lt;&gt;"","?FAMILIAR",IF(F6494="NEW",IF(ISNA(VLOOKUP(E6494,#REF!,1,FALSE())),"?TYPE_IDENTIFIABLE","?REFERENTIAL"),"_")))))</f>
        <v> </v>
      </c>
      <c r="H6494" s="25" t="str">
        <f>IF(J6494&lt;&gt;1,"",IF(I6494="SBJ","CB","?"))</f>
        <v> </v>
      </c>
      <c r="I6494" s="26" t="str">
        <f>IF(OR(E6494="",E6494="!!!",F6494="NEW"),"",INDEX(B6493:B$2,-1+SUMPRODUCT(MAX(ROW(E6493:E$2)*(E6494=E6493:E$2)))))</f>
        <v> </v>
      </c>
      <c r="J6494" s="26" t="str">
        <f>IF(OR(E6494="",E6494="!!!",F6494="NEW"),"",COUNTBLANK(OFFSET(A$1,,,SUMPRODUCT(MAX(ROW(E$2:E6494)*(E6494=E$2:E6494)))))-COUNTBLANK(OFFSET(A$1,,,SUMPRODUCT(MAX(ROW(E$1:E6493)*(E2=E$1:E6493))))))</f>
        <v> </v>
      </c>
      <c r="K6494" s="26" t="str">
        <f>IF(OR(E6494="",E6494="!!!",F6494="NEW"),"",INDEX(J$1:J6493,SUMPRODUCT(MAX(ROW(E$1:E6493)*(E6494=E$1:E6493)))))</f>
        <v> </v>
      </c>
      <c r="L6494" s="27"/>
    </row>
    <row r="6495" spans="1:12">
      <c r="A6495" s="20" t="s">
        <v>1014</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897</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1018</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1075</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1056</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2689</v>
      </c>
      <c r="B6500" s="21" t="s">
        <v>1005</v>
      </c>
      <c r="C6500" s="21" t="s">
        <v>1111</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2690</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1018</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1330</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1142</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1075</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102</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2689</v>
      </c>
      <c r="B6507" s="21" t="s">
        <v>1005</v>
      </c>
      <c r="C6507" s="21" t="s">
        <v>1017</v>
      </c>
      <c r="D6507" s="21" t="s">
        <v>1007</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2691</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1023</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row>
    <row r="6511" spans="1:12">
      <c r="A6511" s="20" t="s">
        <v>2692</v>
      </c>
    </row>
    <row r="6512" spans="1:12">
      <c r="A6512" s="20" t="s">
        <v>1861</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1065</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1075</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1324</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193</v>
      </c>
      <c r="B6516" s="21" t="s">
        <v>1005</v>
      </c>
      <c r="C6516" s="21" t="s">
        <v>1111</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1065</v>
      </c>
      <c r="B6517" s="21" t="s">
        <v>1120</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1505</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238</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102</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1267</v>
      </c>
      <c r="B6521" s="21" t="s">
        <v>1033</v>
      </c>
      <c r="C6521" s="21" t="s">
        <v>1017</v>
      </c>
      <c r="D6521" s="21" t="s">
        <v>1007</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1020</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2693</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1023</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row>
    <row r="6526" spans="1:12">
      <c r="A6526" s="20" t="s">
        <v>2694</v>
      </c>
    </row>
    <row r="6527" spans="1:12">
      <c r="A6527" s="20" t="s">
        <v>1136</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1018</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t="s">
        <v>1020</v>
      </c>
      <c r="E6529" s="22">
        <f>IF(D6529="?OLD","!!!","")</f>
        <v/>
      </c>
      <c r="F6529" s="23" t="str">
        <f>IF(OR(E6529="",E6529="!!!"),"",IF(NOT(ISNA(VLOOKUP(E6529,E$1:E6528,1,FALSE()))),"OLD",IF(AND(E6529&lt;&gt;"",E6529&lt;&gt;"!!!"),"NEW","")))</f>
        <v> </v>
      </c>
      <c r="G6529" s="24" t="str">
        <f>IF(OR(E6529="",E6529="!!!"),"",IF(OR(J6529=0,AND(J6529=1,K6529=1),AND(J6529=1,I6529="SBJ"),AND(J6529=1,I6529=0)),"?IN_FOCUS",IF(J6529&lt;=2,"?ACTIVATED",IF(J6529&lt;&gt;"","?FAMILIAR",IF(F6529="NEW",IF(ISNA(VLOOKUP(E6529,#REF!,1,FALSE())),"?TYPE_IDENTIFIABLE","?REFERENTIAL"),"_")))))</f>
        <v> </v>
      </c>
      <c r="H6529" s="25" t="str">
        <f>IF(J6529&lt;&gt;1,"",IF(I6529="SBJ","CB","?"))</f>
        <v> </v>
      </c>
      <c r="I6529" s="26" t="str">
        <f>IF(OR(E6529="",E6529="!!!",F6529="NEW"),"",INDEX(B6528:B$2,-1+SUMPRODUCT(MAX(ROW(E6528:E$2)*(E6529=E6528:E$2)))))</f>
        <v> </v>
      </c>
      <c r="J6529" s="26" t="str">
        <f>IF(OR(E6529="",E6529="!!!",F6529="NEW"),"",COUNTBLANK(OFFSET(A$1,,,SUMPRODUCT(MAX(ROW(E$2:E6529)*(E6529=E$2:E6529)))))-COUNTBLANK(OFFSET(A$1,,,SUMPRODUCT(MAX(ROW(E$1:E6528)*(E2=E$1:E6528))))))</f>
        <v> </v>
      </c>
      <c r="K6529" s="26" t="str">
        <f>IF(OR(E6529="",E6529="!!!",F6529="NEW"),"",INDEX(J$1:J6528,SUMPRODUCT(MAX(ROW(E$1:E6528)*(E6529=E$1:E6528)))))</f>
        <v> </v>
      </c>
      <c r="L6529" s="27"/>
    </row>
    <row r="6530" spans="1:12">
      <c r="A6530" s="20" t="s">
        <v>102</v>
      </c>
      <c r="E6530" s="22">
        <f>IF(D6530="?OLD","!!!","")</f>
        <v/>
      </c>
      <c r="F6530" s="23" t="str">
        <f>IF(OR(E6530="",E6530="!!!"),"",IF(NOT(ISNA(VLOOKUP(E6530,E$1:E6529,1,FALSE()))),"OLD",IF(AND(E6530&lt;&gt;"",E6530&lt;&gt;"!!!"),"NEW","")))</f>
        <v> </v>
      </c>
      <c r="G6530" s="24" t="str">
        <f>IF(OR(E6530="",E6530="!!!"),"",IF(OR(J6530=0,AND(J6530=1,K6530=1),AND(J6530=1,I6530="SBJ"),AND(J6530=1,I6530=0)),"?IN_FOCUS",IF(J6530&lt;=2,"?ACTIVATED",IF(J6530&lt;&gt;"","?FAMILIAR",IF(F6530="NEW",IF(ISNA(VLOOKUP(E6530,#REF!,1,FALSE())),"?TYPE_IDENTIFIABLE","?REFERENTIAL"),"_")))))</f>
        <v> </v>
      </c>
      <c r="H6530" s="25" t="str">
        <f>IF(J6530&lt;&gt;1,"",IF(I6530="SBJ","CB","?"))</f>
        <v> </v>
      </c>
      <c r="I6530" s="26" t="str">
        <f>IF(OR(E6530="",E6530="!!!",F6530="NEW"),"",INDEX(B6529:B$2,-1+SUMPRODUCT(MAX(ROW(E6529:E$2)*(E6530=E6529:E$2)))))</f>
        <v> </v>
      </c>
      <c r="J6530" s="26" t="str">
        <f>IF(OR(E6530="",E6530="!!!",F6530="NEW"),"",COUNTBLANK(OFFSET(A$1,,,SUMPRODUCT(MAX(ROW(E$2:E6530)*(E6530=E$2:E6530)))))-COUNTBLANK(OFFSET(A$1,,,SUMPRODUCT(MAX(ROW(E$1:E6529)*(E2=E$1:E6529))))))</f>
        <v> </v>
      </c>
      <c r="K6530" s="26" t="str">
        <f>IF(OR(E6530="",E6530="!!!",F6530="NEW"),"",INDEX(J$1:J6529,SUMPRODUCT(MAX(ROW(E$1:E6529)*(E6530=E$1:E6529)))))</f>
        <v> </v>
      </c>
      <c r="L6530" s="27"/>
    </row>
    <row r="6531" spans="1:12">
      <c r="A6531" s="20" t="s">
        <v>1116</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1183</v>
      </c>
      <c r="B6532" s="21" t="s">
        <v>1022</v>
      </c>
      <c r="C6532" s="21" t="s">
        <v>1017</v>
      </c>
      <c r="D6532" s="21" t="s">
        <v>1007</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1018</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102</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1168</v>
      </c>
      <c r="B6535" s="21" t="s">
        <v>1119</v>
      </c>
      <c r="C6535" s="21" t="s">
        <v>1017</v>
      </c>
      <c r="D6535" s="21" t="s">
        <v>1007</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1702</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1020</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2695</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1065</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t="s">
        <v>2467</v>
      </c>
      <c r="E6540" s="22">
        <f>IF(D6540="?OLD","!!!","")</f>
        <v/>
      </c>
      <c r="F6540" s="23" t="str">
        <f>IF(OR(E6540="",E6540="!!!"),"",IF(NOT(ISNA(VLOOKUP(E6540,E$1:E6539,1,FALSE()))),"OLD",IF(AND(E6540&lt;&gt;"",E6540&lt;&gt;"!!!"),"NEW","")))</f>
        <v> </v>
      </c>
      <c r="G6540" s="24" t="str">
        <f>IF(OR(E6540="",E6540="!!!"),"",IF(OR(J6540=0,AND(J6540=1,K6540=1),AND(J6540=1,I6540="SBJ"),AND(J6540=1,I6540=0)),"?IN_FOCUS",IF(J6540&lt;=2,"?ACTIVATED",IF(J6540&lt;&gt;"","?FAMILIAR",IF(F6540="NEW",IF(ISNA(VLOOKUP(E6540,#REF!,1,FALSE())),"?TYPE_IDENTIFIABLE","?REFERENTIAL"),"_")))))</f>
        <v> </v>
      </c>
      <c r="H6540" s="25" t="str">
        <f>IF(J6540&lt;&gt;1,"",IF(I6540="SBJ","CB","?"))</f>
        <v> </v>
      </c>
      <c r="I6540" s="26" t="str">
        <f>IF(OR(E6540="",E6540="!!!",F6540="NEW"),"",INDEX(B6539:B$2,-1+SUMPRODUCT(MAX(ROW(E6539:E$2)*(E6540=E6539:E$2)))))</f>
        <v> </v>
      </c>
      <c r="J6540" s="26" t="str">
        <f>IF(OR(E6540="",E6540="!!!",F6540="NEW"),"",COUNTBLANK(OFFSET(A$1,,,SUMPRODUCT(MAX(ROW(E$2:E6540)*(E6540=E$2:E6540)))))-COUNTBLANK(OFFSET(A$1,,,SUMPRODUCT(MAX(ROW(E$1:E6539)*(E2=E$1:E6539))))))</f>
        <v> </v>
      </c>
      <c r="K6540" s="26" t="str">
        <f>IF(OR(E6540="",E6540="!!!",F6540="NEW"),"",INDEX(J$1:J6539,SUMPRODUCT(MAX(ROW(E$1:E6539)*(E6540=E$1:E6539)))))</f>
        <v> </v>
      </c>
      <c r="L6540" s="27"/>
    </row>
    <row r="6541" spans="1:12">
      <c r="A6541" s="20" t="s">
        <v>1324</v>
      </c>
      <c r="E6541" s="22">
        <f>IF(D6541="?OLD","!!!","")</f>
        <v/>
      </c>
      <c r="F6541" s="23" t="str">
        <f>IF(OR(E6541="",E6541="!!!"),"",IF(NOT(ISNA(VLOOKUP(E6541,E$1:E6540,1,FALSE()))),"OLD",IF(AND(E6541&lt;&gt;"",E6541&lt;&gt;"!!!"),"NEW","")))</f>
        <v> </v>
      </c>
      <c r="G6541" s="24" t="str">
        <f>IF(OR(E6541="",E6541="!!!"),"",IF(OR(J6541=0,AND(J6541=1,K6541=1),AND(J6541=1,I6541="SBJ"),AND(J6541=1,I6541=0)),"?IN_FOCUS",IF(J6541&lt;=2,"?ACTIVATED",IF(J6541&lt;&gt;"","?FAMILIAR",IF(F6541="NEW",IF(ISNA(VLOOKUP(E6541,#REF!,1,FALSE())),"?TYPE_IDENTIFIABLE","?REFERENTIAL"),"_")))))</f>
        <v> </v>
      </c>
      <c r="H6541" s="25" t="str">
        <f>IF(J6541&lt;&gt;1,"",IF(I6541="SBJ","CB","?"))</f>
        <v> </v>
      </c>
      <c r="I6541" s="26" t="str">
        <f>IF(OR(E6541="",E6541="!!!",F6541="NEW"),"",INDEX(B6540:B$2,-1+SUMPRODUCT(MAX(ROW(E6540:E$2)*(E6541=E6540:E$2)))))</f>
        <v> </v>
      </c>
      <c r="J6541" s="26" t="str">
        <f>IF(OR(E6541="",E6541="!!!",F6541="NEW"),"",COUNTBLANK(OFFSET(A$1,,,SUMPRODUCT(MAX(ROW(E$2:E6541)*(E6541=E$2:E6541)))))-COUNTBLANK(OFFSET(A$1,,,SUMPRODUCT(MAX(ROW(E$1:E6540)*(E2=E$1:E6540))))))</f>
        <v> </v>
      </c>
      <c r="K6541" s="26" t="str">
        <f>IF(OR(E6541="",E6541="!!!",F6541="NEW"),"",INDEX(J$1:J6540,SUMPRODUCT(MAX(ROW(E$1:E6540)*(E6541=E$1:E6540)))))</f>
        <v> </v>
      </c>
      <c r="L6541" s="27"/>
    </row>
    <row r="6542" spans="1:12">
      <c r="A6542" s="20" t="s">
        <v>2696</v>
      </c>
      <c r="B6542" s="21" t="s">
        <v>1187</v>
      </c>
      <c r="C6542" s="21" t="s">
        <v>1013</v>
      </c>
      <c r="D6542" s="21" t="s">
        <v>1007</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1014</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2404</v>
      </c>
      <c r="B6544" s="21" t="s">
        <v>1035</v>
      </c>
      <c r="C6544" s="21" t="s">
        <v>1048</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1018</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2467</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1065</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1138</v>
      </c>
      <c r="B6548" s="21" t="s">
        <v>1154</v>
      </c>
      <c r="C6548" s="21" t="s">
        <v>1082</v>
      </c>
      <c r="D6548" s="21" t="s">
        <v>1007</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2697</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1015</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1231</v>
      </c>
      <c r="B6551" s="21" t="s">
        <v>1187</v>
      </c>
      <c r="C6551" s="21" t="s">
        <v>1017</v>
      </c>
      <c r="D6551" s="21" t="s">
        <v>1007</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t="s">
        <v>1182</v>
      </c>
      <c r="E6552" s="22">
        <f>IF(D6552="?OLD","!!!","")</f>
        <v/>
      </c>
      <c r="F6552" s="23" t="str">
        <f>IF(OR(E6552="",E6552="!!!"),"",IF(NOT(ISNA(VLOOKUP(E6552,E$1:E6551,1,FALSE()))),"OLD",IF(AND(E6552&lt;&gt;"",E6552&lt;&gt;"!!!"),"NEW","")))</f>
        <v> </v>
      </c>
      <c r="G6552" s="24" t="str">
        <f>IF(OR(E6552="",E6552="!!!"),"",IF(OR(J6552=0,AND(J6552=1,K6552=1),AND(J6552=1,I6552="SBJ"),AND(J6552=1,I6552=0)),"?IN_FOCUS",IF(J6552&lt;=2,"?ACTIVATED",IF(J6552&lt;&gt;"","?FAMILIAR",IF(F6552="NEW",IF(ISNA(VLOOKUP(E6552,#REF!,1,FALSE())),"?TYPE_IDENTIFIABLE","?REFERENTIAL"),"_")))))</f>
        <v> </v>
      </c>
      <c r="H6552" s="25" t="str">
        <f>IF(J6552&lt;&gt;1,"",IF(I6552="SBJ","CB","?"))</f>
        <v> </v>
      </c>
      <c r="I6552" s="26" t="str">
        <f>IF(OR(E6552="",E6552="!!!",F6552="NEW"),"",INDEX(B6551:B$2,-1+SUMPRODUCT(MAX(ROW(E6551:E$2)*(E6552=E6551:E$2)))))</f>
        <v> </v>
      </c>
      <c r="J6552" s="26" t="str">
        <f>IF(OR(E6552="",E6552="!!!",F6552="NEW"),"",COUNTBLANK(OFFSET(A$1,,,SUMPRODUCT(MAX(ROW(E$2:E6552)*(E6552=E$2:E6552)))))-COUNTBLANK(OFFSET(A$1,,,SUMPRODUCT(MAX(ROW(E$1:E6551)*(E2=E$1:E6551))))))</f>
        <v> </v>
      </c>
      <c r="K6552" s="26" t="str">
        <f>IF(OR(E6552="",E6552="!!!",F6552="NEW"),"",INDEX(J$1:J6551,SUMPRODUCT(MAX(ROW(E$1:E6551)*(E6552=E$1:E6551)))))</f>
        <v> </v>
      </c>
      <c r="L6552" s="27"/>
    </row>
    <row r="6553" spans="1:12">
      <c r="A6553" s="20" t="s">
        <v>1149</v>
      </c>
      <c r="B6553" s="21" t="s">
        <v>1263</v>
      </c>
      <c r="E6553" s="22">
        <f>IF(D6553="?OLD","!!!","")</f>
        <v/>
      </c>
      <c r="F6553" s="23" t="str">
        <f>IF(OR(E6553="",E6553="!!!"),"",IF(NOT(ISNA(VLOOKUP(E6553,E$1:E6552,1,FALSE()))),"OLD",IF(AND(E6553&lt;&gt;"",E6553&lt;&gt;"!!!"),"NEW","")))</f>
        <v> </v>
      </c>
      <c r="G6553" s="24" t="str">
        <f>IF(OR(E6553="",E6553="!!!"),"",IF(OR(J6553=0,AND(J6553=1,K6553=1),AND(J6553=1,I6553="SBJ"),AND(J6553=1,I6553=0)),"?IN_FOCUS",IF(J6553&lt;=2,"?ACTIVATED",IF(J6553&lt;&gt;"","?FAMILIAR",IF(F6553="NEW",IF(ISNA(VLOOKUP(E6553,#REF!,1,FALSE())),"?TYPE_IDENTIFIABLE","?REFERENTIAL"),"_")))))</f>
        <v> </v>
      </c>
      <c r="H6553" s="25" t="str">
        <f>IF(J6553&lt;&gt;1,"",IF(I6553="SBJ","CB","?"))</f>
        <v> </v>
      </c>
      <c r="I6553" s="26" t="str">
        <f>IF(OR(E6553="",E6553="!!!",F6553="NEW"),"",INDEX(B6552:B$2,-1+SUMPRODUCT(MAX(ROW(E6552:E$2)*(E6553=E6552:E$2)))))</f>
        <v> </v>
      </c>
      <c r="J6553" s="26" t="str">
        <f>IF(OR(E6553="",E6553="!!!",F6553="NEW"),"",COUNTBLANK(OFFSET(A$1,,,SUMPRODUCT(MAX(ROW(E$2:E6553)*(E6553=E$2:E6553)))))-COUNTBLANK(OFFSET(A$1,,,SUMPRODUCT(MAX(ROW(E$1:E6552)*(E2=E$1:E6552))))))</f>
        <v> </v>
      </c>
      <c r="K6553" s="26" t="str">
        <f>IF(OR(E6553="",E6553="!!!",F6553="NEW"),"",INDEX(J$1:J6552,SUMPRODUCT(MAX(ROW(E$1:E6552)*(E6553=E$1:E6552)))))</f>
        <v> </v>
      </c>
      <c r="L6553" s="27"/>
    </row>
    <row r="6554" spans="1:12">
      <c r="A6554" s="20" t="s">
        <v>2295</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1836</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1020</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1209</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1018</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1097</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t="s">
        <v>70</v>
      </c>
      <c r="E6560" s="22">
        <f>IF(D6560="?OLD","!!!","")</f>
        <v/>
      </c>
      <c r="F6560" s="23" t="str">
        <f>IF(OR(E6560="",E6560="!!!"),"",IF(NOT(ISNA(VLOOKUP(E6560,E$1:E6559,1,FALSE()))),"OLD",IF(AND(E6560&lt;&gt;"",E6560&lt;&gt;"!!!"),"NEW","")))</f>
        <v> </v>
      </c>
      <c r="G6560" s="24" t="str">
        <f>IF(OR(E6560="",E6560="!!!"),"",IF(OR(J6560=0,AND(J6560=1,K6560=1),AND(J6560=1,I6560="SBJ"),AND(J6560=1,I6560=0)),"?IN_FOCUS",IF(J6560&lt;=2,"?ACTIVATED",IF(J6560&lt;&gt;"","?FAMILIAR",IF(F6560="NEW",IF(ISNA(VLOOKUP(E6560,#REF!,1,FALSE())),"?TYPE_IDENTIFIABLE","?REFERENTIAL"),"_")))))</f>
        <v> </v>
      </c>
      <c r="H6560" s="25" t="str">
        <f>IF(J6560&lt;&gt;1,"",IF(I6560="SBJ","CB","?"))</f>
        <v> </v>
      </c>
      <c r="I6560" s="26" t="str">
        <f>IF(OR(E6560="",E6560="!!!",F6560="NEW"),"",INDEX(B6559:B$2,-1+SUMPRODUCT(MAX(ROW(E6559:E$2)*(E6560=E6559:E$2)))))</f>
        <v> </v>
      </c>
      <c r="J6560" s="26" t="str">
        <f>IF(OR(E6560="",E6560="!!!",F6560="NEW"),"",COUNTBLANK(OFFSET(A$1,,,SUMPRODUCT(MAX(ROW(E$2:E6560)*(E6560=E$2:E6560)))))-COUNTBLANK(OFFSET(A$1,,,SUMPRODUCT(MAX(ROW(E$1:E6559)*(E2=E$1:E6559))))))</f>
        <v> </v>
      </c>
      <c r="K6560" s="26" t="str">
        <f>IF(OR(E6560="",E6560="!!!",F6560="NEW"),"",INDEX(J$1:J6559,SUMPRODUCT(MAX(ROW(E$1:E6559)*(E6560=E$1:E6559)))))</f>
        <v> </v>
      </c>
      <c r="L6560" s="27"/>
    </row>
    <row r="6561" spans="1:12">
      <c r="A6561" s="20" t="s">
        <v>2677</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1023</v>
      </c>
      <c r="E6562" s="22">
        <f>IF(D6562="?OLD","!!!","")</f>
        <v/>
      </c>
      <c r="F6562" s="23" t="str">
        <f>IF(OR(E6562="",E6562="!!!"),"",IF(NOT(ISNA(VLOOKUP(E6562,E$1:E6561,1,FALSE()))),"OLD",IF(AND(E6562&lt;&gt;"",E6562&lt;&gt;"!!!"),"NEW","")))</f>
        <v> </v>
      </c>
      <c r="G6562" s="24" t="str">
        <f>IF(OR(E6562="",E6562="!!!"),"",IF(OR(J6562=0,AND(J6562=1,K6562=1),AND(J6562=1,I6562="SBJ"),AND(J6562=1,I6562=0)),"?IN_FOCUS",IF(J6562&lt;=2,"?ACTIVATED",IF(J6562&lt;&gt;"","?FAMILIAR",IF(F6562="NEW",IF(ISNA(VLOOKUP(E6562,#REF!,1,FALSE())),"?TYPE_IDENTIFIABLE","?REFERENTIAL"),"_")))))</f>
        <v> </v>
      </c>
      <c r="H6562" s="25" t="str">
        <f>IF(J6562&lt;&gt;1,"",IF(I6562="SBJ","CB","?"))</f>
        <v> </v>
      </c>
      <c r="I6562" s="26" t="str">
        <f>IF(OR(E6562="",E6562="!!!",F6562="NEW"),"",INDEX(B6561:B$2,-1+SUMPRODUCT(MAX(ROW(E6561:E$2)*(E6562=E6561:E$2)))))</f>
        <v> </v>
      </c>
      <c r="J6562" s="26" t="str">
        <f>IF(OR(E6562="",E6562="!!!",F6562="NEW"),"",COUNTBLANK(OFFSET(A$1,,,SUMPRODUCT(MAX(ROW(E$2:E6562)*(E6562=E$2:E6562)))))-COUNTBLANK(OFFSET(A$1,,,SUMPRODUCT(MAX(ROW(E$1:E6561)*(E2=E$1:E6561))))))</f>
        <v> </v>
      </c>
      <c r="K6562" s="26" t="str">
        <f>IF(OR(E6562="",E6562="!!!",F6562="NEW"),"",INDEX(J$1:J6561,SUMPRODUCT(MAX(ROW(E$1:E6561)*(E6562=E$1:E6561)))))</f>
        <v> </v>
      </c>
      <c r="L6562" s="27"/>
    </row>
    <row r="6563" spans="1:12">
      <c r="A6563" s="20"/>
    </row>
    <row r="6564" spans="1:12">
      <c r="A6564" s="20" t="s">
        <v>2698</v>
      </c>
    </row>
    <row r="6565" spans="1:12">
      <c r="A6565" s="20" t="s">
        <v>1629</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660</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1476</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2331</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1065</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1142</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2699</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1284</v>
      </c>
      <c r="B6572" s="21" t="s">
        <v>1029</v>
      </c>
      <c r="C6572" s="21" t="s">
        <v>1073</v>
      </c>
      <c r="D6572" s="21" t="s">
        <v>1007</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1097</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2700</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1030</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1339</v>
      </c>
      <c r="B6576" s="21" t="s">
        <v>1033</v>
      </c>
      <c r="C6576" s="21" t="s">
        <v>1048</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t="s">
        <v>1023</v>
      </c>
      <c r="E6577" s="22">
        <f>IF(D6577="?OLD","!!!","")</f>
        <v/>
      </c>
      <c r="F6577" s="23" t="str">
        <f>IF(OR(E6577="",E6577="!!!"),"",IF(NOT(ISNA(VLOOKUP(E6577,E$1:E6576,1,FALSE()))),"OLD",IF(AND(E6577&lt;&gt;"",E6577&lt;&gt;"!!!"),"NEW","")))</f>
        <v> </v>
      </c>
      <c r="G6577" s="24" t="str">
        <f>IF(OR(E6577="",E6577="!!!"),"",IF(OR(J6577=0,AND(J6577=1,K6577=1),AND(J6577=1,I6577="SBJ"),AND(J6577=1,I6577=0)),"?IN_FOCUS",IF(J6577&lt;=2,"?ACTIVATED",IF(J6577&lt;&gt;"","?FAMILIAR",IF(F6577="NEW",IF(ISNA(VLOOKUP(E6577,#REF!,1,FALSE())),"?TYPE_IDENTIFIABLE","?REFERENTIAL"),"_")))))</f>
        <v> </v>
      </c>
      <c r="H6577" s="25" t="str">
        <f>IF(J6577&lt;&gt;1,"",IF(I6577="SBJ","CB","?"))</f>
        <v> </v>
      </c>
      <c r="I6577" s="26" t="str">
        <f>IF(OR(E6577="",E6577="!!!",F6577="NEW"),"",INDEX(B6576:B$2,-1+SUMPRODUCT(MAX(ROW(E6576:E$2)*(E6577=E6576:E$2)))))</f>
        <v> </v>
      </c>
      <c r="J6577" s="26" t="str">
        <f>IF(OR(E6577="",E6577="!!!",F6577="NEW"),"",COUNTBLANK(OFFSET(A$1,,,SUMPRODUCT(MAX(ROW(E$2:E6577)*(E6577=E$2:E6577)))))-COUNTBLANK(OFFSET(A$1,,,SUMPRODUCT(MAX(ROW(E$1:E6576)*(E2=E$1:E6576))))))</f>
        <v> </v>
      </c>
      <c r="K6577" s="26" t="str">
        <f>IF(OR(E6577="",E6577="!!!",F6577="NEW"),"",INDEX(J$1:J6576,SUMPRODUCT(MAX(ROW(E$1:E6576)*(E6577=E$1:E6576)))))</f>
        <v> </v>
      </c>
      <c r="L6577" s="27"/>
    </row>
    <row r="6578" spans="1:12">
      <c r="A6578" s="20"/>
    </row>
    <row r="6579" spans="1:12">
      <c r="A6579" s="20" t="s">
        <v>2701</v>
      </c>
    </row>
    <row r="6580" spans="1:12">
      <c r="A6580" s="20" t="s">
        <v>2702</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1284</v>
      </c>
      <c r="B6581" s="21" t="s">
        <v>1085</v>
      </c>
      <c r="C6581" s="21" t="s">
        <v>1073</v>
      </c>
      <c r="D6581" s="21" t="s">
        <v>1007</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1097</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110</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102</v>
      </c>
      <c r="B6584" s="21" t="s">
        <v>1187</v>
      </c>
      <c r="C6584" s="21" t="s">
        <v>1073</v>
      </c>
      <c r="D6584" s="21" t="s">
        <v>1007</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1065</v>
      </c>
      <c r="B6585" s="21" t="s">
        <v>1263</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1206</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1426</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1018</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56</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1142</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1862</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2703</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1182</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102</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2337</v>
      </c>
      <c r="B6595" s="21" t="s">
        <v>1033</v>
      </c>
      <c r="C6595" s="21" t="s">
        <v>1059</v>
      </c>
      <c r="D6595" s="21" t="s">
        <v>1007</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1455</v>
      </c>
      <c r="B6596" s="21" t="s">
        <v>1029</v>
      </c>
      <c r="C6596" s="21" t="s">
        <v>1013</v>
      </c>
      <c r="D6596" s="21" t="s">
        <v>1007</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1014</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102</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2001</v>
      </c>
      <c r="B6599" s="21" t="s">
        <v>1033</v>
      </c>
      <c r="C6599" s="21" t="s">
        <v>1013</v>
      </c>
      <c r="D6599" s="21" t="s">
        <v>1007</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1014</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t="s">
        <v>102</v>
      </c>
      <c r="E6601" s="22">
        <f>IF(D6601="?OLD","!!!","")</f>
        <v/>
      </c>
      <c r="F6601" s="23" t="str">
        <f>IF(OR(E6601="",E6601="!!!"),"",IF(NOT(ISNA(VLOOKUP(E6601,E$1:E6600,1,FALSE()))),"OLD",IF(AND(E6601&lt;&gt;"",E6601&lt;&gt;"!!!"),"NEW","")))</f>
        <v> </v>
      </c>
      <c r="G6601" s="24" t="str">
        <f>IF(OR(E6601="",E6601="!!!"),"",IF(OR(J6601=0,AND(J6601=1,K6601=1),AND(J6601=1,I6601="SBJ"),AND(J6601=1,I6601=0)),"?IN_FOCUS",IF(J6601&lt;=2,"?ACTIVATED",IF(J6601&lt;&gt;"","?FAMILIAR",IF(F6601="NEW",IF(ISNA(VLOOKUP(E6601,#REF!,1,FALSE())),"?TYPE_IDENTIFIABLE","?REFERENTIAL"),"_")))))</f>
        <v> </v>
      </c>
      <c r="H6601" s="25" t="str">
        <f>IF(J6601&lt;&gt;1,"",IF(I6601="SBJ","CB","?"))</f>
        <v> </v>
      </c>
      <c r="I6601" s="26" t="str">
        <f>IF(OR(E6601="",E6601="!!!",F6601="NEW"),"",INDEX(B6600:B$2,-1+SUMPRODUCT(MAX(ROW(E6600:E$2)*(E6601=E6600:E$2)))))</f>
        <v> </v>
      </c>
      <c r="J6601" s="26" t="str">
        <f>IF(OR(E6601="",E6601="!!!",F6601="NEW"),"",COUNTBLANK(OFFSET(A$1,,,SUMPRODUCT(MAX(ROW(E$2:E6601)*(E6601=E$2:E6601)))))-COUNTBLANK(OFFSET(A$1,,,SUMPRODUCT(MAX(ROW(E$1:E6600)*(E2=E$1:E6600))))))</f>
        <v> </v>
      </c>
      <c r="K6601" s="26" t="str">
        <f>IF(OR(E6601="",E6601="!!!",F6601="NEW"),"",INDEX(J$1:J6600,SUMPRODUCT(MAX(ROW(E$1:E6600)*(E6601=E$1:E6600)))))</f>
        <v> </v>
      </c>
      <c r="L6601" s="27"/>
    </row>
    <row r="6602" spans="1:12">
      <c r="A6602" s="20" t="s">
        <v>1267</v>
      </c>
      <c r="B6602" s="21" t="s">
        <v>1035</v>
      </c>
      <c r="C6602" s="21" t="s">
        <v>1017</v>
      </c>
      <c r="D6602" s="21" t="s">
        <v>1007</v>
      </c>
      <c r="E6602" s="22">
        <f>IF(D6602="?OLD","!!!","")</f>
        <v/>
      </c>
      <c r="F6602" s="23" t="str">
        <f>IF(OR(E6602="",E6602="!!!"),"",IF(NOT(ISNA(VLOOKUP(E6602,E$1:E6601,1,FALSE()))),"OLD",IF(AND(E6602&lt;&gt;"",E6602&lt;&gt;"!!!"),"NEW","")))</f>
        <v> </v>
      </c>
      <c r="G6602" s="24" t="str">
        <f>IF(OR(E6602="",E6602="!!!"),"",IF(OR(J6602=0,AND(J6602=1,K6602=1),AND(J6602=1,I6602="SBJ"),AND(J6602=1,I6602=0)),"?IN_FOCUS",IF(J6602&lt;=2,"?ACTIVATED",IF(J6602&lt;&gt;"","?FAMILIAR",IF(F6602="NEW",IF(ISNA(VLOOKUP(E6602,#REF!,1,FALSE())),"?TYPE_IDENTIFIABLE","?REFERENTIAL"),"_")))))</f>
        <v> </v>
      </c>
      <c r="H6602" s="25" t="str">
        <f>IF(J6602&lt;&gt;1,"",IF(I6602="SBJ","CB","?"))</f>
        <v> </v>
      </c>
      <c r="I6602" s="26" t="str">
        <f>IF(OR(E6602="",E6602="!!!",F6602="NEW"),"",INDEX(B6601:B$2,-1+SUMPRODUCT(MAX(ROW(E6601:E$2)*(E6602=E6601:E$2)))))</f>
        <v> </v>
      </c>
      <c r="J6602" s="26" t="str">
        <f>IF(OR(E6602="",E6602="!!!",F6602="NEW"),"",COUNTBLANK(OFFSET(A$1,,,SUMPRODUCT(MAX(ROW(E$2:E6602)*(E6602=E$2:E6602)))))-COUNTBLANK(OFFSET(A$1,,,SUMPRODUCT(MAX(ROW(E$1:E6601)*(E2=E$1:E6601))))))</f>
        <v> </v>
      </c>
      <c r="K6602" s="26" t="str">
        <f>IF(OR(E6602="",E6602="!!!",F6602="NEW"),"",INDEX(J$1:J6601,SUMPRODUCT(MAX(ROW(E$1:E6601)*(E6602=E$1:E6601)))))</f>
        <v> </v>
      </c>
      <c r="L6602" s="27"/>
    </row>
    <row r="6603" spans="1:12">
      <c r="A6603" s="20" t="s">
        <v>1199</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1097</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2704</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1014</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2328</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1289</v>
      </c>
      <c r="B6608" s="21" t="s">
        <v>1029</v>
      </c>
      <c r="C6608" s="21" t="s">
        <v>1048</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1023</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row>
    <row r="6611" spans="1:12">
      <c r="A6611" s="20" t="s">
        <v>2705</v>
      </c>
    </row>
    <row r="6612" spans="1:12">
      <c r="A6612" s="20" t="s">
        <v>1094</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1009</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2706</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1018</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2707</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1020</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1020</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1021</v>
      </c>
      <c r="B6619" s="21" t="s">
        <v>1022</v>
      </c>
      <c r="C6619" s="21" t="s">
        <v>1006</v>
      </c>
      <c r="D6619" s="21" t="s">
        <v>1007</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56</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1020</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1569</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1513</v>
      </c>
      <c r="B6623" s="21" t="s">
        <v>1033</v>
      </c>
      <c r="C6623" s="21" t="s">
        <v>1041</v>
      </c>
      <c r="D6623" s="21" t="s">
        <v>1007</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1018</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885</v>
      </c>
      <c r="B6625" s="21" t="s">
        <v>1119</v>
      </c>
      <c r="C6625" s="21" t="s">
        <v>1082</v>
      </c>
      <c r="D6625" s="21" t="s">
        <v>1007</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2543</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1163</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1018</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1020</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1020</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1638</v>
      </c>
      <c r="B6631" s="21" t="s">
        <v>1022</v>
      </c>
      <c r="C6631" s="21" t="s">
        <v>1006</v>
      </c>
      <c r="D6631" s="21" t="s">
        <v>1007</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1014</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102</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2708</v>
      </c>
      <c r="B6634" s="21" t="s">
        <v>1033</v>
      </c>
      <c r="C6634" s="21" t="s">
        <v>1006</v>
      </c>
      <c r="D6634" s="21" t="s">
        <v>1007</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1018</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t="s">
        <v>1142</v>
      </c>
      <c r="E6636" s="22">
        <f>IF(D6636="?OLD","!!!","")</f>
        <v/>
      </c>
      <c r="F6636" s="23" t="str">
        <f>IF(OR(E6636="",E6636="!!!"),"",IF(NOT(ISNA(VLOOKUP(E6636,E$1:E6635,1,FALSE()))),"OLD",IF(AND(E6636&lt;&gt;"",E6636&lt;&gt;"!!!"),"NEW","")))</f>
        <v> </v>
      </c>
      <c r="G6636" s="24" t="str">
        <f>IF(OR(E6636="",E6636="!!!"),"",IF(OR(J6636=0,AND(J6636=1,K6636=1),AND(J6636=1,I6636="SBJ"),AND(J6636=1,I6636=0)),"?IN_FOCUS",IF(J6636&lt;=2,"?ACTIVATED",IF(J6636&lt;&gt;"","?FAMILIAR",IF(F6636="NEW",IF(ISNA(VLOOKUP(E6636,#REF!,1,FALSE())),"?TYPE_IDENTIFIABLE","?REFERENTIAL"),"_")))))</f>
        <v> </v>
      </c>
      <c r="H6636" s="25" t="str">
        <f>IF(J6636&lt;&gt;1,"",IF(I6636="SBJ","CB","?"))</f>
        <v> </v>
      </c>
      <c r="I6636" s="26" t="str">
        <f>IF(OR(E6636="",E6636="!!!",F6636="NEW"),"",INDEX(B6635:B$2,-1+SUMPRODUCT(MAX(ROW(E6635:E$2)*(E6636=E6635:E$2)))))</f>
        <v> </v>
      </c>
      <c r="J6636" s="26" t="str">
        <f>IF(OR(E6636="",E6636="!!!",F6636="NEW"),"",COUNTBLANK(OFFSET(A$1,,,SUMPRODUCT(MAX(ROW(E$2:E6636)*(E6636=E$2:E6636)))))-COUNTBLANK(OFFSET(A$1,,,SUMPRODUCT(MAX(ROW(E$1:E6635)*(E2=E$1:E6635))))))</f>
        <v> </v>
      </c>
      <c r="K6636" s="26" t="str">
        <f>IF(OR(E6636="",E6636="!!!",F6636="NEW"),"",INDEX(J$1:J6635,SUMPRODUCT(MAX(ROW(E$1:E6635)*(E6636=E$1:E6635)))))</f>
        <v> </v>
      </c>
      <c r="L6636" s="27"/>
    </row>
    <row r="6637" spans="1:12">
      <c r="A6637" s="20" t="s">
        <v>2709</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1020</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1015</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1412</v>
      </c>
      <c r="B6640" s="21" t="s">
        <v>1033</v>
      </c>
      <c r="C6640" s="21" t="s">
        <v>1006</v>
      </c>
      <c r="D6640" s="21" t="s">
        <v>1007</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1018</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1330</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1020</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102</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2710</v>
      </c>
      <c r="B6645" s="21" t="s">
        <v>1033</v>
      </c>
      <c r="C6645" s="21" t="s">
        <v>1006</v>
      </c>
      <c r="D6645" s="21" t="s">
        <v>1007</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1018</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1786</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1569</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1285</v>
      </c>
      <c r="B6649" s="21" t="s">
        <v>1035</v>
      </c>
      <c r="C6649" s="21" t="s">
        <v>1041</v>
      </c>
      <c r="D6649" s="21" t="s">
        <v>1007</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t="s">
        <v>1023</v>
      </c>
      <c r="E6650" s="22">
        <f>IF(D6650="?OLD","!!!","")</f>
        <v/>
      </c>
      <c r="F6650" s="23" t="str">
        <f>IF(OR(E6650="",E6650="!!!"),"",IF(NOT(ISNA(VLOOKUP(E6650,E$1:E6649,1,FALSE()))),"OLD",IF(AND(E6650&lt;&gt;"",E6650&lt;&gt;"!!!"),"NEW","")))</f>
        <v> </v>
      </c>
      <c r="G6650" s="24" t="str">
        <f>IF(OR(E6650="",E6650="!!!"),"",IF(OR(J6650=0,AND(J6650=1,K6650=1),AND(J6650=1,I6650="SBJ"),AND(J6650=1,I6650=0)),"?IN_FOCUS",IF(J6650&lt;=2,"?ACTIVATED",IF(J6650&lt;&gt;"","?FAMILIAR",IF(F6650="NEW",IF(ISNA(VLOOKUP(E6650,#REF!,1,FALSE())),"?TYPE_IDENTIFIABLE","?REFERENTIAL"),"_")))))</f>
        <v> </v>
      </c>
      <c r="H6650" s="25" t="str">
        <f>IF(J6650&lt;&gt;1,"",IF(I6650="SBJ","CB","?"))</f>
        <v> </v>
      </c>
      <c r="I6650" s="26" t="str">
        <f>IF(OR(E6650="",E6650="!!!",F6650="NEW"),"",INDEX(B6649:B$2,-1+SUMPRODUCT(MAX(ROW(E6649:E$2)*(E6650=E6649:E$2)))))</f>
        <v> </v>
      </c>
      <c r="J6650" s="26" t="str">
        <f>IF(OR(E6650="",E6650="!!!",F6650="NEW"),"",COUNTBLANK(OFFSET(A$1,,,SUMPRODUCT(MAX(ROW(E$2:E6650)*(E6650=E$2:E6650)))))-COUNTBLANK(OFFSET(A$1,,,SUMPRODUCT(MAX(ROW(E$1:E6649)*(E2=E$1:E6649))))))</f>
        <v> </v>
      </c>
      <c r="K6650" s="26" t="str">
        <f>IF(OR(E6650="",E6650="!!!",F6650="NEW"),"",INDEX(J$1:J6649,SUMPRODUCT(MAX(ROW(E$1:E6649)*(E6650=E$1:E6649)))))</f>
        <v> </v>
      </c>
      <c r="L6650" s="27"/>
    </row>
    <row r="6651" spans="1:12">
      <c r="A6651" s="20"/>
    </row>
    <row r="6652" spans="1:12">
      <c r="A6652" s="20" t="s">
        <v>2711</v>
      </c>
    </row>
    <row r="6653" spans="1:12">
      <c r="A6653" s="20" t="s">
        <v>2712</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2381</v>
      </c>
      <c r="B6654" s="21" t="s">
        <v>1085</v>
      </c>
      <c r="C6654" s="21" t="s">
        <v>1048</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1018</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1451</v>
      </c>
      <c r="B6656" s="21" t="s">
        <v>1119</v>
      </c>
      <c r="C6656" s="21" t="s">
        <v>1074</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1075</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1020</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2713</v>
      </c>
      <c r="B6659" s="21" t="s">
        <v>1005</v>
      </c>
      <c r="C6659" s="21" t="s">
        <v>1017</v>
      </c>
      <c r="D6659" s="21" t="s">
        <v>1007</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1077</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row>
    <row r="6662" spans="1:12">
      <c r="A6662" s="20" t="s">
        <v>2714</v>
      </c>
    </row>
    <row r="6663" spans="1:12">
      <c r="A6663" s="20" t="s">
        <v>1118</v>
      </c>
      <c r="B6663" s="21" t="s">
        <v>1005</v>
      </c>
      <c r="C6663" s="21" t="s">
        <v>1048</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1009</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t="s">
        <v>11</v>
      </c>
      <c r="E6665" s="22">
        <f>IF(D6665="?OLD","!!!","")</f>
        <v/>
      </c>
      <c r="F6665" s="23" t="str">
        <f>IF(OR(E6665="",E6665="!!!"),"",IF(NOT(ISNA(VLOOKUP(E6665,E$1:E6664,1,FALSE()))),"OLD",IF(AND(E6665&lt;&gt;"",E6665&lt;&gt;"!!!"),"NEW","")))</f>
        <v> </v>
      </c>
      <c r="G6665" s="24" t="str">
        <f>IF(OR(E6665="",E6665="!!!"),"",IF(OR(J6665=0,AND(J6665=1,K6665=1),AND(J6665=1,I6665="SBJ"),AND(J6665=1,I6665=0)),"?IN_FOCUS",IF(J6665&lt;=2,"?ACTIVATED",IF(J6665&lt;&gt;"","?FAMILIAR",IF(F6665="NEW",IF(ISNA(VLOOKUP(E6665,#REF!,1,FALSE())),"?TYPE_IDENTIFIABLE","?REFERENTIAL"),"_")))))</f>
        <v> </v>
      </c>
      <c r="H6665" s="25" t="str">
        <f>IF(J6665&lt;&gt;1,"",IF(I6665="SBJ","CB","?"))</f>
        <v> </v>
      </c>
      <c r="I6665" s="26" t="str">
        <f>IF(OR(E6665="",E6665="!!!",F6665="NEW"),"",INDEX(B6664:B$2,-1+SUMPRODUCT(MAX(ROW(E6664:E$2)*(E6665=E6664:E$2)))))</f>
        <v> </v>
      </c>
      <c r="J6665" s="26" t="str">
        <f>IF(OR(E6665="",E6665="!!!",F6665="NEW"),"",COUNTBLANK(OFFSET(A$1,,,SUMPRODUCT(MAX(ROW(E$2:E6665)*(E6665=E$2:E6665)))))-COUNTBLANK(OFFSET(A$1,,,SUMPRODUCT(MAX(ROW(E$1:E6664)*(E2=E$1:E6664))))))</f>
        <v> </v>
      </c>
      <c r="K6665" s="26" t="str">
        <f>IF(OR(E6665="",E6665="!!!",F6665="NEW"),"",INDEX(J$1:J6664,SUMPRODUCT(MAX(ROW(E$1:E6664)*(E6665=E$1:E6664)))))</f>
        <v> </v>
      </c>
      <c r="L6665" s="27"/>
    </row>
    <row r="6666" spans="1:12">
      <c r="A6666" s="20" t="s">
        <v>2710</v>
      </c>
      <c r="B6666" s="21" t="s">
        <v>1119</v>
      </c>
      <c r="C6666" s="21" t="s">
        <v>1006</v>
      </c>
      <c r="D6666" s="21" t="s">
        <v>1007</v>
      </c>
      <c r="E6666" s="22">
        <f>IF(D6666="?OLD","!!!","")</f>
        <v/>
      </c>
      <c r="F6666" s="23" t="str">
        <f>IF(OR(E6666="",E6666="!!!"),"",IF(NOT(ISNA(VLOOKUP(E6666,E$1:E6665,1,FALSE()))),"OLD",IF(AND(E6666&lt;&gt;"",E6666&lt;&gt;"!!!"),"NEW","")))</f>
        <v> </v>
      </c>
      <c r="G6666" s="24" t="str">
        <f>IF(OR(E6666="",E6666="!!!"),"",IF(OR(J6666=0,AND(J6666=1,K6666=1),AND(J6666=1,I6666="SBJ"),AND(J6666=1,I6666=0)),"?IN_FOCUS",IF(J6666&lt;=2,"?ACTIVATED",IF(J6666&lt;&gt;"","?FAMILIAR",IF(F6666="NEW",IF(ISNA(VLOOKUP(E6666,#REF!,1,FALSE())),"?TYPE_IDENTIFIABLE","?REFERENTIAL"),"_")))))</f>
        <v> </v>
      </c>
      <c r="H6666" s="25" t="str">
        <f>IF(J6666&lt;&gt;1,"",IF(I6666="SBJ","CB","?"))</f>
        <v> </v>
      </c>
      <c r="I6666" s="26" t="str">
        <f>IF(OR(E6666="",E6666="!!!",F6666="NEW"),"",INDEX(B6665:B$2,-1+SUMPRODUCT(MAX(ROW(E6665:E$2)*(E6666=E6665:E$2)))))</f>
        <v> </v>
      </c>
      <c r="J6666" s="26" t="str">
        <f>IF(OR(E6666="",E6666="!!!",F6666="NEW"),"",COUNTBLANK(OFFSET(A$1,,,SUMPRODUCT(MAX(ROW(E$2:E6666)*(E6666=E$2:E6666)))))-COUNTBLANK(OFFSET(A$1,,,SUMPRODUCT(MAX(ROW(E$1:E6665)*(E2=E$1:E6665))))))</f>
        <v> </v>
      </c>
      <c r="K6666" s="26" t="str">
        <f>IF(OR(E6666="",E6666="!!!",F6666="NEW"),"",INDEX(J$1:J6665,SUMPRODUCT(MAX(ROW(E$1:E6665)*(E6666=E$1:E6665)))))</f>
        <v> </v>
      </c>
      <c r="L6666" s="27"/>
    </row>
    <row r="6667" spans="1:12">
      <c r="A6667" s="20" t="s">
        <v>1075</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2715</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1014</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102</v>
      </c>
      <c r="B6670" s="21" t="s">
        <v>1035</v>
      </c>
      <c r="C6670" s="21" t="s">
        <v>1073</v>
      </c>
      <c r="D6670" s="21" t="s">
        <v>1007</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1065</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1138</v>
      </c>
      <c r="B6672" s="21" t="s">
        <v>1154</v>
      </c>
      <c r="C6672" s="21" t="s">
        <v>1082</v>
      </c>
      <c r="D6672" s="21" t="s">
        <v>1007</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2716</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1023</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row>
    <row r="6676" spans="1:12">
      <c r="A6676" s="20" t="s">
        <v>2717</v>
      </c>
    </row>
    <row r="6677" spans="1:12">
      <c r="A6677" s="20" t="s">
        <v>1449</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1476</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1286</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2718</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1023</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row>
    <row r="6683" spans="1:12">
      <c r="A6683" s="20" t="s">
        <v>1184</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2719</v>
      </c>
    </row>
    <row r="6685" spans="1:12">
      <c r="A6685" s="20" t="s">
        <v>1094</v>
      </c>
      <c r="E6685" s="22">
        <f>IF(D6685="?OLD","!!!","")</f>
        <v/>
      </c>
      <c r="F6685" s="23" t="str">
        <f>IF(OR(E6685="",E6685="!!!"),"",IF(NOT(ISNA(VLOOKUP(E6685,E$1:E6684,1,FALSE()))),"OLD",IF(AND(E6685&lt;&gt;"",E6685&lt;&gt;"!!!"),"NEW","")))</f>
        <v> </v>
      </c>
      <c r="G6685" s="24" t="str">
        <f>IF(OR(E6685="",E6685="!!!"),"",IF(OR(J6685=0,AND(J6685=1,K6685=1),AND(J6685=1,I6685="SBJ"),AND(J6685=1,I6685=0)),"?IN_FOCUS",IF(J6685&lt;=2,"?ACTIVATED",IF(J6685&lt;&gt;"","?FAMILIAR",IF(F6685="NEW",IF(ISNA(VLOOKUP(E6685,#REF!,1,FALSE())),"?TYPE_IDENTIFIABLE","?REFERENTIAL"),"_")))))</f>
        <v> </v>
      </c>
      <c r="H6685" s="25" t="str">
        <f>IF(J6685&lt;&gt;1,"",IF(I6685="SBJ","CB","?"))</f>
        <v> </v>
      </c>
      <c r="I6685" s="26" t="str">
        <f>IF(OR(E6685="",E6685="!!!",F6685="NEW"),"",INDEX(B6684:B$2,-1+SUMPRODUCT(MAX(ROW(E6684:E$2)*(E6685=E6684:E$2)))))</f>
        <v> </v>
      </c>
      <c r="J6685" s="26" t="str">
        <f>IF(OR(E6685="",E6685="!!!",F6685="NEW"),"",COUNTBLANK(OFFSET(A$1,,,SUMPRODUCT(MAX(ROW(E$2:E6685)*(E6685=E$2:E6685)))))-COUNTBLANK(OFFSET(A$1,,,SUMPRODUCT(MAX(ROW(E$1:E6684)*(E2=E$1:E6684))))))</f>
        <v> </v>
      </c>
      <c r="K6685" s="26" t="str">
        <f>IF(OR(E6685="",E6685="!!!",F6685="NEW"),"",INDEX(J$1:J6684,SUMPRODUCT(MAX(ROW(E$1:E6684)*(E6685=E$1:E6684)))))</f>
        <v> </v>
      </c>
      <c r="L6685" s="27"/>
    </row>
    <row r="6686" spans="1:12">
      <c r="A6686" s="20" t="s">
        <v>1009</v>
      </c>
      <c r="E6686" s="22">
        <f>IF(D6686="?OLD","!!!","")</f>
        <v/>
      </c>
      <c r="F6686" s="23" t="str">
        <f>IF(OR(E6686="",E6686="!!!"),"",IF(NOT(ISNA(VLOOKUP(E6686,E$1:E6685,1,FALSE()))),"OLD",IF(AND(E6686&lt;&gt;"",E6686&lt;&gt;"!!!"),"NEW","")))</f>
        <v> </v>
      </c>
      <c r="G6686" s="24" t="str">
        <f>IF(OR(E6686="",E6686="!!!"),"",IF(OR(J6686=0,AND(J6686=1,K6686=1),AND(J6686=1,I6686="SBJ"),AND(J6686=1,I6686=0)),"?IN_FOCUS",IF(J6686&lt;=2,"?ACTIVATED",IF(J6686&lt;&gt;"","?FAMILIAR",IF(F6686="NEW",IF(ISNA(VLOOKUP(E6686,#REF!,1,FALSE())),"?TYPE_IDENTIFIABLE","?REFERENTIAL"),"_")))))</f>
        <v> </v>
      </c>
      <c r="H6686" s="25" t="str">
        <f>IF(J6686&lt;&gt;1,"",IF(I6686="SBJ","CB","?"))</f>
        <v> </v>
      </c>
      <c r="I6686" s="26" t="str">
        <f>IF(OR(E6686="",E6686="!!!",F6686="NEW"),"",INDEX(B6685:B$2,-1+SUMPRODUCT(MAX(ROW(E6685:E$2)*(E6686=E6685:E$2)))))</f>
        <v> </v>
      </c>
      <c r="J6686" s="26" t="str">
        <f>IF(OR(E6686="",E6686="!!!",F6686="NEW"),"",COUNTBLANK(OFFSET(A$1,,,SUMPRODUCT(MAX(ROW(E$2:E6686)*(E6686=E$2:E6686)))))-COUNTBLANK(OFFSET(A$1,,,SUMPRODUCT(MAX(ROW(E$1:E6685)*(E2=E$1:E6685))))))</f>
        <v> </v>
      </c>
      <c r="K6686" s="26" t="str">
        <f>IF(OR(E6686="",E6686="!!!",F6686="NEW"),"",INDEX(J$1:J6685,SUMPRODUCT(MAX(ROW(E$1:E6685)*(E6686=E$1:E6685)))))</f>
        <v> </v>
      </c>
      <c r="L6686" s="27"/>
    </row>
    <row r="6687" spans="1:12">
      <c r="A6687" s="20" t="s">
        <v>1247</v>
      </c>
      <c r="E6687" s="22">
        <f>IF(D6687="?OLD","!!!","")</f>
        <v/>
      </c>
      <c r="F6687" s="23" t="str">
        <f>IF(OR(E6687="",E6687="!!!"),"",IF(NOT(ISNA(VLOOKUP(E6687,E$1:E6686,1,FALSE()))),"OLD",IF(AND(E6687&lt;&gt;"",E6687&lt;&gt;"!!!"),"NEW","")))</f>
        <v> </v>
      </c>
      <c r="G6687" s="24" t="str">
        <f>IF(OR(E6687="",E6687="!!!"),"",IF(OR(J6687=0,AND(J6687=1,K6687=1),AND(J6687=1,I6687="SBJ"),AND(J6687=1,I6687=0)),"?IN_FOCUS",IF(J6687&lt;=2,"?ACTIVATED",IF(J6687&lt;&gt;"","?FAMILIAR",IF(F6687="NEW",IF(ISNA(VLOOKUP(E6687,#REF!,1,FALSE())),"?TYPE_IDENTIFIABLE","?REFERENTIAL"),"_")))))</f>
        <v> </v>
      </c>
      <c r="H6687" s="25" t="str">
        <f>IF(J6687&lt;&gt;1,"",IF(I6687="SBJ","CB","?"))</f>
        <v> </v>
      </c>
      <c r="I6687" s="26" t="str">
        <f>IF(OR(E6687="",E6687="!!!",F6687="NEW"),"",INDEX(B6686:B$2,-1+SUMPRODUCT(MAX(ROW(E6686:E$2)*(E6687=E6686:E$2)))))</f>
        <v> </v>
      </c>
      <c r="J6687" s="26" t="str">
        <f>IF(OR(E6687="",E6687="!!!",F6687="NEW"),"",COUNTBLANK(OFFSET(A$1,,,SUMPRODUCT(MAX(ROW(E$2:E6687)*(E6687=E$2:E6687)))))-COUNTBLANK(OFFSET(A$1,,,SUMPRODUCT(MAX(ROW(E$1:E6686)*(E2=E$1:E6686))))))</f>
        <v> </v>
      </c>
      <c r="K6687" s="26" t="str">
        <f>IF(OR(E6687="",E6687="!!!",F6687="NEW"),"",INDEX(J$1:J6686,SUMPRODUCT(MAX(ROW(E$1:E6686)*(E6687=E$1:E6686)))))</f>
        <v> </v>
      </c>
      <c r="L6687" s="27"/>
    </row>
    <row r="6688" spans="1:12">
      <c r="A6688" s="20" t="s">
        <v>102</v>
      </c>
      <c r="E6688" s="22">
        <f>IF(D6688="?OLD","!!!","")</f>
        <v/>
      </c>
      <c r="F6688" s="23" t="str">
        <f>IF(OR(E6688="",E6688="!!!"),"",IF(NOT(ISNA(VLOOKUP(E6688,E$1:E6687,1,FALSE()))),"OLD",IF(AND(E6688&lt;&gt;"",E6688&lt;&gt;"!!!"),"NEW","")))</f>
        <v> </v>
      </c>
      <c r="G6688" s="24" t="str">
        <f>IF(OR(E6688="",E6688="!!!"),"",IF(OR(J6688=0,AND(J6688=1,K6688=1),AND(J6688=1,I6688="SBJ"),AND(J6688=1,I6688=0)),"?IN_FOCUS",IF(J6688&lt;=2,"?ACTIVATED",IF(J6688&lt;&gt;"","?FAMILIAR",IF(F6688="NEW",IF(ISNA(VLOOKUP(E6688,#REF!,1,FALSE())),"?TYPE_IDENTIFIABLE","?REFERENTIAL"),"_")))))</f>
        <v> </v>
      </c>
      <c r="H6688" s="25" t="str">
        <f>IF(J6688&lt;&gt;1,"",IF(I6688="SBJ","CB","?"))</f>
        <v> </v>
      </c>
      <c r="I6688" s="26" t="str">
        <f>IF(OR(E6688="",E6688="!!!",F6688="NEW"),"",INDEX(B6687:B$2,-1+SUMPRODUCT(MAX(ROW(E6687:E$2)*(E6688=E6687:E$2)))))</f>
        <v> </v>
      </c>
      <c r="J6688" s="26" t="str">
        <f>IF(OR(E6688="",E6688="!!!",F6688="NEW"),"",COUNTBLANK(OFFSET(A$1,,,SUMPRODUCT(MAX(ROW(E$2:E6688)*(E6688=E$2:E6688)))))-COUNTBLANK(OFFSET(A$1,,,SUMPRODUCT(MAX(ROW(E$1:E6687)*(E2=E$1:E6687))))))</f>
        <v> </v>
      </c>
      <c r="K6688" s="26" t="str">
        <f>IF(OR(E6688="",E6688="!!!",F6688="NEW"),"",INDEX(J$1:J6687,SUMPRODUCT(MAX(ROW(E$1:E6687)*(E6688=E$1:E6687)))))</f>
        <v> </v>
      </c>
      <c r="L6688" s="27"/>
    </row>
    <row r="6689" spans="1:12">
      <c r="A6689" s="20" t="s">
        <v>1032</v>
      </c>
      <c r="B6689" s="21" t="s">
        <v>1005</v>
      </c>
      <c r="C6689" s="21" t="s">
        <v>1006</v>
      </c>
      <c r="D6689" s="21" t="s">
        <v>1007</v>
      </c>
      <c r="E6689" s="22">
        <f>IF(D6689="?OLD","!!!","")</f>
        <v/>
      </c>
      <c r="F6689" s="23" t="str">
        <f>IF(OR(E6689="",E6689="!!!"),"",IF(NOT(ISNA(VLOOKUP(E6689,E$1:E6688,1,FALSE()))),"OLD",IF(AND(E6689&lt;&gt;"",E6689&lt;&gt;"!!!"),"NEW","")))</f>
        <v> </v>
      </c>
      <c r="G6689" s="24" t="str">
        <f>IF(OR(E6689="",E6689="!!!"),"",IF(OR(J6689=0,AND(J6689=1,K6689=1),AND(J6689=1,I6689="SBJ"),AND(J6689=1,I6689=0)),"?IN_FOCUS",IF(J6689&lt;=2,"?ACTIVATED",IF(J6689&lt;&gt;"","?FAMILIAR",IF(F6689="NEW",IF(ISNA(VLOOKUP(E6689,#REF!,1,FALSE())),"?TYPE_IDENTIFIABLE","?REFERENTIAL"),"_")))))</f>
        <v> </v>
      </c>
      <c r="H6689" s="25" t="str">
        <f>IF(J6689&lt;&gt;1,"",IF(I6689="SBJ","CB","?"))</f>
        <v> </v>
      </c>
      <c r="I6689" s="26" t="str">
        <f>IF(OR(E6689="",E6689="!!!",F6689="NEW"),"",INDEX(B6688:B$2,-1+SUMPRODUCT(MAX(ROW(E6688:E$2)*(E6689=E6688:E$2)))))</f>
        <v> </v>
      </c>
      <c r="J6689" s="26" t="str">
        <f>IF(OR(E6689="",E6689="!!!",F6689="NEW"),"",COUNTBLANK(OFFSET(A$1,,,SUMPRODUCT(MAX(ROW(E$2:E6689)*(E6689=E$2:E6689)))))-COUNTBLANK(OFFSET(A$1,,,SUMPRODUCT(MAX(ROW(E$1:E6688)*(E2=E$1:E6688))))))</f>
        <v> </v>
      </c>
      <c r="K6689" s="26" t="str">
        <f>IF(OR(E6689="",E6689="!!!",F6689="NEW"),"",INDEX(J$1:J6688,SUMPRODUCT(MAX(ROW(E$1:E6688)*(E6689=E$1:E6688)))))</f>
        <v> </v>
      </c>
      <c r="L6689" s="27"/>
    </row>
    <row r="6690" spans="1:12">
      <c r="A6690" s="20" t="s">
        <v>1018</v>
      </c>
      <c r="E6690" s="22">
        <f>IF(D6690="?OLD","!!!","")</f>
        <v/>
      </c>
      <c r="F6690" s="23" t="str">
        <f>IF(OR(E6690="",E6690="!!!"),"",IF(NOT(ISNA(VLOOKUP(E6690,E$1:E6689,1,FALSE()))),"OLD",IF(AND(E6690&lt;&gt;"",E6690&lt;&gt;"!!!"),"NEW","")))</f>
        <v> </v>
      </c>
      <c r="G6690" s="24" t="str">
        <f>IF(OR(E6690="",E6690="!!!"),"",IF(OR(J6690=0,AND(J6690=1,K6690=1),AND(J6690=1,I6690="SBJ"),AND(J6690=1,I6690=0)),"?IN_FOCUS",IF(J6690&lt;=2,"?ACTIVATED",IF(J6690&lt;&gt;"","?FAMILIAR",IF(F6690="NEW",IF(ISNA(VLOOKUP(E6690,#REF!,1,FALSE())),"?TYPE_IDENTIFIABLE","?REFERENTIAL"),"_")))))</f>
        <v> </v>
      </c>
      <c r="H6690" s="25" t="str">
        <f>IF(J6690&lt;&gt;1,"",IF(I6690="SBJ","CB","?"))</f>
        <v> </v>
      </c>
      <c r="I6690" s="26" t="str">
        <f>IF(OR(E6690="",E6690="!!!",F6690="NEW"),"",INDEX(B6689:B$2,-1+SUMPRODUCT(MAX(ROW(E6689:E$2)*(E6690=E6689:E$2)))))</f>
        <v> </v>
      </c>
      <c r="J6690" s="26" t="str">
        <f>IF(OR(E6690="",E6690="!!!",F6690="NEW"),"",COUNTBLANK(OFFSET(A$1,,,SUMPRODUCT(MAX(ROW(E$2:E6690)*(E6690=E$2:E6690)))))-COUNTBLANK(OFFSET(A$1,,,SUMPRODUCT(MAX(ROW(E$1:E6689)*(E2=E$1:E6689))))))</f>
        <v> </v>
      </c>
      <c r="K6690" s="26" t="str">
        <f>IF(OR(E6690="",E6690="!!!",F6690="NEW"),"",INDEX(J$1:J6689,SUMPRODUCT(MAX(ROW(E$1:E6689)*(E6690=E$1:E6689)))))</f>
        <v> </v>
      </c>
      <c r="L6690" s="27"/>
    </row>
    <row r="6691" spans="1:12">
      <c r="A6691" s="20" t="s">
        <v>1020</v>
      </c>
      <c r="E6691" s="22">
        <f>IF(D6691="?OLD","!!!","")</f>
        <v/>
      </c>
      <c r="F6691" s="23" t="str">
        <f>IF(OR(E6691="",E6691="!!!"),"",IF(NOT(ISNA(VLOOKUP(E6691,E$1:E6690,1,FALSE()))),"OLD",IF(AND(E6691&lt;&gt;"",E6691&lt;&gt;"!!!"),"NEW","")))</f>
        <v> </v>
      </c>
      <c r="G6691" s="24" t="str">
        <f>IF(OR(E6691="",E6691="!!!"),"",IF(OR(J6691=0,AND(J6691=1,K6691=1),AND(J6691=1,I6691="SBJ"),AND(J6691=1,I6691=0)),"?IN_FOCUS",IF(J6691&lt;=2,"?ACTIVATED",IF(J6691&lt;&gt;"","?FAMILIAR",IF(F6691="NEW",IF(ISNA(VLOOKUP(E6691,#REF!,1,FALSE())),"?TYPE_IDENTIFIABLE","?REFERENTIAL"),"_")))))</f>
        <v> </v>
      </c>
      <c r="H6691" s="25" t="str">
        <f>IF(J6691&lt;&gt;1,"",IF(I6691="SBJ","CB","?"))</f>
        <v> </v>
      </c>
      <c r="I6691" s="26" t="str">
        <f>IF(OR(E6691="",E6691="!!!",F6691="NEW"),"",INDEX(B6690:B$2,-1+SUMPRODUCT(MAX(ROW(E6690:E$2)*(E6691=E6690:E$2)))))</f>
        <v> </v>
      </c>
      <c r="J6691" s="26" t="str">
        <f>IF(OR(E6691="",E6691="!!!",F6691="NEW"),"",COUNTBLANK(OFFSET(A$1,,,SUMPRODUCT(MAX(ROW(E$2:E6691)*(E6691=E$2:E6691)))))-COUNTBLANK(OFFSET(A$1,,,SUMPRODUCT(MAX(ROW(E$1:E6690)*(E2=E$1:E6690))))))</f>
        <v> </v>
      </c>
      <c r="K6691" s="26" t="str">
        <f>IF(OR(E6691="",E6691="!!!",F6691="NEW"),"",INDEX(J$1:J6690,SUMPRODUCT(MAX(ROW(E$1:E6690)*(E6691=E$1:E6690)))))</f>
        <v> </v>
      </c>
      <c r="L6691" s="27"/>
    </row>
    <row r="6692" spans="1:12">
      <c r="A6692" s="20" t="s">
        <v>2720</v>
      </c>
      <c r="B6692" s="21" t="s">
        <v>1050</v>
      </c>
      <c r="C6692" s="21" t="s">
        <v>1017</v>
      </c>
      <c r="D6692" s="21" t="s">
        <v>1007</v>
      </c>
      <c r="E6692" s="22">
        <f>IF(D6692="?OLD","!!!","")</f>
        <v/>
      </c>
      <c r="F6692" s="23" t="str">
        <f>IF(OR(E6692="",E6692="!!!"),"",IF(NOT(ISNA(VLOOKUP(E6692,E$1:E6691,1,FALSE()))),"OLD",IF(AND(E6692&lt;&gt;"",E6692&lt;&gt;"!!!"),"NEW","")))</f>
        <v> </v>
      </c>
      <c r="G6692" s="24" t="str">
        <f>IF(OR(E6692="",E6692="!!!"),"",IF(OR(J6692=0,AND(J6692=1,K6692=1),AND(J6692=1,I6692="SBJ"),AND(J6692=1,I6692=0)),"?IN_FOCUS",IF(J6692&lt;=2,"?ACTIVATED",IF(J6692&lt;&gt;"","?FAMILIAR",IF(F6692="NEW",IF(ISNA(VLOOKUP(E6692,#REF!,1,FALSE())),"?TYPE_IDENTIFIABLE","?REFERENTIAL"),"_")))))</f>
        <v> </v>
      </c>
      <c r="H6692" s="25" t="str">
        <f>IF(J6692&lt;&gt;1,"",IF(I6692="SBJ","CB","?"))</f>
        <v> </v>
      </c>
      <c r="I6692" s="26" t="str">
        <f>IF(OR(E6692="",E6692="!!!",F6692="NEW"),"",INDEX(B6691:B$2,-1+SUMPRODUCT(MAX(ROW(E6691:E$2)*(E6692=E6691:E$2)))))</f>
        <v> </v>
      </c>
      <c r="J6692" s="26" t="str">
        <f>IF(OR(E6692="",E6692="!!!",F6692="NEW"),"",COUNTBLANK(OFFSET(A$1,,,SUMPRODUCT(MAX(ROW(E$2:E6692)*(E6692=E$2:E6692)))))-COUNTBLANK(OFFSET(A$1,,,SUMPRODUCT(MAX(ROW(E$1:E6691)*(E2=E$1:E6691))))))</f>
        <v> </v>
      </c>
      <c r="K6692" s="26" t="str">
        <f>IF(OR(E6692="",E6692="!!!",F6692="NEW"),"",INDEX(J$1:J6691,SUMPRODUCT(MAX(ROW(E$1:E6691)*(E6692=E$1:E6691)))))</f>
        <v> </v>
      </c>
      <c r="L6692" s="27"/>
    </row>
    <row r="6693" spans="1:12">
      <c r="A6693" s="20" t="s">
        <v>1075</v>
      </c>
      <c r="E6693" s="22">
        <f>IF(D6693="?OLD","!!!","")</f>
        <v/>
      </c>
      <c r="F6693" s="23" t="str">
        <f>IF(OR(E6693="",E6693="!!!"),"",IF(NOT(ISNA(VLOOKUP(E6693,E$1:E6692,1,FALSE()))),"OLD",IF(AND(E6693&lt;&gt;"",E6693&lt;&gt;"!!!"),"NEW","")))</f>
        <v> </v>
      </c>
      <c r="G6693" s="24" t="str">
        <f>IF(OR(E6693="",E6693="!!!"),"",IF(OR(J6693=0,AND(J6693=1,K6693=1),AND(J6693=1,I6693="SBJ"),AND(J6693=1,I6693=0)),"?IN_FOCUS",IF(J6693&lt;=2,"?ACTIVATED",IF(J6693&lt;&gt;"","?FAMILIAR",IF(F6693="NEW",IF(ISNA(VLOOKUP(E6693,#REF!,1,FALSE())),"?TYPE_IDENTIFIABLE","?REFERENTIAL"),"_")))))</f>
        <v> </v>
      </c>
      <c r="H6693" s="25" t="str">
        <f>IF(J6693&lt;&gt;1,"",IF(I6693="SBJ","CB","?"))</f>
        <v> </v>
      </c>
      <c r="I6693" s="26" t="str">
        <f>IF(OR(E6693="",E6693="!!!",F6693="NEW"),"",INDEX(B6692:B$2,-1+SUMPRODUCT(MAX(ROW(E6692:E$2)*(E6693=E6692:E$2)))))</f>
        <v> </v>
      </c>
      <c r="J6693" s="26" t="str">
        <f>IF(OR(E6693="",E6693="!!!",F6693="NEW"),"",COUNTBLANK(OFFSET(A$1,,,SUMPRODUCT(MAX(ROW(E$2:E6693)*(E6693=E$2:E6693)))))-COUNTBLANK(OFFSET(A$1,,,SUMPRODUCT(MAX(ROW(E$1:E6692)*(E2=E$1:E6692))))))</f>
        <v> </v>
      </c>
      <c r="K6693" s="26" t="str">
        <f>IF(OR(E6693="",E6693="!!!",F6693="NEW"),"",INDEX(J$1:J6692,SUMPRODUCT(MAX(ROW(E$1:E6692)*(E6693=E$1:E6692)))))</f>
        <v> </v>
      </c>
      <c r="L6693" s="27"/>
    </row>
    <row r="6694" spans="1:12">
      <c r="A6694" s="20" t="s">
        <v>1189</v>
      </c>
      <c r="E6694" s="22">
        <f>IF(D6694="?OLD","!!!","")</f>
        <v/>
      </c>
      <c r="F6694" s="23" t="str">
        <f>IF(OR(E6694="",E6694="!!!"),"",IF(NOT(ISNA(VLOOKUP(E6694,E$1:E6693,1,FALSE()))),"OLD",IF(AND(E6694&lt;&gt;"",E6694&lt;&gt;"!!!"),"NEW","")))</f>
        <v> </v>
      </c>
      <c r="G6694" s="24" t="str">
        <f>IF(OR(E6694="",E6694="!!!"),"",IF(OR(J6694=0,AND(J6694=1,K6694=1),AND(J6694=1,I6694="SBJ"),AND(J6694=1,I6694=0)),"?IN_FOCUS",IF(J6694&lt;=2,"?ACTIVATED",IF(J6694&lt;&gt;"","?FAMILIAR",IF(F6694="NEW",IF(ISNA(VLOOKUP(E6694,#REF!,1,FALSE())),"?TYPE_IDENTIFIABLE","?REFERENTIAL"),"_")))))</f>
        <v> </v>
      </c>
      <c r="H6694" s="25" t="str">
        <f>IF(J6694&lt;&gt;1,"",IF(I6694="SBJ","CB","?"))</f>
        <v> </v>
      </c>
      <c r="I6694" s="26" t="str">
        <f>IF(OR(E6694="",E6694="!!!",F6694="NEW"),"",INDEX(B6693:B$2,-1+SUMPRODUCT(MAX(ROW(E6693:E$2)*(E6694=E6693:E$2)))))</f>
        <v> </v>
      </c>
      <c r="J6694" s="26" t="str">
        <f>IF(OR(E6694="",E6694="!!!",F6694="NEW"),"",COUNTBLANK(OFFSET(A$1,,,SUMPRODUCT(MAX(ROW(E$2:E6694)*(E6694=E$2:E6694)))))-COUNTBLANK(OFFSET(A$1,,,SUMPRODUCT(MAX(ROW(E$1:E6693)*(E2=E$1:E6693))))))</f>
        <v> </v>
      </c>
      <c r="K6694" s="26" t="str">
        <f>IF(OR(E6694="",E6694="!!!",F6694="NEW"),"",INDEX(J$1:J6693,SUMPRODUCT(MAX(ROW(E$1:E6693)*(E6694=E$1:E6693)))))</f>
        <v> </v>
      </c>
      <c r="L6694" s="27"/>
    </row>
    <row r="6695" spans="1:12">
      <c r="A6695" s="20" t="s">
        <v>2721</v>
      </c>
      <c r="B6695" s="21" t="s">
        <v>1005</v>
      </c>
      <c r="C6695" s="21" t="s">
        <v>1013</v>
      </c>
      <c r="D6695" s="21" t="s">
        <v>1007</v>
      </c>
      <c r="E6695" s="22">
        <f>IF(D6695="?OLD","!!!","")</f>
        <v/>
      </c>
      <c r="F6695" s="23" t="str">
        <f>IF(OR(E6695="",E6695="!!!"),"",IF(NOT(ISNA(VLOOKUP(E6695,E$1:E6694,1,FALSE()))),"OLD",IF(AND(E6695&lt;&gt;"",E6695&lt;&gt;"!!!"),"NEW","")))</f>
        <v> </v>
      </c>
      <c r="G6695" s="24" t="str">
        <f>IF(OR(E6695="",E6695="!!!"),"",IF(OR(J6695=0,AND(J6695=1,K6695=1),AND(J6695=1,I6695="SBJ"),AND(J6695=1,I6695=0)),"?IN_FOCUS",IF(J6695&lt;=2,"?ACTIVATED",IF(J6695&lt;&gt;"","?FAMILIAR",IF(F6695="NEW",IF(ISNA(VLOOKUP(E6695,#REF!,1,FALSE())),"?TYPE_IDENTIFIABLE","?REFERENTIAL"),"_")))))</f>
        <v> </v>
      </c>
      <c r="H6695" s="25" t="str">
        <f>IF(J6695&lt;&gt;1,"",IF(I6695="SBJ","CB","?"))</f>
        <v> </v>
      </c>
      <c r="I6695" s="26" t="str">
        <f>IF(OR(E6695="",E6695="!!!",F6695="NEW"),"",INDEX(B6694:B$2,-1+SUMPRODUCT(MAX(ROW(E6694:E$2)*(E6695=E6694:E$2)))))</f>
        <v> </v>
      </c>
      <c r="J6695" s="26" t="str">
        <f>IF(OR(E6695="",E6695="!!!",F6695="NEW"),"",COUNTBLANK(OFFSET(A$1,,,SUMPRODUCT(MAX(ROW(E$2:E6695)*(E6695=E$2:E6695)))))-COUNTBLANK(OFFSET(A$1,,,SUMPRODUCT(MAX(ROW(E$1:E6694)*(E2=E$1:E6694))))))</f>
        <v> </v>
      </c>
      <c r="K6695" s="26" t="str">
        <f>IF(OR(E6695="",E6695="!!!",F6695="NEW"),"",INDEX(J$1:J6694,SUMPRODUCT(MAX(ROW(E$1:E6694)*(E6695=E$1:E6694)))))</f>
        <v> </v>
      </c>
      <c r="L6695" s="27"/>
    </row>
    <row r="6696" spans="1:12">
      <c r="A6696" s="20" t="s">
        <v>1065</v>
      </c>
      <c r="B6696" s="21" t="s">
        <v>1119</v>
      </c>
      <c r="E6696" s="22">
        <f>IF(D6696="?OLD","!!!","")</f>
        <v/>
      </c>
      <c r="F6696" s="23" t="str">
        <f>IF(OR(E6696="",E6696="!!!"),"",IF(NOT(ISNA(VLOOKUP(E6696,E$1:E6695,1,FALSE()))),"OLD",IF(AND(E6696&lt;&gt;"",E6696&lt;&gt;"!!!"),"NEW","")))</f>
        <v> </v>
      </c>
      <c r="G6696" s="24" t="str">
        <f>IF(OR(E6696="",E6696="!!!"),"",IF(OR(J6696=0,AND(J6696=1,K6696=1),AND(J6696=1,I6696="SBJ"),AND(J6696=1,I6696=0)),"?IN_FOCUS",IF(J6696&lt;=2,"?ACTIVATED",IF(J6696&lt;&gt;"","?FAMILIAR",IF(F6696="NEW",IF(ISNA(VLOOKUP(E6696,#REF!,1,FALSE())),"?TYPE_IDENTIFIABLE","?REFERENTIAL"),"_")))))</f>
        <v> </v>
      </c>
      <c r="H6696" s="25" t="str">
        <f>IF(J6696&lt;&gt;1,"",IF(I6696="SBJ","CB","?"))</f>
        <v> </v>
      </c>
      <c r="I6696" s="26" t="str">
        <f>IF(OR(E6696="",E6696="!!!",F6696="NEW"),"",INDEX(B6695:B$2,-1+SUMPRODUCT(MAX(ROW(E6695:E$2)*(E6696=E6695:E$2)))))</f>
        <v> </v>
      </c>
      <c r="J6696" s="26" t="str">
        <f>IF(OR(E6696="",E6696="!!!",F6696="NEW"),"",COUNTBLANK(OFFSET(A$1,,,SUMPRODUCT(MAX(ROW(E$2:E6696)*(E6696=E$2:E6696)))))-COUNTBLANK(OFFSET(A$1,,,SUMPRODUCT(MAX(ROW(E$1:E6695)*(E2=E$1:E6695))))))</f>
        <v> </v>
      </c>
      <c r="K6696" s="26" t="str">
        <f>IF(OR(E6696="",E6696="!!!",F6696="NEW"),"",INDEX(J$1:J6695,SUMPRODUCT(MAX(ROW(E$1:E6695)*(E6696=E$1:E6695)))))</f>
        <v> </v>
      </c>
      <c r="L6696" s="27"/>
    </row>
    <row r="6697" spans="1:12">
      <c r="A6697" s="20" t="s">
        <v>2201</v>
      </c>
      <c r="E6697" s="22">
        <f>IF(D6697="?OLD","!!!","")</f>
        <v/>
      </c>
      <c r="F6697" s="23" t="str">
        <f>IF(OR(E6697="",E6697="!!!"),"",IF(NOT(ISNA(VLOOKUP(E6697,E$1:E6696,1,FALSE()))),"OLD",IF(AND(E6697&lt;&gt;"",E6697&lt;&gt;"!!!"),"NEW","")))</f>
        <v> </v>
      </c>
      <c r="G6697" s="24" t="str">
        <f>IF(OR(E6697="",E6697="!!!"),"",IF(OR(J6697=0,AND(J6697=1,K6697=1),AND(J6697=1,I6697="SBJ"),AND(J6697=1,I6697=0)),"?IN_FOCUS",IF(J6697&lt;=2,"?ACTIVATED",IF(J6697&lt;&gt;"","?FAMILIAR",IF(F6697="NEW",IF(ISNA(VLOOKUP(E6697,#REF!,1,FALSE())),"?TYPE_IDENTIFIABLE","?REFERENTIAL"),"_")))))</f>
        <v> </v>
      </c>
      <c r="H6697" s="25" t="str">
        <f>IF(J6697&lt;&gt;1,"",IF(I6697="SBJ","CB","?"))</f>
        <v> </v>
      </c>
      <c r="I6697" s="26" t="str">
        <f>IF(OR(E6697="",E6697="!!!",F6697="NEW"),"",INDEX(B6696:B$2,-1+SUMPRODUCT(MAX(ROW(E6696:E$2)*(E6697=E6696:E$2)))))</f>
        <v> </v>
      </c>
      <c r="J6697" s="26" t="str">
        <f>IF(OR(E6697="",E6697="!!!",F6697="NEW"),"",COUNTBLANK(OFFSET(A$1,,,SUMPRODUCT(MAX(ROW(E$2:E6697)*(E6697=E$2:E6697)))))-COUNTBLANK(OFFSET(A$1,,,SUMPRODUCT(MAX(ROW(E$1:E6696)*(E2=E$1:E6696))))))</f>
        <v> </v>
      </c>
      <c r="K6697" s="26" t="str">
        <f>IF(OR(E6697="",E6697="!!!",F6697="NEW"),"",INDEX(J$1:J6696,SUMPRODUCT(MAX(ROW(E$1:E6696)*(E6697=E$1:E6696)))))</f>
        <v> </v>
      </c>
      <c r="L6697" s="27"/>
    </row>
    <row r="6698" spans="1:12">
      <c r="A6698" s="20" t="s">
        <v>1020</v>
      </c>
      <c r="E6698" s="22">
        <f>IF(D6698="?OLD","!!!","")</f>
        <v/>
      </c>
      <c r="F6698" s="23" t="str">
        <f>IF(OR(E6698="",E6698="!!!"),"",IF(NOT(ISNA(VLOOKUP(E6698,E$1:E6697,1,FALSE()))),"OLD",IF(AND(E6698&lt;&gt;"",E6698&lt;&gt;"!!!"),"NEW","")))</f>
        <v> </v>
      </c>
      <c r="G6698" s="24" t="str">
        <f>IF(OR(E6698="",E6698="!!!"),"",IF(OR(J6698=0,AND(J6698=1,K6698=1),AND(J6698=1,I6698="SBJ"),AND(J6698=1,I6698=0)),"?IN_FOCUS",IF(J6698&lt;=2,"?ACTIVATED",IF(J6698&lt;&gt;"","?FAMILIAR",IF(F6698="NEW",IF(ISNA(VLOOKUP(E6698,#REF!,1,FALSE())),"?TYPE_IDENTIFIABLE","?REFERENTIAL"),"_")))))</f>
        <v> </v>
      </c>
      <c r="H6698" s="25" t="str">
        <f>IF(J6698&lt;&gt;1,"",IF(I6698="SBJ","CB","?"))</f>
        <v> </v>
      </c>
      <c r="I6698" s="26" t="str">
        <f>IF(OR(E6698="",E6698="!!!",F6698="NEW"),"",INDEX(B6697:B$2,-1+SUMPRODUCT(MAX(ROW(E6697:E$2)*(E6698=E6697:E$2)))))</f>
        <v> </v>
      </c>
      <c r="J6698" s="26" t="str">
        <f>IF(OR(E6698="",E6698="!!!",F6698="NEW"),"",COUNTBLANK(OFFSET(A$1,,,SUMPRODUCT(MAX(ROW(E$2:E6698)*(E6698=E$2:E6698)))))-COUNTBLANK(OFFSET(A$1,,,SUMPRODUCT(MAX(ROW(E$1:E6697)*(E2=E$1:E6697))))))</f>
        <v> </v>
      </c>
      <c r="K6698" s="26" t="str">
        <f>IF(OR(E6698="",E6698="!!!",F6698="NEW"),"",INDEX(J$1:J6697,SUMPRODUCT(MAX(ROW(E$1:E6697)*(E6698=E$1:E6697)))))</f>
        <v> </v>
      </c>
      <c r="L6698" s="27"/>
    </row>
    <row r="6699" spans="1:12">
      <c r="A6699" s="20" t="s">
        <v>2194</v>
      </c>
      <c r="B6699" s="21" t="s">
        <v>1029</v>
      </c>
      <c r="C6699" s="21" t="s">
        <v>1017</v>
      </c>
      <c r="D6699" s="21" t="s">
        <v>1007</v>
      </c>
      <c r="E6699" s="22">
        <f>IF(D6699="?OLD","!!!","")</f>
        <v/>
      </c>
      <c r="F6699" s="23" t="str">
        <f>IF(OR(E6699="",E6699="!!!"),"",IF(NOT(ISNA(VLOOKUP(E6699,E$1:E6698,1,FALSE()))),"OLD",IF(AND(E6699&lt;&gt;"",E6699&lt;&gt;"!!!"),"NEW","")))</f>
        <v> </v>
      </c>
      <c r="G6699" s="24" t="str">
        <f>IF(OR(E6699="",E6699="!!!"),"",IF(OR(J6699=0,AND(J6699=1,K6699=1),AND(J6699=1,I6699="SBJ"),AND(J6699=1,I6699=0)),"?IN_FOCUS",IF(J6699&lt;=2,"?ACTIVATED",IF(J6699&lt;&gt;"","?FAMILIAR",IF(F6699="NEW",IF(ISNA(VLOOKUP(E6699,#REF!,1,FALSE())),"?TYPE_IDENTIFIABLE","?REFERENTIAL"),"_")))))</f>
        <v> </v>
      </c>
      <c r="H6699" s="25" t="str">
        <f>IF(J6699&lt;&gt;1,"",IF(I6699="SBJ","CB","?"))</f>
        <v> </v>
      </c>
      <c r="I6699" s="26" t="str">
        <f>IF(OR(E6699="",E6699="!!!",F6699="NEW"),"",INDEX(B6698:B$2,-1+SUMPRODUCT(MAX(ROW(E6698:E$2)*(E6699=E6698:E$2)))))</f>
        <v> </v>
      </c>
      <c r="J6699" s="26" t="str">
        <f>IF(OR(E6699="",E6699="!!!",F6699="NEW"),"",COUNTBLANK(OFFSET(A$1,,,SUMPRODUCT(MAX(ROW(E$2:E6699)*(E6699=E$2:E6699)))))-COUNTBLANK(OFFSET(A$1,,,SUMPRODUCT(MAX(ROW(E$1:E6698)*(E2=E$1:E6698))))))</f>
        <v> </v>
      </c>
      <c r="K6699" s="26" t="str">
        <f>IF(OR(E6699="",E6699="!!!",F6699="NEW"),"",INDEX(J$1:J6698,SUMPRODUCT(MAX(ROW(E$1:E6698)*(E6699=E$1:E6698)))))</f>
        <v> </v>
      </c>
      <c r="L6699" s="27"/>
    </row>
    <row r="6700" spans="1:12">
      <c r="A6700" s="20" t="s">
        <v>2722</v>
      </c>
      <c r="E6700" s="22">
        <f>IF(D6700="?OLD","!!!","")</f>
        <v/>
      </c>
      <c r="F6700" s="23" t="str">
        <f>IF(OR(E6700="",E6700="!!!"),"",IF(NOT(ISNA(VLOOKUP(E6700,E$1:E6699,1,FALSE()))),"OLD",IF(AND(E6700&lt;&gt;"",E6700&lt;&gt;"!!!"),"NEW","")))</f>
        <v> </v>
      </c>
      <c r="G6700" s="24" t="str">
        <f>IF(OR(E6700="",E6700="!!!"),"",IF(OR(J6700=0,AND(J6700=1,K6700=1),AND(J6700=1,I6700="SBJ"),AND(J6700=1,I6700=0)),"?IN_FOCUS",IF(J6700&lt;=2,"?ACTIVATED",IF(J6700&lt;&gt;"","?FAMILIAR",IF(F6700="NEW",IF(ISNA(VLOOKUP(E6700,#REF!,1,FALSE())),"?TYPE_IDENTIFIABLE","?REFERENTIAL"),"_")))))</f>
        <v> </v>
      </c>
      <c r="H6700" s="25" t="str">
        <f>IF(J6700&lt;&gt;1,"",IF(I6700="SBJ","CB","?"))</f>
        <v> </v>
      </c>
      <c r="I6700" s="26" t="str">
        <f>IF(OR(E6700="",E6700="!!!",F6700="NEW"),"",INDEX(B6699:B$2,-1+SUMPRODUCT(MAX(ROW(E6699:E$2)*(E6700=E6699:E$2)))))</f>
        <v> </v>
      </c>
      <c r="J6700" s="26" t="str">
        <f>IF(OR(E6700="",E6700="!!!",F6700="NEW"),"",COUNTBLANK(OFFSET(A$1,,,SUMPRODUCT(MAX(ROW(E$2:E6700)*(E6700=E$2:E6700)))))-COUNTBLANK(OFFSET(A$1,,,SUMPRODUCT(MAX(ROW(E$1:E6699)*(E2=E$1:E6699))))))</f>
        <v> </v>
      </c>
      <c r="K6700" s="26" t="str">
        <f>IF(OR(E6700="",E6700="!!!",F6700="NEW"),"",INDEX(J$1:J6699,SUMPRODUCT(MAX(ROW(E$1:E6699)*(E6700=E$1:E6699)))))</f>
        <v> </v>
      </c>
      <c r="L6700" s="27"/>
    </row>
    <row r="6701" spans="1:12">
      <c r="A6701" s="20" t="s">
        <v>1189</v>
      </c>
      <c r="E6701" s="22">
        <f>IF(D6701="?OLD","!!!","")</f>
        <v/>
      </c>
      <c r="F6701" s="23" t="str">
        <f>IF(OR(E6701="",E6701="!!!"),"",IF(NOT(ISNA(VLOOKUP(E6701,E$1:E6700,1,FALSE()))),"OLD",IF(AND(E6701&lt;&gt;"",E6701&lt;&gt;"!!!"),"NEW","")))</f>
        <v> </v>
      </c>
      <c r="G6701" s="24" t="str">
        <f>IF(OR(E6701="",E6701="!!!"),"",IF(OR(J6701=0,AND(J6701=1,K6701=1),AND(J6701=1,I6701="SBJ"),AND(J6701=1,I6701=0)),"?IN_FOCUS",IF(J6701&lt;=2,"?ACTIVATED",IF(J6701&lt;&gt;"","?FAMILIAR",IF(F6701="NEW",IF(ISNA(VLOOKUP(E6701,#REF!,1,FALSE())),"?TYPE_IDENTIFIABLE","?REFERENTIAL"),"_")))))</f>
        <v> </v>
      </c>
      <c r="H6701" s="25" t="str">
        <f>IF(J6701&lt;&gt;1,"",IF(I6701="SBJ","CB","?"))</f>
        <v> </v>
      </c>
      <c r="I6701" s="26" t="str">
        <f>IF(OR(E6701="",E6701="!!!",F6701="NEW"),"",INDEX(B6700:B$2,-1+SUMPRODUCT(MAX(ROW(E6700:E$2)*(E6701=E6700:E$2)))))</f>
        <v> </v>
      </c>
      <c r="J6701" s="26" t="str">
        <f>IF(OR(E6701="",E6701="!!!",F6701="NEW"),"",COUNTBLANK(OFFSET(A$1,,,SUMPRODUCT(MAX(ROW(E$2:E6701)*(E6701=E$2:E6701)))))-COUNTBLANK(OFFSET(A$1,,,SUMPRODUCT(MAX(ROW(E$1:E6700)*(E2=E$1:E6700))))))</f>
        <v> </v>
      </c>
      <c r="K6701" s="26" t="str">
        <f>IF(OR(E6701="",E6701="!!!",F6701="NEW"),"",INDEX(J$1:J6700,SUMPRODUCT(MAX(ROW(E$1:E6700)*(E6701=E$1:E6700)))))</f>
        <v> </v>
      </c>
      <c r="L6701" s="27"/>
    </row>
    <row r="6702" spans="1:12">
      <c r="A6702" s="20" t="s">
        <v>1023</v>
      </c>
      <c r="E6702" s="22">
        <f>IF(D6702="?OLD","!!!","")</f>
        <v/>
      </c>
      <c r="F6702" s="23" t="str">
        <f>IF(OR(E6702="",E6702="!!!"),"",IF(NOT(ISNA(VLOOKUP(E6702,E$1:E6701,1,FALSE()))),"OLD",IF(AND(E6702&lt;&gt;"",E6702&lt;&gt;"!!!"),"NEW","")))</f>
        <v> </v>
      </c>
      <c r="G6702" s="24" t="str">
        <f>IF(OR(E6702="",E6702="!!!"),"",IF(OR(J6702=0,AND(J6702=1,K6702=1),AND(J6702=1,I6702="SBJ"),AND(J6702=1,I6702=0)),"?IN_FOCUS",IF(J6702&lt;=2,"?ACTIVATED",IF(J6702&lt;&gt;"","?FAMILIAR",IF(F6702="NEW",IF(ISNA(VLOOKUP(E6702,#REF!,1,FALSE())),"?TYPE_IDENTIFIABLE","?REFERENTIAL"),"_")))))</f>
        <v> </v>
      </c>
      <c r="H6702" s="25" t="str">
        <f>IF(J6702&lt;&gt;1,"",IF(I6702="SBJ","CB","?"))</f>
        <v> </v>
      </c>
      <c r="I6702" s="26" t="str">
        <f>IF(OR(E6702="",E6702="!!!",F6702="NEW"),"",INDEX(B6701:B$2,-1+SUMPRODUCT(MAX(ROW(E6701:E$2)*(E6702=E6701:E$2)))))</f>
        <v> </v>
      </c>
      <c r="J6702" s="26" t="str">
        <f>IF(OR(E6702="",E6702="!!!",F6702="NEW"),"",COUNTBLANK(OFFSET(A$1,,,SUMPRODUCT(MAX(ROW(E$2:E6702)*(E6702=E$2:E6702)))))-COUNTBLANK(OFFSET(A$1,,,SUMPRODUCT(MAX(ROW(E$1:E6701)*(E2=E$1:E6701))))))</f>
        <v> </v>
      </c>
      <c r="K6702" s="26" t="str">
        <f>IF(OR(E6702="",E6702="!!!",F6702="NEW"),"",INDEX(J$1:J6701,SUMPRODUCT(MAX(ROW(E$1:E6701)*(E6702=E$1:E6701)))))</f>
        <v> </v>
      </c>
      <c r="L6702" s="27"/>
    </row>
    <row r="6703" spans="1:12">
      <c r="A6703" s="20"/>
    </row>
    <row r="6704" spans="1:12">
      <c r="A6704" s="20" t="s">
        <v>2723</v>
      </c>
    </row>
    <row r="6705" spans="1:12">
      <c r="A6705" s="20" t="s">
        <v>1153</v>
      </c>
      <c r="E6705" s="22">
        <f>IF(D6705="?OLD","!!!","")</f>
        <v/>
      </c>
      <c r="F6705" s="23" t="str">
        <f>IF(OR(E6705="",E6705="!!!"),"",IF(NOT(ISNA(VLOOKUP(E6705,E$1:E6704,1,FALSE()))),"OLD",IF(AND(E6705&lt;&gt;"",E6705&lt;&gt;"!!!"),"NEW","")))</f>
        <v> </v>
      </c>
      <c r="G6705" s="24" t="str">
        <f>IF(OR(E6705="",E6705="!!!"),"",IF(OR(J6705=0,AND(J6705=1,K6705=1),AND(J6705=1,I6705="SBJ"),AND(J6705=1,I6705=0)),"?IN_FOCUS",IF(J6705&lt;=2,"?ACTIVATED",IF(J6705&lt;&gt;"","?FAMILIAR",IF(F6705="NEW",IF(ISNA(VLOOKUP(E6705,#REF!,1,FALSE())),"?TYPE_IDENTIFIABLE","?REFERENTIAL"),"_")))))</f>
        <v> </v>
      </c>
      <c r="H6705" s="25" t="str">
        <f>IF(J6705&lt;&gt;1,"",IF(I6705="SBJ","CB","?"))</f>
        <v> </v>
      </c>
      <c r="I6705" s="26" t="str">
        <f>IF(OR(E6705="",E6705="!!!",F6705="NEW"),"",INDEX(B6704:B$2,-1+SUMPRODUCT(MAX(ROW(E6704:E$2)*(E6705=E6704:E$2)))))</f>
        <v> </v>
      </c>
      <c r="J6705" s="26" t="str">
        <f>IF(OR(E6705="",E6705="!!!",F6705="NEW"),"",COUNTBLANK(OFFSET(A$1,,,SUMPRODUCT(MAX(ROW(E$2:E6705)*(E6705=E$2:E6705)))))-COUNTBLANK(OFFSET(A$1,,,SUMPRODUCT(MAX(ROW(E$1:E6704)*(E2=E$1:E6704))))))</f>
        <v> </v>
      </c>
      <c r="K6705" s="26" t="str">
        <f>IF(OR(E6705="",E6705="!!!",F6705="NEW"),"",INDEX(J$1:J6704,SUMPRODUCT(MAX(ROW(E$1:E6704)*(E6705=E$1:E6704)))))</f>
        <v> </v>
      </c>
      <c r="L6705" s="27"/>
    </row>
    <row r="6706" spans="1:12">
      <c r="A6706" s="20" t="s">
        <v>2724</v>
      </c>
      <c r="E6706" s="22">
        <f>IF(D6706="?OLD","!!!","")</f>
        <v/>
      </c>
      <c r="F6706" s="23" t="str">
        <f>IF(OR(E6706="",E6706="!!!"),"",IF(NOT(ISNA(VLOOKUP(E6706,E$1:E6705,1,FALSE()))),"OLD",IF(AND(E6706&lt;&gt;"",E6706&lt;&gt;"!!!"),"NEW","")))</f>
        <v> </v>
      </c>
      <c r="G6706" s="24" t="str">
        <f>IF(OR(E6706="",E6706="!!!"),"",IF(OR(J6706=0,AND(J6706=1,K6706=1),AND(J6706=1,I6706="SBJ"),AND(J6706=1,I6706=0)),"?IN_FOCUS",IF(J6706&lt;=2,"?ACTIVATED",IF(J6706&lt;&gt;"","?FAMILIAR",IF(F6706="NEW",IF(ISNA(VLOOKUP(E6706,#REF!,1,FALSE())),"?TYPE_IDENTIFIABLE","?REFERENTIAL"),"_")))))</f>
        <v> </v>
      </c>
      <c r="H6706" s="25" t="str">
        <f>IF(J6706&lt;&gt;1,"",IF(I6706="SBJ","CB","?"))</f>
        <v> </v>
      </c>
      <c r="I6706" s="26" t="str">
        <f>IF(OR(E6706="",E6706="!!!",F6706="NEW"),"",INDEX(B6705:B$2,-1+SUMPRODUCT(MAX(ROW(E6705:E$2)*(E6706=E6705:E$2)))))</f>
        <v> </v>
      </c>
      <c r="J6706" s="26" t="str">
        <f>IF(OR(E6706="",E6706="!!!",F6706="NEW"),"",COUNTBLANK(OFFSET(A$1,,,SUMPRODUCT(MAX(ROW(E$2:E6706)*(E6706=E$2:E6706)))))-COUNTBLANK(OFFSET(A$1,,,SUMPRODUCT(MAX(ROW(E$1:E6705)*(E2=E$1:E6705))))))</f>
        <v> </v>
      </c>
      <c r="K6706" s="26" t="str">
        <f>IF(OR(E6706="",E6706="!!!",F6706="NEW"),"",INDEX(J$1:J6705,SUMPRODUCT(MAX(ROW(E$1:E6705)*(E6706=E$1:E6705)))))</f>
        <v> </v>
      </c>
      <c r="L6706" s="27"/>
    </row>
    <row r="6707" spans="1:12">
      <c r="A6707" s="20" t="s">
        <v>2725</v>
      </c>
      <c r="E6707" s="22">
        <f>IF(D6707="?OLD","!!!","")</f>
        <v/>
      </c>
      <c r="F6707" s="23" t="str">
        <f>IF(OR(E6707="",E6707="!!!"),"",IF(NOT(ISNA(VLOOKUP(E6707,E$1:E6706,1,FALSE()))),"OLD",IF(AND(E6707&lt;&gt;"",E6707&lt;&gt;"!!!"),"NEW","")))</f>
        <v> </v>
      </c>
      <c r="G6707" s="24" t="str">
        <f>IF(OR(E6707="",E6707="!!!"),"",IF(OR(J6707=0,AND(J6707=1,K6707=1),AND(J6707=1,I6707="SBJ"),AND(J6707=1,I6707=0)),"?IN_FOCUS",IF(J6707&lt;=2,"?ACTIVATED",IF(J6707&lt;&gt;"","?FAMILIAR",IF(F6707="NEW",IF(ISNA(VLOOKUP(E6707,#REF!,1,FALSE())),"?TYPE_IDENTIFIABLE","?REFERENTIAL"),"_")))))</f>
        <v> </v>
      </c>
      <c r="H6707" s="25" t="str">
        <f>IF(J6707&lt;&gt;1,"",IF(I6707="SBJ","CB","?"))</f>
        <v> </v>
      </c>
      <c r="I6707" s="26" t="str">
        <f>IF(OR(E6707="",E6707="!!!",F6707="NEW"),"",INDEX(B6706:B$2,-1+SUMPRODUCT(MAX(ROW(E6706:E$2)*(E6707=E6706:E$2)))))</f>
        <v> </v>
      </c>
      <c r="J6707" s="26" t="str">
        <f>IF(OR(E6707="",E6707="!!!",F6707="NEW"),"",COUNTBLANK(OFFSET(A$1,,,SUMPRODUCT(MAX(ROW(E$2:E6707)*(E6707=E$2:E6707)))))-COUNTBLANK(OFFSET(A$1,,,SUMPRODUCT(MAX(ROW(E$1:E6706)*(E2=E$1:E6706))))))</f>
        <v> </v>
      </c>
      <c r="K6707" s="26" t="str">
        <f>IF(OR(E6707="",E6707="!!!",F6707="NEW"),"",INDEX(J$1:J6706,SUMPRODUCT(MAX(ROW(E$1:E6706)*(E6707=E$1:E6706)))))</f>
        <v> </v>
      </c>
      <c r="L6707" s="27"/>
    </row>
    <row r="6708" spans="1:12">
      <c r="A6708" s="20" t="s">
        <v>1140</v>
      </c>
      <c r="B6708" s="21" t="s">
        <v>1029</v>
      </c>
      <c r="C6708" s="21" t="s">
        <v>1073</v>
      </c>
      <c r="D6708" s="21" t="s">
        <v>1007</v>
      </c>
      <c r="E6708" s="22">
        <f>IF(D6708="?OLD","!!!","")</f>
        <v/>
      </c>
      <c r="F6708" s="23" t="str">
        <f>IF(OR(E6708="",E6708="!!!"),"",IF(NOT(ISNA(VLOOKUP(E6708,E$1:E6707,1,FALSE()))),"OLD",IF(AND(E6708&lt;&gt;"",E6708&lt;&gt;"!!!"),"NEW","")))</f>
        <v> </v>
      </c>
      <c r="G6708" s="24" t="str">
        <f>IF(OR(E6708="",E6708="!!!"),"",IF(OR(J6708=0,AND(J6708=1,K6708=1),AND(J6708=1,I6708="SBJ"),AND(J6708=1,I6708=0)),"?IN_FOCUS",IF(J6708&lt;=2,"?ACTIVATED",IF(J6708&lt;&gt;"","?FAMILIAR",IF(F6708="NEW",IF(ISNA(VLOOKUP(E6708,#REF!,1,FALSE())),"?TYPE_IDENTIFIABLE","?REFERENTIAL"),"_")))))</f>
        <v> </v>
      </c>
      <c r="H6708" s="25" t="str">
        <f>IF(J6708&lt;&gt;1,"",IF(I6708="SBJ","CB","?"))</f>
        <v> </v>
      </c>
      <c r="I6708" s="26" t="str">
        <f>IF(OR(E6708="",E6708="!!!",F6708="NEW"),"",INDEX(B6707:B$2,-1+SUMPRODUCT(MAX(ROW(E6707:E$2)*(E6708=E6707:E$2)))))</f>
        <v> </v>
      </c>
      <c r="J6708" s="26" t="str">
        <f>IF(OR(E6708="",E6708="!!!",F6708="NEW"),"",COUNTBLANK(OFFSET(A$1,,,SUMPRODUCT(MAX(ROW(E$2:E6708)*(E6708=E$2:E6708)))))-COUNTBLANK(OFFSET(A$1,,,SUMPRODUCT(MAX(ROW(E$1:E6707)*(E2=E$1:E6707))))))</f>
        <v> </v>
      </c>
      <c r="K6708" s="26" t="str">
        <f>IF(OR(E6708="",E6708="!!!",F6708="NEW"),"",INDEX(J$1:J6707,SUMPRODUCT(MAX(ROW(E$1:E6707)*(E6708=E$1:E6707)))))</f>
        <v> </v>
      </c>
      <c r="L6708" s="27"/>
    </row>
    <row r="6709" spans="1:12">
      <c r="A6709" s="20" t="s">
        <v>1030</v>
      </c>
      <c r="E6709" s="22">
        <f>IF(D6709="?OLD","!!!","")</f>
        <v/>
      </c>
      <c r="F6709" s="23" t="str">
        <f>IF(OR(E6709="",E6709="!!!"),"",IF(NOT(ISNA(VLOOKUP(E6709,E$1:E6708,1,FALSE()))),"OLD",IF(AND(E6709&lt;&gt;"",E6709&lt;&gt;"!!!"),"NEW","")))</f>
        <v> </v>
      </c>
      <c r="G6709" s="24" t="str">
        <f>IF(OR(E6709="",E6709="!!!"),"",IF(OR(J6709=0,AND(J6709=1,K6709=1),AND(J6709=1,I6709="SBJ"),AND(J6709=1,I6709=0)),"?IN_FOCUS",IF(J6709&lt;=2,"?ACTIVATED",IF(J6709&lt;&gt;"","?FAMILIAR",IF(F6709="NEW",IF(ISNA(VLOOKUP(E6709,#REF!,1,FALSE())),"?TYPE_IDENTIFIABLE","?REFERENTIAL"),"_")))))</f>
        <v> </v>
      </c>
      <c r="H6709" s="25" t="str">
        <f>IF(J6709&lt;&gt;1,"",IF(I6709="SBJ","CB","?"))</f>
        <v> </v>
      </c>
      <c r="I6709" s="26" t="str">
        <f>IF(OR(E6709="",E6709="!!!",F6709="NEW"),"",INDEX(B6708:B$2,-1+SUMPRODUCT(MAX(ROW(E6708:E$2)*(E6709=E6708:E$2)))))</f>
        <v> </v>
      </c>
      <c r="J6709" s="26" t="str">
        <f>IF(OR(E6709="",E6709="!!!",F6709="NEW"),"",COUNTBLANK(OFFSET(A$1,,,SUMPRODUCT(MAX(ROW(E$2:E6709)*(E6709=E$2:E6709)))))-COUNTBLANK(OFFSET(A$1,,,SUMPRODUCT(MAX(ROW(E$1:E6708)*(E2=E$1:E6708))))))</f>
        <v> </v>
      </c>
      <c r="K6709" s="26" t="str">
        <f>IF(OR(E6709="",E6709="!!!",F6709="NEW"),"",INDEX(J$1:J6708,SUMPRODUCT(MAX(ROW(E$1:E6708)*(E6709=E$1:E6708)))))</f>
        <v> </v>
      </c>
      <c r="L6709" s="27"/>
    </row>
    <row r="6710" spans="1:12">
      <c r="A6710" s="20" t="s">
        <v>1324</v>
      </c>
      <c r="E6710" s="22">
        <f>IF(D6710="?OLD","!!!","")</f>
        <v/>
      </c>
      <c r="F6710" s="23" t="str">
        <f>IF(OR(E6710="",E6710="!!!"),"",IF(NOT(ISNA(VLOOKUP(E6710,E$1:E6709,1,FALSE()))),"OLD",IF(AND(E6710&lt;&gt;"",E6710&lt;&gt;"!!!"),"NEW","")))</f>
        <v> </v>
      </c>
      <c r="G6710" s="24" t="str">
        <f>IF(OR(E6710="",E6710="!!!"),"",IF(OR(J6710=0,AND(J6710=1,K6710=1),AND(J6710=1,I6710="SBJ"),AND(J6710=1,I6710=0)),"?IN_FOCUS",IF(J6710&lt;=2,"?ACTIVATED",IF(J6710&lt;&gt;"","?FAMILIAR",IF(F6710="NEW",IF(ISNA(VLOOKUP(E6710,#REF!,1,FALSE())),"?TYPE_IDENTIFIABLE","?REFERENTIAL"),"_")))))</f>
        <v> </v>
      </c>
      <c r="H6710" s="25" t="str">
        <f>IF(J6710&lt;&gt;1,"",IF(I6710="SBJ","CB","?"))</f>
        <v> </v>
      </c>
      <c r="I6710" s="26" t="str">
        <f>IF(OR(E6710="",E6710="!!!",F6710="NEW"),"",INDEX(B6709:B$2,-1+SUMPRODUCT(MAX(ROW(E6709:E$2)*(E6710=E6709:E$2)))))</f>
        <v> </v>
      </c>
      <c r="J6710" s="26" t="str">
        <f>IF(OR(E6710="",E6710="!!!",F6710="NEW"),"",COUNTBLANK(OFFSET(A$1,,,SUMPRODUCT(MAX(ROW(E$2:E6710)*(E6710=E$2:E6710)))))-COUNTBLANK(OFFSET(A$1,,,SUMPRODUCT(MAX(ROW(E$1:E6709)*(E2=E$1:E6709))))))</f>
        <v> </v>
      </c>
      <c r="K6710" s="26" t="str">
        <f>IF(OR(E6710="",E6710="!!!",F6710="NEW"),"",INDEX(J$1:J6709,SUMPRODUCT(MAX(ROW(E$1:E6709)*(E6710=E$1:E6709)))))</f>
        <v> </v>
      </c>
      <c r="L6710" s="27"/>
    </row>
    <row r="6711" spans="1:12">
      <c r="A6711" s="20" t="s">
        <v>2726</v>
      </c>
      <c r="E6711" s="22">
        <f>IF(D6711="?OLD","!!!","")</f>
        <v/>
      </c>
      <c r="F6711" s="23" t="str">
        <f>IF(OR(E6711="",E6711="!!!"),"",IF(NOT(ISNA(VLOOKUP(E6711,E$1:E6710,1,FALSE()))),"OLD",IF(AND(E6711&lt;&gt;"",E6711&lt;&gt;"!!!"),"NEW","")))</f>
        <v> </v>
      </c>
      <c r="G6711" s="24" t="str">
        <f>IF(OR(E6711="",E6711="!!!"),"",IF(OR(J6711=0,AND(J6711=1,K6711=1),AND(J6711=1,I6711="SBJ"),AND(J6711=1,I6711=0)),"?IN_FOCUS",IF(J6711&lt;=2,"?ACTIVATED",IF(J6711&lt;&gt;"","?FAMILIAR",IF(F6711="NEW",IF(ISNA(VLOOKUP(E6711,#REF!,1,FALSE())),"?TYPE_IDENTIFIABLE","?REFERENTIAL"),"_")))))</f>
        <v> </v>
      </c>
      <c r="H6711" s="25" t="str">
        <f>IF(J6711&lt;&gt;1,"",IF(I6711="SBJ","CB","?"))</f>
        <v> </v>
      </c>
      <c r="I6711" s="26" t="str">
        <f>IF(OR(E6711="",E6711="!!!",F6711="NEW"),"",INDEX(B6710:B$2,-1+SUMPRODUCT(MAX(ROW(E6710:E$2)*(E6711=E6710:E$2)))))</f>
        <v> </v>
      </c>
      <c r="J6711" s="26" t="str">
        <f>IF(OR(E6711="",E6711="!!!",F6711="NEW"),"",COUNTBLANK(OFFSET(A$1,,,SUMPRODUCT(MAX(ROW(E$2:E6711)*(E6711=E$2:E6711)))))-COUNTBLANK(OFFSET(A$1,,,SUMPRODUCT(MAX(ROW(E$1:E6710)*(E2=E$1:E6710))))))</f>
        <v> </v>
      </c>
      <c r="K6711" s="26" t="str">
        <f>IF(OR(E6711="",E6711="!!!",F6711="NEW"),"",INDEX(J$1:J6710,SUMPRODUCT(MAX(ROW(E$1:E6710)*(E6711=E$1:E6710)))))</f>
        <v> </v>
      </c>
      <c r="L6711" s="27"/>
    </row>
    <row r="6712" spans="1:12">
      <c r="A6712" s="20" t="s">
        <v>1840</v>
      </c>
      <c r="B6712" s="21" t="s">
        <v>1022</v>
      </c>
      <c r="C6712" s="21" t="s">
        <v>1111</v>
      </c>
      <c r="E6712" s="22">
        <f>IF(D6712="?OLD","!!!","")</f>
        <v/>
      </c>
      <c r="F6712" s="23" t="str">
        <f>IF(OR(E6712="",E6712="!!!"),"",IF(NOT(ISNA(VLOOKUP(E6712,E$1:E6711,1,FALSE()))),"OLD",IF(AND(E6712&lt;&gt;"",E6712&lt;&gt;"!!!"),"NEW","")))</f>
        <v> </v>
      </c>
      <c r="G6712" s="24" t="str">
        <f>IF(OR(E6712="",E6712="!!!"),"",IF(OR(J6712=0,AND(J6712=1,K6712=1),AND(J6712=1,I6712="SBJ"),AND(J6712=1,I6712=0)),"?IN_FOCUS",IF(J6712&lt;=2,"?ACTIVATED",IF(J6712&lt;&gt;"","?FAMILIAR",IF(F6712="NEW",IF(ISNA(VLOOKUP(E6712,#REF!,1,FALSE())),"?TYPE_IDENTIFIABLE","?REFERENTIAL"),"_")))))</f>
        <v> </v>
      </c>
      <c r="H6712" s="25" t="str">
        <f>IF(J6712&lt;&gt;1,"",IF(I6712="SBJ","CB","?"))</f>
        <v> </v>
      </c>
      <c r="I6712" s="26" t="str">
        <f>IF(OR(E6712="",E6712="!!!",F6712="NEW"),"",INDEX(B6711:B$2,-1+SUMPRODUCT(MAX(ROW(E6711:E$2)*(E6712=E6711:E$2)))))</f>
        <v> </v>
      </c>
      <c r="J6712" s="26" t="str">
        <f>IF(OR(E6712="",E6712="!!!",F6712="NEW"),"",COUNTBLANK(OFFSET(A$1,,,SUMPRODUCT(MAX(ROW(E$2:E6712)*(E6712=E$2:E6712)))))-COUNTBLANK(OFFSET(A$1,,,SUMPRODUCT(MAX(ROW(E$1:E6711)*(E2=E$1:E6711))))))</f>
        <v> </v>
      </c>
      <c r="K6712" s="26" t="str">
        <f>IF(OR(E6712="",E6712="!!!",F6712="NEW"),"",INDEX(J$1:J6711,SUMPRODUCT(MAX(ROW(E$1:E6711)*(E6712=E$1:E6711)))))</f>
        <v> </v>
      </c>
      <c r="L6712" s="27"/>
    </row>
    <row r="6713" spans="1:12">
      <c r="A6713" s="20" t="s">
        <v>1018</v>
      </c>
      <c r="E6713" s="22">
        <f>IF(D6713="?OLD","!!!","")</f>
        <v/>
      </c>
      <c r="F6713" s="23" t="str">
        <f>IF(OR(E6713="",E6713="!!!"),"",IF(NOT(ISNA(VLOOKUP(E6713,E$1:E6712,1,FALSE()))),"OLD",IF(AND(E6713&lt;&gt;"",E6713&lt;&gt;"!!!"),"NEW","")))</f>
        <v> </v>
      </c>
      <c r="G6713" s="24" t="str">
        <f>IF(OR(E6713="",E6713="!!!"),"",IF(OR(J6713=0,AND(J6713=1,K6713=1),AND(J6713=1,I6713="SBJ"),AND(J6713=1,I6713=0)),"?IN_FOCUS",IF(J6713&lt;=2,"?ACTIVATED",IF(J6713&lt;&gt;"","?FAMILIAR",IF(F6713="NEW",IF(ISNA(VLOOKUP(E6713,#REF!,1,FALSE())),"?TYPE_IDENTIFIABLE","?REFERENTIAL"),"_")))))</f>
        <v> </v>
      </c>
      <c r="H6713" s="25" t="str">
        <f>IF(J6713&lt;&gt;1,"",IF(I6713="SBJ","CB","?"))</f>
        <v> </v>
      </c>
      <c r="I6713" s="26" t="str">
        <f>IF(OR(E6713="",E6713="!!!",F6713="NEW"),"",INDEX(B6712:B$2,-1+SUMPRODUCT(MAX(ROW(E6712:E$2)*(E6713=E6712:E$2)))))</f>
        <v> </v>
      </c>
      <c r="J6713" s="26" t="str">
        <f>IF(OR(E6713="",E6713="!!!",F6713="NEW"),"",COUNTBLANK(OFFSET(A$1,,,SUMPRODUCT(MAX(ROW(E$2:E6713)*(E6713=E$2:E6713)))))-COUNTBLANK(OFFSET(A$1,,,SUMPRODUCT(MAX(ROW(E$1:E6712)*(E2=E$1:E6712))))))</f>
        <v> </v>
      </c>
      <c r="K6713" s="26" t="str">
        <f>IF(OR(E6713="",E6713="!!!",F6713="NEW"),"",INDEX(J$1:J6712,SUMPRODUCT(MAX(ROW(E$1:E6712)*(E6713=E$1:E6712)))))</f>
        <v> </v>
      </c>
      <c r="L6713" s="27"/>
    </row>
    <row r="6714" spans="1:12">
      <c r="A6714" s="20" t="s">
        <v>1451</v>
      </c>
      <c r="B6714" s="21" t="s">
        <v>1154</v>
      </c>
      <c r="C6714" s="21" t="s">
        <v>1074</v>
      </c>
      <c r="E6714" s="22">
        <f>IF(D6714="?OLD","!!!","")</f>
        <v/>
      </c>
      <c r="F6714" s="23" t="str">
        <f>IF(OR(E6714="",E6714="!!!"),"",IF(NOT(ISNA(VLOOKUP(E6714,E$1:E6713,1,FALSE()))),"OLD",IF(AND(E6714&lt;&gt;"",E6714&lt;&gt;"!!!"),"NEW","")))</f>
        <v> </v>
      </c>
      <c r="G6714" s="24" t="str">
        <f>IF(OR(E6714="",E6714="!!!"),"",IF(OR(J6714=0,AND(J6714=1,K6714=1),AND(J6714=1,I6714="SBJ"),AND(J6714=1,I6714=0)),"?IN_FOCUS",IF(J6714&lt;=2,"?ACTIVATED",IF(J6714&lt;&gt;"","?FAMILIAR",IF(F6714="NEW",IF(ISNA(VLOOKUP(E6714,#REF!,1,FALSE())),"?TYPE_IDENTIFIABLE","?REFERENTIAL"),"_")))))</f>
        <v> </v>
      </c>
      <c r="H6714" s="25" t="str">
        <f>IF(J6714&lt;&gt;1,"",IF(I6714="SBJ","CB","?"))</f>
        <v> </v>
      </c>
      <c r="I6714" s="26" t="str">
        <f>IF(OR(E6714="",E6714="!!!",F6714="NEW"),"",INDEX(B6713:B$2,-1+SUMPRODUCT(MAX(ROW(E6713:E$2)*(E6714=E6713:E$2)))))</f>
        <v> </v>
      </c>
      <c r="J6714" s="26" t="str">
        <f>IF(OR(E6714="",E6714="!!!",F6714="NEW"),"",COUNTBLANK(OFFSET(A$1,,,SUMPRODUCT(MAX(ROW(E$2:E6714)*(E6714=E$2:E6714)))))-COUNTBLANK(OFFSET(A$1,,,SUMPRODUCT(MAX(ROW(E$1:E6713)*(E2=E$1:E6713))))))</f>
        <v> </v>
      </c>
      <c r="K6714" s="26" t="str">
        <f>IF(OR(E6714="",E6714="!!!",F6714="NEW"),"",INDEX(J$1:J6713,SUMPRODUCT(MAX(ROW(E$1:E6713)*(E6714=E$1:E6713)))))</f>
        <v> </v>
      </c>
      <c r="L6714" s="27"/>
    </row>
    <row r="6715" spans="1:12">
      <c r="A6715" s="20" t="s">
        <v>1075</v>
      </c>
      <c r="E6715" s="22">
        <f>IF(D6715="?OLD","!!!","")</f>
        <v/>
      </c>
      <c r="F6715" s="23" t="str">
        <f>IF(OR(E6715="",E6715="!!!"),"",IF(NOT(ISNA(VLOOKUP(E6715,E$1:E6714,1,FALSE()))),"OLD",IF(AND(E6715&lt;&gt;"",E6715&lt;&gt;"!!!"),"NEW","")))</f>
        <v> </v>
      </c>
      <c r="G6715" s="24" t="str">
        <f>IF(OR(E6715="",E6715="!!!"),"",IF(OR(J6715=0,AND(J6715=1,K6715=1),AND(J6715=1,I6715="SBJ"),AND(J6715=1,I6715=0)),"?IN_FOCUS",IF(J6715&lt;=2,"?ACTIVATED",IF(J6715&lt;&gt;"","?FAMILIAR",IF(F6715="NEW",IF(ISNA(VLOOKUP(E6715,#REF!,1,FALSE())),"?TYPE_IDENTIFIABLE","?REFERENTIAL"),"_")))))</f>
        <v> </v>
      </c>
      <c r="H6715" s="25" t="str">
        <f>IF(J6715&lt;&gt;1,"",IF(I6715="SBJ","CB","?"))</f>
        <v> </v>
      </c>
      <c r="I6715" s="26" t="str">
        <f>IF(OR(E6715="",E6715="!!!",F6715="NEW"),"",INDEX(B6714:B$2,-1+SUMPRODUCT(MAX(ROW(E6714:E$2)*(E6715=E6714:E$2)))))</f>
        <v> </v>
      </c>
      <c r="J6715" s="26" t="str">
        <f>IF(OR(E6715="",E6715="!!!",F6715="NEW"),"",COUNTBLANK(OFFSET(A$1,,,SUMPRODUCT(MAX(ROW(E$2:E6715)*(E6715=E$2:E6715)))))-COUNTBLANK(OFFSET(A$1,,,SUMPRODUCT(MAX(ROW(E$1:E6714)*(E2=E$1:E6714))))))</f>
        <v> </v>
      </c>
      <c r="K6715" s="26" t="str">
        <f>IF(OR(E6715="",E6715="!!!",F6715="NEW"),"",INDEX(J$1:J6714,SUMPRODUCT(MAX(ROW(E$1:E6714)*(E6715=E$1:E6714)))))</f>
        <v> </v>
      </c>
      <c r="L6715" s="27"/>
    </row>
    <row r="6716" spans="1:12">
      <c r="A6716" s="20" t="s">
        <v>1020</v>
      </c>
      <c r="E6716" s="22">
        <f>IF(D6716="?OLD","!!!","")</f>
        <v/>
      </c>
      <c r="F6716" s="23" t="str">
        <f>IF(OR(E6716="",E6716="!!!"),"",IF(NOT(ISNA(VLOOKUP(E6716,E$1:E6715,1,FALSE()))),"OLD",IF(AND(E6716&lt;&gt;"",E6716&lt;&gt;"!!!"),"NEW","")))</f>
        <v> </v>
      </c>
      <c r="G6716" s="24" t="str">
        <f>IF(OR(E6716="",E6716="!!!"),"",IF(OR(J6716=0,AND(J6716=1,K6716=1),AND(J6716=1,I6716="SBJ"),AND(J6716=1,I6716=0)),"?IN_FOCUS",IF(J6716&lt;=2,"?ACTIVATED",IF(J6716&lt;&gt;"","?FAMILIAR",IF(F6716="NEW",IF(ISNA(VLOOKUP(E6716,#REF!,1,FALSE())),"?TYPE_IDENTIFIABLE","?REFERENTIAL"),"_")))))</f>
        <v> </v>
      </c>
      <c r="H6716" s="25" t="str">
        <f>IF(J6716&lt;&gt;1,"",IF(I6716="SBJ","CB","?"))</f>
        <v> </v>
      </c>
      <c r="I6716" s="26" t="str">
        <f>IF(OR(E6716="",E6716="!!!",F6716="NEW"),"",INDEX(B6715:B$2,-1+SUMPRODUCT(MAX(ROW(E6715:E$2)*(E6716=E6715:E$2)))))</f>
        <v> </v>
      </c>
      <c r="J6716" s="26" t="str">
        <f>IF(OR(E6716="",E6716="!!!",F6716="NEW"),"",COUNTBLANK(OFFSET(A$1,,,SUMPRODUCT(MAX(ROW(E$2:E6716)*(E6716=E$2:E6716)))))-COUNTBLANK(OFFSET(A$1,,,SUMPRODUCT(MAX(ROW(E$1:E6715)*(E2=E$1:E6715))))))</f>
        <v> </v>
      </c>
      <c r="K6716" s="26" t="str">
        <f>IF(OR(E6716="",E6716="!!!",F6716="NEW"),"",INDEX(J$1:J6715,SUMPRODUCT(MAX(ROW(E$1:E6715)*(E6716=E$1:E6715)))))</f>
        <v> </v>
      </c>
      <c r="L6716" s="27"/>
    </row>
    <row r="6717" spans="1:12">
      <c r="A6717" s="20" t="s">
        <v>2078</v>
      </c>
      <c r="B6717" s="21" t="s">
        <v>1033</v>
      </c>
      <c r="C6717" s="21" t="s">
        <v>1059</v>
      </c>
      <c r="D6717" s="21" t="s">
        <v>1007</v>
      </c>
      <c r="E6717" s="22">
        <f>IF(D6717="?OLD","!!!","")</f>
        <v/>
      </c>
      <c r="F6717" s="23" t="str">
        <f>IF(OR(E6717="",E6717="!!!"),"",IF(NOT(ISNA(VLOOKUP(E6717,E$1:E6716,1,FALSE()))),"OLD",IF(AND(E6717&lt;&gt;"",E6717&lt;&gt;"!!!"),"NEW","")))</f>
        <v> </v>
      </c>
      <c r="G6717" s="24" t="str">
        <f>IF(OR(E6717="",E6717="!!!"),"",IF(OR(J6717=0,AND(J6717=1,K6717=1),AND(J6717=1,I6717="SBJ"),AND(J6717=1,I6717=0)),"?IN_FOCUS",IF(J6717&lt;=2,"?ACTIVATED",IF(J6717&lt;&gt;"","?FAMILIAR",IF(F6717="NEW",IF(ISNA(VLOOKUP(E6717,#REF!,1,FALSE())),"?TYPE_IDENTIFIABLE","?REFERENTIAL"),"_")))))</f>
        <v> </v>
      </c>
      <c r="H6717" s="25" t="str">
        <f>IF(J6717&lt;&gt;1,"",IF(I6717="SBJ","CB","?"))</f>
        <v> </v>
      </c>
      <c r="I6717" s="26" t="str">
        <f>IF(OR(E6717="",E6717="!!!",F6717="NEW"),"",INDEX(B6716:B$2,-1+SUMPRODUCT(MAX(ROW(E6716:E$2)*(E6717=E6716:E$2)))))</f>
        <v> </v>
      </c>
      <c r="J6717" s="26" t="str">
        <f>IF(OR(E6717="",E6717="!!!",F6717="NEW"),"",COUNTBLANK(OFFSET(A$1,,,SUMPRODUCT(MAX(ROW(E$2:E6717)*(E6717=E$2:E6717)))))-COUNTBLANK(OFFSET(A$1,,,SUMPRODUCT(MAX(ROW(E$1:E6716)*(E2=E$1:E6716))))))</f>
        <v> </v>
      </c>
      <c r="K6717" s="26" t="str">
        <f>IF(OR(E6717="",E6717="!!!",F6717="NEW"),"",INDEX(J$1:J6716,SUMPRODUCT(MAX(ROW(E$1:E6716)*(E6717=E$1:E6716)))))</f>
        <v> </v>
      </c>
      <c r="L6717" s="27"/>
    </row>
    <row r="6718" spans="1:12">
      <c r="A6718" s="20" t="s">
        <v>1840</v>
      </c>
      <c r="B6718" s="21" t="s">
        <v>1022</v>
      </c>
      <c r="C6718" s="21" t="s">
        <v>1017</v>
      </c>
      <c r="D6718" s="21" t="s">
        <v>1007</v>
      </c>
      <c r="E6718" s="22">
        <f>IF(D6718="?OLD","!!!","")</f>
        <v/>
      </c>
      <c r="F6718" s="23" t="str">
        <f>IF(OR(E6718="",E6718="!!!"),"",IF(NOT(ISNA(VLOOKUP(E6718,E$1:E6717,1,FALSE()))),"OLD",IF(AND(E6718&lt;&gt;"",E6718&lt;&gt;"!!!"),"NEW","")))</f>
        <v> </v>
      </c>
      <c r="G6718" s="24" t="str">
        <f>IF(OR(E6718="",E6718="!!!"),"",IF(OR(J6718=0,AND(J6718=1,K6718=1),AND(J6718=1,I6718="SBJ"),AND(J6718=1,I6718=0)),"?IN_FOCUS",IF(J6718&lt;=2,"?ACTIVATED",IF(J6718&lt;&gt;"","?FAMILIAR",IF(F6718="NEW",IF(ISNA(VLOOKUP(E6718,#REF!,1,FALSE())),"?TYPE_IDENTIFIABLE","?REFERENTIAL"),"_")))))</f>
        <v> </v>
      </c>
      <c r="H6718" s="25" t="str">
        <f>IF(J6718&lt;&gt;1,"",IF(I6718="SBJ","CB","?"))</f>
        <v> </v>
      </c>
      <c r="I6718" s="26" t="str">
        <f>IF(OR(E6718="",E6718="!!!",F6718="NEW"),"",INDEX(B6717:B$2,-1+SUMPRODUCT(MAX(ROW(E6717:E$2)*(E6718=E6717:E$2)))))</f>
        <v> </v>
      </c>
      <c r="J6718" s="26" t="str">
        <f>IF(OR(E6718="",E6718="!!!",F6718="NEW"),"",COUNTBLANK(OFFSET(A$1,,,SUMPRODUCT(MAX(ROW(E$2:E6718)*(E6718=E$2:E6718)))))-COUNTBLANK(OFFSET(A$1,,,SUMPRODUCT(MAX(ROW(E$1:E6717)*(E2=E$1:E6717))))))</f>
        <v> </v>
      </c>
      <c r="K6718" s="26" t="str">
        <f>IF(OR(E6718="",E6718="!!!",F6718="NEW"),"",INDEX(J$1:J6717,SUMPRODUCT(MAX(ROW(E$1:E6717)*(E6718=E$1:E6717)))))</f>
        <v> </v>
      </c>
      <c r="L6718" s="27"/>
    </row>
    <row r="6719" spans="1:12">
      <c r="A6719" s="20" t="s">
        <v>1065</v>
      </c>
      <c r="E6719" s="22">
        <f>IF(D6719="?OLD","!!!","")</f>
        <v/>
      </c>
      <c r="F6719" s="23" t="str">
        <f>IF(OR(E6719="",E6719="!!!"),"",IF(NOT(ISNA(VLOOKUP(E6719,E$1:E6718,1,FALSE()))),"OLD",IF(AND(E6719&lt;&gt;"",E6719&lt;&gt;"!!!"),"NEW","")))</f>
        <v> </v>
      </c>
      <c r="G6719" s="24" t="str">
        <f>IF(OR(E6719="",E6719="!!!"),"",IF(OR(J6719=0,AND(J6719=1,K6719=1),AND(J6719=1,I6719="SBJ"),AND(J6719=1,I6719=0)),"?IN_FOCUS",IF(J6719&lt;=2,"?ACTIVATED",IF(J6719&lt;&gt;"","?FAMILIAR",IF(F6719="NEW",IF(ISNA(VLOOKUP(E6719,#REF!,1,FALSE())),"?TYPE_IDENTIFIABLE","?REFERENTIAL"),"_")))))</f>
        <v> </v>
      </c>
      <c r="H6719" s="25" t="str">
        <f>IF(J6719&lt;&gt;1,"",IF(I6719="SBJ","CB","?"))</f>
        <v> </v>
      </c>
      <c r="I6719" s="26" t="str">
        <f>IF(OR(E6719="",E6719="!!!",F6719="NEW"),"",INDEX(B6718:B$2,-1+SUMPRODUCT(MAX(ROW(E6718:E$2)*(E6719=E6718:E$2)))))</f>
        <v> </v>
      </c>
      <c r="J6719" s="26" t="str">
        <f>IF(OR(E6719="",E6719="!!!",F6719="NEW"),"",COUNTBLANK(OFFSET(A$1,,,SUMPRODUCT(MAX(ROW(E$2:E6719)*(E6719=E$2:E6719)))))-COUNTBLANK(OFFSET(A$1,,,SUMPRODUCT(MAX(ROW(E$1:E6718)*(E2=E$1:E6718))))))</f>
        <v> </v>
      </c>
      <c r="K6719" s="26" t="str">
        <f>IF(OR(E6719="",E6719="!!!",F6719="NEW"),"",INDEX(J$1:J6718,SUMPRODUCT(MAX(ROW(E$1:E6718)*(E6719=E$1:E6718)))))</f>
        <v> </v>
      </c>
      <c r="L6719" s="27"/>
    </row>
    <row r="6720" spans="1:12">
      <c r="A6720" s="20" t="s">
        <v>2201</v>
      </c>
      <c r="E6720" s="22">
        <f>IF(D6720="?OLD","!!!","")</f>
        <v/>
      </c>
      <c r="F6720" s="23" t="str">
        <f>IF(OR(E6720="",E6720="!!!"),"",IF(NOT(ISNA(VLOOKUP(E6720,E$1:E6719,1,FALSE()))),"OLD",IF(AND(E6720&lt;&gt;"",E6720&lt;&gt;"!!!"),"NEW","")))</f>
        <v> </v>
      </c>
      <c r="G6720" s="24" t="str">
        <f>IF(OR(E6720="",E6720="!!!"),"",IF(OR(J6720=0,AND(J6720=1,K6720=1),AND(J6720=1,I6720="SBJ"),AND(J6720=1,I6720=0)),"?IN_FOCUS",IF(J6720&lt;=2,"?ACTIVATED",IF(J6720&lt;&gt;"","?FAMILIAR",IF(F6720="NEW",IF(ISNA(VLOOKUP(E6720,#REF!,1,FALSE())),"?TYPE_IDENTIFIABLE","?REFERENTIAL"),"_")))))</f>
        <v> </v>
      </c>
      <c r="H6720" s="25" t="str">
        <f>IF(J6720&lt;&gt;1,"",IF(I6720="SBJ","CB","?"))</f>
        <v> </v>
      </c>
      <c r="I6720" s="26" t="str">
        <f>IF(OR(E6720="",E6720="!!!",F6720="NEW"),"",INDEX(B6719:B$2,-1+SUMPRODUCT(MAX(ROW(E6719:E$2)*(E6720=E6719:E$2)))))</f>
        <v> </v>
      </c>
      <c r="J6720" s="26" t="str">
        <f>IF(OR(E6720="",E6720="!!!",F6720="NEW"),"",COUNTBLANK(OFFSET(A$1,,,SUMPRODUCT(MAX(ROW(E$2:E6720)*(E6720=E$2:E6720)))))-COUNTBLANK(OFFSET(A$1,,,SUMPRODUCT(MAX(ROW(E$1:E6719)*(E2=E$1:E6719))))))</f>
        <v> </v>
      </c>
      <c r="K6720" s="26" t="str">
        <f>IF(OR(E6720="",E6720="!!!",F6720="NEW"),"",INDEX(J$1:J6719,SUMPRODUCT(MAX(ROW(E$1:E6719)*(E6720=E$1:E6719)))))</f>
        <v> </v>
      </c>
      <c r="L6720" s="27"/>
    </row>
    <row r="6721" spans="1:12">
      <c r="A6721" s="20" t="s">
        <v>1020</v>
      </c>
      <c r="E6721" s="22">
        <f>IF(D6721="?OLD","!!!","")</f>
        <v/>
      </c>
      <c r="F6721" s="23" t="str">
        <f>IF(OR(E6721="",E6721="!!!"),"",IF(NOT(ISNA(VLOOKUP(E6721,E$1:E6720,1,FALSE()))),"OLD",IF(AND(E6721&lt;&gt;"",E6721&lt;&gt;"!!!"),"NEW","")))</f>
        <v> </v>
      </c>
      <c r="G6721" s="24" t="str">
        <f>IF(OR(E6721="",E6721="!!!"),"",IF(OR(J6721=0,AND(J6721=1,K6721=1),AND(J6721=1,I6721="SBJ"),AND(J6721=1,I6721=0)),"?IN_FOCUS",IF(J6721&lt;=2,"?ACTIVATED",IF(J6721&lt;&gt;"","?FAMILIAR",IF(F6721="NEW",IF(ISNA(VLOOKUP(E6721,#REF!,1,FALSE())),"?TYPE_IDENTIFIABLE","?REFERENTIAL"),"_")))))</f>
        <v> </v>
      </c>
      <c r="H6721" s="25" t="str">
        <f>IF(J6721&lt;&gt;1,"",IF(I6721="SBJ","CB","?"))</f>
        <v> </v>
      </c>
      <c r="I6721" s="26" t="str">
        <f>IF(OR(E6721="",E6721="!!!",F6721="NEW"),"",INDEX(B6720:B$2,-1+SUMPRODUCT(MAX(ROW(E6720:E$2)*(E6721=E6720:E$2)))))</f>
        <v> </v>
      </c>
      <c r="J6721" s="26" t="str">
        <f>IF(OR(E6721="",E6721="!!!",F6721="NEW"),"",COUNTBLANK(OFFSET(A$1,,,SUMPRODUCT(MAX(ROW(E$2:E6721)*(E6721=E$2:E6721)))))-COUNTBLANK(OFFSET(A$1,,,SUMPRODUCT(MAX(ROW(E$1:E6720)*(E2=E$1:E6720))))))</f>
        <v> </v>
      </c>
      <c r="K6721" s="26" t="str">
        <f>IF(OR(E6721="",E6721="!!!",F6721="NEW"),"",INDEX(J$1:J6720,SUMPRODUCT(MAX(ROW(E$1:E6720)*(E6721=E$1:E6720)))))</f>
        <v> </v>
      </c>
      <c r="L6721" s="27"/>
    </row>
    <row r="6722" spans="1:12">
      <c r="A6722" s="20" t="s">
        <v>2194</v>
      </c>
      <c r="B6722" s="21" t="s">
        <v>1064</v>
      </c>
      <c r="C6722" s="21" t="s">
        <v>1017</v>
      </c>
      <c r="D6722" s="21" t="s">
        <v>1007</v>
      </c>
      <c r="E6722" s="22">
        <f>IF(D6722="?OLD","!!!","")</f>
        <v/>
      </c>
      <c r="F6722" s="23" t="str">
        <f>IF(OR(E6722="",E6722="!!!"),"",IF(NOT(ISNA(VLOOKUP(E6722,E$1:E6721,1,FALSE()))),"OLD",IF(AND(E6722&lt;&gt;"",E6722&lt;&gt;"!!!"),"NEW","")))</f>
        <v> </v>
      </c>
      <c r="G6722" s="24" t="str">
        <f>IF(OR(E6722="",E6722="!!!"),"",IF(OR(J6722=0,AND(J6722=1,K6722=1),AND(J6722=1,I6722="SBJ"),AND(J6722=1,I6722=0)),"?IN_FOCUS",IF(J6722&lt;=2,"?ACTIVATED",IF(J6722&lt;&gt;"","?FAMILIAR",IF(F6722="NEW",IF(ISNA(VLOOKUP(E6722,#REF!,1,FALSE())),"?TYPE_IDENTIFIABLE","?REFERENTIAL"),"_")))))</f>
        <v> </v>
      </c>
      <c r="H6722" s="25" t="str">
        <f>IF(J6722&lt;&gt;1,"",IF(I6722="SBJ","CB","?"))</f>
        <v> </v>
      </c>
      <c r="I6722" s="26" t="str">
        <f>IF(OR(E6722="",E6722="!!!",F6722="NEW"),"",INDEX(B6721:B$2,-1+SUMPRODUCT(MAX(ROW(E6721:E$2)*(E6722=E6721:E$2)))))</f>
        <v> </v>
      </c>
      <c r="J6722" s="26" t="str">
        <f>IF(OR(E6722="",E6722="!!!",F6722="NEW"),"",COUNTBLANK(OFFSET(A$1,,,SUMPRODUCT(MAX(ROW(E$2:E6722)*(E6722=E$2:E6722)))))-COUNTBLANK(OFFSET(A$1,,,SUMPRODUCT(MAX(ROW(E$1:E6721)*(E2=E$1:E6721))))))</f>
        <v> </v>
      </c>
      <c r="K6722" s="26" t="str">
        <f>IF(OR(E6722="",E6722="!!!",F6722="NEW"),"",INDEX(J$1:J6721,SUMPRODUCT(MAX(ROW(E$1:E6721)*(E6722=E$1:E6721)))))</f>
        <v> </v>
      </c>
      <c r="L6722" s="27"/>
    </row>
    <row r="6723" spans="1:12">
      <c r="A6723" s="20" t="s">
        <v>2722</v>
      </c>
      <c r="E6723" s="22">
        <f>IF(D6723="?OLD","!!!","")</f>
        <v/>
      </c>
      <c r="F6723" s="23" t="str">
        <f>IF(OR(E6723="",E6723="!!!"),"",IF(NOT(ISNA(VLOOKUP(E6723,E$1:E6722,1,FALSE()))),"OLD",IF(AND(E6723&lt;&gt;"",E6723&lt;&gt;"!!!"),"NEW","")))</f>
        <v> </v>
      </c>
      <c r="G6723" s="24" t="str">
        <f>IF(OR(E6723="",E6723="!!!"),"",IF(OR(J6723=0,AND(J6723=1,K6723=1),AND(J6723=1,I6723="SBJ"),AND(J6723=1,I6723=0)),"?IN_FOCUS",IF(J6723&lt;=2,"?ACTIVATED",IF(J6723&lt;&gt;"","?FAMILIAR",IF(F6723="NEW",IF(ISNA(VLOOKUP(E6723,#REF!,1,FALSE())),"?TYPE_IDENTIFIABLE","?REFERENTIAL"),"_")))))</f>
        <v> </v>
      </c>
      <c r="H6723" s="25" t="str">
        <f>IF(J6723&lt;&gt;1,"",IF(I6723="SBJ","CB","?"))</f>
        <v> </v>
      </c>
      <c r="I6723" s="26" t="str">
        <f>IF(OR(E6723="",E6723="!!!",F6723="NEW"),"",INDEX(B6722:B$2,-1+SUMPRODUCT(MAX(ROW(E6722:E$2)*(E6723=E6722:E$2)))))</f>
        <v> </v>
      </c>
      <c r="J6723" s="26" t="str">
        <f>IF(OR(E6723="",E6723="!!!",F6723="NEW"),"",COUNTBLANK(OFFSET(A$1,,,SUMPRODUCT(MAX(ROW(E$2:E6723)*(E6723=E$2:E6723)))))-COUNTBLANK(OFFSET(A$1,,,SUMPRODUCT(MAX(ROW(E$1:E6722)*(E2=E$1:E6722))))))</f>
        <v> </v>
      </c>
      <c r="K6723" s="26" t="str">
        <f>IF(OR(E6723="",E6723="!!!",F6723="NEW"),"",INDEX(J$1:J6722,SUMPRODUCT(MAX(ROW(E$1:E6722)*(E6723=E$1:E6722)))))</f>
        <v> </v>
      </c>
      <c r="L6723" s="27"/>
    </row>
    <row r="6724" spans="1:12">
      <c r="A6724" s="20" t="s">
        <v>1030</v>
      </c>
      <c r="E6724" s="22">
        <f>IF(D6724="?OLD","!!!","")</f>
        <v/>
      </c>
      <c r="F6724" s="23" t="str">
        <f>IF(OR(E6724="",E6724="!!!"),"",IF(NOT(ISNA(VLOOKUP(E6724,E$1:E6723,1,FALSE()))),"OLD",IF(AND(E6724&lt;&gt;"",E6724&lt;&gt;"!!!"),"NEW","")))</f>
        <v> </v>
      </c>
      <c r="G6724" s="24" t="str">
        <f>IF(OR(E6724="",E6724="!!!"),"",IF(OR(J6724=0,AND(J6724=1,K6724=1),AND(J6724=1,I6724="SBJ"),AND(J6724=1,I6724=0)),"?IN_FOCUS",IF(J6724&lt;=2,"?ACTIVATED",IF(J6724&lt;&gt;"","?FAMILIAR",IF(F6724="NEW",IF(ISNA(VLOOKUP(E6724,#REF!,1,FALSE())),"?TYPE_IDENTIFIABLE","?REFERENTIAL"),"_")))))</f>
        <v> </v>
      </c>
      <c r="H6724" s="25" t="str">
        <f>IF(J6724&lt;&gt;1,"",IF(I6724="SBJ","CB","?"))</f>
        <v> </v>
      </c>
      <c r="I6724" s="26" t="str">
        <f>IF(OR(E6724="",E6724="!!!",F6724="NEW"),"",INDEX(B6723:B$2,-1+SUMPRODUCT(MAX(ROW(E6723:E$2)*(E6724=E6723:E$2)))))</f>
        <v> </v>
      </c>
      <c r="J6724" s="26" t="str">
        <f>IF(OR(E6724="",E6724="!!!",F6724="NEW"),"",COUNTBLANK(OFFSET(A$1,,,SUMPRODUCT(MAX(ROW(E$2:E6724)*(E6724=E$2:E6724)))))-COUNTBLANK(OFFSET(A$1,,,SUMPRODUCT(MAX(ROW(E$1:E6723)*(E2=E$1:E6723))))))</f>
        <v> </v>
      </c>
      <c r="K6724" s="26" t="str">
        <f>IF(OR(E6724="",E6724="!!!",F6724="NEW"),"",INDEX(J$1:J6723,SUMPRODUCT(MAX(ROW(E$1:E6723)*(E6724=E$1:E6723)))))</f>
        <v> </v>
      </c>
      <c r="L6724" s="27"/>
    </row>
    <row r="6725" spans="1:12">
      <c r="A6725" s="20" t="s">
        <v>1122</v>
      </c>
      <c r="E6725" s="22">
        <f>IF(D6725="?OLD","!!!","")</f>
        <v/>
      </c>
      <c r="F6725" s="23" t="str">
        <f>IF(OR(E6725="",E6725="!!!"),"",IF(NOT(ISNA(VLOOKUP(E6725,E$1:E6724,1,FALSE()))),"OLD",IF(AND(E6725&lt;&gt;"",E6725&lt;&gt;"!!!"),"NEW","")))</f>
        <v> </v>
      </c>
      <c r="G6725" s="24" t="str">
        <f>IF(OR(E6725="",E6725="!!!"),"",IF(OR(J6725=0,AND(J6725=1,K6725=1),AND(J6725=1,I6725="SBJ"),AND(J6725=1,I6725=0)),"?IN_FOCUS",IF(J6725&lt;=2,"?ACTIVATED",IF(J6725&lt;&gt;"","?FAMILIAR",IF(F6725="NEW",IF(ISNA(VLOOKUP(E6725,#REF!,1,FALSE())),"?TYPE_IDENTIFIABLE","?REFERENTIAL"),"_")))))</f>
        <v> </v>
      </c>
      <c r="H6725" s="25" t="str">
        <f>IF(J6725&lt;&gt;1,"",IF(I6725="SBJ","CB","?"))</f>
        <v> </v>
      </c>
      <c r="I6725" s="26" t="str">
        <f>IF(OR(E6725="",E6725="!!!",F6725="NEW"),"",INDEX(B6724:B$2,-1+SUMPRODUCT(MAX(ROW(E6724:E$2)*(E6725=E6724:E$2)))))</f>
        <v> </v>
      </c>
      <c r="J6725" s="26" t="str">
        <f>IF(OR(E6725="",E6725="!!!",F6725="NEW"),"",COUNTBLANK(OFFSET(A$1,,,SUMPRODUCT(MAX(ROW(E$2:E6725)*(E6725=E$2:E6725)))))-COUNTBLANK(OFFSET(A$1,,,SUMPRODUCT(MAX(ROW(E$1:E6724)*(E2=E$1:E6724))))))</f>
        <v> </v>
      </c>
      <c r="K6725" s="26" t="str">
        <f>IF(OR(E6725="",E6725="!!!",F6725="NEW"),"",INDEX(J$1:J6724,SUMPRODUCT(MAX(ROW(E$1:E6724)*(E6725=E$1:E6724)))))</f>
        <v> </v>
      </c>
      <c r="L6725" s="27"/>
    </row>
    <row r="6726" spans="1:12">
      <c r="A6726" s="20" t="s">
        <v>1250</v>
      </c>
      <c r="E6726" s="22">
        <f>IF(D6726="?OLD","!!!","")</f>
        <v/>
      </c>
      <c r="F6726" s="23" t="str">
        <f>IF(OR(E6726="",E6726="!!!"),"",IF(NOT(ISNA(VLOOKUP(E6726,E$1:E6725,1,FALSE()))),"OLD",IF(AND(E6726&lt;&gt;"",E6726&lt;&gt;"!!!"),"NEW","")))</f>
        <v> </v>
      </c>
      <c r="G6726" s="24" t="str">
        <f>IF(OR(E6726="",E6726="!!!"),"",IF(OR(J6726=0,AND(J6726=1,K6726=1),AND(J6726=1,I6726="SBJ"),AND(J6726=1,I6726=0)),"?IN_FOCUS",IF(J6726&lt;=2,"?ACTIVATED",IF(J6726&lt;&gt;"","?FAMILIAR",IF(F6726="NEW",IF(ISNA(VLOOKUP(E6726,#REF!,1,FALSE())),"?TYPE_IDENTIFIABLE","?REFERENTIAL"),"_")))))</f>
        <v> </v>
      </c>
      <c r="H6726" s="25" t="str">
        <f>IF(J6726&lt;&gt;1,"",IF(I6726="SBJ","CB","?"))</f>
        <v> </v>
      </c>
      <c r="I6726" s="26" t="str">
        <f>IF(OR(E6726="",E6726="!!!",F6726="NEW"),"",INDEX(B6725:B$2,-1+SUMPRODUCT(MAX(ROW(E6725:E$2)*(E6726=E6725:E$2)))))</f>
        <v> </v>
      </c>
      <c r="J6726" s="26" t="str">
        <f>IF(OR(E6726="",E6726="!!!",F6726="NEW"),"",COUNTBLANK(OFFSET(A$1,,,SUMPRODUCT(MAX(ROW(E$2:E6726)*(E6726=E$2:E6726)))))-COUNTBLANK(OFFSET(A$1,,,SUMPRODUCT(MAX(ROW(E$1:E6725)*(E2=E$1:E6725))))))</f>
        <v> </v>
      </c>
      <c r="K6726" s="26" t="str">
        <f>IF(OR(E6726="",E6726="!!!",F6726="NEW"),"",INDEX(J$1:J6725,SUMPRODUCT(MAX(ROW(E$1:E6725)*(E6726=E$1:E6725)))))</f>
        <v> </v>
      </c>
      <c r="L6726" s="27"/>
    </row>
    <row r="6727" spans="1:12">
      <c r="A6727" s="20" t="s">
        <v>1639</v>
      </c>
      <c r="B6727" s="21" t="s">
        <v>1130</v>
      </c>
      <c r="C6727" s="21" t="s">
        <v>1041</v>
      </c>
      <c r="D6727" s="21" t="s">
        <v>1007</v>
      </c>
      <c r="E6727" s="22">
        <f>IF(D6727="?OLD","!!!","")</f>
        <v/>
      </c>
      <c r="F6727" s="23" t="str">
        <f>IF(OR(E6727="",E6727="!!!"),"",IF(NOT(ISNA(VLOOKUP(E6727,E$1:E6726,1,FALSE()))),"OLD",IF(AND(E6727&lt;&gt;"",E6727&lt;&gt;"!!!"),"NEW","")))</f>
        <v> </v>
      </c>
      <c r="G6727" s="24" t="str">
        <f>IF(OR(E6727="",E6727="!!!"),"",IF(OR(J6727=0,AND(J6727=1,K6727=1),AND(J6727=1,I6727="SBJ"),AND(J6727=1,I6727=0)),"?IN_FOCUS",IF(J6727&lt;=2,"?ACTIVATED",IF(J6727&lt;&gt;"","?FAMILIAR",IF(F6727="NEW",IF(ISNA(VLOOKUP(E6727,#REF!,1,FALSE())),"?TYPE_IDENTIFIABLE","?REFERENTIAL"),"_")))))</f>
        <v> </v>
      </c>
      <c r="H6727" s="25" t="str">
        <f>IF(J6727&lt;&gt;1,"",IF(I6727="SBJ","CB","?"))</f>
        <v> </v>
      </c>
      <c r="I6727" s="26" t="str">
        <f>IF(OR(E6727="",E6727="!!!",F6727="NEW"),"",INDEX(B6726:B$2,-1+SUMPRODUCT(MAX(ROW(E6726:E$2)*(E6727=E6726:E$2)))))</f>
        <v> </v>
      </c>
      <c r="J6727" s="26" t="str">
        <f>IF(OR(E6727="",E6727="!!!",F6727="NEW"),"",COUNTBLANK(OFFSET(A$1,,,SUMPRODUCT(MAX(ROW(E$2:E6727)*(E6727=E$2:E6727)))))-COUNTBLANK(OFFSET(A$1,,,SUMPRODUCT(MAX(ROW(E$1:E6726)*(E2=E$1:E6726))))))</f>
        <v> </v>
      </c>
      <c r="K6727" s="26" t="str">
        <f>IF(OR(E6727="",E6727="!!!",F6727="NEW"),"",INDEX(J$1:J6726,SUMPRODUCT(MAX(ROW(E$1:E6726)*(E6727=E$1:E6726)))))</f>
        <v> </v>
      </c>
      <c r="L6727" s="27"/>
    </row>
    <row r="6728" spans="1:12">
      <c r="A6728" s="20" t="s">
        <v>1077</v>
      </c>
      <c r="E6728" s="22">
        <f>IF(D6728="?OLD","!!!","")</f>
        <v/>
      </c>
      <c r="F6728" s="23" t="str">
        <f>IF(OR(E6728="",E6728="!!!"),"",IF(NOT(ISNA(VLOOKUP(E6728,E$1:E6727,1,FALSE()))),"OLD",IF(AND(E6728&lt;&gt;"",E6728&lt;&gt;"!!!"),"NEW","")))</f>
        <v> </v>
      </c>
      <c r="G6728" s="24" t="str">
        <f>IF(OR(E6728="",E6728="!!!"),"",IF(OR(J6728=0,AND(J6728=1,K6728=1),AND(J6728=1,I6728="SBJ"),AND(J6728=1,I6728=0)),"?IN_FOCUS",IF(J6728&lt;=2,"?ACTIVATED",IF(J6728&lt;&gt;"","?FAMILIAR",IF(F6728="NEW",IF(ISNA(VLOOKUP(E6728,#REF!,1,FALSE())),"?TYPE_IDENTIFIABLE","?REFERENTIAL"),"_")))))</f>
        <v> </v>
      </c>
      <c r="H6728" s="25" t="str">
        <f>IF(J6728&lt;&gt;1,"",IF(I6728="SBJ","CB","?"))</f>
        <v> </v>
      </c>
      <c r="I6728" s="26" t="str">
        <f>IF(OR(E6728="",E6728="!!!",F6728="NEW"),"",INDEX(B6727:B$2,-1+SUMPRODUCT(MAX(ROW(E6727:E$2)*(E6728=E6727:E$2)))))</f>
        <v> </v>
      </c>
      <c r="J6728" s="26" t="str">
        <f>IF(OR(E6728="",E6728="!!!",F6728="NEW"),"",COUNTBLANK(OFFSET(A$1,,,SUMPRODUCT(MAX(ROW(E$2:E6728)*(E6728=E$2:E6728)))))-COUNTBLANK(OFFSET(A$1,,,SUMPRODUCT(MAX(ROW(E$1:E6727)*(E2=E$1:E6727))))))</f>
        <v> </v>
      </c>
      <c r="K6728" s="26" t="str">
        <f>IF(OR(E6728="",E6728="!!!",F6728="NEW"),"",INDEX(J$1:J6727,SUMPRODUCT(MAX(ROW(E$1:E6727)*(E6728=E$1:E6727)))))</f>
        <v> </v>
      </c>
      <c r="L6728" s="27"/>
    </row>
    <row r="6729" spans="1:12">
      <c r="A6729" s="20"/>
    </row>
    <row r="6730" spans="1:12">
      <c r="A6730" s="20" t="s">
        <v>2727</v>
      </c>
    </row>
    <row r="6731" spans="1:12">
      <c r="A6731" s="20" t="s">
        <v>1118</v>
      </c>
      <c r="B6731" s="21" t="s">
        <v>1005</v>
      </c>
      <c r="C6731" s="21" t="s">
        <v>1048</v>
      </c>
      <c r="E6731" s="22">
        <f>IF(D6731="?OLD","!!!","")</f>
        <v/>
      </c>
      <c r="F6731" s="23" t="str">
        <f>IF(OR(E6731="",E6731="!!!"),"",IF(NOT(ISNA(VLOOKUP(E6731,E$1:E6730,1,FALSE()))),"OLD",IF(AND(E6731&lt;&gt;"",E6731&lt;&gt;"!!!"),"NEW","")))</f>
        <v> </v>
      </c>
      <c r="G6731" s="24" t="str">
        <f>IF(OR(E6731="",E6731="!!!"),"",IF(OR(J6731=0,AND(J6731=1,K6731=1),AND(J6731=1,I6731="SBJ"),AND(J6731=1,I6731=0)),"?IN_FOCUS",IF(J6731&lt;=2,"?ACTIVATED",IF(J6731&lt;&gt;"","?FAMILIAR",IF(F6731="NEW",IF(ISNA(VLOOKUP(E6731,#REF!,1,FALSE())),"?TYPE_IDENTIFIABLE","?REFERENTIAL"),"_")))))</f>
        <v> </v>
      </c>
      <c r="H6731" s="25" t="str">
        <f>IF(J6731&lt;&gt;1,"",IF(I6731="SBJ","CB","?"))</f>
        <v> </v>
      </c>
      <c r="I6731" s="26" t="str">
        <f>IF(OR(E6731="",E6731="!!!",F6731="NEW"),"",INDEX(B6730:B$2,-1+SUMPRODUCT(MAX(ROW(E6730:E$2)*(E6731=E6730:E$2)))))</f>
        <v> </v>
      </c>
      <c r="J6731" s="26" t="str">
        <f>IF(OR(E6731="",E6731="!!!",F6731="NEW"),"",COUNTBLANK(OFFSET(A$1,,,SUMPRODUCT(MAX(ROW(E$2:E6731)*(E6731=E$2:E6731)))))-COUNTBLANK(OFFSET(A$1,,,SUMPRODUCT(MAX(ROW(E$1:E6730)*(E2=E$1:E6730))))))</f>
        <v> </v>
      </c>
      <c r="K6731" s="26" t="str">
        <f>IF(OR(E6731="",E6731="!!!",F6731="NEW"),"",INDEX(J$1:J6730,SUMPRODUCT(MAX(ROW(E$1:E6730)*(E6731=E$1:E6730)))))</f>
        <v> </v>
      </c>
      <c r="L6731" s="27"/>
    </row>
    <row r="6732" spans="1:12">
      <c r="A6732" s="20" t="s">
        <v>1009</v>
      </c>
      <c r="E6732" s="22">
        <f>IF(D6732="?OLD","!!!","")</f>
        <v/>
      </c>
      <c r="F6732" s="23" t="str">
        <f>IF(OR(E6732="",E6732="!!!"),"",IF(NOT(ISNA(VLOOKUP(E6732,E$1:E6731,1,FALSE()))),"OLD",IF(AND(E6732&lt;&gt;"",E6732&lt;&gt;"!!!"),"NEW","")))</f>
        <v> </v>
      </c>
      <c r="G6732" s="24" t="str">
        <f>IF(OR(E6732="",E6732="!!!"),"",IF(OR(J6732=0,AND(J6732=1,K6732=1),AND(J6732=1,I6732="SBJ"),AND(J6732=1,I6732=0)),"?IN_FOCUS",IF(J6732&lt;=2,"?ACTIVATED",IF(J6732&lt;&gt;"","?FAMILIAR",IF(F6732="NEW",IF(ISNA(VLOOKUP(E6732,#REF!,1,FALSE())),"?TYPE_IDENTIFIABLE","?REFERENTIAL"),"_")))))</f>
        <v> </v>
      </c>
      <c r="H6732" s="25" t="str">
        <f>IF(J6732&lt;&gt;1,"",IF(I6732="SBJ","CB","?"))</f>
        <v> </v>
      </c>
      <c r="I6732" s="26" t="str">
        <f>IF(OR(E6732="",E6732="!!!",F6732="NEW"),"",INDEX(B6731:B$2,-1+SUMPRODUCT(MAX(ROW(E6731:E$2)*(E6732=E6731:E$2)))))</f>
        <v> </v>
      </c>
      <c r="J6732" s="26" t="str">
        <f>IF(OR(E6732="",E6732="!!!",F6732="NEW"),"",COUNTBLANK(OFFSET(A$1,,,SUMPRODUCT(MAX(ROW(E$2:E6732)*(E6732=E$2:E6732)))))-COUNTBLANK(OFFSET(A$1,,,SUMPRODUCT(MAX(ROW(E$1:E6731)*(E2=E$1:E6731))))))</f>
        <v> </v>
      </c>
      <c r="K6732" s="26" t="str">
        <f>IF(OR(E6732="",E6732="!!!",F6732="NEW"),"",INDEX(J$1:J6731,SUMPRODUCT(MAX(ROW(E$1:E6731)*(E6732=E$1:E6731)))))</f>
        <v> </v>
      </c>
      <c r="L6732" s="27"/>
    </row>
    <row r="6733" spans="1:12">
      <c r="A6733" s="20" t="s">
        <v>1193</v>
      </c>
      <c r="E6733" s="22">
        <f>IF(D6733="?OLD","!!!","")</f>
        <v/>
      </c>
      <c r="F6733" s="23" t="str">
        <f>IF(OR(E6733="",E6733="!!!"),"",IF(NOT(ISNA(VLOOKUP(E6733,E$1:E6732,1,FALSE()))),"OLD",IF(AND(E6733&lt;&gt;"",E6733&lt;&gt;"!!!"),"NEW","")))</f>
        <v> </v>
      </c>
      <c r="G6733" s="24" t="str">
        <f>IF(OR(E6733="",E6733="!!!"),"",IF(OR(J6733=0,AND(J6733=1,K6733=1),AND(J6733=1,I6733="SBJ"),AND(J6733=1,I6733=0)),"?IN_FOCUS",IF(J6733&lt;=2,"?ACTIVATED",IF(J6733&lt;&gt;"","?FAMILIAR",IF(F6733="NEW",IF(ISNA(VLOOKUP(E6733,#REF!,1,FALSE())),"?TYPE_IDENTIFIABLE","?REFERENTIAL"),"_")))))</f>
        <v> </v>
      </c>
      <c r="H6733" s="25" t="str">
        <f>IF(J6733&lt;&gt;1,"",IF(I6733="SBJ","CB","?"))</f>
        <v> </v>
      </c>
      <c r="I6733" s="26" t="str">
        <f>IF(OR(E6733="",E6733="!!!",F6733="NEW"),"",INDEX(B6732:B$2,-1+SUMPRODUCT(MAX(ROW(E6732:E$2)*(E6733=E6732:E$2)))))</f>
        <v> </v>
      </c>
      <c r="J6733" s="26" t="str">
        <f>IF(OR(E6733="",E6733="!!!",F6733="NEW"),"",COUNTBLANK(OFFSET(A$1,,,SUMPRODUCT(MAX(ROW(E$2:E6733)*(E6733=E$2:E6733)))))-COUNTBLANK(OFFSET(A$1,,,SUMPRODUCT(MAX(ROW(E$1:E6732)*(E2=E$1:E6732))))))</f>
        <v> </v>
      </c>
      <c r="K6733" s="26" t="str">
        <f>IF(OR(E6733="",E6733="!!!",F6733="NEW"),"",INDEX(J$1:J6732,SUMPRODUCT(MAX(ROW(E$1:E6732)*(E6733=E$1:E6732)))))</f>
        <v> </v>
      </c>
      <c r="L6733" s="27"/>
    </row>
    <row r="6734" spans="1:12">
      <c r="A6734" s="20" t="s">
        <v>1065</v>
      </c>
      <c r="E6734" s="22">
        <f>IF(D6734="?OLD","!!!","")</f>
        <v/>
      </c>
      <c r="F6734" s="23" t="str">
        <f>IF(OR(E6734="",E6734="!!!"),"",IF(NOT(ISNA(VLOOKUP(E6734,E$1:E6733,1,FALSE()))),"OLD",IF(AND(E6734&lt;&gt;"",E6734&lt;&gt;"!!!"),"NEW","")))</f>
        <v> </v>
      </c>
      <c r="G6734" s="24" t="str">
        <f>IF(OR(E6734="",E6734="!!!"),"",IF(OR(J6734=0,AND(J6734=1,K6734=1),AND(J6734=1,I6734="SBJ"),AND(J6734=1,I6734=0)),"?IN_FOCUS",IF(J6734&lt;=2,"?ACTIVATED",IF(J6734&lt;&gt;"","?FAMILIAR",IF(F6734="NEW",IF(ISNA(VLOOKUP(E6734,#REF!,1,FALSE())),"?TYPE_IDENTIFIABLE","?REFERENTIAL"),"_")))))</f>
        <v> </v>
      </c>
      <c r="H6734" s="25" t="str">
        <f>IF(J6734&lt;&gt;1,"",IF(I6734="SBJ","CB","?"))</f>
        <v> </v>
      </c>
      <c r="I6734" s="26" t="str">
        <f>IF(OR(E6734="",E6734="!!!",F6734="NEW"),"",INDEX(B6733:B$2,-1+SUMPRODUCT(MAX(ROW(E6733:E$2)*(E6734=E6733:E$2)))))</f>
        <v> </v>
      </c>
      <c r="J6734" s="26" t="str">
        <f>IF(OR(E6734="",E6734="!!!",F6734="NEW"),"",COUNTBLANK(OFFSET(A$1,,,SUMPRODUCT(MAX(ROW(E$2:E6734)*(E6734=E$2:E6734)))))-COUNTBLANK(OFFSET(A$1,,,SUMPRODUCT(MAX(ROW(E$1:E6733)*(E2=E$1:E6733))))))</f>
        <v> </v>
      </c>
      <c r="K6734" s="26" t="str">
        <f>IF(OR(E6734="",E6734="!!!",F6734="NEW"),"",INDEX(J$1:J6733,SUMPRODUCT(MAX(ROW(E$1:E6733)*(E6734=E$1:E6733)))))</f>
        <v> </v>
      </c>
      <c r="L6734" s="27"/>
    </row>
    <row r="6735" spans="1:12">
      <c r="A6735" s="20" t="s">
        <v>102</v>
      </c>
      <c r="E6735" s="22">
        <f>IF(D6735="?OLD","!!!","")</f>
        <v/>
      </c>
      <c r="F6735" s="23" t="str">
        <f>IF(OR(E6735="",E6735="!!!"),"",IF(NOT(ISNA(VLOOKUP(E6735,E$1:E6734,1,FALSE()))),"OLD",IF(AND(E6735&lt;&gt;"",E6735&lt;&gt;"!!!"),"NEW","")))</f>
        <v> </v>
      </c>
      <c r="G6735" s="24" t="str">
        <f>IF(OR(E6735="",E6735="!!!"),"",IF(OR(J6735=0,AND(J6735=1,K6735=1),AND(J6735=1,I6735="SBJ"),AND(J6735=1,I6735=0)),"?IN_FOCUS",IF(J6735&lt;=2,"?ACTIVATED",IF(J6735&lt;&gt;"","?FAMILIAR",IF(F6735="NEW",IF(ISNA(VLOOKUP(E6735,#REF!,1,FALSE())),"?TYPE_IDENTIFIABLE","?REFERENTIAL"),"_")))))</f>
        <v> </v>
      </c>
      <c r="H6735" s="25" t="str">
        <f>IF(J6735&lt;&gt;1,"",IF(I6735="SBJ","CB","?"))</f>
        <v> </v>
      </c>
      <c r="I6735" s="26" t="str">
        <f>IF(OR(E6735="",E6735="!!!",F6735="NEW"),"",INDEX(B6734:B$2,-1+SUMPRODUCT(MAX(ROW(E6734:E$2)*(E6735=E6734:E$2)))))</f>
        <v> </v>
      </c>
      <c r="J6735" s="26" t="str">
        <f>IF(OR(E6735="",E6735="!!!",F6735="NEW"),"",COUNTBLANK(OFFSET(A$1,,,SUMPRODUCT(MAX(ROW(E$2:E6735)*(E6735=E$2:E6735)))))-COUNTBLANK(OFFSET(A$1,,,SUMPRODUCT(MAX(ROW(E$1:E6734)*(E2=E$1:E6734))))))</f>
        <v> </v>
      </c>
      <c r="K6735" s="26" t="str">
        <f>IF(OR(E6735="",E6735="!!!",F6735="NEW"),"",INDEX(J$1:J6734,SUMPRODUCT(MAX(ROW(E$1:E6734)*(E6735=E$1:E6734)))))</f>
        <v> </v>
      </c>
      <c r="L6735" s="27"/>
    </row>
    <row r="6736" spans="1:12">
      <c r="A6736" s="20" t="s">
        <v>1204</v>
      </c>
      <c r="B6736" s="21" t="s">
        <v>1154</v>
      </c>
      <c r="C6736" s="21" t="s">
        <v>1017</v>
      </c>
      <c r="D6736" s="21" t="s">
        <v>1007</v>
      </c>
      <c r="E6736" s="22">
        <f>IF(D6736="?OLD","!!!","")</f>
        <v/>
      </c>
      <c r="F6736" s="23" t="str">
        <f>IF(OR(E6736="",E6736="!!!"),"",IF(NOT(ISNA(VLOOKUP(E6736,E$1:E6735,1,FALSE()))),"OLD",IF(AND(E6736&lt;&gt;"",E6736&lt;&gt;"!!!"),"NEW","")))</f>
        <v> </v>
      </c>
      <c r="G6736" s="24" t="str">
        <f>IF(OR(E6736="",E6736="!!!"),"",IF(OR(J6736=0,AND(J6736=1,K6736=1),AND(J6736=1,I6736="SBJ"),AND(J6736=1,I6736=0)),"?IN_FOCUS",IF(J6736&lt;=2,"?ACTIVATED",IF(J6736&lt;&gt;"","?FAMILIAR",IF(F6736="NEW",IF(ISNA(VLOOKUP(E6736,#REF!,1,FALSE())),"?TYPE_IDENTIFIABLE","?REFERENTIAL"),"_")))))</f>
        <v> </v>
      </c>
      <c r="H6736" s="25" t="str">
        <f>IF(J6736&lt;&gt;1,"",IF(I6736="SBJ","CB","?"))</f>
        <v> </v>
      </c>
      <c r="I6736" s="26" t="str">
        <f>IF(OR(E6736="",E6736="!!!",F6736="NEW"),"",INDEX(B6735:B$2,-1+SUMPRODUCT(MAX(ROW(E6735:E$2)*(E6736=E6735:E$2)))))</f>
        <v> </v>
      </c>
      <c r="J6736" s="26" t="str">
        <f>IF(OR(E6736="",E6736="!!!",F6736="NEW"),"",COUNTBLANK(OFFSET(A$1,,,SUMPRODUCT(MAX(ROW(E$2:E6736)*(E6736=E$2:E6736)))))-COUNTBLANK(OFFSET(A$1,,,SUMPRODUCT(MAX(ROW(E$1:E6735)*(E2=E$1:E6735))))))</f>
        <v> </v>
      </c>
      <c r="K6736" s="26" t="str">
        <f>IF(OR(E6736="",E6736="!!!",F6736="NEW"),"",INDEX(J$1:J6735,SUMPRODUCT(MAX(ROW(E$1:E6735)*(E6736=E$1:E6735)))))</f>
        <v> </v>
      </c>
      <c r="L6736" s="27"/>
    </row>
    <row r="6737" spans="1:12">
      <c r="A6737" s="20" t="s">
        <v>1595</v>
      </c>
      <c r="E6737" s="22">
        <f>IF(D6737="?OLD","!!!","")</f>
        <v/>
      </c>
      <c r="F6737" s="23" t="str">
        <f>IF(OR(E6737="",E6737="!!!"),"",IF(NOT(ISNA(VLOOKUP(E6737,E$1:E6736,1,FALSE()))),"OLD",IF(AND(E6737&lt;&gt;"",E6737&lt;&gt;"!!!"),"NEW","")))</f>
        <v> </v>
      </c>
      <c r="G6737" s="24" t="str">
        <f>IF(OR(E6737="",E6737="!!!"),"",IF(OR(J6737=0,AND(J6737=1,K6737=1),AND(J6737=1,I6737="SBJ"),AND(J6737=1,I6737=0)),"?IN_FOCUS",IF(J6737&lt;=2,"?ACTIVATED",IF(J6737&lt;&gt;"","?FAMILIAR",IF(F6737="NEW",IF(ISNA(VLOOKUP(E6737,#REF!,1,FALSE())),"?TYPE_IDENTIFIABLE","?REFERENTIAL"),"_")))))</f>
        <v> </v>
      </c>
      <c r="H6737" s="25" t="str">
        <f>IF(J6737&lt;&gt;1,"",IF(I6737="SBJ","CB","?"))</f>
        <v> </v>
      </c>
      <c r="I6737" s="26" t="str">
        <f>IF(OR(E6737="",E6737="!!!",F6737="NEW"),"",INDEX(B6736:B$2,-1+SUMPRODUCT(MAX(ROW(E6736:E$2)*(E6737=E6736:E$2)))))</f>
        <v> </v>
      </c>
      <c r="J6737" s="26" t="str">
        <f>IF(OR(E6737="",E6737="!!!",F6737="NEW"),"",COUNTBLANK(OFFSET(A$1,,,SUMPRODUCT(MAX(ROW(E$2:E6737)*(E6737=E$2:E6737)))))-COUNTBLANK(OFFSET(A$1,,,SUMPRODUCT(MAX(ROW(E$1:E6736)*(E2=E$1:E6736))))))</f>
        <v> </v>
      </c>
      <c r="K6737" s="26" t="str">
        <f>IF(OR(E6737="",E6737="!!!",F6737="NEW"),"",INDEX(J$1:J6736,SUMPRODUCT(MAX(ROW(E$1:E6736)*(E6737=E$1:E6736)))))</f>
        <v> </v>
      </c>
      <c r="L6737" s="27"/>
    </row>
    <row r="6738" spans="1:12">
      <c r="A6738" s="20" t="s">
        <v>1397</v>
      </c>
      <c r="E6738" s="22">
        <f>IF(D6738="?OLD","!!!","")</f>
        <v/>
      </c>
      <c r="F6738" s="23" t="str">
        <f>IF(OR(E6738="",E6738="!!!"),"",IF(NOT(ISNA(VLOOKUP(E6738,E$1:E6737,1,FALSE()))),"OLD",IF(AND(E6738&lt;&gt;"",E6738&lt;&gt;"!!!"),"NEW","")))</f>
        <v> </v>
      </c>
      <c r="G6738" s="24" t="str">
        <f>IF(OR(E6738="",E6738="!!!"),"",IF(OR(J6738=0,AND(J6738=1,K6738=1),AND(J6738=1,I6738="SBJ"),AND(J6738=1,I6738=0)),"?IN_FOCUS",IF(J6738&lt;=2,"?ACTIVATED",IF(J6738&lt;&gt;"","?FAMILIAR",IF(F6738="NEW",IF(ISNA(VLOOKUP(E6738,#REF!,1,FALSE())),"?TYPE_IDENTIFIABLE","?REFERENTIAL"),"_")))))</f>
        <v> </v>
      </c>
      <c r="H6738" s="25" t="str">
        <f>IF(J6738&lt;&gt;1,"",IF(I6738="SBJ","CB","?"))</f>
        <v> </v>
      </c>
      <c r="I6738" s="26" t="str">
        <f>IF(OR(E6738="",E6738="!!!",F6738="NEW"),"",INDEX(B6737:B$2,-1+SUMPRODUCT(MAX(ROW(E6737:E$2)*(E6738=E6737:E$2)))))</f>
        <v> </v>
      </c>
      <c r="J6738" s="26" t="str">
        <f>IF(OR(E6738="",E6738="!!!",F6738="NEW"),"",COUNTBLANK(OFFSET(A$1,,,SUMPRODUCT(MAX(ROW(E$2:E6738)*(E6738=E$2:E6738)))))-COUNTBLANK(OFFSET(A$1,,,SUMPRODUCT(MAX(ROW(E$1:E6737)*(E2=E$1:E6737))))))</f>
        <v> </v>
      </c>
      <c r="K6738" s="26" t="str">
        <f>IF(OR(E6738="",E6738="!!!",F6738="NEW"),"",INDEX(J$1:J6737,SUMPRODUCT(MAX(ROW(E$1:E6737)*(E6738=E$1:E6737)))))</f>
        <v> </v>
      </c>
      <c r="L6738" s="27"/>
    </row>
    <row r="6739" spans="1:12">
      <c r="A6739" s="20" t="s">
        <v>1324</v>
      </c>
      <c r="E6739" s="22">
        <f>IF(D6739="?OLD","!!!","")</f>
        <v/>
      </c>
      <c r="F6739" s="23" t="str">
        <f>IF(OR(E6739="",E6739="!!!"),"",IF(NOT(ISNA(VLOOKUP(E6739,E$1:E6738,1,FALSE()))),"OLD",IF(AND(E6739&lt;&gt;"",E6739&lt;&gt;"!!!"),"NEW","")))</f>
        <v> </v>
      </c>
      <c r="G6739" s="24" t="str">
        <f>IF(OR(E6739="",E6739="!!!"),"",IF(OR(J6739=0,AND(J6739=1,K6739=1),AND(J6739=1,I6739="SBJ"),AND(J6739=1,I6739=0)),"?IN_FOCUS",IF(J6739&lt;=2,"?ACTIVATED",IF(J6739&lt;&gt;"","?FAMILIAR",IF(F6739="NEW",IF(ISNA(VLOOKUP(E6739,#REF!,1,FALSE())),"?TYPE_IDENTIFIABLE","?REFERENTIAL"),"_")))))</f>
        <v> </v>
      </c>
      <c r="H6739" s="25" t="str">
        <f>IF(J6739&lt;&gt;1,"",IF(I6739="SBJ","CB","?"))</f>
        <v> </v>
      </c>
      <c r="I6739" s="26" t="str">
        <f>IF(OR(E6739="",E6739="!!!",F6739="NEW"),"",INDEX(B6738:B$2,-1+SUMPRODUCT(MAX(ROW(E6738:E$2)*(E6739=E6738:E$2)))))</f>
        <v> </v>
      </c>
      <c r="J6739" s="26" t="str">
        <f>IF(OR(E6739="",E6739="!!!",F6739="NEW"),"",COUNTBLANK(OFFSET(A$1,,,SUMPRODUCT(MAX(ROW(E$2:E6739)*(E6739=E$2:E6739)))))-COUNTBLANK(OFFSET(A$1,,,SUMPRODUCT(MAX(ROW(E$1:E6738)*(E2=E$1:E6738))))))</f>
        <v> </v>
      </c>
      <c r="K6739" s="26" t="str">
        <f>IF(OR(E6739="",E6739="!!!",F6739="NEW"),"",INDEX(J$1:J6738,SUMPRODUCT(MAX(ROW(E$1:E6738)*(E6739=E$1:E6738)))))</f>
        <v> </v>
      </c>
      <c r="L6739" s="27"/>
    </row>
    <row r="6740" spans="1:12">
      <c r="A6740" s="20" t="s">
        <v>1421</v>
      </c>
      <c r="B6740" s="21" t="s">
        <v>1022</v>
      </c>
      <c r="C6740" s="21" t="s">
        <v>1013</v>
      </c>
      <c r="D6740" s="21" t="s">
        <v>1007</v>
      </c>
      <c r="E6740" s="22">
        <f>IF(D6740="?OLD","!!!","")</f>
        <v/>
      </c>
      <c r="F6740" s="23" t="str">
        <f>IF(OR(E6740="",E6740="!!!"),"",IF(NOT(ISNA(VLOOKUP(E6740,E$1:E6739,1,FALSE()))),"OLD",IF(AND(E6740&lt;&gt;"",E6740&lt;&gt;"!!!"),"NEW","")))</f>
        <v> </v>
      </c>
      <c r="G6740" s="24" t="str">
        <f>IF(OR(E6740="",E6740="!!!"),"",IF(OR(J6740=0,AND(J6740=1,K6740=1),AND(J6740=1,I6740="SBJ"),AND(J6740=1,I6740=0)),"?IN_FOCUS",IF(J6740&lt;=2,"?ACTIVATED",IF(J6740&lt;&gt;"","?FAMILIAR",IF(F6740="NEW",IF(ISNA(VLOOKUP(E6740,#REF!,1,FALSE())),"?TYPE_IDENTIFIABLE","?REFERENTIAL"),"_")))))</f>
        <v> </v>
      </c>
      <c r="H6740" s="25" t="str">
        <f>IF(J6740&lt;&gt;1,"",IF(I6740="SBJ","CB","?"))</f>
        <v> </v>
      </c>
      <c r="I6740" s="26" t="str">
        <f>IF(OR(E6740="",E6740="!!!",F6740="NEW"),"",INDEX(B6739:B$2,-1+SUMPRODUCT(MAX(ROW(E6739:E$2)*(E6740=E6739:E$2)))))</f>
        <v> </v>
      </c>
      <c r="J6740" s="26" t="str">
        <f>IF(OR(E6740="",E6740="!!!",F6740="NEW"),"",COUNTBLANK(OFFSET(A$1,,,SUMPRODUCT(MAX(ROW(E$2:E6740)*(E6740=E$2:E6740)))))-COUNTBLANK(OFFSET(A$1,,,SUMPRODUCT(MAX(ROW(E$1:E6739)*(E2=E$1:E6739))))))</f>
        <v> </v>
      </c>
      <c r="K6740" s="26" t="str">
        <f>IF(OR(E6740="",E6740="!!!",F6740="NEW"),"",INDEX(J$1:J6739,SUMPRODUCT(MAX(ROW(E$1:E6739)*(E6740=E$1:E6739)))))</f>
        <v> </v>
      </c>
      <c r="L6740" s="27"/>
    </row>
    <row r="6741" spans="1:12">
      <c r="A6741" s="20" t="s">
        <v>1014</v>
      </c>
      <c r="E6741" s="22">
        <f>IF(D6741="?OLD","!!!","")</f>
        <v/>
      </c>
      <c r="F6741" s="23" t="str">
        <f>IF(OR(E6741="",E6741="!!!"),"",IF(NOT(ISNA(VLOOKUP(E6741,E$1:E6740,1,FALSE()))),"OLD",IF(AND(E6741&lt;&gt;"",E6741&lt;&gt;"!!!"),"NEW","")))</f>
        <v> </v>
      </c>
      <c r="G6741" s="24" t="str">
        <f>IF(OR(E6741="",E6741="!!!"),"",IF(OR(J6741=0,AND(J6741=1,K6741=1),AND(J6741=1,I6741="SBJ"),AND(J6741=1,I6741=0)),"?IN_FOCUS",IF(J6741&lt;=2,"?ACTIVATED",IF(J6741&lt;&gt;"","?FAMILIAR",IF(F6741="NEW",IF(ISNA(VLOOKUP(E6741,#REF!,1,FALSE())),"?TYPE_IDENTIFIABLE","?REFERENTIAL"),"_")))))</f>
        <v> </v>
      </c>
      <c r="H6741" s="25" t="str">
        <f>IF(J6741&lt;&gt;1,"",IF(I6741="SBJ","CB","?"))</f>
        <v> </v>
      </c>
      <c r="I6741" s="26" t="str">
        <f>IF(OR(E6741="",E6741="!!!",F6741="NEW"),"",INDEX(B6740:B$2,-1+SUMPRODUCT(MAX(ROW(E6740:E$2)*(E6741=E6740:E$2)))))</f>
        <v> </v>
      </c>
      <c r="J6741" s="26" t="str">
        <f>IF(OR(E6741="",E6741="!!!",F6741="NEW"),"",COUNTBLANK(OFFSET(A$1,,,SUMPRODUCT(MAX(ROW(E$2:E6741)*(E6741=E$2:E6741)))))-COUNTBLANK(OFFSET(A$1,,,SUMPRODUCT(MAX(ROW(E$1:E6740)*(E2=E$1:E6740))))))</f>
        <v> </v>
      </c>
      <c r="K6741" s="26" t="str">
        <f>IF(OR(E6741="",E6741="!!!",F6741="NEW"),"",INDEX(J$1:J6740,SUMPRODUCT(MAX(ROW(E$1:E6740)*(E6741=E$1:E6740)))))</f>
        <v> </v>
      </c>
      <c r="L6741" s="27"/>
    </row>
    <row r="6742" spans="1:12">
      <c r="A6742" s="20" t="s">
        <v>1820</v>
      </c>
      <c r="B6742" s="21" t="s">
        <v>1033</v>
      </c>
      <c r="C6742" s="21" t="s">
        <v>1013</v>
      </c>
      <c r="D6742" s="21" t="s">
        <v>1007</v>
      </c>
      <c r="E6742" s="22">
        <f>IF(D6742="?OLD","!!!","")</f>
        <v/>
      </c>
      <c r="F6742" s="23" t="str">
        <f>IF(OR(E6742="",E6742="!!!"),"",IF(NOT(ISNA(VLOOKUP(E6742,E$1:E6741,1,FALSE()))),"OLD",IF(AND(E6742&lt;&gt;"",E6742&lt;&gt;"!!!"),"NEW","")))</f>
        <v> </v>
      </c>
      <c r="G6742" s="24" t="str">
        <f>IF(OR(E6742="",E6742="!!!"),"",IF(OR(J6742=0,AND(J6742=1,K6742=1),AND(J6742=1,I6742="SBJ"),AND(J6742=1,I6742=0)),"?IN_FOCUS",IF(J6742&lt;=2,"?ACTIVATED",IF(J6742&lt;&gt;"","?FAMILIAR",IF(F6742="NEW",IF(ISNA(VLOOKUP(E6742,#REF!,1,FALSE())),"?TYPE_IDENTIFIABLE","?REFERENTIAL"),"_")))))</f>
        <v> </v>
      </c>
      <c r="H6742" s="25" t="str">
        <f>IF(J6742&lt;&gt;1,"",IF(I6742="SBJ","CB","?"))</f>
        <v> </v>
      </c>
      <c r="I6742" s="26" t="str">
        <f>IF(OR(E6742="",E6742="!!!",F6742="NEW"),"",INDEX(B6741:B$2,-1+SUMPRODUCT(MAX(ROW(E6741:E$2)*(E6742=E6741:E$2)))))</f>
        <v> </v>
      </c>
      <c r="J6742" s="26" t="str">
        <f>IF(OR(E6742="",E6742="!!!",F6742="NEW"),"",COUNTBLANK(OFFSET(A$1,,,SUMPRODUCT(MAX(ROW(E$2:E6742)*(E6742=E$2:E6742)))))-COUNTBLANK(OFFSET(A$1,,,SUMPRODUCT(MAX(ROW(E$1:E6741)*(E2=E$1:E6741))))))</f>
        <v> </v>
      </c>
      <c r="K6742" s="26" t="str">
        <f>IF(OR(E6742="",E6742="!!!",F6742="NEW"),"",INDEX(J$1:J6741,SUMPRODUCT(MAX(ROW(E$1:E6741)*(E6742=E$1:E6741)))))</f>
        <v> </v>
      </c>
      <c r="L6742" s="27"/>
    </row>
    <row r="6743" spans="1:12">
      <c r="A6743" s="20" t="s">
        <v>1097</v>
      </c>
      <c r="E6743" s="22">
        <f>IF(D6743="?OLD","!!!","")</f>
        <v/>
      </c>
      <c r="F6743" s="23" t="str">
        <f>IF(OR(E6743="",E6743="!!!"),"",IF(NOT(ISNA(VLOOKUP(E6743,E$1:E6742,1,FALSE()))),"OLD",IF(AND(E6743&lt;&gt;"",E6743&lt;&gt;"!!!"),"NEW","")))</f>
        <v> </v>
      </c>
      <c r="G6743" s="24" t="str">
        <f>IF(OR(E6743="",E6743="!!!"),"",IF(OR(J6743=0,AND(J6743=1,K6743=1),AND(J6743=1,I6743="SBJ"),AND(J6743=1,I6743=0)),"?IN_FOCUS",IF(J6743&lt;=2,"?ACTIVATED",IF(J6743&lt;&gt;"","?FAMILIAR",IF(F6743="NEW",IF(ISNA(VLOOKUP(E6743,#REF!,1,FALSE())),"?TYPE_IDENTIFIABLE","?REFERENTIAL"),"_")))))</f>
        <v> </v>
      </c>
      <c r="H6743" s="25" t="str">
        <f>IF(J6743&lt;&gt;1,"",IF(I6743="SBJ","CB","?"))</f>
        <v> </v>
      </c>
      <c r="I6743" s="26" t="str">
        <f>IF(OR(E6743="",E6743="!!!",F6743="NEW"),"",INDEX(B6742:B$2,-1+SUMPRODUCT(MAX(ROW(E6742:E$2)*(E6743=E6742:E$2)))))</f>
        <v> </v>
      </c>
      <c r="J6743" s="26" t="str">
        <f>IF(OR(E6743="",E6743="!!!",F6743="NEW"),"",COUNTBLANK(OFFSET(A$1,,,SUMPRODUCT(MAX(ROW(E$2:E6743)*(E6743=E$2:E6743)))))-COUNTBLANK(OFFSET(A$1,,,SUMPRODUCT(MAX(ROW(E$1:E6742)*(E2=E$1:E6742))))))</f>
        <v> </v>
      </c>
      <c r="K6743" s="26" t="str">
        <f>IF(OR(E6743="",E6743="!!!",F6743="NEW"),"",INDEX(J$1:J6742,SUMPRODUCT(MAX(ROW(E$1:E6742)*(E6743=E$1:E6742)))))</f>
        <v> </v>
      </c>
      <c r="L6743" s="27"/>
    </row>
    <row r="6744" spans="1:12">
      <c r="A6744" s="20" t="s">
        <v>102</v>
      </c>
      <c r="E6744" s="22">
        <f>IF(D6744="?OLD","!!!","")</f>
        <v/>
      </c>
      <c r="F6744" s="23" t="str">
        <f>IF(OR(E6744="",E6744="!!!"),"",IF(NOT(ISNA(VLOOKUP(E6744,E$1:E6743,1,FALSE()))),"OLD",IF(AND(E6744&lt;&gt;"",E6744&lt;&gt;"!!!"),"NEW","")))</f>
        <v> </v>
      </c>
      <c r="G6744" s="24" t="str">
        <f>IF(OR(E6744="",E6744="!!!"),"",IF(OR(J6744=0,AND(J6744=1,K6744=1),AND(J6744=1,I6744="SBJ"),AND(J6744=1,I6744=0)),"?IN_FOCUS",IF(J6744&lt;=2,"?ACTIVATED",IF(J6744&lt;&gt;"","?FAMILIAR",IF(F6744="NEW",IF(ISNA(VLOOKUP(E6744,#REF!,1,FALSE())),"?TYPE_IDENTIFIABLE","?REFERENTIAL"),"_")))))</f>
        <v> </v>
      </c>
      <c r="H6744" s="25" t="str">
        <f>IF(J6744&lt;&gt;1,"",IF(I6744="SBJ","CB","?"))</f>
        <v> </v>
      </c>
      <c r="I6744" s="26" t="str">
        <f>IF(OR(E6744="",E6744="!!!",F6744="NEW"),"",INDEX(B6743:B$2,-1+SUMPRODUCT(MAX(ROW(E6743:E$2)*(E6744=E6743:E$2)))))</f>
        <v> </v>
      </c>
      <c r="J6744" s="26" t="str">
        <f>IF(OR(E6744="",E6744="!!!",F6744="NEW"),"",COUNTBLANK(OFFSET(A$1,,,SUMPRODUCT(MAX(ROW(E$2:E6744)*(E6744=E$2:E6744)))))-COUNTBLANK(OFFSET(A$1,,,SUMPRODUCT(MAX(ROW(E$1:E6743)*(E2=E$1:E6743))))))</f>
        <v> </v>
      </c>
      <c r="K6744" s="26" t="str">
        <f>IF(OR(E6744="",E6744="!!!",F6744="NEW"),"",INDEX(J$1:J6743,SUMPRODUCT(MAX(ROW(E$1:E6743)*(E6744=E$1:E6743)))))</f>
        <v> </v>
      </c>
      <c r="L6744" s="27"/>
    </row>
    <row r="6745" spans="1:12">
      <c r="A6745" s="20" t="s">
        <v>1801</v>
      </c>
      <c r="B6745" s="21" t="s">
        <v>1035</v>
      </c>
      <c r="C6745" s="21" t="s">
        <v>1017</v>
      </c>
      <c r="D6745" s="21" t="s">
        <v>1007</v>
      </c>
      <c r="E6745" s="22">
        <f>IF(D6745="?OLD","!!!","")</f>
        <v/>
      </c>
      <c r="F6745" s="23" t="str">
        <f>IF(OR(E6745="",E6745="!!!"),"",IF(NOT(ISNA(VLOOKUP(E6745,E$1:E6744,1,FALSE()))),"OLD",IF(AND(E6745&lt;&gt;"",E6745&lt;&gt;"!!!"),"NEW","")))</f>
        <v> </v>
      </c>
      <c r="G6745" s="24" t="str">
        <f>IF(OR(E6745="",E6745="!!!"),"",IF(OR(J6745=0,AND(J6745=1,K6745=1),AND(J6745=1,I6745="SBJ"),AND(J6745=1,I6745=0)),"?IN_FOCUS",IF(J6745&lt;=2,"?ACTIVATED",IF(J6745&lt;&gt;"","?FAMILIAR",IF(F6745="NEW",IF(ISNA(VLOOKUP(E6745,#REF!,1,FALSE())),"?TYPE_IDENTIFIABLE","?REFERENTIAL"),"_")))))</f>
        <v> </v>
      </c>
      <c r="H6745" s="25" t="str">
        <f>IF(J6745&lt;&gt;1,"",IF(I6745="SBJ","CB","?"))</f>
        <v> </v>
      </c>
      <c r="I6745" s="26" t="str">
        <f>IF(OR(E6745="",E6745="!!!",F6745="NEW"),"",INDEX(B6744:B$2,-1+SUMPRODUCT(MAX(ROW(E6744:E$2)*(E6745=E6744:E$2)))))</f>
        <v> </v>
      </c>
      <c r="J6745" s="26" t="str">
        <f>IF(OR(E6745="",E6745="!!!",F6745="NEW"),"",COUNTBLANK(OFFSET(A$1,,,SUMPRODUCT(MAX(ROW(E$2:E6745)*(E6745=E$2:E6745)))))-COUNTBLANK(OFFSET(A$1,,,SUMPRODUCT(MAX(ROW(E$1:E6744)*(E2=E$1:E6744))))))</f>
        <v> </v>
      </c>
      <c r="K6745" s="26" t="str">
        <f>IF(OR(E6745="",E6745="!!!",F6745="NEW"),"",INDEX(J$1:J6744,SUMPRODUCT(MAX(ROW(E$1:E6744)*(E6745=E$1:E6744)))))</f>
        <v> </v>
      </c>
      <c r="L6745" s="27"/>
    </row>
    <row r="6746" spans="1:12">
      <c r="A6746" s="20" t="s">
        <v>1014</v>
      </c>
      <c r="E6746" s="22">
        <f>IF(D6746="?OLD","!!!","")</f>
        <v/>
      </c>
      <c r="F6746" s="23" t="str">
        <f>IF(OR(E6746="",E6746="!!!"),"",IF(NOT(ISNA(VLOOKUP(E6746,E$1:E6745,1,FALSE()))),"OLD",IF(AND(E6746&lt;&gt;"",E6746&lt;&gt;"!!!"),"NEW","")))</f>
        <v> </v>
      </c>
      <c r="G6746" s="24" t="str">
        <f>IF(OR(E6746="",E6746="!!!"),"",IF(OR(J6746=0,AND(J6746=1,K6746=1),AND(J6746=1,I6746="SBJ"),AND(J6746=1,I6746=0)),"?IN_FOCUS",IF(J6746&lt;=2,"?ACTIVATED",IF(J6746&lt;&gt;"","?FAMILIAR",IF(F6746="NEW",IF(ISNA(VLOOKUP(E6746,#REF!,1,FALSE())),"?TYPE_IDENTIFIABLE","?REFERENTIAL"),"_")))))</f>
        <v> </v>
      </c>
      <c r="H6746" s="25" t="str">
        <f>IF(J6746&lt;&gt;1,"",IF(I6746="SBJ","CB","?"))</f>
        <v> </v>
      </c>
      <c r="I6746" s="26" t="str">
        <f>IF(OR(E6746="",E6746="!!!",F6746="NEW"),"",INDEX(B6745:B$2,-1+SUMPRODUCT(MAX(ROW(E6745:E$2)*(E6746=E6745:E$2)))))</f>
        <v> </v>
      </c>
      <c r="J6746" s="26" t="str">
        <f>IF(OR(E6746="",E6746="!!!",F6746="NEW"),"",COUNTBLANK(OFFSET(A$1,,,SUMPRODUCT(MAX(ROW(E$2:E6746)*(E6746=E$2:E6746)))))-COUNTBLANK(OFFSET(A$1,,,SUMPRODUCT(MAX(ROW(E$1:E6745)*(E2=E$1:E6745))))))</f>
        <v> </v>
      </c>
      <c r="K6746" s="26" t="str">
        <f>IF(OR(E6746="",E6746="!!!",F6746="NEW"),"",INDEX(J$1:J6745,SUMPRODUCT(MAX(ROW(E$1:E6745)*(E6746=E$1:E6745)))))</f>
        <v> </v>
      </c>
      <c r="L6746" s="27"/>
    </row>
    <row r="6747" spans="1:12">
      <c r="A6747" s="20" t="s">
        <v>1020</v>
      </c>
      <c r="E6747" s="22">
        <f>IF(D6747="?OLD","!!!","")</f>
        <v/>
      </c>
      <c r="F6747" s="23" t="str">
        <f>IF(OR(E6747="",E6747="!!!"),"",IF(NOT(ISNA(VLOOKUP(E6747,E$1:E6746,1,FALSE()))),"OLD",IF(AND(E6747&lt;&gt;"",E6747&lt;&gt;"!!!"),"NEW","")))</f>
        <v> </v>
      </c>
      <c r="G6747" s="24" t="str">
        <f>IF(OR(E6747="",E6747="!!!"),"",IF(OR(J6747=0,AND(J6747=1,K6747=1),AND(J6747=1,I6747="SBJ"),AND(J6747=1,I6747=0)),"?IN_FOCUS",IF(J6747&lt;=2,"?ACTIVATED",IF(J6747&lt;&gt;"","?FAMILIAR",IF(F6747="NEW",IF(ISNA(VLOOKUP(E6747,#REF!,1,FALSE())),"?TYPE_IDENTIFIABLE","?REFERENTIAL"),"_")))))</f>
        <v> </v>
      </c>
      <c r="H6747" s="25" t="str">
        <f>IF(J6747&lt;&gt;1,"",IF(I6747="SBJ","CB","?"))</f>
        <v> </v>
      </c>
      <c r="I6747" s="26" t="str">
        <f>IF(OR(E6747="",E6747="!!!",F6747="NEW"),"",INDEX(B6746:B$2,-1+SUMPRODUCT(MAX(ROW(E6746:E$2)*(E6747=E6746:E$2)))))</f>
        <v> </v>
      </c>
      <c r="J6747" s="26" t="str">
        <f>IF(OR(E6747="",E6747="!!!",F6747="NEW"),"",COUNTBLANK(OFFSET(A$1,,,SUMPRODUCT(MAX(ROW(E$2:E6747)*(E6747=E$2:E6747)))))-COUNTBLANK(OFFSET(A$1,,,SUMPRODUCT(MAX(ROW(E$1:E6746)*(E2=E$1:E6746))))))</f>
        <v> </v>
      </c>
      <c r="K6747" s="26" t="str">
        <f>IF(OR(E6747="",E6747="!!!",F6747="NEW"),"",INDEX(J$1:J6746,SUMPRODUCT(MAX(ROW(E$1:E6746)*(E6747=E$1:E6746)))))</f>
        <v> </v>
      </c>
      <c r="L6747" s="27"/>
    </row>
    <row r="6748" spans="1:12">
      <c r="A6748" s="20" t="s">
        <v>2728</v>
      </c>
      <c r="B6748" s="21" t="s">
        <v>1067</v>
      </c>
      <c r="C6748" s="21" t="s">
        <v>1017</v>
      </c>
      <c r="D6748" s="21" t="s">
        <v>1007</v>
      </c>
      <c r="E6748" s="22">
        <f>IF(D6748="?OLD","!!!","")</f>
        <v/>
      </c>
      <c r="F6748" s="23" t="str">
        <f>IF(OR(E6748="",E6748="!!!"),"",IF(NOT(ISNA(VLOOKUP(E6748,E$1:E6747,1,FALSE()))),"OLD",IF(AND(E6748&lt;&gt;"",E6748&lt;&gt;"!!!"),"NEW","")))</f>
        <v> </v>
      </c>
      <c r="G6748" s="24" t="str">
        <f>IF(OR(E6748="",E6748="!!!"),"",IF(OR(J6748=0,AND(J6748=1,K6748=1),AND(J6748=1,I6748="SBJ"),AND(J6748=1,I6748=0)),"?IN_FOCUS",IF(J6748&lt;=2,"?ACTIVATED",IF(J6748&lt;&gt;"","?FAMILIAR",IF(F6748="NEW",IF(ISNA(VLOOKUP(E6748,#REF!,1,FALSE())),"?TYPE_IDENTIFIABLE","?REFERENTIAL"),"_")))))</f>
        <v> </v>
      </c>
      <c r="H6748" s="25" t="str">
        <f>IF(J6748&lt;&gt;1,"",IF(I6748="SBJ","CB","?"))</f>
        <v> </v>
      </c>
      <c r="I6748" s="26" t="str">
        <f>IF(OR(E6748="",E6748="!!!",F6748="NEW"),"",INDEX(B6747:B$2,-1+SUMPRODUCT(MAX(ROW(E6747:E$2)*(E6748=E6747:E$2)))))</f>
        <v> </v>
      </c>
      <c r="J6748" s="26" t="str">
        <f>IF(OR(E6748="",E6748="!!!",F6748="NEW"),"",COUNTBLANK(OFFSET(A$1,,,SUMPRODUCT(MAX(ROW(E$2:E6748)*(E6748=E$2:E6748)))))-COUNTBLANK(OFFSET(A$1,,,SUMPRODUCT(MAX(ROW(E$1:E6747)*(E2=E$1:E6747))))))</f>
        <v> </v>
      </c>
      <c r="K6748" s="26" t="str">
        <f>IF(OR(E6748="",E6748="!!!",F6748="NEW"),"",INDEX(J$1:J6747,SUMPRODUCT(MAX(ROW(E$1:E6747)*(E6748=E$1:E6747)))))</f>
        <v> </v>
      </c>
      <c r="L6748" s="27"/>
    </row>
    <row r="6749" spans="1:12">
      <c r="A6749" s="20" t="s">
        <v>70</v>
      </c>
      <c r="E6749" s="22">
        <f>IF(D6749="?OLD","!!!","")</f>
        <v/>
      </c>
      <c r="F6749" s="23" t="str">
        <f>IF(OR(E6749="",E6749="!!!"),"",IF(NOT(ISNA(VLOOKUP(E6749,E$1:E6748,1,FALSE()))),"OLD",IF(AND(E6749&lt;&gt;"",E6749&lt;&gt;"!!!"),"NEW","")))</f>
        <v> </v>
      </c>
      <c r="G6749" s="24" t="str">
        <f>IF(OR(E6749="",E6749="!!!"),"",IF(OR(J6749=0,AND(J6749=1,K6749=1),AND(J6749=1,I6749="SBJ"),AND(J6749=1,I6749=0)),"?IN_FOCUS",IF(J6749&lt;=2,"?ACTIVATED",IF(J6749&lt;&gt;"","?FAMILIAR",IF(F6749="NEW",IF(ISNA(VLOOKUP(E6749,#REF!,1,FALSE())),"?TYPE_IDENTIFIABLE","?REFERENTIAL"),"_")))))</f>
        <v> </v>
      </c>
      <c r="H6749" s="25" t="str">
        <f>IF(J6749&lt;&gt;1,"",IF(I6749="SBJ","CB","?"))</f>
        <v> </v>
      </c>
      <c r="I6749" s="26" t="str">
        <f>IF(OR(E6749="",E6749="!!!",F6749="NEW"),"",INDEX(B6748:B$2,-1+SUMPRODUCT(MAX(ROW(E6748:E$2)*(E6749=E6748:E$2)))))</f>
        <v> </v>
      </c>
      <c r="J6749" s="26" t="str">
        <f>IF(OR(E6749="",E6749="!!!",F6749="NEW"),"",COUNTBLANK(OFFSET(A$1,,,SUMPRODUCT(MAX(ROW(E$2:E6749)*(E6749=E$2:E6749)))))-COUNTBLANK(OFFSET(A$1,,,SUMPRODUCT(MAX(ROW(E$1:E6748)*(E2=E$1:E6748))))))</f>
        <v> </v>
      </c>
      <c r="K6749" s="26" t="str">
        <f>IF(OR(E6749="",E6749="!!!",F6749="NEW"),"",INDEX(J$1:J6748,SUMPRODUCT(MAX(ROW(E$1:E6748)*(E6749=E$1:E6748)))))</f>
        <v> </v>
      </c>
      <c r="L6749" s="27"/>
    </row>
    <row r="6750" spans="1:12">
      <c r="A6750" s="20" t="s">
        <v>2729</v>
      </c>
      <c r="E6750" s="22">
        <f>IF(D6750="?OLD","!!!","")</f>
        <v/>
      </c>
      <c r="F6750" s="23" t="str">
        <f>IF(OR(E6750="",E6750="!!!"),"",IF(NOT(ISNA(VLOOKUP(E6750,E$1:E6749,1,FALSE()))),"OLD",IF(AND(E6750&lt;&gt;"",E6750&lt;&gt;"!!!"),"NEW","")))</f>
        <v> </v>
      </c>
      <c r="G6750" s="24" t="str">
        <f>IF(OR(E6750="",E6750="!!!"),"",IF(OR(J6750=0,AND(J6750=1,K6750=1),AND(J6750=1,I6750="SBJ"),AND(J6750=1,I6750=0)),"?IN_FOCUS",IF(J6750&lt;=2,"?ACTIVATED",IF(J6750&lt;&gt;"","?FAMILIAR",IF(F6750="NEW",IF(ISNA(VLOOKUP(E6750,#REF!,1,FALSE())),"?TYPE_IDENTIFIABLE","?REFERENTIAL"),"_")))))</f>
        <v> </v>
      </c>
      <c r="H6750" s="25" t="str">
        <f>IF(J6750&lt;&gt;1,"",IF(I6750="SBJ","CB","?"))</f>
        <v> </v>
      </c>
      <c r="I6750" s="26" t="str">
        <f>IF(OR(E6750="",E6750="!!!",F6750="NEW"),"",INDEX(B6749:B$2,-1+SUMPRODUCT(MAX(ROW(E6749:E$2)*(E6750=E6749:E$2)))))</f>
        <v> </v>
      </c>
      <c r="J6750" s="26" t="str">
        <f>IF(OR(E6750="",E6750="!!!",F6750="NEW"),"",COUNTBLANK(OFFSET(A$1,,,SUMPRODUCT(MAX(ROW(E$2:E6750)*(E6750=E$2:E6750)))))-COUNTBLANK(OFFSET(A$1,,,SUMPRODUCT(MAX(ROW(E$1:E6749)*(E2=E$1:E6749))))))</f>
        <v> </v>
      </c>
      <c r="K6750" s="26" t="str">
        <f>IF(OR(E6750="",E6750="!!!",F6750="NEW"),"",INDEX(J$1:J6749,SUMPRODUCT(MAX(ROW(E$1:E6749)*(E6750=E$1:E6749)))))</f>
        <v> </v>
      </c>
      <c r="L6750" s="27"/>
    </row>
    <row r="6751" spans="1:12">
      <c r="A6751" s="20" t="s">
        <v>1036</v>
      </c>
      <c r="E6751" s="22">
        <f>IF(D6751="?OLD","!!!","")</f>
        <v/>
      </c>
      <c r="F6751" s="23" t="str">
        <f>IF(OR(E6751="",E6751="!!!"),"",IF(NOT(ISNA(VLOOKUP(E6751,E$1:E6750,1,FALSE()))),"OLD",IF(AND(E6751&lt;&gt;"",E6751&lt;&gt;"!!!"),"NEW","")))</f>
        <v> </v>
      </c>
      <c r="G6751" s="24" t="str">
        <f>IF(OR(E6751="",E6751="!!!"),"",IF(OR(J6751=0,AND(J6751=1,K6751=1),AND(J6751=1,I6751="SBJ"),AND(J6751=1,I6751=0)),"?IN_FOCUS",IF(J6751&lt;=2,"?ACTIVATED",IF(J6751&lt;&gt;"","?FAMILIAR",IF(F6751="NEW",IF(ISNA(VLOOKUP(E6751,#REF!,1,FALSE())),"?TYPE_IDENTIFIABLE","?REFERENTIAL"),"_")))))</f>
        <v> </v>
      </c>
      <c r="H6751" s="25" t="str">
        <f>IF(J6751&lt;&gt;1,"",IF(I6751="SBJ","CB","?"))</f>
        <v> </v>
      </c>
      <c r="I6751" s="26" t="str">
        <f>IF(OR(E6751="",E6751="!!!",F6751="NEW"),"",INDEX(B6750:B$2,-1+SUMPRODUCT(MAX(ROW(E6750:E$2)*(E6751=E6750:E$2)))))</f>
        <v> </v>
      </c>
      <c r="J6751" s="26" t="str">
        <f>IF(OR(E6751="",E6751="!!!",F6751="NEW"),"",COUNTBLANK(OFFSET(A$1,,,SUMPRODUCT(MAX(ROW(E$2:E6751)*(E6751=E$2:E6751)))))-COUNTBLANK(OFFSET(A$1,,,SUMPRODUCT(MAX(ROW(E$1:E6750)*(E2=E$1:E6750))))))</f>
        <v> </v>
      </c>
      <c r="K6751" s="26" t="str">
        <f>IF(OR(E6751="",E6751="!!!",F6751="NEW"),"",INDEX(J$1:J6750,SUMPRODUCT(MAX(ROW(E$1:E6750)*(E6751=E$1:E6750)))))</f>
        <v> </v>
      </c>
      <c r="L6751" s="27"/>
    </row>
    <row r="6752" spans="1:12">
      <c r="A6752" s="20" t="s">
        <v>1037</v>
      </c>
      <c r="E6752" s="22">
        <f>IF(D6752="?OLD","!!!","")</f>
        <v/>
      </c>
      <c r="F6752" s="23" t="str">
        <f>IF(OR(E6752="",E6752="!!!"),"",IF(NOT(ISNA(VLOOKUP(E6752,E$1:E6751,1,FALSE()))),"OLD",IF(AND(E6752&lt;&gt;"",E6752&lt;&gt;"!!!"),"NEW","")))</f>
        <v> </v>
      </c>
      <c r="G6752" s="24" t="str">
        <f>IF(OR(E6752="",E6752="!!!"),"",IF(OR(J6752=0,AND(J6752=1,K6752=1),AND(J6752=1,I6752="SBJ"),AND(J6752=1,I6752=0)),"?IN_FOCUS",IF(J6752&lt;=2,"?ACTIVATED",IF(J6752&lt;&gt;"","?FAMILIAR",IF(F6752="NEW",IF(ISNA(VLOOKUP(E6752,#REF!,1,FALSE())),"?TYPE_IDENTIFIABLE","?REFERENTIAL"),"_")))))</f>
        <v> </v>
      </c>
      <c r="H6752" s="25" t="str">
        <f>IF(J6752&lt;&gt;1,"",IF(I6752="SBJ","CB","?"))</f>
        <v> </v>
      </c>
      <c r="I6752" s="26" t="str">
        <f>IF(OR(E6752="",E6752="!!!",F6752="NEW"),"",INDEX(B6751:B$2,-1+SUMPRODUCT(MAX(ROW(E6751:E$2)*(E6752=E6751:E$2)))))</f>
        <v> </v>
      </c>
      <c r="J6752" s="26" t="str">
        <f>IF(OR(E6752="",E6752="!!!",F6752="NEW"),"",COUNTBLANK(OFFSET(A$1,,,SUMPRODUCT(MAX(ROW(E$2:E6752)*(E6752=E$2:E6752)))))-COUNTBLANK(OFFSET(A$1,,,SUMPRODUCT(MAX(ROW(E$1:E6751)*(E2=E$1:E6751))))))</f>
        <v> </v>
      </c>
      <c r="K6752" s="26" t="str">
        <f>IF(OR(E6752="",E6752="!!!",F6752="NEW"),"",INDEX(J$1:J6751,SUMPRODUCT(MAX(ROW(E$1:E6751)*(E6752=E$1:E6751)))))</f>
        <v> </v>
      </c>
      <c r="L6752" s="27"/>
    </row>
    <row r="6753" spans="1:12">
      <c r="A6753" s="20" t="s">
        <v>1014</v>
      </c>
      <c r="E6753" s="22">
        <f>IF(D6753="?OLD","!!!","")</f>
        <v/>
      </c>
      <c r="F6753" s="23" t="str">
        <f>IF(OR(E6753="",E6753="!!!"),"",IF(NOT(ISNA(VLOOKUP(E6753,E$1:E6752,1,FALSE()))),"OLD",IF(AND(E6753&lt;&gt;"",E6753&lt;&gt;"!!!"),"NEW","")))</f>
        <v> </v>
      </c>
      <c r="G6753" s="24" t="str">
        <f>IF(OR(E6753="",E6753="!!!"),"",IF(OR(J6753=0,AND(J6753=1,K6753=1),AND(J6753=1,I6753="SBJ"),AND(J6753=1,I6753=0)),"?IN_FOCUS",IF(J6753&lt;=2,"?ACTIVATED",IF(J6753&lt;&gt;"","?FAMILIAR",IF(F6753="NEW",IF(ISNA(VLOOKUP(E6753,#REF!,1,FALSE())),"?TYPE_IDENTIFIABLE","?REFERENTIAL"),"_")))))</f>
        <v> </v>
      </c>
      <c r="H6753" s="25" t="str">
        <f>IF(J6753&lt;&gt;1,"",IF(I6753="SBJ","CB","?"))</f>
        <v> </v>
      </c>
      <c r="I6753" s="26" t="str">
        <f>IF(OR(E6753="",E6753="!!!",F6753="NEW"),"",INDEX(B6752:B$2,-1+SUMPRODUCT(MAX(ROW(E6752:E$2)*(E6753=E6752:E$2)))))</f>
        <v> </v>
      </c>
      <c r="J6753" s="26" t="str">
        <f>IF(OR(E6753="",E6753="!!!",F6753="NEW"),"",COUNTBLANK(OFFSET(A$1,,,SUMPRODUCT(MAX(ROW(E$2:E6753)*(E6753=E$2:E6753)))))-COUNTBLANK(OFFSET(A$1,,,SUMPRODUCT(MAX(ROW(E$1:E6752)*(E2=E$1:E6752))))))</f>
        <v> </v>
      </c>
      <c r="K6753" s="26" t="str">
        <f>IF(OR(E6753="",E6753="!!!",F6753="NEW"),"",INDEX(J$1:J6752,SUMPRODUCT(MAX(ROW(E$1:E6752)*(E6753=E$1:E6752)))))</f>
        <v> </v>
      </c>
      <c r="L6753" s="27"/>
    </row>
    <row r="6754" spans="1:12">
      <c r="A6754" s="20" t="s">
        <v>2730</v>
      </c>
      <c r="B6754" s="21" t="s">
        <v>1042</v>
      </c>
      <c r="C6754" s="21" t="s">
        <v>1048</v>
      </c>
      <c r="E6754" s="22">
        <f>IF(D6754="?OLD","!!!","")</f>
        <v/>
      </c>
      <c r="F6754" s="23" t="str">
        <f>IF(OR(E6754="",E6754="!!!"),"",IF(NOT(ISNA(VLOOKUP(E6754,E$1:E6753,1,FALSE()))),"OLD",IF(AND(E6754&lt;&gt;"",E6754&lt;&gt;"!!!"),"NEW","")))</f>
        <v> </v>
      </c>
      <c r="G6754" s="24" t="str">
        <f>IF(OR(E6754="",E6754="!!!"),"",IF(OR(J6754=0,AND(J6754=1,K6754=1),AND(J6754=1,I6754="SBJ"),AND(J6754=1,I6754=0)),"?IN_FOCUS",IF(J6754&lt;=2,"?ACTIVATED",IF(J6754&lt;&gt;"","?FAMILIAR",IF(F6754="NEW",IF(ISNA(VLOOKUP(E6754,#REF!,1,FALSE())),"?TYPE_IDENTIFIABLE","?REFERENTIAL"),"_")))))</f>
        <v> </v>
      </c>
      <c r="H6754" s="25" t="str">
        <f>IF(J6754&lt;&gt;1,"",IF(I6754="SBJ","CB","?"))</f>
        <v> </v>
      </c>
      <c r="I6754" s="26" t="str">
        <f>IF(OR(E6754="",E6754="!!!",F6754="NEW"),"",INDEX(B6753:B$2,-1+SUMPRODUCT(MAX(ROW(E6753:E$2)*(E6754=E6753:E$2)))))</f>
        <v> </v>
      </c>
      <c r="J6754" s="26" t="str">
        <f>IF(OR(E6754="",E6754="!!!",F6754="NEW"),"",COUNTBLANK(OFFSET(A$1,,,SUMPRODUCT(MAX(ROW(E$2:E6754)*(E6754=E$2:E6754)))))-COUNTBLANK(OFFSET(A$1,,,SUMPRODUCT(MAX(ROW(E$1:E6753)*(E2=E$1:E6753))))))</f>
        <v> </v>
      </c>
      <c r="K6754" s="26" t="str">
        <f>IF(OR(E6754="",E6754="!!!",F6754="NEW"),"",INDEX(J$1:J6753,SUMPRODUCT(MAX(ROW(E$1:E6753)*(E6754=E$1:E6753)))))</f>
        <v> </v>
      </c>
      <c r="L6754" s="27"/>
    </row>
    <row r="6755" spans="1:12">
      <c r="A6755" s="20" t="s">
        <v>2731</v>
      </c>
      <c r="E6755" s="22">
        <f>IF(D6755="?OLD","!!!","")</f>
        <v/>
      </c>
      <c r="F6755" s="23" t="str">
        <f>IF(OR(E6755="",E6755="!!!"),"",IF(NOT(ISNA(VLOOKUP(E6755,E$1:E6754,1,FALSE()))),"OLD",IF(AND(E6755&lt;&gt;"",E6755&lt;&gt;"!!!"),"NEW","")))</f>
        <v> </v>
      </c>
      <c r="G6755" s="24" t="str">
        <f>IF(OR(E6755="",E6755="!!!"),"",IF(OR(J6755=0,AND(J6755=1,K6755=1),AND(J6755=1,I6755="SBJ"),AND(J6755=1,I6755=0)),"?IN_FOCUS",IF(J6755&lt;=2,"?ACTIVATED",IF(J6755&lt;&gt;"","?FAMILIAR",IF(F6755="NEW",IF(ISNA(VLOOKUP(E6755,#REF!,1,FALSE())),"?TYPE_IDENTIFIABLE","?REFERENTIAL"),"_")))))</f>
        <v> </v>
      </c>
      <c r="H6755" s="25" t="str">
        <f>IF(J6755&lt;&gt;1,"",IF(I6755="SBJ","CB","?"))</f>
        <v> </v>
      </c>
      <c r="I6755" s="26" t="str">
        <f>IF(OR(E6755="",E6755="!!!",F6755="NEW"),"",INDEX(B6754:B$2,-1+SUMPRODUCT(MAX(ROW(E6754:E$2)*(E6755=E6754:E$2)))))</f>
        <v> </v>
      </c>
      <c r="J6755" s="26" t="str">
        <f>IF(OR(E6755="",E6755="!!!",F6755="NEW"),"",COUNTBLANK(OFFSET(A$1,,,SUMPRODUCT(MAX(ROW(E$2:E6755)*(E6755=E$2:E6755)))))-COUNTBLANK(OFFSET(A$1,,,SUMPRODUCT(MAX(ROW(E$1:E6754)*(E2=E$1:E6754))))))</f>
        <v> </v>
      </c>
      <c r="K6755" s="26" t="str">
        <f>IF(OR(E6755="",E6755="!!!",F6755="NEW"),"",INDEX(J$1:J6754,SUMPRODUCT(MAX(ROW(E$1:E6754)*(E6755=E$1:E6754)))))</f>
        <v> </v>
      </c>
      <c r="L6755" s="27"/>
    </row>
    <row r="6756" spans="1:12">
      <c r="A6756" s="20" t="s">
        <v>1018</v>
      </c>
      <c r="E6756" s="22">
        <f>IF(D6756="?OLD","!!!","")</f>
        <v/>
      </c>
      <c r="F6756" s="23" t="str">
        <f>IF(OR(E6756="",E6756="!!!"),"",IF(NOT(ISNA(VLOOKUP(E6756,E$1:E6755,1,FALSE()))),"OLD",IF(AND(E6756&lt;&gt;"",E6756&lt;&gt;"!!!"),"NEW","")))</f>
        <v> </v>
      </c>
      <c r="G6756" s="24" t="str">
        <f>IF(OR(E6756="",E6756="!!!"),"",IF(OR(J6756=0,AND(J6756=1,K6756=1),AND(J6756=1,I6756="SBJ"),AND(J6756=1,I6756=0)),"?IN_FOCUS",IF(J6756&lt;=2,"?ACTIVATED",IF(J6756&lt;&gt;"","?FAMILIAR",IF(F6756="NEW",IF(ISNA(VLOOKUP(E6756,#REF!,1,FALSE())),"?TYPE_IDENTIFIABLE","?REFERENTIAL"),"_")))))</f>
        <v> </v>
      </c>
      <c r="H6756" s="25" t="str">
        <f>IF(J6756&lt;&gt;1,"",IF(I6756="SBJ","CB","?"))</f>
        <v> </v>
      </c>
      <c r="I6756" s="26" t="str">
        <f>IF(OR(E6756="",E6756="!!!",F6756="NEW"),"",INDEX(B6755:B$2,-1+SUMPRODUCT(MAX(ROW(E6755:E$2)*(E6756=E6755:E$2)))))</f>
        <v> </v>
      </c>
      <c r="J6756" s="26" t="str">
        <f>IF(OR(E6756="",E6756="!!!",F6756="NEW"),"",COUNTBLANK(OFFSET(A$1,,,SUMPRODUCT(MAX(ROW(E$2:E6756)*(E6756=E$2:E6756)))))-COUNTBLANK(OFFSET(A$1,,,SUMPRODUCT(MAX(ROW(E$1:E6755)*(E2=E$1:E6755))))))</f>
        <v> </v>
      </c>
      <c r="K6756" s="26" t="str">
        <f>IF(OR(E6756="",E6756="!!!",F6756="NEW"),"",INDEX(J$1:J6755,SUMPRODUCT(MAX(ROW(E$1:E6755)*(E6756=E$1:E6755)))))</f>
        <v> </v>
      </c>
      <c r="L6756" s="27"/>
    </row>
    <row r="6757" spans="1:12">
      <c r="A6757" s="20" t="s">
        <v>1330</v>
      </c>
      <c r="E6757" s="22">
        <f>IF(D6757="?OLD","!!!","")</f>
        <v/>
      </c>
      <c r="F6757" s="23" t="str">
        <f>IF(OR(E6757="",E6757="!!!"),"",IF(NOT(ISNA(VLOOKUP(E6757,E$1:E6756,1,FALSE()))),"OLD",IF(AND(E6757&lt;&gt;"",E6757&lt;&gt;"!!!"),"NEW","")))</f>
        <v> </v>
      </c>
      <c r="G6757" s="24" t="str">
        <f>IF(OR(E6757="",E6757="!!!"),"",IF(OR(J6757=0,AND(J6757=1,K6757=1),AND(J6757=1,I6757="SBJ"),AND(J6757=1,I6757=0)),"?IN_FOCUS",IF(J6757&lt;=2,"?ACTIVATED",IF(J6757&lt;&gt;"","?FAMILIAR",IF(F6757="NEW",IF(ISNA(VLOOKUP(E6757,#REF!,1,FALSE())),"?TYPE_IDENTIFIABLE","?REFERENTIAL"),"_")))))</f>
        <v> </v>
      </c>
      <c r="H6757" s="25" t="str">
        <f>IF(J6757&lt;&gt;1,"",IF(I6757="SBJ","CB","?"))</f>
        <v> </v>
      </c>
      <c r="I6757" s="26" t="str">
        <f>IF(OR(E6757="",E6757="!!!",F6757="NEW"),"",INDEX(B6756:B$2,-1+SUMPRODUCT(MAX(ROW(E6756:E$2)*(E6757=E6756:E$2)))))</f>
        <v> </v>
      </c>
      <c r="J6757" s="26" t="str">
        <f>IF(OR(E6757="",E6757="!!!",F6757="NEW"),"",COUNTBLANK(OFFSET(A$1,,,SUMPRODUCT(MAX(ROW(E$2:E6757)*(E6757=E$2:E6757)))))-COUNTBLANK(OFFSET(A$1,,,SUMPRODUCT(MAX(ROW(E$1:E6756)*(E2=E$1:E6756))))))</f>
        <v> </v>
      </c>
      <c r="K6757" s="26" t="str">
        <f>IF(OR(E6757="",E6757="!!!",F6757="NEW"),"",INDEX(J$1:J6756,SUMPRODUCT(MAX(ROW(E$1:E6756)*(E6757=E$1:E6756)))))</f>
        <v> </v>
      </c>
      <c r="L6757" s="27"/>
    </row>
    <row r="6758" spans="1:12">
      <c r="A6758" s="20" t="s">
        <v>1669</v>
      </c>
      <c r="B6758" s="21" t="s">
        <v>1022</v>
      </c>
      <c r="C6758" s="21" t="s">
        <v>1082</v>
      </c>
      <c r="D6758" s="21" t="s">
        <v>1007</v>
      </c>
      <c r="E6758" s="22">
        <f>IF(D6758="?OLD","!!!","")</f>
        <v/>
      </c>
      <c r="F6758" s="23" t="str">
        <f>IF(OR(E6758="",E6758="!!!"),"",IF(NOT(ISNA(VLOOKUP(E6758,E$1:E6757,1,FALSE()))),"OLD",IF(AND(E6758&lt;&gt;"",E6758&lt;&gt;"!!!"),"NEW","")))</f>
        <v> </v>
      </c>
      <c r="G6758" s="24" t="str">
        <f>IF(OR(E6758="",E6758="!!!"),"",IF(OR(J6758=0,AND(J6758=1,K6758=1),AND(J6758=1,I6758="SBJ"),AND(J6758=1,I6758=0)),"?IN_FOCUS",IF(J6758&lt;=2,"?ACTIVATED",IF(J6758&lt;&gt;"","?FAMILIAR",IF(F6758="NEW",IF(ISNA(VLOOKUP(E6758,#REF!,1,FALSE())),"?TYPE_IDENTIFIABLE","?REFERENTIAL"),"_")))))</f>
        <v> </v>
      </c>
      <c r="H6758" s="25" t="str">
        <f>IF(J6758&lt;&gt;1,"",IF(I6758="SBJ","CB","?"))</f>
        <v> </v>
      </c>
      <c r="I6758" s="26" t="str">
        <f>IF(OR(E6758="",E6758="!!!",F6758="NEW"),"",INDEX(B6757:B$2,-1+SUMPRODUCT(MAX(ROW(E6757:E$2)*(E6758=E6757:E$2)))))</f>
        <v> </v>
      </c>
      <c r="J6758" s="26" t="str">
        <f>IF(OR(E6758="",E6758="!!!",F6758="NEW"),"",COUNTBLANK(OFFSET(A$1,,,SUMPRODUCT(MAX(ROW(E$2:E6758)*(E6758=E$2:E6758)))))-COUNTBLANK(OFFSET(A$1,,,SUMPRODUCT(MAX(ROW(E$1:E6757)*(E2=E$1:E6757))))))</f>
        <v> </v>
      </c>
      <c r="K6758" s="26" t="str">
        <f>IF(OR(E6758="",E6758="!!!",F6758="NEW"),"",INDEX(J$1:J6757,SUMPRODUCT(MAX(ROW(E$1:E6757)*(E6758=E$1:E6757)))))</f>
        <v> </v>
      </c>
      <c r="L6758" s="27"/>
    </row>
    <row r="6759" spans="1:12">
      <c r="A6759" s="20" t="s">
        <v>1018</v>
      </c>
      <c r="E6759" s="22">
        <f>IF(D6759="?OLD","!!!","")</f>
        <v/>
      </c>
      <c r="F6759" s="23" t="str">
        <f>IF(OR(E6759="",E6759="!!!"),"",IF(NOT(ISNA(VLOOKUP(E6759,E$1:E6758,1,FALSE()))),"OLD",IF(AND(E6759&lt;&gt;"",E6759&lt;&gt;"!!!"),"NEW","")))</f>
        <v> </v>
      </c>
      <c r="G6759" s="24" t="str">
        <f>IF(OR(E6759="",E6759="!!!"),"",IF(OR(J6759=0,AND(J6759=1,K6759=1),AND(J6759=1,I6759="SBJ"),AND(J6759=1,I6759=0)),"?IN_FOCUS",IF(J6759&lt;=2,"?ACTIVATED",IF(J6759&lt;&gt;"","?FAMILIAR",IF(F6759="NEW",IF(ISNA(VLOOKUP(E6759,#REF!,1,FALSE())),"?TYPE_IDENTIFIABLE","?REFERENTIAL"),"_")))))</f>
        <v> </v>
      </c>
      <c r="H6759" s="25" t="str">
        <f>IF(J6759&lt;&gt;1,"",IF(I6759="SBJ","CB","?"))</f>
        <v> </v>
      </c>
      <c r="I6759" s="26" t="str">
        <f>IF(OR(E6759="",E6759="!!!",F6759="NEW"),"",INDEX(B6758:B$2,-1+SUMPRODUCT(MAX(ROW(E6758:E$2)*(E6759=E6758:E$2)))))</f>
        <v> </v>
      </c>
      <c r="J6759" s="26" t="str">
        <f>IF(OR(E6759="",E6759="!!!",F6759="NEW"),"",COUNTBLANK(OFFSET(A$1,,,SUMPRODUCT(MAX(ROW(E$2:E6759)*(E6759=E$2:E6759)))))-COUNTBLANK(OFFSET(A$1,,,SUMPRODUCT(MAX(ROW(E$1:E6758)*(E2=E$1:E6758))))))</f>
        <v> </v>
      </c>
      <c r="K6759" s="26" t="str">
        <f>IF(OR(E6759="",E6759="!!!",F6759="NEW"),"",INDEX(J$1:J6758,SUMPRODUCT(MAX(ROW(E$1:E6758)*(E6759=E$1:E6758)))))</f>
        <v> </v>
      </c>
      <c r="L6759" s="27"/>
    </row>
    <row r="6760" spans="1:12">
      <c r="A6760" s="20" t="s">
        <v>1290</v>
      </c>
      <c r="E6760" s="22">
        <f>IF(D6760="?OLD","!!!","")</f>
        <v/>
      </c>
      <c r="F6760" s="23" t="str">
        <f>IF(OR(E6760="",E6760="!!!"),"",IF(NOT(ISNA(VLOOKUP(E6760,E$1:E6759,1,FALSE()))),"OLD",IF(AND(E6760&lt;&gt;"",E6760&lt;&gt;"!!!"),"NEW","")))</f>
        <v> </v>
      </c>
      <c r="G6760" s="24" t="str">
        <f>IF(OR(E6760="",E6760="!!!"),"",IF(OR(J6760=0,AND(J6760=1,K6760=1),AND(J6760=1,I6760="SBJ"),AND(J6760=1,I6760=0)),"?IN_FOCUS",IF(J6760&lt;=2,"?ACTIVATED",IF(J6760&lt;&gt;"","?FAMILIAR",IF(F6760="NEW",IF(ISNA(VLOOKUP(E6760,#REF!,1,FALSE())),"?TYPE_IDENTIFIABLE","?REFERENTIAL"),"_")))))</f>
        <v> </v>
      </c>
      <c r="H6760" s="25" t="str">
        <f>IF(J6760&lt;&gt;1,"",IF(I6760="SBJ","CB","?"))</f>
        <v> </v>
      </c>
      <c r="I6760" s="26" t="str">
        <f>IF(OR(E6760="",E6760="!!!",F6760="NEW"),"",INDEX(B6759:B$2,-1+SUMPRODUCT(MAX(ROW(E6759:E$2)*(E6760=E6759:E$2)))))</f>
        <v> </v>
      </c>
      <c r="J6760" s="26" t="str">
        <f>IF(OR(E6760="",E6760="!!!",F6760="NEW"),"",COUNTBLANK(OFFSET(A$1,,,SUMPRODUCT(MAX(ROW(E$2:E6760)*(E6760=E$2:E6760)))))-COUNTBLANK(OFFSET(A$1,,,SUMPRODUCT(MAX(ROW(E$1:E6759)*(E2=E$1:E6759))))))</f>
        <v> </v>
      </c>
      <c r="K6760" s="26" t="str">
        <f>IF(OR(E6760="",E6760="!!!",F6760="NEW"),"",INDEX(J$1:J6759,SUMPRODUCT(MAX(ROW(E$1:E6759)*(E6760=E$1:E6759)))))</f>
        <v> </v>
      </c>
      <c r="L6760" s="27"/>
    </row>
    <row r="6761" spans="1:12">
      <c r="A6761" s="20" t="s">
        <v>2632</v>
      </c>
      <c r="B6761" s="21" t="s">
        <v>1119</v>
      </c>
      <c r="C6761" s="21" t="s">
        <v>1048</v>
      </c>
      <c r="E6761" s="22">
        <f>IF(D6761="?OLD","!!!","")</f>
        <v/>
      </c>
      <c r="F6761" s="23" t="str">
        <f>IF(OR(E6761="",E6761="!!!"),"",IF(NOT(ISNA(VLOOKUP(E6761,E$1:E6760,1,FALSE()))),"OLD",IF(AND(E6761&lt;&gt;"",E6761&lt;&gt;"!!!"),"NEW","")))</f>
        <v> </v>
      </c>
      <c r="G6761" s="24" t="str">
        <f>IF(OR(E6761="",E6761="!!!"),"",IF(OR(J6761=0,AND(J6761=1,K6761=1),AND(J6761=1,I6761="SBJ"),AND(J6761=1,I6761=0)),"?IN_FOCUS",IF(J6761&lt;=2,"?ACTIVATED",IF(J6761&lt;&gt;"","?FAMILIAR",IF(F6761="NEW",IF(ISNA(VLOOKUP(E6761,#REF!,1,FALSE())),"?TYPE_IDENTIFIABLE","?REFERENTIAL"),"_")))))</f>
        <v> </v>
      </c>
      <c r="H6761" s="25" t="str">
        <f>IF(J6761&lt;&gt;1,"",IF(I6761="SBJ","CB","?"))</f>
        <v> </v>
      </c>
      <c r="I6761" s="26" t="str">
        <f>IF(OR(E6761="",E6761="!!!",F6761="NEW"),"",INDEX(B6760:B$2,-1+SUMPRODUCT(MAX(ROW(E6760:E$2)*(E6761=E6760:E$2)))))</f>
        <v> </v>
      </c>
      <c r="J6761" s="26" t="str">
        <f>IF(OR(E6761="",E6761="!!!",F6761="NEW"),"",COUNTBLANK(OFFSET(A$1,,,SUMPRODUCT(MAX(ROW(E$2:E6761)*(E6761=E$2:E6761)))))-COUNTBLANK(OFFSET(A$1,,,SUMPRODUCT(MAX(ROW(E$1:E6760)*(E2=E$1:E6760))))))</f>
        <v> </v>
      </c>
      <c r="K6761" s="26" t="str">
        <f>IF(OR(E6761="",E6761="!!!",F6761="NEW"),"",INDEX(J$1:J6760,SUMPRODUCT(MAX(ROW(E$1:E6760)*(E6761=E$1:E6760)))))</f>
        <v> </v>
      </c>
      <c r="L6761" s="27"/>
    </row>
    <row r="6762" spans="1:12">
      <c r="A6762" s="20" t="s">
        <v>1018</v>
      </c>
      <c r="E6762" s="22">
        <f>IF(D6762="?OLD","!!!","")</f>
        <v/>
      </c>
      <c r="F6762" s="23" t="str">
        <f>IF(OR(E6762="",E6762="!!!"),"",IF(NOT(ISNA(VLOOKUP(E6762,E$1:E6761,1,FALSE()))),"OLD",IF(AND(E6762&lt;&gt;"",E6762&lt;&gt;"!!!"),"NEW","")))</f>
        <v> </v>
      </c>
      <c r="G6762" s="24" t="str">
        <f>IF(OR(E6762="",E6762="!!!"),"",IF(OR(J6762=0,AND(J6762=1,K6762=1),AND(J6762=1,I6762="SBJ"),AND(J6762=1,I6762=0)),"?IN_FOCUS",IF(J6762&lt;=2,"?ACTIVATED",IF(J6762&lt;&gt;"","?FAMILIAR",IF(F6762="NEW",IF(ISNA(VLOOKUP(E6762,#REF!,1,FALSE())),"?TYPE_IDENTIFIABLE","?REFERENTIAL"),"_")))))</f>
        <v> </v>
      </c>
      <c r="H6762" s="25" t="str">
        <f>IF(J6762&lt;&gt;1,"",IF(I6762="SBJ","CB","?"))</f>
        <v> </v>
      </c>
      <c r="I6762" s="26" t="str">
        <f>IF(OR(E6762="",E6762="!!!",F6762="NEW"),"",INDEX(B6761:B$2,-1+SUMPRODUCT(MAX(ROW(E6761:E$2)*(E6762=E6761:E$2)))))</f>
        <v> </v>
      </c>
      <c r="J6762" s="26" t="str">
        <f>IF(OR(E6762="",E6762="!!!",F6762="NEW"),"",COUNTBLANK(OFFSET(A$1,,,SUMPRODUCT(MAX(ROW(E$2:E6762)*(E6762=E$2:E6762)))))-COUNTBLANK(OFFSET(A$1,,,SUMPRODUCT(MAX(ROW(E$1:E6761)*(E2=E$1:E6761))))))</f>
        <v> </v>
      </c>
      <c r="K6762" s="26" t="str">
        <f>IF(OR(E6762="",E6762="!!!",F6762="NEW"),"",INDEX(J$1:J6761,SUMPRODUCT(MAX(ROW(E$1:E6761)*(E6762=E$1:E6761)))))</f>
        <v> </v>
      </c>
      <c r="L6762" s="27"/>
    </row>
    <row r="6763" spans="1:12">
      <c r="A6763" s="20" t="s">
        <v>2732</v>
      </c>
      <c r="E6763" s="22">
        <f>IF(D6763="?OLD","!!!","")</f>
        <v/>
      </c>
      <c r="F6763" s="23" t="str">
        <f>IF(OR(E6763="",E6763="!!!"),"",IF(NOT(ISNA(VLOOKUP(E6763,E$1:E6762,1,FALSE()))),"OLD",IF(AND(E6763&lt;&gt;"",E6763&lt;&gt;"!!!"),"NEW","")))</f>
        <v> </v>
      </c>
      <c r="G6763" s="24" t="str">
        <f>IF(OR(E6763="",E6763="!!!"),"",IF(OR(J6763=0,AND(J6763=1,K6763=1),AND(J6763=1,I6763="SBJ"),AND(J6763=1,I6763=0)),"?IN_FOCUS",IF(J6763&lt;=2,"?ACTIVATED",IF(J6763&lt;&gt;"","?FAMILIAR",IF(F6763="NEW",IF(ISNA(VLOOKUP(E6763,#REF!,1,FALSE())),"?TYPE_IDENTIFIABLE","?REFERENTIAL"),"_")))))</f>
        <v> </v>
      </c>
      <c r="H6763" s="25" t="str">
        <f>IF(J6763&lt;&gt;1,"",IF(I6763="SBJ","CB","?"))</f>
        <v> </v>
      </c>
      <c r="I6763" s="26" t="str">
        <f>IF(OR(E6763="",E6763="!!!",F6763="NEW"),"",INDEX(B6762:B$2,-1+SUMPRODUCT(MAX(ROW(E6762:E$2)*(E6763=E6762:E$2)))))</f>
        <v> </v>
      </c>
      <c r="J6763" s="26" t="str">
        <f>IF(OR(E6763="",E6763="!!!",F6763="NEW"),"",COUNTBLANK(OFFSET(A$1,,,SUMPRODUCT(MAX(ROW(E$2:E6763)*(E6763=E$2:E6763)))))-COUNTBLANK(OFFSET(A$1,,,SUMPRODUCT(MAX(ROW(E$1:E6762)*(E2=E$1:E6762))))))</f>
        <v> </v>
      </c>
      <c r="K6763" s="26" t="str">
        <f>IF(OR(E6763="",E6763="!!!",F6763="NEW"),"",INDEX(J$1:J6762,SUMPRODUCT(MAX(ROW(E$1:E6762)*(E6763=E$1:E6762)))))</f>
        <v> </v>
      </c>
      <c r="L6763" s="27"/>
    </row>
    <row r="6764" spans="1:12">
      <c r="A6764" s="20" t="s">
        <v>1036</v>
      </c>
      <c r="E6764" s="22">
        <f>IF(D6764="?OLD","!!!","")</f>
        <v/>
      </c>
      <c r="F6764" s="23" t="str">
        <f>IF(OR(E6764="",E6764="!!!"),"",IF(NOT(ISNA(VLOOKUP(E6764,E$1:E6763,1,FALSE()))),"OLD",IF(AND(E6764&lt;&gt;"",E6764&lt;&gt;"!!!"),"NEW","")))</f>
        <v> </v>
      </c>
      <c r="G6764" s="24" t="str">
        <f>IF(OR(E6764="",E6764="!!!"),"",IF(OR(J6764=0,AND(J6764=1,K6764=1),AND(J6764=1,I6764="SBJ"),AND(J6764=1,I6764=0)),"?IN_FOCUS",IF(J6764&lt;=2,"?ACTIVATED",IF(J6764&lt;&gt;"","?FAMILIAR",IF(F6764="NEW",IF(ISNA(VLOOKUP(E6764,#REF!,1,FALSE())),"?TYPE_IDENTIFIABLE","?REFERENTIAL"),"_")))))</f>
        <v> </v>
      </c>
      <c r="H6764" s="25" t="str">
        <f>IF(J6764&lt;&gt;1,"",IF(I6764="SBJ","CB","?"))</f>
        <v> </v>
      </c>
      <c r="I6764" s="26" t="str">
        <f>IF(OR(E6764="",E6764="!!!",F6764="NEW"),"",INDEX(B6763:B$2,-1+SUMPRODUCT(MAX(ROW(E6763:E$2)*(E6764=E6763:E$2)))))</f>
        <v> </v>
      </c>
      <c r="J6764" s="26" t="str">
        <f>IF(OR(E6764="",E6764="!!!",F6764="NEW"),"",COUNTBLANK(OFFSET(A$1,,,SUMPRODUCT(MAX(ROW(E$2:E6764)*(E6764=E$2:E6764)))))-COUNTBLANK(OFFSET(A$1,,,SUMPRODUCT(MAX(ROW(E$1:E6763)*(E2=E$1:E6763))))))</f>
        <v> </v>
      </c>
      <c r="K6764" s="26" t="str">
        <f>IF(OR(E6764="",E6764="!!!",F6764="NEW"),"",INDEX(J$1:J6763,SUMPRODUCT(MAX(ROW(E$1:E6763)*(E6764=E$1:E6763)))))</f>
        <v> </v>
      </c>
      <c r="L6764" s="27"/>
    </row>
    <row r="6765" spans="1:12">
      <c r="A6765" s="20" t="s">
        <v>1037</v>
      </c>
      <c r="E6765" s="22">
        <f>IF(D6765="?OLD","!!!","")</f>
        <v/>
      </c>
      <c r="F6765" s="23" t="str">
        <f>IF(OR(E6765="",E6765="!!!"),"",IF(NOT(ISNA(VLOOKUP(E6765,E$1:E6764,1,FALSE()))),"OLD",IF(AND(E6765&lt;&gt;"",E6765&lt;&gt;"!!!"),"NEW","")))</f>
        <v> </v>
      </c>
      <c r="G6765" s="24" t="str">
        <f>IF(OR(E6765="",E6765="!!!"),"",IF(OR(J6765=0,AND(J6765=1,K6765=1),AND(J6765=1,I6765="SBJ"),AND(J6765=1,I6765=0)),"?IN_FOCUS",IF(J6765&lt;=2,"?ACTIVATED",IF(J6765&lt;&gt;"","?FAMILIAR",IF(F6765="NEW",IF(ISNA(VLOOKUP(E6765,#REF!,1,FALSE())),"?TYPE_IDENTIFIABLE","?REFERENTIAL"),"_")))))</f>
        <v> </v>
      </c>
      <c r="H6765" s="25" t="str">
        <f>IF(J6765&lt;&gt;1,"",IF(I6765="SBJ","CB","?"))</f>
        <v> </v>
      </c>
      <c r="I6765" s="26" t="str">
        <f>IF(OR(E6765="",E6765="!!!",F6765="NEW"),"",INDEX(B6764:B$2,-1+SUMPRODUCT(MAX(ROW(E6764:E$2)*(E6765=E6764:E$2)))))</f>
        <v> </v>
      </c>
      <c r="J6765" s="26" t="str">
        <f>IF(OR(E6765="",E6765="!!!",F6765="NEW"),"",COUNTBLANK(OFFSET(A$1,,,SUMPRODUCT(MAX(ROW(E$2:E6765)*(E6765=E$2:E6765)))))-COUNTBLANK(OFFSET(A$1,,,SUMPRODUCT(MAX(ROW(E$1:E6764)*(E2=E$1:E6764))))))</f>
        <v> </v>
      </c>
      <c r="K6765" s="26" t="str">
        <f>IF(OR(E6765="",E6765="!!!",F6765="NEW"),"",INDEX(J$1:J6764,SUMPRODUCT(MAX(ROW(E$1:E6764)*(E6765=E$1:E6764)))))</f>
        <v> </v>
      </c>
      <c r="L6765" s="27"/>
    </row>
    <row r="6766" spans="1:12">
      <c r="A6766" s="20" t="s">
        <v>1014</v>
      </c>
      <c r="E6766" s="22">
        <f>IF(D6766="?OLD","!!!","")</f>
        <v/>
      </c>
      <c r="F6766" s="23" t="str">
        <f>IF(OR(E6766="",E6766="!!!"),"",IF(NOT(ISNA(VLOOKUP(E6766,E$1:E6765,1,FALSE()))),"OLD",IF(AND(E6766&lt;&gt;"",E6766&lt;&gt;"!!!"),"NEW","")))</f>
        <v> </v>
      </c>
      <c r="G6766" s="24" t="str">
        <f>IF(OR(E6766="",E6766="!!!"),"",IF(OR(J6766=0,AND(J6766=1,K6766=1),AND(J6766=1,I6766="SBJ"),AND(J6766=1,I6766=0)),"?IN_FOCUS",IF(J6766&lt;=2,"?ACTIVATED",IF(J6766&lt;&gt;"","?FAMILIAR",IF(F6766="NEW",IF(ISNA(VLOOKUP(E6766,#REF!,1,FALSE())),"?TYPE_IDENTIFIABLE","?REFERENTIAL"),"_")))))</f>
        <v> </v>
      </c>
      <c r="H6766" s="25" t="str">
        <f>IF(J6766&lt;&gt;1,"",IF(I6766="SBJ","CB","?"))</f>
        <v> </v>
      </c>
      <c r="I6766" s="26" t="str">
        <f>IF(OR(E6766="",E6766="!!!",F6766="NEW"),"",INDEX(B6765:B$2,-1+SUMPRODUCT(MAX(ROW(E6765:E$2)*(E6766=E6765:E$2)))))</f>
        <v> </v>
      </c>
      <c r="J6766" s="26" t="str">
        <f>IF(OR(E6766="",E6766="!!!",F6766="NEW"),"",COUNTBLANK(OFFSET(A$1,,,SUMPRODUCT(MAX(ROW(E$2:E6766)*(E6766=E$2:E6766)))))-COUNTBLANK(OFFSET(A$1,,,SUMPRODUCT(MAX(ROW(E$1:E6765)*(E2=E$1:E6765))))))</f>
        <v> </v>
      </c>
      <c r="K6766" s="26" t="str">
        <f>IF(OR(E6766="",E6766="!!!",F6766="NEW"),"",INDEX(J$1:J6765,SUMPRODUCT(MAX(ROW(E$1:E6765)*(E6766=E$1:E6765)))))</f>
        <v> </v>
      </c>
      <c r="L6766" s="27"/>
    </row>
    <row r="6767" spans="1:12">
      <c r="A6767" s="20" t="s">
        <v>1279</v>
      </c>
      <c r="E6767" s="22">
        <f>IF(D6767="?OLD","!!!","")</f>
        <v/>
      </c>
      <c r="F6767" s="23" t="str">
        <f>IF(OR(E6767="",E6767="!!!"),"",IF(NOT(ISNA(VLOOKUP(E6767,E$1:E6766,1,FALSE()))),"OLD",IF(AND(E6767&lt;&gt;"",E6767&lt;&gt;"!!!"),"NEW","")))</f>
        <v> </v>
      </c>
      <c r="G6767" s="24" t="str">
        <f>IF(OR(E6767="",E6767="!!!"),"",IF(OR(J6767=0,AND(J6767=1,K6767=1),AND(J6767=1,I6767="SBJ"),AND(J6767=1,I6767=0)),"?IN_FOCUS",IF(J6767&lt;=2,"?ACTIVATED",IF(J6767&lt;&gt;"","?FAMILIAR",IF(F6767="NEW",IF(ISNA(VLOOKUP(E6767,#REF!,1,FALSE())),"?TYPE_IDENTIFIABLE","?REFERENTIAL"),"_")))))</f>
        <v> </v>
      </c>
      <c r="H6767" s="25" t="str">
        <f>IF(J6767&lt;&gt;1,"",IF(I6767="SBJ","CB","?"))</f>
        <v> </v>
      </c>
      <c r="I6767" s="26" t="str">
        <f>IF(OR(E6767="",E6767="!!!",F6767="NEW"),"",INDEX(B6766:B$2,-1+SUMPRODUCT(MAX(ROW(E6766:E$2)*(E6767=E6766:E$2)))))</f>
        <v> </v>
      </c>
      <c r="J6767" s="26" t="str">
        <f>IF(OR(E6767="",E6767="!!!",F6767="NEW"),"",COUNTBLANK(OFFSET(A$1,,,SUMPRODUCT(MAX(ROW(E$2:E6767)*(E6767=E$2:E6767)))))-COUNTBLANK(OFFSET(A$1,,,SUMPRODUCT(MAX(ROW(E$1:E6766)*(E2=E$1:E6766))))))</f>
        <v> </v>
      </c>
      <c r="K6767" s="26" t="str">
        <f>IF(OR(E6767="",E6767="!!!",F6767="NEW"),"",INDEX(J$1:J6766,SUMPRODUCT(MAX(ROW(E$1:E6766)*(E6767=E$1:E6766)))))</f>
        <v> </v>
      </c>
      <c r="L6767" s="27"/>
    </row>
    <row r="6768" spans="1:12">
      <c r="A6768" s="20" t="s">
        <v>1062</v>
      </c>
      <c r="E6768" s="22">
        <f>IF(D6768="?OLD","!!!","")</f>
        <v/>
      </c>
      <c r="F6768" s="23" t="str">
        <f>IF(OR(E6768="",E6768="!!!"),"",IF(NOT(ISNA(VLOOKUP(E6768,E$1:E6767,1,FALSE()))),"OLD",IF(AND(E6768&lt;&gt;"",E6768&lt;&gt;"!!!"),"NEW","")))</f>
        <v> </v>
      </c>
      <c r="G6768" s="24" t="str">
        <f>IF(OR(E6768="",E6768="!!!"),"",IF(OR(J6768=0,AND(J6768=1,K6768=1),AND(J6768=1,I6768="SBJ"),AND(J6768=1,I6768=0)),"?IN_FOCUS",IF(J6768&lt;=2,"?ACTIVATED",IF(J6768&lt;&gt;"","?FAMILIAR",IF(F6768="NEW",IF(ISNA(VLOOKUP(E6768,#REF!,1,FALSE())),"?TYPE_IDENTIFIABLE","?REFERENTIAL"),"_")))))</f>
        <v> </v>
      </c>
      <c r="H6768" s="25" t="str">
        <f>IF(J6768&lt;&gt;1,"",IF(I6768="SBJ","CB","?"))</f>
        <v> </v>
      </c>
      <c r="I6768" s="26" t="str">
        <f>IF(OR(E6768="",E6768="!!!",F6768="NEW"),"",INDEX(B6767:B$2,-1+SUMPRODUCT(MAX(ROW(E6767:E$2)*(E6768=E6767:E$2)))))</f>
        <v> </v>
      </c>
      <c r="J6768" s="26" t="str">
        <f>IF(OR(E6768="",E6768="!!!",F6768="NEW"),"",COUNTBLANK(OFFSET(A$1,,,SUMPRODUCT(MAX(ROW(E$2:E6768)*(E6768=E$2:E6768)))))-COUNTBLANK(OFFSET(A$1,,,SUMPRODUCT(MAX(ROW(E$1:E6767)*(E2=E$1:E6767))))))</f>
        <v> </v>
      </c>
      <c r="K6768" s="26" t="str">
        <f>IF(OR(E6768="",E6768="!!!",F6768="NEW"),"",INDEX(J$1:J6767,SUMPRODUCT(MAX(ROW(E$1:E6767)*(E6768=E$1:E6767)))))</f>
        <v> </v>
      </c>
      <c r="L6768" s="27"/>
    </row>
    <row r="6769" spans="1:12">
      <c r="A6769" s="20" t="s">
        <v>2730</v>
      </c>
      <c r="B6769" s="21" t="s">
        <v>1022</v>
      </c>
      <c r="C6769" s="21" t="s">
        <v>1041</v>
      </c>
      <c r="D6769" s="21" t="s">
        <v>1007</v>
      </c>
      <c r="E6769" s="22">
        <f>IF(D6769="?OLD","!!!","")</f>
        <v/>
      </c>
      <c r="F6769" s="23" t="str">
        <f>IF(OR(E6769="",E6769="!!!"),"",IF(NOT(ISNA(VLOOKUP(E6769,E$1:E6768,1,FALSE()))),"OLD",IF(AND(E6769&lt;&gt;"",E6769&lt;&gt;"!!!"),"NEW","")))</f>
        <v> </v>
      </c>
      <c r="G6769" s="24" t="str">
        <f>IF(OR(E6769="",E6769="!!!"),"",IF(OR(J6769=0,AND(J6769=1,K6769=1),AND(J6769=1,I6769="SBJ"),AND(J6769=1,I6769=0)),"?IN_FOCUS",IF(J6769&lt;=2,"?ACTIVATED",IF(J6769&lt;&gt;"","?FAMILIAR",IF(F6769="NEW",IF(ISNA(VLOOKUP(E6769,#REF!,1,FALSE())),"?TYPE_IDENTIFIABLE","?REFERENTIAL"),"_")))))</f>
        <v> </v>
      </c>
      <c r="H6769" s="25" t="str">
        <f>IF(J6769&lt;&gt;1,"",IF(I6769="SBJ","CB","?"))</f>
        <v> </v>
      </c>
      <c r="I6769" s="26" t="str">
        <f>IF(OR(E6769="",E6769="!!!",F6769="NEW"),"",INDEX(B6768:B$2,-1+SUMPRODUCT(MAX(ROW(E6768:E$2)*(E6769=E6768:E$2)))))</f>
        <v> </v>
      </c>
      <c r="J6769" s="26" t="str">
        <f>IF(OR(E6769="",E6769="!!!",F6769="NEW"),"",COUNTBLANK(OFFSET(A$1,,,SUMPRODUCT(MAX(ROW(E$2:E6769)*(E6769=E$2:E6769)))))-COUNTBLANK(OFFSET(A$1,,,SUMPRODUCT(MAX(ROW(E$1:E6768)*(E2=E$1:E6768))))))</f>
        <v> </v>
      </c>
      <c r="K6769" s="26" t="str">
        <f>IF(OR(E6769="",E6769="!!!",F6769="NEW"),"",INDEX(J$1:J6768,SUMPRODUCT(MAX(ROW(E$1:E6768)*(E6769=E$1:E6768)))))</f>
        <v> </v>
      </c>
      <c r="L6769" s="27"/>
    </row>
    <row r="6770" spans="1:12">
      <c r="A6770" s="20" t="s">
        <v>2731</v>
      </c>
      <c r="E6770" s="22">
        <f>IF(D6770="?OLD","!!!","")</f>
        <v/>
      </c>
      <c r="F6770" s="23" t="str">
        <f>IF(OR(E6770="",E6770="!!!"),"",IF(NOT(ISNA(VLOOKUP(E6770,E$1:E6769,1,FALSE()))),"OLD",IF(AND(E6770&lt;&gt;"",E6770&lt;&gt;"!!!"),"NEW","")))</f>
        <v> </v>
      </c>
      <c r="G6770" s="24" t="str">
        <f>IF(OR(E6770="",E6770="!!!"),"",IF(OR(J6770=0,AND(J6770=1,K6770=1),AND(J6770=1,I6770="SBJ"),AND(J6770=1,I6770=0)),"?IN_FOCUS",IF(J6770&lt;=2,"?ACTIVATED",IF(J6770&lt;&gt;"","?FAMILIAR",IF(F6770="NEW",IF(ISNA(VLOOKUP(E6770,#REF!,1,FALSE())),"?TYPE_IDENTIFIABLE","?REFERENTIAL"),"_")))))</f>
        <v> </v>
      </c>
      <c r="H6770" s="25" t="str">
        <f>IF(J6770&lt;&gt;1,"",IF(I6770="SBJ","CB","?"))</f>
        <v> </v>
      </c>
      <c r="I6770" s="26" t="str">
        <f>IF(OR(E6770="",E6770="!!!",F6770="NEW"),"",INDEX(B6769:B$2,-1+SUMPRODUCT(MAX(ROW(E6769:E$2)*(E6770=E6769:E$2)))))</f>
        <v> </v>
      </c>
      <c r="J6770" s="26" t="str">
        <f>IF(OR(E6770="",E6770="!!!",F6770="NEW"),"",COUNTBLANK(OFFSET(A$1,,,SUMPRODUCT(MAX(ROW(E$2:E6770)*(E6770=E$2:E6770)))))-COUNTBLANK(OFFSET(A$1,,,SUMPRODUCT(MAX(ROW(E$1:E6769)*(E2=E$1:E6769))))))</f>
        <v> </v>
      </c>
      <c r="K6770" s="26" t="str">
        <f>IF(OR(E6770="",E6770="!!!",F6770="NEW"),"",INDEX(J$1:J6769,SUMPRODUCT(MAX(ROW(E$1:E6769)*(E6770=E$1:E6769)))))</f>
        <v> </v>
      </c>
      <c r="L6770" s="27"/>
    </row>
    <row r="6771" spans="1:12">
      <c r="A6771" s="20" t="s">
        <v>1018</v>
      </c>
      <c r="E6771" s="22">
        <f>IF(D6771="?OLD","!!!","")</f>
        <v/>
      </c>
      <c r="F6771" s="23" t="str">
        <f>IF(OR(E6771="",E6771="!!!"),"",IF(NOT(ISNA(VLOOKUP(E6771,E$1:E6770,1,FALSE()))),"OLD",IF(AND(E6771&lt;&gt;"",E6771&lt;&gt;"!!!"),"NEW","")))</f>
        <v> </v>
      </c>
      <c r="G6771" s="24" t="str">
        <f>IF(OR(E6771="",E6771="!!!"),"",IF(OR(J6771=0,AND(J6771=1,K6771=1),AND(J6771=1,I6771="SBJ"),AND(J6771=1,I6771=0)),"?IN_FOCUS",IF(J6771&lt;=2,"?ACTIVATED",IF(J6771&lt;&gt;"","?FAMILIAR",IF(F6771="NEW",IF(ISNA(VLOOKUP(E6771,#REF!,1,FALSE())),"?TYPE_IDENTIFIABLE","?REFERENTIAL"),"_")))))</f>
        <v> </v>
      </c>
      <c r="H6771" s="25" t="str">
        <f>IF(J6771&lt;&gt;1,"",IF(I6771="SBJ","CB","?"))</f>
        <v> </v>
      </c>
      <c r="I6771" s="26" t="str">
        <f>IF(OR(E6771="",E6771="!!!",F6771="NEW"),"",INDEX(B6770:B$2,-1+SUMPRODUCT(MAX(ROW(E6770:E$2)*(E6771=E6770:E$2)))))</f>
        <v> </v>
      </c>
      <c r="J6771" s="26" t="str">
        <f>IF(OR(E6771="",E6771="!!!",F6771="NEW"),"",COUNTBLANK(OFFSET(A$1,,,SUMPRODUCT(MAX(ROW(E$2:E6771)*(E6771=E$2:E6771)))))-COUNTBLANK(OFFSET(A$1,,,SUMPRODUCT(MAX(ROW(E$1:E6770)*(E2=E$1:E6770))))))</f>
        <v> </v>
      </c>
      <c r="K6771" s="26" t="str">
        <f>IF(OR(E6771="",E6771="!!!",F6771="NEW"),"",INDEX(J$1:J6770,SUMPRODUCT(MAX(ROW(E$1:E6770)*(E6771=E$1:E6770)))))</f>
        <v> </v>
      </c>
      <c r="L6771" s="27"/>
    </row>
    <row r="6772" spans="1:12">
      <c r="A6772" s="20" t="s">
        <v>56</v>
      </c>
      <c r="E6772" s="22">
        <f>IF(D6772="?OLD","!!!","")</f>
        <v/>
      </c>
      <c r="F6772" s="23" t="str">
        <f>IF(OR(E6772="",E6772="!!!"),"",IF(NOT(ISNA(VLOOKUP(E6772,E$1:E6771,1,FALSE()))),"OLD",IF(AND(E6772&lt;&gt;"",E6772&lt;&gt;"!!!"),"NEW","")))</f>
        <v> </v>
      </c>
      <c r="G6772" s="24" t="str">
        <f>IF(OR(E6772="",E6772="!!!"),"",IF(OR(J6772=0,AND(J6772=1,K6772=1),AND(J6772=1,I6772="SBJ"),AND(J6772=1,I6772=0)),"?IN_FOCUS",IF(J6772&lt;=2,"?ACTIVATED",IF(J6772&lt;&gt;"","?FAMILIAR",IF(F6772="NEW",IF(ISNA(VLOOKUP(E6772,#REF!,1,FALSE())),"?TYPE_IDENTIFIABLE","?REFERENTIAL"),"_")))))</f>
        <v> </v>
      </c>
      <c r="H6772" s="25" t="str">
        <f>IF(J6772&lt;&gt;1,"",IF(I6772="SBJ","CB","?"))</f>
        <v> </v>
      </c>
      <c r="I6772" s="26" t="str">
        <f>IF(OR(E6772="",E6772="!!!",F6772="NEW"),"",INDEX(B6771:B$2,-1+SUMPRODUCT(MAX(ROW(E6771:E$2)*(E6772=E6771:E$2)))))</f>
        <v> </v>
      </c>
      <c r="J6772" s="26" t="str">
        <f>IF(OR(E6772="",E6772="!!!",F6772="NEW"),"",COUNTBLANK(OFFSET(A$1,,,SUMPRODUCT(MAX(ROW(E$2:E6772)*(E6772=E$2:E6772)))))-COUNTBLANK(OFFSET(A$1,,,SUMPRODUCT(MAX(ROW(E$1:E6771)*(E2=E$1:E6771))))))</f>
        <v> </v>
      </c>
      <c r="K6772" s="26" t="str">
        <f>IF(OR(E6772="",E6772="!!!",F6772="NEW"),"",INDEX(J$1:J6771,SUMPRODUCT(MAX(ROW(E$1:E6771)*(E6772=E$1:E6771)))))</f>
        <v> </v>
      </c>
      <c r="L6772" s="27"/>
    </row>
    <row r="6773" spans="1:12">
      <c r="A6773" s="20" t="s">
        <v>1142</v>
      </c>
      <c r="E6773" s="22">
        <f>IF(D6773="?OLD","!!!","")</f>
        <v/>
      </c>
      <c r="F6773" s="23" t="str">
        <f>IF(OR(E6773="",E6773="!!!"),"",IF(NOT(ISNA(VLOOKUP(E6773,E$1:E6772,1,FALSE()))),"OLD",IF(AND(E6773&lt;&gt;"",E6773&lt;&gt;"!!!"),"NEW","")))</f>
        <v> </v>
      </c>
      <c r="G6773" s="24" t="str">
        <f>IF(OR(E6773="",E6773="!!!"),"",IF(OR(J6773=0,AND(J6773=1,K6773=1),AND(J6773=1,I6773="SBJ"),AND(J6773=1,I6773=0)),"?IN_FOCUS",IF(J6773&lt;=2,"?ACTIVATED",IF(J6773&lt;&gt;"","?FAMILIAR",IF(F6773="NEW",IF(ISNA(VLOOKUP(E6773,#REF!,1,FALSE())),"?TYPE_IDENTIFIABLE","?REFERENTIAL"),"_")))))</f>
        <v> </v>
      </c>
      <c r="H6773" s="25" t="str">
        <f>IF(J6773&lt;&gt;1,"",IF(I6773="SBJ","CB","?"))</f>
        <v> </v>
      </c>
      <c r="I6773" s="26" t="str">
        <f>IF(OR(E6773="",E6773="!!!",F6773="NEW"),"",INDEX(B6772:B$2,-1+SUMPRODUCT(MAX(ROW(E6772:E$2)*(E6773=E6772:E$2)))))</f>
        <v> </v>
      </c>
      <c r="J6773" s="26" t="str">
        <f>IF(OR(E6773="",E6773="!!!",F6773="NEW"),"",COUNTBLANK(OFFSET(A$1,,,SUMPRODUCT(MAX(ROW(E$2:E6773)*(E6773=E$2:E6773)))))-COUNTBLANK(OFFSET(A$1,,,SUMPRODUCT(MAX(ROW(E$1:E6772)*(E2=E$1:E6772))))))</f>
        <v> </v>
      </c>
      <c r="K6773" s="26" t="str">
        <f>IF(OR(E6773="",E6773="!!!",F6773="NEW"),"",INDEX(J$1:J6772,SUMPRODUCT(MAX(ROW(E$1:E6772)*(E6773=E$1:E6772)))))</f>
        <v> </v>
      </c>
      <c r="L6773" s="27"/>
    </row>
    <row r="6774" spans="1:12">
      <c r="A6774" s="20" t="s">
        <v>1178</v>
      </c>
      <c r="E6774" s="22">
        <f>IF(D6774="?OLD","!!!","")</f>
        <v/>
      </c>
      <c r="F6774" s="23" t="str">
        <f>IF(OR(E6774="",E6774="!!!"),"",IF(NOT(ISNA(VLOOKUP(E6774,E$1:E6773,1,FALSE()))),"OLD",IF(AND(E6774&lt;&gt;"",E6774&lt;&gt;"!!!"),"NEW","")))</f>
        <v> </v>
      </c>
      <c r="G6774" s="24" t="str">
        <f>IF(OR(E6774="",E6774="!!!"),"",IF(OR(J6774=0,AND(J6774=1,K6774=1),AND(J6774=1,I6774="SBJ"),AND(J6774=1,I6774=0)),"?IN_FOCUS",IF(J6774&lt;=2,"?ACTIVATED",IF(J6774&lt;&gt;"","?FAMILIAR",IF(F6774="NEW",IF(ISNA(VLOOKUP(E6774,#REF!,1,FALSE())),"?TYPE_IDENTIFIABLE","?REFERENTIAL"),"_")))))</f>
        <v> </v>
      </c>
      <c r="H6774" s="25" t="str">
        <f>IF(J6774&lt;&gt;1,"",IF(I6774="SBJ","CB","?"))</f>
        <v> </v>
      </c>
      <c r="I6774" s="26" t="str">
        <f>IF(OR(E6774="",E6774="!!!",F6774="NEW"),"",INDEX(B6773:B$2,-1+SUMPRODUCT(MAX(ROW(E6773:E$2)*(E6774=E6773:E$2)))))</f>
        <v> </v>
      </c>
      <c r="J6774" s="26" t="str">
        <f>IF(OR(E6774="",E6774="!!!",F6774="NEW"),"",COUNTBLANK(OFFSET(A$1,,,SUMPRODUCT(MAX(ROW(E$2:E6774)*(E6774=E$2:E6774)))))-COUNTBLANK(OFFSET(A$1,,,SUMPRODUCT(MAX(ROW(E$1:E6773)*(E2=E$1:E6773))))))</f>
        <v> </v>
      </c>
      <c r="K6774" s="26" t="str">
        <f>IF(OR(E6774="",E6774="!!!",F6774="NEW"),"",INDEX(J$1:J6773,SUMPRODUCT(MAX(ROW(E$1:E6773)*(E6774=E$1:E6773)))))</f>
        <v> </v>
      </c>
      <c r="L6774" s="27"/>
    </row>
    <row r="6775" spans="1:12">
      <c r="A6775" s="20" t="s">
        <v>1065</v>
      </c>
      <c r="E6775" s="22">
        <f>IF(D6775="?OLD","!!!","")</f>
        <v/>
      </c>
      <c r="F6775" s="23" t="str">
        <f>IF(OR(E6775="",E6775="!!!"),"",IF(NOT(ISNA(VLOOKUP(E6775,E$1:E6774,1,FALSE()))),"OLD",IF(AND(E6775&lt;&gt;"",E6775&lt;&gt;"!!!"),"NEW","")))</f>
        <v> </v>
      </c>
      <c r="G6775" s="24" t="str">
        <f>IF(OR(E6775="",E6775="!!!"),"",IF(OR(J6775=0,AND(J6775=1,K6775=1),AND(J6775=1,I6775="SBJ"),AND(J6775=1,I6775=0)),"?IN_FOCUS",IF(J6775&lt;=2,"?ACTIVATED",IF(J6775&lt;&gt;"","?FAMILIAR",IF(F6775="NEW",IF(ISNA(VLOOKUP(E6775,#REF!,1,FALSE())),"?TYPE_IDENTIFIABLE","?REFERENTIAL"),"_")))))</f>
        <v> </v>
      </c>
      <c r="H6775" s="25" t="str">
        <f>IF(J6775&lt;&gt;1,"",IF(I6775="SBJ","CB","?"))</f>
        <v> </v>
      </c>
      <c r="I6775" s="26" t="str">
        <f>IF(OR(E6775="",E6775="!!!",F6775="NEW"),"",INDEX(B6774:B$2,-1+SUMPRODUCT(MAX(ROW(E6774:E$2)*(E6775=E6774:E$2)))))</f>
        <v> </v>
      </c>
      <c r="J6775" s="26" t="str">
        <f>IF(OR(E6775="",E6775="!!!",F6775="NEW"),"",COUNTBLANK(OFFSET(A$1,,,SUMPRODUCT(MAX(ROW(E$2:E6775)*(E6775=E$2:E6775)))))-COUNTBLANK(OFFSET(A$1,,,SUMPRODUCT(MAX(ROW(E$1:E6774)*(E2=E$1:E6774))))))</f>
        <v> </v>
      </c>
      <c r="K6775" s="26" t="str">
        <f>IF(OR(E6775="",E6775="!!!",F6775="NEW"),"",INDEX(J$1:J6774,SUMPRODUCT(MAX(ROW(E$1:E6774)*(E6775=E$1:E6774)))))</f>
        <v> </v>
      </c>
      <c r="L6775" s="27"/>
    </row>
    <row r="6776" spans="1:12">
      <c r="A6776" s="20" t="s">
        <v>1858</v>
      </c>
      <c r="E6776" s="22">
        <f>IF(D6776="?OLD","!!!","")</f>
        <v/>
      </c>
      <c r="F6776" s="23" t="str">
        <f>IF(OR(E6776="",E6776="!!!"),"",IF(NOT(ISNA(VLOOKUP(E6776,E$1:E6775,1,FALSE()))),"OLD",IF(AND(E6776&lt;&gt;"",E6776&lt;&gt;"!!!"),"NEW","")))</f>
        <v> </v>
      </c>
      <c r="G6776" s="24" t="str">
        <f>IF(OR(E6776="",E6776="!!!"),"",IF(OR(J6776=0,AND(J6776=1,K6776=1),AND(J6776=1,I6776="SBJ"),AND(J6776=1,I6776=0)),"?IN_FOCUS",IF(J6776&lt;=2,"?ACTIVATED",IF(J6776&lt;&gt;"","?FAMILIAR",IF(F6776="NEW",IF(ISNA(VLOOKUP(E6776,#REF!,1,FALSE())),"?TYPE_IDENTIFIABLE","?REFERENTIAL"),"_")))))</f>
        <v> </v>
      </c>
      <c r="H6776" s="25" t="str">
        <f>IF(J6776&lt;&gt;1,"",IF(I6776="SBJ","CB","?"))</f>
        <v> </v>
      </c>
      <c r="I6776" s="26" t="str">
        <f>IF(OR(E6776="",E6776="!!!",F6776="NEW"),"",INDEX(B6775:B$2,-1+SUMPRODUCT(MAX(ROW(E6775:E$2)*(E6776=E6775:E$2)))))</f>
        <v> </v>
      </c>
      <c r="J6776" s="26" t="str">
        <f>IF(OR(E6776="",E6776="!!!",F6776="NEW"),"",COUNTBLANK(OFFSET(A$1,,,SUMPRODUCT(MAX(ROW(E$2:E6776)*(E6776=E$2:E6776)))))-COUNTBLANK(OFFSET(A$1,,,SUMPRODUCT(MAX(ROW(E$1:E6775)*(E2=E$1:E6775))))))</f>
        <v> </v>
      </c>
      <c r="K6776" s="26" t="str">
        <f>IF(OR(E6776="",E6776="!!!",F6776="NEW"),"",INDEX(J$1:J6775,SUMPRODUCT(MAX(ROW(E$1:E6775)*(E6776=E$1:E6775)))))</f>
        <v> </v>
      </c>
      <c r="L6776" s="27"/>
    </row>
    <row r="6777" spans="1:12">
      <c r="A6777" s="20" t="s">
        <v>1014</v>
      </c>
      <c r="E6777" s="22">
        <f>IF(D6777="?OLD","!!!","")</f>
        <v/>
      </c>
      <c r="F6777" s="23" t="str">
        <f>IF(OR(E6777="",E6777="!!!"),"",IF(NOT(ISNA(VLOOKUP(E6777,E$1:E6776,1,FALSE()))),"OLD",IF(AND(E6777&lt;&gt;"",E6777&lt;&gt;"!!!"),"NEW","")))</f>
        <v> </v>
      </c>
      <c r="G6777" s="24" t="str">
        <f>IF(OR(E6777="",E6777="!!!"),"",IF(OR(J6777=0,AND(J6777=1,K6777=1),AND(J6777=1,I6777="SBJ"),AND(J6777=1,I6777=0)),"?IN_FOCUS",IF(J6777&lt;=2,"?ACTIVATED",IF(J6777&lt;&gt;"","?FAMILIAR",IF(F6777="NEW",IF(ISNA(VLOOKUP(E6777,#REF!,1,FALSE())),"?TYPE_IDENTIFIABLE","?REFERENTIAL"),"_")))))</f>
        <v> </v>
      </c>
      <c r="H6777" s="25" t="str">
        <f>IF(J6777&lt;&gt;1,"",IF(I6777="SBJ","CB","?"))</f>
        <v> </v>
      </c>
      <c r="I6777" s="26" t="str">
        <f>IF(OR(E6777="",E6777="!!!",F6777="NEW"),"",INDEX(B6776:B$2,-1+SUMPRODUCT(MAX(ROW(E6776:E$2)*(E6777=E6776:E$2)))))</f>
        <v> </v>
      </c>
      <c r="J6777" s="26" t="str">
        <f>IF(OR(E6777="",E6777="!!!",F6777="NEW"),"",COUNTBLANK(OFFSET(A$1,,,SUMPRODUCT(MAX(ROW(E$2:E6777)*(E6777=E$2:E6777)))))-COUNTBLANK(OFFSET(A$1,,,SUMPRODUCT(MAX(ROW(E$1:E6776)*(E2=E$1:E6776))))))</f>
        <v> </v>
      </c>
      <c r="K6777" s="26" t="str">
        <f>IF(OR(E6777="",E6777="!!!",F6777="NEW"),"",INDEX(J$1:J6776,SUMPRODUCT(MAX(ROW(E$1:E6776)*(E6777=E$1:E6776)))))</f>
        <v> </v>
      </c>
      <c r="L6777" s="27"/>
    </row>
    <row r="6778" spans="1:12">
      <c r="A6778" s="20" t="s">
        <v>1020</v>
      </c>
      <c r="E6778" s="22">
        <f>IF(D6778="?OLD","!!!","")</f>
        <v/>
      </c>
      <c r="F6778" s="23" t="str">
        <f>IF(OR(E6778="",E6778="!!!"),"",IF(NOT(ISNA(VLOOKUP(E6778,E$1:E6777,1,FALSE()))),"OLD",IF(AND(E6778&lt;&gt;"",E6778&lt;&gt;"!!!"),"NEW","")))</f>
        <v> </v>
      </c>
      <c r="G6778" s="24" t="str">
        <f>IF(OR(E6778="",E6778="!!!"),"",IF(OR(J6778=0,AND(J6778=1,K6778=1),AND(J6778=1,I6778="SBJ"),AND(J6778=1,I6778=0)),"?IN_FOCUS",IF(J6778&lt;=2,"?ACTIVATED",IF(J6778&lt;&gt;"","?FAMILIAR",IF(F6778="NEW",IF(ISNA(VLOOKUP(E6778,#REF!,1,FALSE())),"?TYPE_IDENTIFIABLE","?REFERENTIAL"),"_")))))</f>
        <v> </v>
      </c>
      <c r="H6778" s="25" t="str">
        <f>IF(J6778&lt;&gt;1,"",IF(I6778="SBJ","CB","?"))</f>
        <v> </v>
      </c>
      <c r="I6778" s="26" t="str">
        <f>IF(OR(E6778="",E6778="!!!",F6778="NEW"),"",INDEX(B6777:B$2,-1+SUMPRODUCT(MAX(ROW(E6777:E$2)*(E6778=E6777:E$2)))))</f>
        <v> </v>
      </c>
      <c r="J6778" s="26" t="str">
        <f>IF(OR(E6778="",E6778="!!!",F6778="NEW"),"",COUNTBLANK(OFFSET(A$1,,,SUMPRODUCT(MAX(ROW(E$2:E6778)*(E6778=E$2:E6778)))))-COUNTBLANK(OFFSET(A$1,,,SUMPRODUCT(MAX(ROW(E$1:E6777)*(E2=E$1:E6777))))))</f>
        <v> </v>
      </c>
      <c r="K6778" s="26" t="str">
        <f>IF(OR(E6778="",E6778="!!!",F6778="NEW"),"",INDEX(J$1:J6777,SUMPRODUCT(MAX(ROW(E$1:E6777)*(E6778=E$1:E6777)))))</f>
        <v> </v>
      </c>
      <c r="L6778" s="27"/>
    </row>
    <row r="6779" spans="1:12">
      <c r="A6779" s="20" t="s">
        <v>1873</v>
      </c>
      <c r="B6779" s="21" t="s">
        <v>1130</v>
      </c>
      <c r="C6779" s="21" t="s">
        <v>1059</v>
      </c>
      <c r="D6779" s="21" t="s">
        <v>1007</v>
      </c>
      <c r="E6779" s="22">
        <f>IF(D6779="?OLD","!!!","")</f>
        <v/>
      </c>
      <c r="F6779" s="23" t="str">
        <f>IF(OR(E6779="",E6779="!!!"),"",IF(NOT(ISNA(VLOOKUP(E6779,E$1:E6778,1,FALSE()))),"OLD",IF(AND(E6779&lt;&gt;"",E6779&lt;&gt;"!!!"),"NEW","")))</f>
        <v> </v>
      </c>
      <c r="G6779" s="24" t="str">
        <f>IF(OR(E6779="",E6779="!!!"),"",IF(OR(J6779=0,AND(J6779=1,K6779=1),AND(J6779=1,I6779="SBJ"),AND(J6779=1,I6779=0)),"?IN_FOCUS",IF(J6779&lt;=2,"?ACTIVATED",IF(J6779&lt;&gt;"","?FAMILIAR",IF(F6779="NEW",IF(ISNA(VLOOKUP(E6779,#REF!,1,FALSE())),"?TYPE_IDENTIFIABLE","?REFERENTIAL"),"_")))))</f>
        <v> </v>
      </c>
      <c r="H6779" s="25" t="str">
        <f>IF(J6779&lt;&gt;1,"",IF(I6779="SBJ","CB","?"))</f>
        <v> </v>
      </c>
      <c r="I6779" s="26" t="str">
        <f>IF(OR(E6779="",E6779="!!!",F6779="NEW"),"",INDEX(B6778:B$2,-1+SUMPRODUCT(MAX(ROW(E6778:E$2)*(E6779=E6778:E$2)))))</f>
        <v> </v>
      </c>
      <c r="J6779" s="26" t="str">
        <f>IF(OR(E6779="",E6779="!!!",F6779="NEW"),"",COUNTBLANK(OFFSET(A$1,,,SUMPRODUCT(MAX(ROW(E$2:E6779)*(E6779=E$2:E6779)))))-COUNTBLANK(OFFSET(A$1,,,SUMPRODUCT(MAX(ROW(E$1:E6778)*(E2=E$1:E6778))))))</f>
        <v> </v>
      </c>
      <c r="K6779" s="26" t="str">
        <f>IF(OR(E6779="",E6779="!!!",F6779="NEW"),"",INDEX(J$1:J6778,SUMPRODUCT(MAX(ROW(E$1:E6778)*(E6779=E$1:E6778)))))</f>
        <v> </v>
      </c>
      <c r="L6779" s="27"/>
    </row>
    <row r="6780" spans="1:12">
      <c r="A6780" s="20" t="s">
        <v>1691</v>
      </c>
      <c r="B6780" s="21" t="s">
        <v>1064</v>
      </c>
      <c r="C6780" s="21" t="s">
        <v>1017</v>
      </c>
      <c r="D6780" s="21" t="s">
        <v>1007</v>
      </c>
      <c r="E6780" s="22">
        <f>IF(D6780="?OLD","!!!","")</f>
        <v/>
      </c>
      <c r="F6780" s="23" t="str">
        <f>IF(OR(E6780="",E6780="!!!"),"",IF(NOT(ISNA(VLOOKUP(E6780,E$1:E6779,1,FALSE()))),"OLD",IF(AND(E6780&lt;&gt;"",E6780&lt;&gt;"!!!"),"NEW","")))</f>
        <v> </v>
      </c>
      <c r="G6780" s="24" t="str">
        <f>IF(OR(E6780="",E6780="!!!"),"",IF(OR(J6780=0,AND(J6780=1,K6780=1),AND(J6780=1,I6780="SBJ"),AND(J6780=1,I6780=0)),"?IN_FOCUS",IF(J6780&lt;=2,"?ACTIVATED",IF(J6780&lt;&gt;"","?FAMILIAR",IF(F6780="NEW",IF(ISNA(VLOOKUP(E6780,#REF!,1,FALSE())),"?TYPE_IDENTIFIABLE","?REFERENTIAL"),"_")))))</f>
        <v> </v>
      </c>
      <c r="H6780" s="25" t="str">
        <f>IF(J6780&lt;&gt;1,"",IF(I6780="SBJ","CB","?"))</f>
        <v> </v>
      </c>
      <c r="I6780" s="26" t="str">
        <f>IF(OR(E6780="",E6780="!!!",F6780="NEW"),"",INDEX(B6779:B$2,-1+SUMPRODUCT(MAX(ROW(E6779:E$2)*(E6780=E6779:E$2)))))</f>
        <v> </v>
      </c>
      <c r="J6780" s="26" t="str">
        <f>IF(OR(E6780="",E6780="!!!",F6780="NEW"),"",COUNTBLANK(OFFSET(A$1,,,SUMPRODUCT(MAX(ROW(E$2:E6780)*(E6780=E$2:E6780)))))-COUNTBLANK(OFFSET(A$1,,,SUMPRODUCT(MAX(ROW(E$1:E6779)*(E2=E$1:E6779))))))</f>
        <v> </v>
      </c>
      <c r="K6780" s="26" t="str">
        <f>IF(OR(E6780="",E6780="!!!",F6780="NEW"),"",INDEX(J$1:J6779,SUMPRODUCT(MAX(ROW(E$1:E6779)*(E6780=E$1:E6779)))))</f>
        <v> </v>
      </c>
      <c r="L6780" s="27"/>
    </row>
    <row r="6781" spans="1:12">
      <c r="A6781" s="20" t="s">
        <v>1097</v>
      </c>
      <c r="E6781" s="22">
        <f>IF(D6781="?OLD","!!!","")</f>
        <v/>
      </c>
      <c r="F6781" s="23" t="str">
        <f>IF(OR(E6781="",E6781="!!!"),"",IF(NOT(ISNA(VLOOKUP(E6781,E$1:E6780,1,FALSE()))),"OLD",IF(AND(E6781&lt;&gt;"",E6781&lt;&gt;"!!!"),"NEW","")))</f>
        <v> </v>
      </c>
      <c r="G6781" s="24" t="str">
        <f>IF(OR(E6781="",E6781="!!!"),"",IF(OR(J6781=0,AND(J6781=1,K6781=1),AND(J6781=1,I6781="SBJ"),AND(J6781=1,I6781=0)),"?IN_FOCUS",IF(J6781&lt;=2,"?ACTIVATED",IF(J6781&lt;&gt;"","?FAMILIAR",IF(F6781="NEW",IF(ISNA(VLOOKUP(E6781,#REF!,1,FALSE())),"?TYPE_IDENTIFIABLE","?REFERENTIAL"),"_")))))</f>
        <v> </v>
      </c>
      <c r="H6781" s="25" t="str">
        <f>IF(J6781&lt;&gt;1,"",IF(I6781="SBJ","CB","?"))</f>
        <v> </v>
      </c>
      <c r="I6781" s="26" t="str">
        <f>IF(OR(E6781="",E6781="!!!",F6781="NEW"),"",INDEX(B6780:B$2,-1+SUMPRODUCT(MAX(ROW(E6780:E$2)*(E6781=E6780:E$2)))))</f>
        <v> </v>
      </c>
      <c r="J6781" s="26" t="str">
        <f>IF(OR(E6781="",E6781="!!!",F6781="NEW"),"",COUNTBLANK(OFFSET(A$1,,,SUMPRODUCT(MAX(ROW(E$2:E6781)*(E6781=E$2:E6781)))))-COUNTBLANK(OFFSET(A$1,,,SUMPRODUCT(MAX(ROW(E$1:E6780)*(E2=E$1:E6780))))))</f>
        <v> </v>
      </c>
      <c r="K6781" s="26" t="str">
        <f>IF(OR(E6781="",E6781="!!!",F6781="NEW"),"",INDEX(J$1:J6780,SUMPRODUCT(MAX(ROW(E$1:E6780)*(E6781=E$1:E6780)))))</f>
        <v> </v>
      </c>
      <c r="L6781" s="27"/>
    </row>
    <row r="6782" spans="1:12">
      <c r="A6782" s="20" t="s">
        <v>2733</v>
      </c>
      <c r="B6782" s="21" t="s">
        <v>1035</v>
      </c>
      <c r="C6782" s="21" t="s">
        <v>1048</v>
      </c>
      <c r="E6782" s="22">
        <f>IF(D6782="?OLD","!!!","")</f>
        <v/>
      </c>
      <c r="F6782" s="23" t="str">
        <f>IF(OR(E6782="",E6782="!!!"),"",IF(NOT(ISNA(VLOOKUP(E6782,E$1:E6781,1,FALSE()))),"OLD",IF(AND(E6782&lt;&gt;"",E6782&lt;&gt;"!!!"),"NEW","")))</f>
        <v> </v>
      </c>
      <c r="G6782" s="24" t="str">
        <f>IF(OR(E6782="",E6782="!!!"),"",IF(OR(J6782=0,AND(J6782=1,K6782=1),AND(J6782=1,I6782="SBJ"),AND(J6782=1,I6782=0)),"?IN_FOCUS",IF(J6782&lt;=2,"?ACTIVATED",IF(J6782&lt;&gt;"","?FAMILIAR",IF(F6782="NEW",IF(ISNA(VLOOKUP(E6782,#REF!,1,FALSE())),"?TYPE_IDENTIFIABLE","?REFERENTIAL"),"_")))))</f>
        <v> </v>
      </c>
      <c r="H6782" s="25" t="str">
        <f>IF(J6782&lt;&gt;1,"",IF(I6782="SBJ","CB","?"))</f>
        <v> </v>
      </c>
      <c r="I6782" s="26" t="str">
        <f>IF(OR(E6782="",E6782="!!!",F6782="NEW"),"",INDEX(B6781:B$2,-1+SUMPRODUCT(MAX(ROW(E6781:E$2)*(E6782=E6781:E$2)))))</f>
        <v> </v>
      </c>
      <c r="J6782" s="26" t="str">
        <f>IF(OR(E6782="",E6782="!!!",F6782="NEW"),"",COUNTBLANK(OFFSET(A$1,,,SUMPRODUCT(MAX(ROW(E$2:E6782)*(E6782=E$2:E6782)))))-COUNTBLANK(OFFSET(A$1,,,SUMPRODUCT(MAX(ROW(E$1:E6781)*(E2=E$1:E6781))))))</f>
        <v> </v>
      </c>
      <c r="K6782" s="26" t="str">
        <f>IF(OR(E6782="",E6782="!!!",F6782="NEW"),"",INDEX(J$1:J6781,SUMPRODUCT(MAX(ROW(E$1:E6781)*(E6782=E$1:E6781)))))</f>
        <v> </v>
      </c>
      <c r="L6782" s="27"/>
    </row>
    <row r="6783" spans="1:12">
      <c r="A6783" s="20" t="s">
        <v>1056</v>
      </c>
      <c r="E6783" s="22">
        <f>IF(D6783="?OLD","!!!","")</f>
        <v/>
      </c>
      <c r="F6783" s="23" t="str">
        <f>IF(OR(E6783="",E6783="!!!"),"",IF(NOT(ISNA(VLOOKUP(E6783,E$1:E6782,1,FALSE()))),"OLD",IF(AND(E6783&lt;&gt;"",E6783&lt;&gt;"!!!"),"NEW","")))</f>
        <v> </v>
      </c>
      <c r="G6783" s="24" t="str">
        <f>IF(OR(E6783="",E6783="!!!"),"",IF(OR(J6783=0,AND(J6783=1,K6783=1),AND(J6783=1,I6783="SBJ"),AND(J6783=1,I6783=0)),"?IN_FOCUS",IF(J6783&lt;=2,"?ACTIVATED",IF(J6783&lt;&gt;"","?FAMILIAR",IF(F6783="NEW",IF(ISNA(VLOOKUP(E6783,#REF!,1,FALSE())),"?TYPE_IDENTIFIABLE","?REFERENTIAL"),"_")))))</f>
        <v> </v>
      </c>
      <c r="H6783" s="25" t="str">
        <f>IF(J6783&lt;&gt;1,"",IF(I6783="SBJ","CB","?"))</f>
        <v> </v>
      </c>
      <c r="I6783" s="26" t="str">
        <f>IF(OR(E6783="",E6783="!!!",F6783="NEW"),"",INDEX(B6782:B$2,-1+SUMPRODUCT(MAX(ROW(E6782:E$2)*(E6783=E6782:E$2)))))</f>
        <v> </v>
      </c>
      <c r="J6783" s="26" t="str">
        <f>IF(OR(E6783="",E6783="!!!",F6783="NEW"),"",COUNTBLANK(OFFSET(A$1,,,SUMPRODUCT(MAX(ROW(E$2:E6783)*(E6783=E$2:E6783)))))-COUNTBLANK(OFFSET(A$1,,,SUMPRODUCT(MAX(ROW(E$1:E6782)*(E2=E$1:E6782))))))</f>
        <v> </v>
      </c>
      <c r="K6783" s="26" t="str">
        <f>IF(OR(E6783="",E6783="!!!",F6783="NEW"),"",INDEX(J$1:J6782,SUMPRODUCT(MAX(ROW(E$1:E6782)*(E6783=E$1:E6782)))))</f>
        <v> </v>
      </c>
      <c r="L6783" s="27"/>
    </row>
    <row r="6784" spans="1:12">
      <c r="A6784" s="20" t="s">
        <v>1675</v>
      </c>
      <c r="E6784" s="22">
        <f>IF(D6784="?OLD","!!!","")</f>
        <v/>
      </c>
      <c r="F6784" s="23" t="str">
        <f>IF(OR(E6784="",E6784="!!!"),"",IF(NOT(ISNA(VLOOKUP(E6784,E$1:E6783,1,FALSE()))),"OLD",IF(AND(E6784&lt;&gt;"",E6784&lt;&gt;"!!!"),"NEW","")))</f>
        <v> </v>
      </c>
      <c r="G6784" s="24" t="str">
        <f>IF(OR(E6784="",E6784="!!!"),"",IF(OR(J6784=0,AND(J6784=1,K6784=1),AND(J6784=1,I6784="SBJ"),AND(J6784=1,I6784=0)),"?IN_FOCUS",IF(J6784&lt;=2,"?ACTIVATED",IF(J6784&lt;&gt;"","?FAMILIAR",IF(F6784="NEW",IF(ISNA(VLOOKUP(E6784,#REF!,1,FALSE())),"?TYPE_IDENTIFIABLE","?REFERENTIAL"),"_")))))</f>
        <v> </v>
      </c>
      <c r="H6784" s="25" t="str">
        <f>IF(J6784&lt;&gt;1,"",IF(I6784="SBJ","CB","?"))</f>
        <v> </v>
      </c>
      <c r="I6784" s="26" t="str">
        <f>IF(OR(E6784="",E6784="!!!",F6784="NEW"),"",INDEX(B6783:B$2,-1+SUMPRODUCT(MAX(ROW(E6783:E$2)*(E6784=E6783:E$2)))))</f>
        <v> </v>
      </c>
      <c r="J6784" s="26" t="str">
        <f>IF(OR(E6784="",E6784="!!!",F6784="NEW"),"",COUNTBLANK(OFFSET(A$1,,,SUMPRODUCT(MAX(ROW(E$2:E6784)*(E6784=E$2:E6784)))))-COUNTBLANK(OFFSET(A$1,,,SUMPRODUCT(MAX(ROW(E$1:E6783)*(E2=E$1:E6783))))))</f>
        <v> </v>
      </c>
      <c r="K6784" s="26" t="str">
        <f>IF(OR(E6784="",E6784="!!!",F6784="NEW"),"",INDEX(J$1:J6783,SUMPRODUCT(MAX(ROW(E$1:E6783)*(E6784=E$1:E6783)))))</f>
        <v> </v>
      </c>
      <c r="L6784" s="27"/>
    </row>
    <row r="6785" spans="1:12">
      <c r="A6785" s="20" t="s">
        <v>1168</v>
      </c>
      <c r="B6785" s="21" t="s">
        <v>1130</v>
      </c>
      <c r="C6785" s="21" t="s">
        <v>1111</v>
      </c>
      <c r="E6785" s="22">
        <f>IF(D6785="?OLD","!!!","")</f>
        <v/>
      </c>
      <c r="F6785" s="23" t="str">
        <f>IF(OR(E6785="",E6785="!!!"),"",IF(NOT(ISNA(VLOOKUP(E6785,E$1:E6784,1,FALSE()))),"OLD",IF(AND(E6785&lt;&gt;"",E6785&lt;&gt;"!!!"),"NEW","")))</f>
        <v> </v>
      </c>
      <c r="G6785" s="24" t="str">
        <f>IF(OR(E6785="",E6785="!!!"),"",IF(OR(J6785=0,AND(J6785=1,K6785=1),AND(J6785=1,I6785="SBJ"),AND(J6785=1,I6785=0)),"?IN_FOCUS",IF(J6785&lt;=2,"?ACTIVATED",IF(J6785&lt;&gt;"","?FAMILIAR",IF(F6785="NEW",IF(ISNA(VLOOKUP(E6785,#REF!,1,FALSE())),"?TYPE_IDENTIFIABLE","?REFERENTIAL"),"_")))))</f>
        <v> </v>
      </c>
      <c r="H6785" s="25" t="str">
        <f>IF(J6785&lt;&gt;1,"",IF(I6785="SBJ","CB","?"))</f>
        <v> </v>
      </c>
      <c r="I6785" s="26" t="str">
        <f>IF(OR(E6785="",E6785="!!!",F6785="NEW"),"",INDEX(B6784:B$2,-1+SUMPRODUCT(MAX(ROW(E6784:E$2)*(E6785=E6784:E$2)))))</f>
        <v> </v>
      </c>
      <c r="J6785" s="26" t="str">
        <f>IF(OR(E6785="",E6785="!!!",F6785="NEW"),"",COUNTBLANK(OFFSET(A$1,,,SUMPRODUCT(MAX(ROW(E$2:E6785)*(E6785=E$2:E6785)))))-COUNTBLANK(OFFSET(A$1,,,SUMPRODUCT(MAX(ROW(E$1:E6784)*(E2=E$1:E6784))))))</f>
        <v> </v>
      </c>
      <c r="K6785" s="26" t="str">
        <f>IF(OR(E6785="",E6785="!!!",F6785="NEW"),"",INDEX(J$1:J6784,SUMPRODUCT(MAX(ROW(E$1:E6784)*(E6785=E$1:E6784)))))</f>
        <v> </v>
      </c>
      <c r="L6785" s="27"/>
    </row>
    <row r="6786" spans="1:12">
      <c r="A6786" s="20" t="s">
        <v>1023</v>
      </c>
      <c r="E6786" s="22">
        <f>IF(D6786="?OLD","!!!","")</f>
        <v/>
      </c>
      <c r="F6786" s="23" t="str">
        <f>IF(OR(E6786="",E6786="!!!"),"",IF(NOT(ISNA(VLOOKUP(E6786,E$1:E6785,1,FALSE()))),"OLD",IF(AND(E6786&lt;&gt;"",E6786&lt;&gt;"!!!"),"NEW","")))</f>
        <v> </v>
      </c>
      <c r="G6786" s="24" t="str">
        <f>IF(OR(E6786="",E6786="!!!"),"",IF(OR(J6786=0,AND(J6786=1,K6786=1),AND(J6786=1,I6786="SBJ"),AND(J6786=1,I6786=0)),"?IN_FOCUS",IF(J6786&lt;=2,"?ACTIVATED",IF(J6786&lt;&gt;"","?FAMILIAR",IF(F6786="NEW",IF(ISNA(VLOOKUP(E6786,#REF!,1,FALSE())),"?TYPE_IDENTIFIABLE","?REFERENTIAL"),"_")))))</f>
        <v> </v>
      </c>
      <c r="H6786" s="25" t="str">
        <f>IF(J6786&lt;&gt;1,"",IF(I6786="SBJ","CB","?"))</f>
        <v> </v>
      </c>
      <c r="I6786" s="26" t="str">
        <f>IF(OR(E6786="",E6786="!!!",F6786="NEW"),"",INDEX(B6785:B$2,-1+SUMPRODUCT(MAX(ROW(E6785:E$2)*(E6786=E6785:E$2)))))</f>
        <v> </v>
      </c>
      <c r="J6786" s="26" t="str">
        <f>IF(OR(E6786="",E6786="!!!",F6786="NEW"),"",COUNTBLANK(OFFSET(A$1,,,SUMPRODUCT(MAX(ROW(E$2:E6786)*(E6786=E$2:E6786)))))-COUNTBLANK(OFFSET(A$1,,,SUMPRODUCT(MAX(ROW(E$1:E6785)*(E2=E$1:E6785))))))</f>
        <v> </v>
      </c>
      <c r="K6786" s="26" t="str">
        <f>IF(OR(E6786="",E6786="!!!",F6786="NEW"),"",INDEX(J$1:J6785,SUMPRODUCT(MAX(ROW(E$1:E6785)*(E6786=E$1:E6785)))))</f>
        <v> </v>
      </c>
      <c r="L6786" s="27"/>
    </row>
    <row r="6787" spans="1:12">
      <c r="A6787" s="20"/>
    </row>
    <row r="6788" spans="1:12">
      <c r="A6788" s="20" t="s">
        <v>2734</v>
      </c>
    </row>
    <row r="6789" spans="1:12">
      <c r="A6789" s="20" t="s">
        <v>1147</v>
      </c>
      <c r="E6789" s="22">
        <f>IF(D6789="?OLD","!!!","")</f>
        <v/>
      </c>
      <c r="F6789" s="23" t="str">
        <f>IF(OR(E6789="",E6789="!!!"),"",IF(NOT(ISNA(VLOOKUP(E6789,E$1:E6788,1,FALSE()))),"OLD",IF(AND(E6789&lt;&gt;"",E6789&lt;&gt;"!!!"),"NEW","")))</f>
        <v> </v>
      </c>
      <c r="G6789" s="24" t="str">
        <f>IF(OR(E6789="",E6789="!!!"),"",IF(OR(J6789=0,AND(J6789=1,K6789=1),AND(J6789=1,I6789="SBJ"),AND(J6789=1,I6789=0)),"?IN_FOCUS",IF(J6789&lt;=2,"?ACTIVATED",IF(J6789&lt;&gt;"","?FAMILIAR",IF(F6789="NEW",IF(ISNA(VLOOKUP(E6789,#REF!,1,FALSE())),"?TYPE_IDENTIFIABLE","?REFERENTIAL"),"_")))))</f>
        <v> </v>
      </c>
      <c r="H6789" s="25" t="str">
        <f>IF(J6789&lt;&gt;1,"",IF(I6789="SBJ","CB","?"))</f>
        <v> </v>
      </c>
      <c r="I6789" s="26" t="str">
        <f>IF(OR(E6789="",E6789="!!!",F6789="NEW"),"",INDEX(B6788:B$2,-1+SUMPRODUCT(MAX(ROW(E6788:E$2)*(E6789=E6788:E$2)))))</f>
        <v> </v>
      </c>
      <c r="J6789" s="26" t="str">
        <f>IF(OR(E6789="",E6789="!!!",F6789="NEW"),"",COUNTBLANK(OFFSET(A$1,,,SUMPRODUCT(MAX(ROW(E$2:E6789)*(E6789=E$2:E6789)))))-COUNTBLANK(OFFSET(A$1,,,SUMPRODUCT(MAX(ROW(E$1:E6788)*(E2=E$1:E6788))))))</f>
        <v> </v>
      </c>
      <c r="K6789" s="26" t="str">
        <f>IF(OR(E6789="",E6789="!!!",F6789="NEW"),"",INDEX(J$1:J6788,SUMPRODUCT(MAX(ROW(E$1:E6788)*(E6789=E$1:E6788)))))</f>
        <v> </v>
      </c>
      <c r="L6789" s="27"/>
    </row>
    <row r="6790" spans="1:12">
      <c r="A6790" s="20" t="s">
        <v>1178</v>
      </c>
      <c r="E6790" s="22">
        <f>IF(D6790="?OLD","!!!","")</f>
        <v/>
      </c>
      <c r="F6790" s="23" t="str">
        <f>IF(OR(E6790="",E6790="!!!"),"",IF(NOT(ISNA(VLOOKUP(E6790,E$1:E6789,1,FALSE()))),"OLD",IF(AND(E6790&lt;&gt;"",E6790&lt;&gt;"!!!"),"NEW","")))</f>
        <v> </v>
      </c>
      <c r="G6790" s="24" t="str">
        <f>IF(OR(E6790="",E6790="!!!"),"",IF(OR(J6790=0,AND(J6790=1,K6790=1),AND(J6790=1,I6790="SBJ"),AND(J6790=1,I6790=0)),"?IN_FOCUS",IF(J6790&lt;=2,"?ACTIVATED",IF(J6790&lt;&gt;"","?FAMILIAR",IF(F6790="NEW",IF(ISNA(VLOOKUP(E6790,#REF!,1,FALSE())),"?TYPE_IDENTIFIABLE","?REFERENTIAL"),"_")))))</f>
        <v> </v>
      </c>
      <c r="H6790" s="25" t="str">
        <f>IF(J6790&lt;&gt;1,"",IF(I6790="SBJ","CB","?"))</f>
        <v> </v>
      </c>
      <c r="I6790" s="26" t="str">
        <f>IF(OR(E6790="",E6790="!!!",F6790="NEW"),"",INDEX(B6789:B$2,-1+SUMPRODUCT(MAX(ROW(E6789:E$2)*(E6790=E6789:E$2)))))</f>
        <v> </v>
      </c>
      <c r="J6790" s="26" t="str">
        <f>IF(OR(E6790="",E6790="!!!",F6790="NEW"),"",COUNTBLANK(OFFSET(A$1,,,SUMPRODUCT(MAX(ROW(E$2:E6790)*(E6790=E$2:E6790)))))-COUNTBLANK(OFFSET(A$1,,,SUMPRODUCT(MAX(ROW(E$1:E6789)*(E2=E$1:E6789))))))</f>
        <v> </v>
      </c>
      <c r="K6790" s="26" t="str">
        <f>IF(OR(E6790="",E6790="!!!",F6790="NEW"),"",INDEX(J$1:J6789,SUMPRODUCT(MAX(ROW(E$1:E6789)*(E6790=E$1:E6789)))))</f>
        <v> </v>
      </c>
      <c r="L6790" s="27"/>
    </row>
    <row r="6791" spans="1:12">
      <c r="A6791" s="20" t="s">
        <v>1065</v>
      </c>
      <c r="E6791" s="22">
        <f>IF(D6791="?OLD","!!!","")</f>
        <v/>
      </c>
      <c r="F6791" s="23" t="str">
        <f>IF(OR(E6791="",E6791="!!!"),"",IF(NOT(ISNA(VLOOKUP(E6791,E$1:E6790,1,FALSE()))),"OLD",IF(AND(E6791&lt;&gt;"",E6791&lt;&gt;"!!!"),"NEW","")))</f>
        <v> </v>
      </c>
      <c r="G6791" s="24" t="str">
        <f>IF(OR(E6791="",E6791="!!!"),"",IF(OR(J6791=0,AND(J6791=1,K6791=1),AND(J6791=1,I6791="SBJ"),AND(J6791=1,I6791=0)),"?IN_FOCUS",IF(J6791&lt;=2,"?ACTIVATED",IF(J6791&lt;&gt;"","?FAMILIAR",IF(F6791="NEW",IF(ISNA(VLOOKUP(E6791,#REF!,1,FALSE())),"?TYPE_IDENTIFIABLE","?REFERENTIAL"),"_")))))</f>
        <v> </v>
      </c>
      <c r="H6791" s="25" t="str">
        <f>IF(J6791&lt;&gt;1,"",IF(I6791="SBJ","CB","?"))</f>
        <v> </v>
      </c>
      <c r="I6791" s="26" t="str">
        <f>IF(OR(E6791="",E6791="!!!",F6791="NEW"),"",INDEX(B6790:B$2,-1+SUMPRODUCT(MAX(ROW(E6790:E$2)*(E6791=E6790:E$2)))))</f>
        <v> </v>
      </c>
      <c r="J6791" s="26" t="str">
        <f>IF(OR(E6791="",E6791="!!!",F6791="NEW"),"",COUNTBLANK(OFFSET(A$1,,,SUMPRODUCT(MAX(ROW(E$2:E6791)*(E6791=E$2:E6791)))))-COUNTBLANK(OFFSET(A$1,,,SUMPRODUCT(MAX(ROW(E$1:E6790)*(E2=E$1:E6790))))))</f>
        <v> </v>
      </c>
      <c r="K6791" s="26" t="str">
        <f>IF(OR(E6791="",E6791="!!!",F6791="NEW"),"",INDEX(J$1:J6790,SUMPRODUCT(MAX(ROW(E$1:E6790)*(E6791=E$1:E6790)))))</f>
        <v> </v>
      </c>
      <c r="L6791" s="27"/>
    </row>
    <row r="6792" spans="1:12">
      <c r="A6792" s="20" t="s">
        <v>1858</v>
      </c>
      <c r="E6792" s="22">
        <f>IF(D6792="?OLD","!!!","")</f>
        <v/>
      </c>
      <c r="F6792" s="23" t="str">
        <f>IF(OR(E6792="",E6792="!!!"),"",IF(NOT(ISNA(VLOOKUP(E6792,E$1:E6791,1,FALSE()))),"OLD",IF(AND(E6792&lt;&gt;"",E6792&lt;&gt;"!!!"),"NEW","")))</f>
        <v> </v>
      </c>
      <c r="G6792" s="24" t="str">
        <f>IF(OR(E6792="",E6792="!!!"),"",IF(OR(J6792=0,AND(J6792=1,K6792=1),AND(J6792=1,I6792="SBJ"),AND(J6792=1,I6792=0)),"?IN_FOCUS",IF(J6792&lt;=2,"?ACTIVATED",IF(J6792&lt;&gt;"","?FAMILIAR",IF(F6792="NEW",IF(ISNA(VLOOKUP(E6792,#REF!,1,FALSE())),"?TYPE_IDENTIFIABLE","?REFERENTIAL"),"_")))))</f>
        <v> </v>
      </c>
      <c r="H6792" s="25" t="str">
        <f>IF(J6792&lt;&gt;1,"",IF(I6792="SBJ","CB","?"))</f>
        <v> </v>
      </c>
      <c r="I6792" s="26" t="str">
        <f>IF(OR(E6792="",E6792="!!!",F6792="NEW"),"",INDEX(B6791:B$2,-1+SUMPRODUCT(MAX(ROW(E6791:E$2)*(E6792=E6791:E$2)))))</f>
        <v> </v>
      </c>
      <c r="J6792" s="26" t="str">
        <f>IF(OR(E6792="",E6792="!!!",F6792="NEW"),"",COUNTBLANK(OFFSET(A$1,,,SUMPRODUCT(MAX(ROW(E$2:E6792)*(E6792=E$2:E6792)))))-COUNTBLANK(OFFSET(A$1,,,SUMPRODUCT(MAX(ROW(E$1:E6791)*(E2=E$1:E6791))))))</f>
        <v> </v>
      </c>
      <c r="K6792" s="26" t="str">
        <f>IF(OR(E6792="",E6792="!!!",F6792="NEW"),"",INDEX(J$1:J6791,SUMPRODUCT(MAX(ROW(E$1:E6791)*(E6792=E$1:E6791)))))</f>
        <v> </v>
      </c>
      <c r="L6792" s="27"/>
    </row>
    <row r="6793" spans="1:12">
      <c r="A6793" s="20" t="s">
        <v>1014</v>
      </c>
      <c r="E6793" s="22">
        <f>IF(D6793="?OLD","!!!","")</f>
        <v/>
      </c>
      <c r="F6793" s="23" t="str">
        <f>IF(OR(E6793="",E6793="!!!"),"",IF(NOT(ISNA(VLOOKUP(E6793,E$1:E6792,1,FALSE()))),"OLD",IF(AND(E6793&lt;&gt;"",E6793&lt;&gt;"!!!"),"NEW","")))</f>
        <v> </v>
      </c>
      <c r="G6793" s="24" t="str">
        <f>IF(OR(E6793="",E6793="!!!"),"",IF(OR(J6793=0,AND(J6793=1,K6793=1),AND(J6793=1,I6793="SBJ"),AND(J6793=1,I6793=0)),"?IN_FOCUS",IF(J6793&lt;=2,"?ACTIVATED",IF(J6793&lt;&gt;"","?FAMILIAR",IF(F6793="NEW",IF(ISNA(VLOOKUP(E6793,#REF!,1,FALSE())),"?TYPE_IDENTIFIABLE","?REFERENTIAL"),"_")))))</f>
        <v> </v>
      </c>
      <c r="H6793" s="25" t="str">
        <f>IF(J6793&lt;&gt;1,"",IF(I6793="SBJ","CB","?"))</f>
        <v> </v>
      </c>
      <c r="I6793" s="26" t="str">
        <f>IF(OR(E6793="",E6793="!!!",F6793="NEW"),"",INDEX(B6792:B$2,-1+SUMPRODUCT(MAX(ROW(E6792:E$2)*(E6793=E6792:E$2)))))</f>
        <v> </v>
      </c>
      <c r="J6793" s="26" t="str">
        <f>IF(OR(E6793="",E6793="!!!",F6793="NEW"),"",COUNTBLANK(OFFSET(A$1,,,SUMPRODUCT(MAX(ROW(E$2:E6793)*(E6793=E$2:E6793)))))-COUNTBLANK(OFFSET(A$1,,,SUMPRODUCT(MAX(ROW(E$1:E6792)*(E2=E$1:E6792))))))</f>
        <v> </v>
      </c>
      <c r="K6793" s="26" t="str">
        <f>IF(OR(E6793="",E6793="!!!",F6793="NEW"),"",INDEX(J$1:J6792,SUMPRODUCT(MAX(ROW(E$1:E6792)*(E6793=E$1:E6792)))))</f>
        <v> </v>
      </c>
      <c r="L6793" s="27"/>
    </row>
    <row r="6794" spans="1:12">
      <c r="A6794" s="20" t="s">
        <v>1020</v>
      </c>
      <c r="E6794" s="22">
        <f>IF(D6794="?OLD","!!!","")</f>
        <v/>
      </c>
      <c r="F6794" s="23" t="str">
        <f>IF(OR(E6794="",E6794="!!!"),"",IF(NOT(ISNA(VLOOKUP(E6794,E$1:E6793,1,FALSE()))),"OLD",IF(AND(E6794&lt;&gt;"",E6794&lt;&gt;"!!!"),"NEW","")))</f>
        <v> </v>
      </c>
      <c r="G6794" s="24" t="str">
        <f>IF(OR(E6794="",E6794="!!!"),"",IF(OR(J6794=0,AND(J6794=1,K6794=1),AND(J6794=1,I6794="SBJ"),AND(J6794=1,I6794=0)),"?IN_FOCUS",IF(J6794&lt;=2,"?ACTIVATED",IF(J6794&lt;&gt;"","?FAMILIAR",IF(F6794="NEW",IF(ISNA(VLOOKUP(E6794,#REF!,1,FALSE())),"?TYPE_IDENTIFIABLE","?REFERENTIAL"),"_")))))</f>
        <v> </v>
      </c>
      <c r="H6794" s="25" t="str">
        <f>IF(J6794&lt;&gt;1,"",IF(I6794="SBJ","CB","?"))</f>
        <v> </v>
      </c>
      <c r="I6794" s="26" t="str">
        <f>IF(OR(E6794="",E6794="!!!",F6794="NEW"),"",INDEX(B6793:B$2,-1+SUMPRODUCT(MAX(ROW(E6793:E$2)*(E6794=E6793:E$2)))))</f>
        <v> </v>
      </c>
      <c r="J6794" s="26" t="str">
        <f>IF(OR(E6794="",E6794="!!!",F6794="NEW"),"",COUNTBLANK(OFFSET(A$1,,,SUMPRODUCT(MAX(ROW(E$2:E6794)*(E6794=E$2:E6794)))))-COUNTBLANK(OFFSET(A$1,,,SUMPRODUCT(MAX(ROW(E$1:E6793)*(E2=E$1:E6793))))))</f>
        <v> </v>
      </c>
      <c r="K6794" s="26" t="str">
        <f>IF(OR(E6794="",E6794="!!!",F6794="NEW"),"",INDEX(J$1:J6793,SUMPRODUCT(MAX(ROW(E$1:E6793)*(E6794=E$1:E6793)))))</f>
        <v> </v>
      </c>
      <c r="L6794" s="27"/>
    </row>
    <row r="6795" spans="1:12">
      <c r="A6795" s="20" t="s">
        <v>1873</v>
      </c>
      <c r="B6795" s="21" t="s">
        <v>1033</v>
      </c>
      <c r="C6795" s="21" t="s">
        <v>1059</v>
      </c>
      <c r="D6795" s="21" t="s">
        <v>1007</v>
      </c>
      <c r="E6795" s="22">
        <f>IF(D6795="?OLD","!!!","")</f>
        <v/>
      </c>
      <c r="F6795" s="23" t="str">
        <f>IF(OR(E6795="",E6795="!!!"),"",IF(NOT(ISNA(VLOOKUP(E6795,E$1:E6794,1,FALSE()))),"OLD",IF(AND(E6795&lt;&gt;"",E6795&lt;&gt;"!!!"),"NEW","")))</f>
        <v> </v>
      </c>
      <c r="G6795" s="24" t="str">
        <f>IF(OR(E6795="",E6795="!!!"),"",IF(OR(J6795=0,AND(J6795=1,K6795=1),AND(J6795=1,I6795="SBJ"),AND(J6795=1,I6795=0)),"?IN_FOCUS",IF(J6795&lt;=2,"?ACTIVATED",IF(J6795&lt;&gt;"","?FAMILIAR",IF(F6795="NEW",IF(ISNA(VLOOKUP(E6795,#REF!,1,FALSE())),"?TYPE_IDENTIFIABLE","?REFERENTIAL"),"_")))))</f>
        <v> </v>
      </c>
      <c r="H6795" s="25" t="str">
        <f>IF(J6795&lt;&gt;1,"",IF(I6795="SBJ","CB","?"))</f>
        <v> </v>
      </c>
      <c r="I6795" s="26" t="str">
        <f>IF(OR(E6795="",E6795="!!!",F6795="NEW"),"",INDEX(B6794:B$2,-1+SUMPRODUCT(MAX(ROW(E6794:E$2)*(E6795=E6794:E$2)))))</f>
        <v> </v>
      </c>
      <c r="J6795" s="26" t="str">
        <f>IF(OR(E6795="",E6795="!!!",F6795="NEW"),"",COUNTBLANK(OFFSET(A$1,,,SUMPRODUCT(MAX(ROW(E$2:E6795)*(E6795=E$2:E6795)))))-COUNTBLANK(OFFSET(A$1,,,SUMPRODUCT(MAX(ROW(E$1:E6794)*(E2=E$1:E6794))))))</f>
        <v> </v>
      </c>
      <c r="K6795" s="26" t="str">
        <f>IF(OR(E6795="",E6795="!!!",F6795="NEW"),"",INDEX(J$1:J6794,SUMPRODUCT(MAX(ROW(E$1:E6794)*(E6795=E$1:E6794)))))</f>
        <v> </v>
      </c>
      <c r="L6795" s="27"/>
    </row>
    <row r="6796" spans="1:12">
      <c r="A6796" s="20" t="s">
        <v>1322</v>
      </c>
      <c r="B6796" s="21" t="s">
        <v>1029</v>
      </c>
      <c r="C6796" s="21" t="s">
        <v>1017</v>
      </c>
      <c r="D6796" s="21" t="s">
        <v>1007</v>
      </c>
      <c r="E6796" s="22">
        <f>IF(D6796="?OLD","!!!","")</f>
        <v/>
      </c>
      <c r="F6796" s="23" t="str">
        <f>IF(OR(E6796="",E6796="!!!"),"",IF(NOT(ISNA(VLOOKUP(E6796,E$1:E6795,1,FALSE()))),"OLD",IF(AND(E6796&lt;&gt;"",E6796&lt;&gt;"!!!"),"NEW","")))</f>
        <v> </v>
      </c>
      <c r="G6796" s="24" t="str">
        <f>IF(OR(E6796="",E6796="!!!"),"",IF(OR(J6796=0,AND(J6796=1,K6796=1),AND(J6796=1,I6796="SBJ"),AND(J6796=1,I6796=0)),"?IN_FOCUS",IF(J6796&lt;=2,"?ACTIVATED",IF(J6796&lt;&gt;"","?FAMILIAR",IF(F6796="NEW",IF(ISNA(VLOOKUP(E6796,#REF!,1,FALSE())),"?TYPE_IDENTIFIABLE","?REFERENTIAL"),"_")))))</f>
        <v> </v>
      </c>
      <c r="H6796" s="25" t="str">
        <f>IF(J6796&lt;&gt;1,"",IF(I6796="SBJ","CB","?"))</f>
        <v> </v>
      </c>
      <c r="I6796" s="26" t="str">
        <f>IF(OR(E6796="",E6796="!!!",F6796="NEW"),"",INDEX(B6795:B$2,-1+SUMPRODUCT(MAX(ROW(E6795:E$2)*(E6796=E6795:E$2)))))</f>
        <v> </v>
      </c>
      <c r="J6796" s="26" t="str">
        <f>IF(OR(E6796="",E6796="!!!",F6796="NEW"),"",COUNTBLANK(OFFSET(A$1,,,SUMPRODUCT(MAX(ROW(E$2:E6796)*(E6796=E$2:E6796)))))-COUNTBLANK(OFFSET(A$1,,,SUMPRODUCT(MAX(ROW(E$1:E6795)*(E2=E$1:E6795))))))</f>
        <v> </v>
      </c>
      <c r="K6796" s="26" t="str">
        <f>IF(OR(E6796="",E6796="!!!",F6796="NEW"),"",INDEX(J$1:J6795,SUMPRODUCT(MAX(ROW(E$1:E6795)*(E6796=E$1:E6795)))))</f>
        <v> </v>
      </c>
      <c r="L6796" s="27"/>
    </row>
    <row r="6797" spans="1:12">
      <c r="A6797" s="20" t="s">
        <v>1097</v>
      </c>
      <c r="E6797" s="22">
        <f>IF(D6797="?OLD","!!!","")</f>
        <v/>
      </c>
      <c r="F6797" s="23" t="str">
        <f>IF(OR(E6797="",E6797="!!!"),"",IF(NOT(ISNA(VLOOKUP(E6797,E$1:E6796,1,FALSE()))),"OLD",IF(AND(E6797&lt;&gt;"",E6797&lt;&gt;"!!!"),"NEW","")))</f>
        <v> </v>
      </c>
      <c r="G6797" s="24" t="str">
        <f>IF(OR(E6797="",E6797="!!!"),"",IF(OR(J6797=0,AND(J6797=1,K6797=1),AND(J6797=1,I6797="SBJ"),AND(J6797=1,I6797=0)),"?IN_FOCUS",IF(J6797&lt;=2,"?ACTIVATED",IF(J6797&lt;&gt;"","?FAMILIAR",IF(F6797="NEW",IF(ISNA(VLOOKUP(E6797,#REF!,1,FALSE())),"?TYPE_IDENTIFIABLE","?REFERENTIAL"),"_")))))</f>
        <v> </v>
      </c>
      <c r="H6797" s="25" t="str">
        <f>IF(J6797&lt;&gt;1,"",IF(I6797="SBJ","CB","?"))</f>
        <v> </v>
      </c>
      <c r="I6797" s="26" t="str">
        <f>IF(OR(E6797="",E6797="!!!",F6797="NEW"),"",INDEX(B6796:B$2,-1+SUMPRODUCT(MAX(ROW(E6796:E$2)*(E6797=E6796:E$2)))))</f>
        <v> </v>
      </c>
      <c r="J6797" s="26" t="str">
        <f>IF(OR(E6797="",E6797="!!!",F6797="NEW"),"",COUNTBLANK(OFFSET(A$1,,,SUMPRODUCT(MAX(ROW(E$2:E6797)*(E6797=E$2:E6797)))))-COUNTBLANK(OFFSET(A$1,,,SUMPRODUCT(MAX(ROW(E$1:E6796)*(E2=E$1:E6796))))))</f>
        <v> </v>
      </c>
      <c r="K6797" s="26" t="str">
        <f>IF(OR(E6797="",E6797="!!!",F6797="NEW"),"",INDEX(J$1:J6796,SUMPRODUCT(MAX(ROW(E$1:E6796)*(E6797=E$1:E6796)))))</f>
        <v> </v>
      </c>
      <c r="L6797" s="27"/>
    </row>
    <row r="6798" spans="1:12">
      <c r="A6798" s="20" t="s">
        <v>98</v>
      </c>
      <c r="E6798" s="22">
        <f>IF(D6798="?OLD","!!!","")</f>
        <v/>
      </c>
      <c r="F6798" s="23" t="str">
        <f>IF(OR(E6798="",E6798="!!!"),"",IF(NOT(ISNA(VLOOKUP(E6798,E$1:E6797,1,FALSE()))),"OLD",IF(AND(E6798&lt;&gt;"",E6798&lt;&gt;"!!!"),"NEW","")))</f>
        <v> </v>
      </c>
      <c r="G6798" s="24" t="str">
        <f>IF(OR(E6798="",E6798="!!!"),"",IF(OR(J6798=0,AND(J6798=1,K6798=1),AND(J6798=1,I6798="SBJ"),AND(J6798=1,I6798=0)),"?IN_FOCUS",IF(J6798&lt;=2,"?ACTIVATED",IF(J6798&lt;&gt;"","?FAMILIAR",IF(F6798="NEW",IF(ISNA(VLOOKUP(E6798,#REF!,1,FALSE())),"?TYPE_IDENTIFIABLE","?REFERENTIAL"),"_")))))</f>
        <v> </v>
      </c>
      <c r="H6798" s="25" t="str">
        <f>IF(J6798&lt;&gt;1,"",IF(I6798="SBJ","CB","?"))</f>
        <v> </v>
      </c>
      <c r="I6798" s="26" t="str">
        <f>IF(OR(E6798="",E6798="!!!",F6798="NEW"),"",INDEX(B6797:B$2,-1+SUMPRODUCT(MAX(ROW(E6797:E$2)*(E6798=E6797:E$2)))))</f>
        <v> </v>
      </c>
      <c r="J6798" s="26" t="str">
        <f>IF(OR(E6798="",E6798="!!!",F6798="NEW"),"",COUNTBLANK(OFFSET(A$1,,,SUMPRODUCT(MAX(ROW(E$2:E6798)*(E6798=E$2:E6798)))))-COUNTBLANK(OFFSET(A$1,,,SUMPRODUCT(MAX(ROW(E$1:E6797)*(E2=E$1:E6797))))))</f>
        <v> </v>
      </c>
      <c r="K6798" s="26" t="str">
        <f>IF(OR(E6798="",E6798="!!!",F6798="NEW"),"",INDEX(J$1:J6797,SUMPRODUCT(MAX(ROW(E$1:E6797)*(E6798=E$1:E6797)))))</f>
        <v> </v>
      </c>
      <c r="L6798" s="27"/>
    </row>
    <row r="6799" spans="1:12">
      <c r="A6799" s="20" t="s">
        <v>1339</v>
      </c>
      <c r="B6799" s="21" t="s">
        <v>1187</v>
      </c>
      <c r="C6799" s="21" t="s">
        <v>1048</v>
      </c>
      <c r="E6799" s="22">
        <f>IF(D6799="?OLD","!!!","")</f>
        <v/>
      </c>
      <c r="F6799" s="23" t="str">
        <f>IF(OR(E6799="",E6799="!!!"),"",IF(NOT(ISNA(VLOOKUP(E6799,E$1:E6798,1,FALSE()))),"OLD",IF(AND(E6799&lt;&gt;"",E6799&lt;&gt;"!!!"),"NEW","")))</f>
        <v> </v>
      </c>
      <c r="G6799" s="24" t="str">
        <f>IF(OR(E6799="",E6799="!!!"),"",IF(OR(J6799=0,AND(J6799=1,K6799=1),AND(J6799=1,I6799="SBJ"),AND(J6799=1,I6799=0)),"?IN_FOCUS",IF(J6799&lt;=2,"?ACTIVATED",IF(J6799&lt;&gt;"","?FAMILIAR",IF(F6799="NEW",IF(ISNA(VLOOKUP(E6799,#REF!,1,FALSE())),"?TYPE_IDENTIFIABLE","?REFERENTIAL"),"_")))))</f>
        <v> </v>
      </c>
      <c r="H6799" s="25" t="str">
        <f>IF(J6799&lt;&gt;1,"",IF(I6799="SBJ","CB","?"))</f>
        <v> </v>
      </c>
      <c r="I6799" s="26" t="str">
        <f>IF(OR(E6799="",E6799="!!!",F6799="NEW"),"",INDEX(B6798:B$2,-1+SUMPRODUCT(MAX(ROW(E6798:E$2)*(E6799=E6798:E$2)))))</f>
        <v> </v>
      </c>
      <c r="J6799" s="26" t="str">
        <f>IF(OR(E6799="",E6799="!!!",F6799="NEW"),"",COUNTBLANK(OFFSET(A$1,,,SUMPRODUCT(MAX(ROW(E$2:E6799)*(E6799=E$2:E6799)))))-COUNTBLANK(OFFSET(A$1,,,SUMPRODUCT(MAX(ROW(E$1:E6798)*(E2=E$1:E6798))))))</f>
        <v> </v>
      </c>
      <c r="K6799" s="26" t="str">
        <f>IF(OR(E6799="",E6799="!!!",F6799="NEW"),"",INDEX(J$1:J6798,SUMPRODUCT(MAX(ROW(E$1:E6798)*(E6799=E$1:E6798)))))</f>
        <v> </v>
      </c>
      <c r="L6799" s="27"/>
    </row>
    <row r="6800" spans="1:12">
      <c r="A6800" s="20" t="s">
        <v>1023</v>
      </c>
      <c r="E6800" s="22">
        <f>IF(D6800="?OLD","!!!","")</f>
        <v/>
      </c>
      <c r="F6800" s="23" t="str">
        <f>IF(OR(E6800="",E6800="!!!"),"",IF(NOT(ISNA(VLOOKUP(E6800,E$1:E6799,1,FALSE()))),"OLD",IF(AND(E6800&lt;&gt;"",E6800&lt;&gt;"!!!"),"NEW","")))</f>
        <v> </v>
      </c>
      <c r="G6800" s="24" t="str">
        <f>IF(OR(E6800="",E6800="!!!"),"",IF(OR(J6800=0,AND(J6800=1,K6800=1),AND(J6800=1,I6800="SBJ"),AND(J6800=1,I6800=0)),"?IN_FOCUS",IF(J6800&lt;=2,"?ACTIVATED",IF(J6800&lt;&gt;"","?FAMILIAR",IF(F6800="NEW",IF(ISNA(VLOOKUP(E6800,#REF!,1,FALSE())),"?TYPE_IDENTIFIABLE","?REFERENTIAL"),"_")))))</f>
        <v> </v>
      </c>
      <c r="H6800" s="25" t="str">
        <f>IF(J6800&lt;&gt;1,"",IF(I6800="SBJ","CB","?"))</f>
        <v> </v>
      </c>
      <c r="I6800" s="26" t="str">
        <f>IF(OR(E6800="",E6800="!!!",F6800="NEW"),"",INDEX(B6799:B$2,-1+SUMPRODUCT(MAX(ROW(E6799:E$2)*(E6800=E6799:E$2)))))</f>
        <v> </v>
      </c>
      <c r="J6800" s="26" t="str">
        <f>IF(OR(E6800="",E6800="!!!",F6800="NEW"),"",COUNTBLANK(OFFSET(A$1,,,SUMPRODUCT(MAX(ROW(E$2:E6800)*(E6800=E$2:E6800)))))-COUNTBLANK(OFFSET(A$1,,,SUMPRODUCT(MAX(ROW(E$1:E6799)*(E2=E$1:E6799))))))</f>
        <v> </v>
      </c>
      <c r="K6800" s="26" t="str">
        <f>IF(OR(E6800="",E6800="!!!",F6800="NEW"),"",INDEX(J$1:J6799,SUMPRODUCT(MAX(ROW(E$1:E6799)*(E6800=E$1:E6799)))))</f>
        <v> </v>
      </c>
      <c r="L6800" s="27"/>
    </row>
    <row r="6801" spans="1:12">
      <c r="A6801" s="20"/>
    </row>
    <row r="6802" spans="1:12">
      <c r="A6802" s="20" t="s">
        <v>2735</v>
      </c>
    </row>
    <row r="6803" spans="1:12">
      <c r="A6803" s="20" t="s">
        <v>1175</v>
      </c>
      <c r="E6803" s="22">
        <f>IF(D6803="?OLD","!!!","")</f>
        <v/>
      </c>
      <c r="F6803" s="23" t="str">
        <f>IF(OR(E6803="",E6803="!!!"),"",IF(NOT(ISNA(VLOOKUP(E6803,E$1:E6802,1,FALSE()))),"OLD",IF(AND(E6803&lt;&gt;"",E6803&lt;&gt;"!!!"),"NEW","")))</f>
        <v> </v>
      </c>
      <c r="G6803" s="24" t="str">
        <f>IF(OR(E6803="",E6803="!!!"),"",IF(OR(J6803=0,AND(J6803=1,K6803=1),AND(J6803=1,I6803="SBJ"),AND(J6803=1,I6803=0)),"?IN_FOCUS",IF(J6803&lt;=2,"?ACTIVATED",IF(J6803&lt;&gt;"","?FAMILIAR",IF(F6803="NEW",IF(ISNA(VLOOKUP(E6803,#REF!,1,FALSE())),"?TYPE_IDENTIFIABLE","?REFERENTIAL"),"_")))))</f>
        <v> </v>
      </c>
      <c r="H6803" s="25" t="str">
        <f>IF(J6803&lt;&gt;1,"",IF(I6803="SBJ","CB","?"))</f>
        <v> </v>
      </c>
      <c r="I6803" s="26" t="str">
        <f>IF(OR(E6803="",E6803="!!!",F6803="NEW"),"",INDEX(B6802:B$2,-1+SUMPRODUCT(MAX(ROW(E6802:E$2)*(E6803=E6802:E$2)))))</f>
        <v> </v>
      </c>
      <c r="J6803" s="26" t="str">
        <f>IF(OR(E6803="",E6803="!!!",F6803="NEW"),"",COUNTBLANK(OFFSET(A$1,,,SUMPRODUCT(MAX(ROW(E$2:E6803)*(E6803=E$2:E6803)))))-COUNTBLANK(OFFSET(A$1,,,SUMPRODUCT(MAX(ROW(E$1:E6802)*(E2=E$1:E6802))))))</f>
        <v> </v>
      </c>
      <c r="K6803" s="26" t="str">
        <f>IF(OR(E6803="",E6803="!!!",F6803="NEW"),"",INDEX(J$1:J6802,SUMPRODUCT(MAX(ROW(E$1:E6802)*(E6803=E$1:E6802)))))</f>
        <v> </v>
      </c>
      <c r="L6803" s="27"/>
    </row>
    <row r="6804" spans="1:12">
      <c r="A6804" s="20" t="s">
        <v>1139</v>
      </c>
      <c r="E6804" s="22">
        <f>IF(D6804="?OLD","!!!","")</f>
        <v/>
      </c>
      <c r="F6804" s="23" t="str">
        <f>IF(OR(E6804="",E6804="!!!"),"",IF(NOT(ISNA(VLOOKUP(E6804,E$1:E6803,1,FALSE()))),"OLD",IF(AND(E6804&lt;&gt;"",E6804&lt;&gt;"!!!"),"NEW","")))</f>
        <v> </v>
      </c>
      <c r="G6804" s="24" t="str">
        <f>IF(OR(E6804="",E6804="!!!"),"",IF(OR(J6804=0,AND(J6804=1,K6804=1),AND(J6804=1,I6804="SBJ"),AND(J6804=1,I6804=0)),"?IN_FOCUS",IF(J6804&lt;=2,"?ACTIVATED",IF(J6804&lt;&gt;"","?FAMILIAR",IF(F6804="NEW",IF(ISNA(VLOOKUP(E6804,#REF!,1,FALSE())),"?TYPE_IDENTIFIABLE","?REFERENTIAL"),"_")))))</f>
        <v> </v>
      </c>
      <c r="H6804" s="25" t="str">
        <f>IF(J6804&lt;&gt;1,"",IF(I6804="SBJ","CB","?"))</f>
        <v> </v>
      </c>
      <c r="I6804" s="26" t="str">
        <f>IF(OR(E6804="",E6804="!!!",F6804="NEW"),"",INDEX(B6803:B$2,-1+SUMPRODUCT(MAX(ROW(E6803:E$2)*(E6804=E6803:E$2)))))</f>
        <v> </v>
      </c>
      <c r="J6804" s="26" t="str">
        <f>IF(OR(E6804="",E6804="!!!",F6804="NEW"),"",COUNTBLANK(OFFSET(A$1,,,SUMPRODUCT(MAX(ROW(E$2:E6804)*(E6804=E$2:E6804)))))-COUNTBLANK(OFFSET(A$1,,,SUMPRODUCT(MAX(ROW(E$1:E6803)*(E2=E$1:E6803))))))</f>
        <v> </v>
      </c>
      <c r="K6804" s="26" t="str">
        <f>IF(OR(E6804="",E6804="!!!",F6804="NEW"),"",INDEX(J$1:J6803,SUMPRODUCT(MAX(ROW(E$1:E6803)*(E6804=E$1:E6803)))))</f>
        <v> </v>
      </c>
      <c r="L6804" s="27"/>
    </row>
    <row r="6805" spans="1:12">
      <c r="A6805" s="20" t="s">
        <v>1065</v>
      </c>
      <c r="E6805" s="22">
        <f>IF(D6805="?OLD","!!!","")</f>
        <v/>
      </c>
      <c r="F6805" s="23" t="str">
        <f>IF(OR(E6805="",E6805="!!!"),"",IF(NOT(ISNA(VLOOKUP(E6805,E$1:E6804,1,FALSE()))),"OLD",IF(AND(E6805&lt;&gt;"",E6805&lt;&gt;"!!!"),"NEW","")))</f>
        <v> </v>
      </c>
      <c r="G6805" s="24" t="str">
        <f>IF(OR(E6805="",E6805="!!!"),"",IF(OR(J6805=0,AND(J6805=1,K6805=1),AND(J6805=1,I6805="SBJ"),AND(J6805=1,I6805=0)),"?IN_FOCUS",IF(J6805&lt;=2,"?ACTIVATED",IF(J6805&lt;&gt;"","?FAMILIAR",IF(F6805="NEW",IF(ISNA(VLOOKUP(E6805,#REF!,1,FALSE())),"?TYPE_IDENTIFIABLE","?REFERENTIAL"),"_")))))</f>
        <v> </v>
      </c>
      <c r="H6805" s="25" t="str">
        <f>IF(J6805&lt;&gt;1,"",IF(I6805="SBJ","CB","?"))</f>
        <v> </v>
      </c>
      <c r="I6805" s="26" t="str">
        <f>IF(OR(E6805="",E6805="!!!",F6805="NEW"),"",INDEX(B6804:B$2,-1+SUMPRODUCT(MAX(ROW(E6804:E$2)*(E6805=E6804:E$2)))))</f>
        <v> </v>
      </c>
      <c r="J6805" s="26" t="str">
        <f>IF(OR(E6805="",E6805="!!!",F6805="NEW"),"",COUNTBLANK(OFFSET(A$1,,,SUMPRODUCT(MAX(ROW(E$2:E6805)*(E6805=E$2:E6805)))))-COUNTBLANK(OFFSET(A$1,,,SUMPRODUCT(MAX(ROW(E$1:E6804)*(E2=E$1:E6804))))))</f>
        <v> </v>
      </c>
      <c r="K6805" s="26" t="str">
        <f>IF(OR(E6805="",E6805="!!!",F6805="NEW"),"",INDEX(J$1:J6804,SUMPRODUCT(MAX(ROW(E$1:E6804)*(E6805=E$1:E6804)))))</f>
        <v> </v>
      </c>
      <c r="L6805" s="27"/>
    </row>
    <row r="6806" spans="1:12">
      <c r="A6806" s="20" t="s">
        <v>1018</v>
      </c>
      <c r="E6806" s="22">
        <f>IF(D6806="?OLD","!!!","")</f>
        <v/>
      </c>
      <c r="F6806" s="23" t="str">
        <f>IF(OR(E6806="",E6806="!!!"),"",IF(NOT(ISNA(VLOOKUP(E6806,E$1:E6805,1,FALSE()))),"OLD",IF(AND(E6806&lt;&gt;"",E6806&lt;&gt;"!!!"),"NEW","")))</f>
        <v> </v>
      </c>
      <c r="G6806" s="24" t="str">
        <f>IF(OR(E6806="",E6806="!!!"),"",IF(OR(J6806=0,AND(J6806=1,K6806=1),AND(J6806=1,I6806="SBJ"),AND(J6806=1,I6806=0)),"?IN_FOCUS",IF(J6806&lt;=2,"?ACTIVATED",IF(J6806&lt;&gt;"","?FAMILIAR",IF(F6806="NEW",IF(ISNA(VLOOKUP(E6806,#REF!,1,FALSE())),"?TYPE_IDENTIFIABLE","?REFERENTIAL"),"_")))))</f>
        <v> </v>
      </c>
      <c r="H6806" s="25" t="str">
        <f>IF(J6806&lt;&gt;1,"",IF(I6806="SBJ","CB","?"))</f>
        <v> </v>
      </c>
      <c r="I6806" s="26" t="str">
        <f>IF(OR(E6806="",E6806="!!!",F6806="NEW"),"",INDEX(B6805:B$2,-1+SUMPRODUCT(MAX(ROW(E6805:E$2)*(E6806=E6805:E$2)))))</f>
        <v> </v>
      </c>
      <c r="J6806" s="26" t="str">
        <f>IF(OR(E6806="",E6806="!!!",F6806="NEW"),"",COUNTBLANK(OFFSET(A$1,,,SUMPRODUCT(MAX(ROW(E$2:E6806)*(E6806=E$2:E6806)))))-COUNTBLANK(OFFSET(A$1,,,SUMPRODUCT(MAX(ROW(E$1:E6805)*(E2=E$1:E6805))))))</f>
        <v> </v>
      </c>
      <c r="K6806" s="26" t="str">
        <f>IF(OR(E6806="",E6806="!!!",F6806="NEW"),"",INDEX(J$1:J6805,SUMPRODUCT(MAX(ROW(E$1:E6805)*(E6806=E$1:E6805)))))</f>
        <v> </v>
      </c>
      <c r="L6806" s="27"/>
    </row>
    <row r="6807" spans="1:12">
      <c r="A6807" s="20" t="s">
        <v>2736</v>
      </c>
      <c r="E6807" s="22">
        <f>IF(D6807="?OLD","!!!","")</f>
        <v/>
      </c>
      <c r="F6807" s="23" t="str">
        <f>IF(OR(E6807="",E6807="!!!"),"",IF(NOT(ISNA(VLOOKUP(E6807,E$1:E6806,1,FALSE()))),"OLD",IF(AND(E6807&lt;&gt;"",E6807&lt;&gt;"!!!"),"NEW","")))</f>
        <v> </v>
      </c>
      <c r="G6807" s="24" t="str">
        <f>IF(OR(E6807="",E6807="!!!"),"",IF(OR(J6807=0,AND(J6807=1,K6807=1),AND(J6807=1,I6807="SBJ"),AND(J6807=1,I6807=0)),"?IN_FOCUS",IF(J6807&lt;=2,"?ACTIVATED",IF(J6807&lt;&gt;"","?FAMILIAR",IF(F6807="NEW",IF(ISNA(VLOOKUP(E6807,#REF!,1,FALSE())),"?TYPE_IDENTIFIABLE","?REFERENTIAL"),"_")))))</f>
        <v> </v>
      </c>
      <c r="H6807" s="25" t="str">
        <f>IF(J6807&lt;&gt;1,"",IF(I6807="SBJ","CB","?"))</f>
        <v> </v>
      </c>
      <c r="I6807" s="26" t="str">
        <f>IF(OR(E6807="",E6807="!!!",F6807="NEW"),"",INDEX(B6806:B$2,-1+SUMPRODUCT(MAX(ROW(E6806:E$2)*(E6807=E6806:E$2)))))</f>
        <v> </v>
      </c>
      <c r="J6807" s="26" t="str">
        <f>IF(OR(E6807="",E6807="!!!",F6807="NEW"),"",COUNTBLANK(OFFSET(A$1,,,SUMPRODUCT(MAX(ROW(E$2:E6807)*(E6807=E$2:E6807)))))-COUNTBLANK(OFFSET(A$1,,,SUMPRODUCT(MAX(ROW(E$1:E6806)*(E2=E$1:E6806))))))</f>
        <v> </v>
      </c>
      <c r="K6807" s="26" t="str">
        <f>IF(OR(E6807="",E6807="!!!",F6807="NEW"),"",INDEX(J$1:J6806,SUMPRODUCT(MAX(ROW(E$1:E6806)*(E6807=E$1:E6806)))))</f>
        <v> </v>
      </c>
      <c r="L6807" s="27"/>
    </row>
    <row r="6808" spans="1:12">
      <c r="A6808" s="20" t="s">
        <v>1030</v>
      </c>
      <c r="E6808" s="22">
        <f>IF(D6808="?OLD","!!!","")</f>
        <v/>
      </c>
      <c r="F6808" s="23" t="str">
        <f>IF(OR(E6808="",E6808="!!!"),"",IF(NOT(ISNA(VLOOKUP(E6808,E$1:E6807,1,FALSE()))),"OLD",IF(AND(E6808&lt;&gt;"",E6808&lt;&gt;"!!!"),"NEW","")))</f>
        <v> </v>
      </c>
      <c r="G6808" s="24" t="str">
        <f>IF(OR(E6808="",E6808="!!!"),"",IF(OR(J6808=0,AND(J6808=1,K6808=1),AND(J6808=1,I6808="SBJ"),AND(J6808=1,I6808=0)),"?IN_FOCUS",IF(J6808&lt;=2,"?ACTIVATED",IF(J6808&lt;&gt;"","?FAMILIAR",IF(F6808="NEW",IF(ISNA(VLOOKUP(E6808,#REF!,1,FALSE())),"?TYPE_IDENTIFIABLE","?REFERENTIAL"),"_")))))</f>
        <v> </v>
      </c>
      <c r="H6808" s="25" t="str">
        <f>IF(J6808&lt;&gt;1,"",IF(I6808="SBJ","CB","?"))</f>
        <v> </v>
      </c>
      <c r="I6808" s="26" t="str">
        <f>IF(OR(E6808="",E6808="!!!",F6808="NEW"),"",INDEX(B6807:B$2,-1+SUMPRODUCT(MAX(ROW(E6807:E$2)*(E6808=E6807:E$2)))))</f>
        <v> </v>
      </c>
      <c r="J6808" s="26" t="str">
        <f>IF(OR(E6808="",E6808="!!!",F6808="NEW"),"",COUNTBLANK(OFFSET(A$1,,,SUMPRODUCT(MAX(ROW(E$2:E6808)*(E6808=E$2:E6808)))))-COUNTBLANK(OFFSET(A$1,,,SUMPRODUCT(MAX(ROW(E$1:E6807)*(E2=E$1:E6807))))))</f>
        <v> </v>
      </c>
      <c r="K6808" s="26" t="str">
        <f>IF(OR(E6808="",E6808="!!!",F6808="NEW"),"",INDEX(J$1:J6807,SUMPRODUCT(MAX(ROW(E$1:E6807)*(E6808=E$1:E6807)))))</f>
        <v> </v>
      </c>
      <c r="L6808" s="27"/>
    </row>
    <row r="6809" spans="1:12">
      <c r="A6809" s="20" t="s">
        <v>1331</v>
      </c>
      <c r="B6809" s="21" t="s">
        <v>1035</v>
      </c>
      <c r="C6809" s="21" t="s">
        <v>1048</v>
      </c>
      <c r="E6809" s="22">
        <f>IF(D6809="?OLD","!!!","")</f>
        <v/>
      </c>
      <c r="F6809" s="23" t="str">
        <f>IF(OR(E6809="",E6809="!!!"),"",IF(NOT(ISNA(VLOOKUP(E6809,E$1:E6808,1,FALSE()))),"OLD",IF(AND(E6809&lt;&gt;"",E6809&lt;&gt;"!!!"),"NEW","")))</f>
        <v> </v>
      </c>
      <c r="G6809" s="24" t="str">
        <f>IF(OR(E6809="",E6809="!!!"),"",IF(OR(J6809=0,AND(J6809=1,K6809=1),AND(J6809=1,I6809="SBJ"),AND(J6809=1,I6809=0)),"?IN_FOCUS",IF(J6809&lt;=2,"?ACTIVATED",IF(J6809&lt;&gt;"","?FAMILIAR",IF(F6809="NEW",IF(ISNA(VLOOKUP(E6809,#REF!,1,FALSE())),"?TYPE_IDENTIFIABLE","?REFERENTIAL"),"_")))))</f>
        <v> </v>
      </c>
      <c r="H6809" s="25" t="str">
        <f>IF(J6809&lt;&gt;1,"",IF(I6809="SBJ","CB","?"))</f>
        <v> </v>
      </c>
      <c r="I6809" s="26" t="str">
        <f>IF(OR(E6809="",E6809="!!!",F6809="NEW"),"",INDEX(B6808:B$2,-1+SUMPRODUCT(MAX(ROW(E6808:E$2)*(E6809=E6808:E$2)))))</f>
        <v> </v>
      </c>
      <c r="J6809" s="26" t="str">
        <f>IF(OR(E6809="",E6809="!!!",F6809="NEW"),"",COUNTBLANK(OFFSET(A$1,,,SUMPRODUCT(MAX(ROW(E$2:E6809)*(E6809=E$2:E6809)))))-COUNTBLANK(OFFSET(A$1,,,SUMPRODUCT(MAX(ROW(E$1:E6808)*(E2=E$1:E6808))))))</f>
        <v> </v>
      </c>
      <c r="K6809" s="26" t="str">
        <f>IF(OR(E6809="",E6809="!!!",F6809="NEW"),"",INDEX(J$1:J6808,SUMPRODUCT(MAX(ROW(E$1:E6808)*(E6809=E$1:E6808)))))</f>
        <v> </v>
      </c>
      <c r="L6809" s="27"/>
    </row>
    <row r="6810" spans="1:12">
      <c r="A6810" s="20" t="s">
        <v>1018</v>
      </c>
      <c r="E6810" s="22">
        <f>IF(D6810="?OLD","!!!","")</f>
        <v/>
      </c>
      <c r="F6810" s="23" t="str">
        <f>IF(OR(E6810="",E6810="!!!"),"",IF(NOT(ISNA(VLOOKUP(E6810,E$1:E6809,1,FALSE()))),"OLD",IF(AND(E6810&lt;&gt;"",E6810&lt;&gt;"!!!"),"NEW","")))</f>
        <v> </v>
      </c>
      <c r="G6810" s="24" t="str">
        <f>IF(OR(E6810="",E6810="!!!"),"",IF(OR(J6810=0,AND(J6810=1,K6810=1),AND(J6810=1,I6810="SBJ"),AND(J6810=1,I6810=0)),"?IN_FOCUS",IF(J6810&lt;=2,"?ACTIVATED",IF(J6810&lt;&gt;"","?FAMILIAR",IF(F6810="NEW",IF(ISNA(VLOOKUP(E6810,#REF!,1,FALSE())),"?TYPE_IDENTIFIABLE","?REFERENTIAL"),"_")))))</f>
        <v> </v>
      </c>
      <c r="H6810" s="25" t="str">
        <f>IF(J6810&lt;&gt;1,"",IF(I6810="SBJ","CB","?"))</f>
        <v> </v>
      </c>
      <c r="I6810" s="26" t="str">
        <f>IF(OR(E6810="",E6810="!!!",F6810="NEW"),"",INDEX(B6809:B$2,-1+SUMPRODUCT(MAX(ROW(E6809:E$2)*(E6810=E6809:E$2)))))</f>
        <v> </v>
      </c>
      <c r="J6810" s="26" t="str">
        <f>IF(OR(E6810="",E6810="!!!",F6810="NEW"),"",COUNTBLANK(OFFSET(A$1,,,SUMPRODUCT(MAX(ROW(E$2:E6810)*(E6810=E$2:E6810)))))-COUNTBLANK(OFFSET(A$1,,,SUMPRODUCT(MAX(ROW(E$1:E6809)*(E2=E$1:E6809))))))</f>
        <v> </v>
      </c>
      <c r="K6810" s="26" t="str">
        <f>IF(OR(E6810="",E6810="!!!",F6810="NEW"),"",INDEX(J$1:J6809,SUMPRODUCT(MAX(ROW(E$1:E6809)*(E6810=E$1:E6809)))))</f>
        <v> </v>
      </c>
      <c r="L6810" s="27"/>
    </row>
    <row r="6811" spans="1:12">
      <c r="A6811" s="20" t="s">
        <v>1333</v>
      </c>
      <c r="E6811" s="22">
        <f>IF(D6811="?OLD","!!!","")</f>
        <v/>
      </c>
      <c r="F6811" s="23" t="str">
        <f>IF(OR(E6811="",E6811="!!!"),"",IF(NOT(ISNA(VLOOKUP(E6811,E$1:E6810,1,FALSE()))),"OLD",IF(AND(E6811&lt;&gt;"",E6811&lt;&gt;"!!!"),"NEW","")))</f>
        <v> </v>
      </c>
      <c r="G6811" s="24" t="str">
        <f>IF(OR(E6811="",E6811="!!!"),"",IF(OR(J6811=0,AND(J6811=1,K6811=1),AND(J6811=1,I6811="SBJ"),AND(J6811=1,I6811=0)),"?IN_FOCUS",IF(J6811&lt;=2,"?ACTIVATED",IF(J6811&lt;&gt;"","?FAMILIAR",IF(F6811="NEW",IF(ISNA(VLOOKUP(E6811,#REF!,1,FALSE())),"?TYPE_IDENTIFIABLE","?REFERENTIAL"),"_")))))</f>
        <v> </v>
      </c>
      <c r="H6811" s="25" t="str">
        <f>IF(J6811&lt;&gt;1,"",IF(I6811="SBJ","CB","?"))</f>
        <v> </v>
      </c>
      <c r="I6811" s="26" t="str">
        <f>IF(OR(E6811="",E6811="!!!",F6811="NEW"),"",INDEX(B6810:B$2,-1+SUMPRODUCT(MAX(ROW(E6810:E$2)*(E6811=E6810:E$2)))))</f>
        <v> </v>
      </c>
      <c r="J6811" s="26" t="str">
        <f>IF(OR(E6811="",E6811="!!!",F6811="NEW"),"",COUNTBLANK(OFFSET(A$1,,,SUMPRODUCT(MAX(ROW(E$2:E6811)*(E6811=E$2:E6811)))))-COUNTBLANK(OFFSET(A$1,,,SUMPRODUCT(MAX(ROW(E$1:E6810)*(E2=E$1:E6810))))))</f>
        <v> </v>
      </c>
      <c r="K6811" s="26" t="str">
        <f>IF(OR(E6811="",E6811="!!!",F6811="NEW"),"",INDEX(J$1:J6810,SUMPRODUCT(MAX(ROW(E$1:E6810)*(E6811=E$1:E6810)))))</f>
        <v> </v>
      </c>
      <c r="L6811" s="27"/>
    </row>
    <row r="6812" spans="1:12">
      <c r="A6812" s="20" t="s">
        <v>98</v>
      </c>
      <c r="E6812" s="22">
        <f>IF(D6812="?OLD","!!!","")</f>
        <v/>
      </c>
      <c r="F6812" s="23" t="str">
        <f>IF(OR(E6812="",E6812="!!!"),"",IF(NOT(ISNA(VLOOKUP(E6812,E$1:E6811,1,FALSE()))),"OLD",IF(AND(E6812&lt;&gt;"",E6812&lt;&gt;"!!!"),"NEW","")))</f>
        <v> </v>
      </c>
      <c r="G6812" s="24" t="str">
        <f>IF(OR(E6812="",E6812="!!!"),"",IF(OR(J6812=0,AND(J6812=1,K6812=1),AND(J6812=1,I6812="SBJ"),AND(J6812=1,I6812=0)),"?IN_FOCUS",IF(J6812&lt;=2,"?ACTIVATED",IF(J6812&lt;&gt;"","?FAMILIAR",IF(F6812="NEW",IF(ISNA(VLOOKUP(E6812,#REF!,1,FALSE())),"?TYPE_IDENTIFIABLE","?REFERENTIAL"),"_")))))</f>
        <v> </v>
      </c>
      <c r="H6812" s="25" t="str">
        <f>IF(J6812&lt;&gt;1,"",IF(I6812="SBJ","CB","?"))</f>
        <v> </v>
      </c>
      <c r="I6812" s="26" t="str">
        <f>IF(OR(E6812="",E6812="!!!",F6812="NEW"),"",INDEX(B6811:B$2,-1+SUMPRODUCT(MAX(ROW(E6811:E$2)*(E6812=E6811:E$2)))))</f>
        <v> </v>
      </c>
      <c r="J6812" s="26" t="str">
        <f>IF(OR(E6812="",E6812="!!!",F6812="NEW"),"",COUNTBLANK(OFFSET(A$1,,,SUMPRODUCT(MAX(ROW(E$2:E6812)*(E6812=E$2:E6812)))))-COUNTBLANK(OFFSET(A$1,,,SUMPRODUCT(MAX(ROW(E$1:E6811)*(E2=E$1:E6811))))))</f>
        <v> </v>
      </c>
      <c r="K6812" s="26" t="str">
        <f>IF(OR(E6812="",E6812="!!!",F6812="NEW"),"",INDEX(J$1:J6811,SUMPRODUCT(MAX(ROW(E$1:E6811)*(E6812=E$1:E6811)))))</f>
        <v> </v>
      </c>
      <c r="L6812" s="27"/>
    </row>
    <row r="6813" spans="1:12">
      <c r="A6813" s="20" t="s">
        <v>1056</v>
      </c>
      <c r="E6813" s="22">
        <f>IF(D6813="?OLD","!!!","")</f>
        <v/>
      </c>
      <c r="F6813" s="23" t="str">
        <f>IF(OR(E6813="",E6813="!!!"),"",IF(NOT(ISNA(VLOOKUP(E6813,E$1:E6812,1,FALSE()))),"OLD",IF(AND(E6813&lt;&gt;"",E6813&lt;&gt;"!!!"),"NEW","")))</f>
        <v> </v>
      </c>
      <c r="G6813" s="24" t="str">
        <f>IF(OR(E6813="",E6813="!!!"),"",IF(OR(J6813=0,AND(J6813=1,K6813=1),AND(J6813=1,I6813="SBJ"),AND(J6813=1,I6813=0)),"?IN_FOCUS",IF(J6813&lt;=2,"?ACTIVATED",IF(J6813&lt;&gt;"","?FAMILIAR",IF(F6813="NEW",IF(ISNA(VLOOKUP(E6813,#REF!,1,FALSE())),"?TYPE_IDENTIFIABLE","?REFERENTIAL"),"_")))))</f>
        <v> </v>
      </c>
      <c r="H6813" s="25" t="str">
        <f>IF(J6813&lt;&gt;1,"",IF(I6813="SBJ","CB","?"))</f>
        <v> </v>
      </c>
      <c r="I6813" s="26" t="str">
        <f>IF(OR(E6813="",E6813="!!!",F6813="NEW"),"",INDEX(B6812:B$2,-1+SUMPRODUCT(MAX(ROW(E6812:E$2)*(E6813=E6812:E$2)))))</f>
        <v> </v>
      </c>
      <c r="J6813" s="26" t="str">
        <f>IF(OR(E6813="",E6813="!!!",F6813="NEW"),"",COUNTBLANK(OFFSET(A$1,,,SUMPRODUCT(MAX(ROW(E$2:E6813)*(E6813=E$2:E6813)))))-COUNTBLANK(OFFSET(A$1,,,SUMPRODUCT(MAX(ROW(E$1:E6812)*(E2=E$1:E6812))))))</f>
        <v> </v>
      </c>
      <c r="K6813" s="26" t="str">
        <f>IF(OR(E6813="",E6813="!!!",F6813="NEW"),"",INDEX(J$1:J6812,SUMPRODUCT(MAX(ROW(E$1:E6812)*(E6813=E$1:E6812)))))</f>
        <v> </v>
      </c>
      <c r="L6813" s="27"/>
    </row>
    <row r="6814" spans="1:12">
      <c r="A6814" s="20" t="s">
        <v>1168</v>
      </c>
      <c r="B6814" s="21" t="s">
        <v>1187</v>
      </c>
      <c r="C6814" s="21" t="s">
        <v>1111</v>
      </c>
      <c r="E6814" s="22">
        <f>IF(D6814="?OLD","!!!","")</f>
        <v/>
      </c>
      <c r="F6814" s="23" t="str">
        <f>IF(OR(E6814="",E6814="!!!"),"",IF(NOT(ISNA(VLOOKUP(E6814,E$1:E6813,1,FALSE()))),"OLD",IF(AND(E6814&lt;&gt;"",E6814&lt;&gt;"!!!"),"NEW","")))</f>
        <v> </v>
      </c>
      <c r="G6814" s="24" t="str">
        <f>IF(OR(E6814="",E6814="!!!"),"",IF(OR(J6814=0,AND(J6814=1,K6814=1),AND(J6814=1,I6814="SBJ"),AND(J6814=1,I6814=0)),"?IN_FOCUS",IF(J6814&lt;=2,"?ACTIVATED",IF(J6814&lt;&gt;"","?FAMILIAR",IF(F6814="NEW",IF(ISNA(VLOOKUP(E6814,#REF!,1,FALSE())),"?TYPE_IDENTIFIABLE","?REFERENTIAL"),"_")))))</f>
        <v> </v>
      </c>
      <c r="H6814" s="25" t="str">
        <f>IF(J6814&lt;&gt;1,"",IF(I6814="SBJ","CB","?"))</f>
        <v> </v>
      </c>
      <c r="I6814" s="26" t="str">
        <f>IF(OR(E6814="",E6814="!!!",F6814="NEW"),"",INDEX(B6813:B$2,-1+SUMPRODUCT(MAX(ROW(E6813:E$2)*(E6814=E6813:E$2)))))</f>
        <v> </v>
      </c>
      <c r="J6814" s="26" t="str">
        <f>IF(OR(E6814="",E6814="!!!",F6814="NEW"),"",COUNTBLANK(OFFSET(A$1,,,SUMPRODUCT(MAX(ROW(E$2:E6814)*(E6814=E$2:E6814)))))-COUNTBLANK(OFFSET(A$1,,,SUMPRODUCT(MAX(ROW(E$1:E6813)*(E2=E$1:E6813))))))</f>
        <v> </v>
      </c>
      <c r="K6814" s="26" t="str">
        <f>IF(OR(E6814="",E6814="!!!",F6814="NEW"),"",INDEX(J$1:J6813,SUMPRODUCT(MAX(ROW(E$1:E6813)*(E6814=E$1:E6813)))))</f>
        <v> </v>
      </c>
      <c r="L6814" s="27"/>
    </row>
    <row r="6815" spans="1:12">
      <c r="A6815" s="20" t="s">
        <v>2737</v>
      </c>
      <c r="E6815" s="22">
        <f>IF(D6815="?OLD","!!!","")</f>
        <v/>
      </c>
      <c r="F6815" s="23" t="str">
        <f>IF(OR(E6815="",E6815="!!!"),"",IF(NOT(ISNA(VLOOKUP(E6815,E$1:E6814,1,FALSE()))),"OLD",IF(AND(E6815&lt;&gt;"",E6815&lt;&gt;"!!!"),"NEW","")))</f>
        <v> </v>
      </c>
      <c r="G6815" s="24" t="str">
        <f>IF(OR(E6815="",E6815="!!!"),"",IF(OR(J6815=0,AND(J6815=1,K6815=1),AND(J6815=1,I6815="SBJ"),AND(J6815=1,I6815=0)),"?IN_FOCUS",IF(J6815&lt;=2,"?ACTIVATED",IF(J6815&lt;&gt;"","?FAMILIAR",IF(F6815="NEW",IF(ISNA(VLOOKUP(E6815,#REF!,1,FALSE())),"?TYPE_IDENTIFIABLE","?REFERENTIAL"),"_")))))</f>
        <v> </v>
      </c>
      <c r="H6815" s="25" t="str">
        <f>IF(J6815&lt;&gt;1,"",IF(I6815="SBJ","CB","?"))</f>
        <v> </v>
      </c>
      <c r="I6815" s="26" t="str">
        <f>IF(OR(E6815="",E6815="!!!",F6815="NEW"),"",INDEX(B6814:B$2,-1+SUMPRODUCT(MAX(ROW(E6814:E$2)*(E6815=E6814:E$2)))))</f>
        <v> </v>
      </c>
      <c r="J6815" s="26" t="str">
        <f>IF(OR(E6815="",E6815="!!!",F6815="NEW"),"",COUNTBLANK(OFFSET(A$1,,,SUMPRODUCT(MAX(ROW(E$2:E6815)*(E6815=E$2:E6815)))))-COUNTBLANK(OFFSET(A$1,,,SUMPRODUCT(MAX(ROW(E$1:E6814)*(E2=E$1:E6814))))))</f>
        <v> </v>
      </c>
      <c r="K6815" s="26" t="str">
        <f>IF(OR(E6815="",E6815="!!!",F6815="NEW"),"",INDEX(J$1:J6814,SUMPRODUCT(MAX(ROW(E$1:E6814)*(E6815=E$1:E6814)))))</f>
        <v> </v>
      </c>
      <c r="L6815" s="27"/>
    </row>
    <row r="6816" spans="1:12">
      <c r="A6816" s="20" t="s">
        <v>1330</v>
      </c>
      <c r="E6816" s="22">
        <f>IF(D6816="?OLD","!!!","")</f>
        <v/>
      </c>
      <c r="F6816" s="23" t="str">
        <f>IF(OR(E6816="",E6816="!!!"),"",IF(NOT(ISNA(VLOOKUP(E6816,E$1:E6815,1,FALSE()))),"OLD",IF(AND(E6816&lt;&gt;"",E6816&lt;&gt;"!!!"),"NEW","")))</f>
        <v> </v>
      </c>
      <c r="G6816" s="24" t="str">
        <f>IF(OR(E6816="",E6816="!!!"),"",IF(OR(J6816=0,AND(J6816=1,K6816=1),AND(J6816=1,I6816="SBJ"),AND(J6816=1,I6816=0)),"?IN_FOCUS",IF(J6816&lt;=2,"?ACTIVATED",IF(J6816&lt;&gt;"","?FAMILIAR",IF(F6816="NEW",IF(ISNA(VLOOKUP(E6816,#REF!,1,FALSE())),"?TYPE_IDENTIFIABLE","?REFERENTIAL"),"_")))))</f>
        <v> </v>
      </c>
      <c r="H6816" s="25" t="str">
        <f>IF(J6816&lt;&gt;1,"",IF(I6816="SBJ","CB","?"))</f>
        <v> </v>
      </c>
      <c r="I6816" s="26" t="str">
        <f>IF(OR(E6816="",E6816="!!!",F6816="NEW"),"",INDEX(B6815:B$2,-1+SUMPRODUCT(MAX(ROW(E6815:E$2)*(E6816=E6815:E$2)))))</f>
        <v> </v>
      </c>
      <c r="J6816" s="26" t="str">
        <f>IF(OR(E6816="",E6816="!!!",F6816="NEW"),"",COUNTBLANK(OFFSET(A$1,,,SUMPRODUCT(MAX(ROW(E$2:E6816)*(E6816=E$2:E6816)))))-COUNTBLANK(OFFSET(A$1,,,SUMPRODUCT(MAX(ROW(E$1:E6815)*(E2=E$1:E6815))))))</f>
        <v> </v>
      </c>
      <c r="K6816" s="26" t="str">
        <f>IF(OR(E6816="",E6816="!!!",F6816="NEW"),"",INDEX(J$1:J6815,SUMPRODUCT(MAX(ROW(E$1:E6815)*(E6816=E$1:E6815)))))</f>
        <v> </v>
      </c>
      <c r="L6816" s="27"/>
    </row>
    <row r="6817" spans="1:12">
      <c r="A6817" s="20" t="s">
        <v>1255</v>
      </c>
      <c r="E6817" s="22">
        <f>IF(D6817="?OLD","!!!","")</f>
        <v/>
      </c>
      <c r="F6817" s="23" t="str">
        <f>IF(OR(E6817="",E6817="!!!"),"",IF(NOT(ISNA(VLOOKUP(E6817,E$1:E6816,1,FALSE()))),"OLD",IF(AND(E6817&lt;&gt;"",E6817&lt;&gt;"!!!"),"NEW","")))</f>
        <v> </v>
      </c>
      <c r="G6817" s="24" t="str">
        <f>IF(OR(E6817="",E6817="!!!"),"",IF(OR(J6817=0,AND(J6817=1,K6817=1),AND(J6817=1,I6817="SBJ"),AND(J6817=1,I6817=0)),"?IN_FOCUS",IF(J6817&lt;=2,"?ACTIVATED",IF(J6817&lt;&gt;"","?FAMILIAR",IF(F6817="NEW",IF(ISNA(VLOOKUP(E6817,#REF!,1,FALSE())),"?TYPE_IDENTIFIABLE","?REFERENTIAL"),"_")))))</f>
        <v> </v>
      </c>
      <c r="H6817" s="25" t="str">
        <f>IF(J6817&lt;&gt;1,"",IF(I6817="SBJ","CB","?"))</f>
        <v> </v>
      </c>
      <c r="I6817" s="26" t="str">
        <f>IF(OR(E6817="",E6817="!!!",F6817="NEW"),"",INDEX(B6816:B$2,-1+SUMPRODUCT(MAX(ROW(E6816:E$2)*(E6817=E6816:E$2)))))</f>
        <v> </v>
      </c>
      <c r="J6817" s="26" t="str">
        <f>IF(OR(E6817="",E6817="!!!",F6817="NEW"),"",COUNTBLANK(OFFSET(A$1,,,SUMPRODUCT(MAX(ROW(E$2:E6817)*(E6817=E$2:E6817)))))-COUNTBLANK(OFFSET(A$1,,,SUMPRODUCT(MAX(ROW(E$1:E6816)*(E2=E$1:E6816))))))</f>
        <v> </v>
      </c>
      <c r="K6817" s="26" t="str">
        <f>IF(OR(E6817="",E6817="!!!",F6817="NEW"),"",INDEX(J$1:J6816,SUMPRODUCT(MAX(ROW(E$1:E6816)*(E6817=E$1:E6816)))))</f>
        <v> </v>
      </c>
      <c r="L6817" s="27"/>
    </row>
    <row r="6818" spans="1:12">
      <c r="A6818" s="20" t="s">
        <v>2738</v>
      </c>
      <c r="B6818" s="21" t="s">
        <v>1033</v>
      </c>
      <c r="C6818" s="21" t="s">
        <v>1048</v>
      </c>
      <c r="E6818" s="22">
        <f>IF(D6818="?OLD","!!!","")</f>
        <v/>
      </c>
      <c r="F6818" s="23" t="str">
        <f>IF(OR(E6818="",E6818="!!!"),"",IF(NOT(ISNA(VLOOKUP(E6818,E$1:E6817,1,FALSE()))),"OLD",IF(AND(E6818&lt;&gt;"",E6818&lt;&gt;"!!!"),"NEW","")))</f>
        <v> </v>
      </c>
      <c r="G6818" s="24" t="str">
        <f>IF(OR(E6818="",E6818="!!!"),"",IF(OR(J6818=0,AND(J6818=1,K6818=1),AND(J6818=1,I6818="SBJ"),AND(J6818=1,I6818=0)),"?IN_FOCUS",IF(J6818&lt;=2,"?ACTIVATED",IF(J6818&lt;&gt;"","?FAMILIAR",IF(F6818="NEW",IF(ISNA(VLOOKUP(E6818,#REF!,1,FALSE())),"?TYPE_IDENTIFIABLE","?REFERENTIAL"),"_")))))</f>
        <v> </v>
      </c>
      <c r="H6818" s="25" t="str">
        <f>IF(J6818&lt;&gt;1,"",IF(I6818="SBJ","CB","?"))</f>
        <v> </v>
      </c>
      <c r="I6818" s="26" t="str">
        <f>IF(OR(E6818="",E6818="!!!",F6818="NEW"),"",INDEX(B6817:B$2,-1+SUMPRODUCT(MAX(ROW(E6817:E$2)*(E6818=E6817:E$2)))))</f>
        <v> </v>
      </c>
      <c r="J6818" s="26" t="str">
        <f>IF(OR(E6818="",E6818="!!!",F6818="NEW"),"",COUNTBLANK(OFFSET(A$1,,,SUMPRODUCT(MAX(ROW(E$2:E6818)*(E6818=E$2:E6818)))))-COUNTBLANK(OFFSET(A$1,,,SUMPRODUCT(MAX(ROW(E$1:E6817)*(E2=E$1:E6817))))))</f>
        <v> </v>
      </c>
      <c r="K6818" s="26" t="str">
        <f>IF(OR(E6818="",E6818="!!!",F6818="NEW"),"",INDEX(J$1:J6817,SUMPRODUCT(MAX(ROW(E$1:E6817)*(E6818=E$1:E6817)))))</f>
        <v> </v>
      </c>
      <c r="L6818" s="27"/>
    </row>
    <row r="6819" spans="1:12">
      <c r="A6819" s="20" t="s">
        <v>2739</v>
      </c>
      <c r="E6819" s="22">
        <f>IF(D6819="?OLD","!!!","")</f>
        <v/>
      </c>
      <c r="F6819" s="23" t="str">
        <f>IF(OR(E6819="",E6819="!!!"),"",IF(NOT(ISNA(VLOOKUP(E6819,E$1:E6818,1,FALSE()))),"OLD",IF(AND(E6819&lt;&gt;"",E6819&lt;&gt;"!!!"),"NEW","")))</f>
        <v> </v>
      </c>
      <c r="G6819" s="24" t="str">
        <f>IF(OR(E6819="",E6819="!!!"),"",IF(OR(J6819=0,AND(J6819=1,K6819=1),AND(J6819=1,I6819="SBJ"),AND(J6819=1,I6819=0)),"?IN_FOCUS",IF(J6819&lt;=2,"?ACTIVATED",IF(J6819&lt;&gt;"","?FAMILIAR",IF(F6819="NEW",IF(ISNA(VLOOKUP(E6819,#REF!,1,FALSE())),"?TYPE_IDENTIFIABLE","?REFERENTIAL"),"_")))))</f>
        <v> </v>
      </c>
      <c r="H6819" s="25" t="str">
        <f>IF(J6819&lt;&gt;1,"",IF(I6819="SBJ","CB","?"))</f>
        <v> </v>
      </c>
      <c r="I6819" s="26" t="str">
        <f>IF(OR(E6819="",E6819="!!!",F6819="NEW"),"",INDEX(B6818:B$2,-1+SUMPRODUCT(MAX(ROW(E6818:E$2)*(E6819=E6818:E$2)))))</f>
        <v> </v>
      </c>
      <c r="J6819" s="26" t="str">
        <f>IF(OR(E6819="",E6819="!!!",F6819="NEW"),"",COUNTBLANK(OFFSET(A$1,,,SUMPRODUCT(MAX(ROW(E$2:E6819)*(E6819=E$2:E6819)))))-COUNTBLANK(OFFSET(A$1,,,SUMPRODUCT(MAX(ROW(E$1:E6818)*(E2=E$1:E6818))))))</f>
        <v> </v>
      </c>
      <c r="K6819" s="26" t="str">
        <f>IF(OR(E6819="",E6819="!!!",F6819="NEW"),"",INDEX(J$1:J6818,SUMPRODUCT(MAX(ROW(E$1:E6818)*(E6819=E$1:E6818)))))</f>
        <v> </v>
      </c>
      <c r="L6819" s="27"/>
    </row>
    <row r="6820" spans="1:12">
      <c r="A6820" s="20" t="s">
        <v>1023</v>
      </c>
      <c r="E6820" s="22">
        <f>IF(D6820="?OLD","!!!","")</f>
        <v/>
      </c>
      <c r="F6820" s="23" t="str">
        <f>IF(OR(E6820="",E6820="!!!"),"",IF(NOT(ISNA(VLOOKUP(E6820,E$1:E6819,1,FALSE()))),"OLD",IF(AND(E6820&lt;&gt;"",E6820&lt;&gt;"!!!"),"NEW","")))</f>
        <v> </v>
      </c>
      <c r="G6820" s="24" t="str">
        <f>IF(OR(E6820="",E6820="!!!"),"",IF(OR(J6820=0,AND(J6820=1,K6820=1),AND(J6820=1,I6820="SBJ"),AND(J6820=1,I6820=0)),"?IN_FOCUS",IF(J6820&lt;=2,"?ACTIVATED",IF(J6820&lt;&gt;"","?FAMILIAR",IF(F6820="NEW",IF(ISNA(VLOOKUP(E6820,#REF!,1,FALSE())),"?TYPE_IDENTIFIABLE","?REFERENTIAL"),"_")))))</f>
        <v> </v>
      </c>
      <c r="H6820" s="25" t="str">
        <f>IF(J6820&lt;&gt;1,"",IF(I6820="SBJ","CB","?"))</f>
        <v> </v>
      </c>
      <c r="I6820" s="26" t="str">
        <f>IF(OR(E6820="",E6820="!!!",F6820="NEW"),"",INDEX(B6819:B$2,-1+SUMPRODUCT(MAX(ROW(E6819:E$2)*(E6820=E6819:E$2)))))</f>
        <v> </v>
      </c>
      <c r="J6820" s="26" t="str">
        <f>IF(OR(E6820="",E6820="!!!",F6820="NEW"),"",COUNTBLANK(OFFSET(A$1,,,SUMPRODUCT(MAX(ROW(E$2:E6820)*(E6820=E$2:E6820)))))-COUNTBLANK(OFFSET(A$1,,,SUMPRODUCT(MAX(ROW(E$1:E6819)*(E2=E$1:E6819))))))</f>
        <v> </v>
      </c>
      <c r="K6820" s="26" t="str">
        <f>IF(OR(E6820="",E6820="!!!",F6820="NEW"),"",INDEX(J$1:J6819,SUMPRODUCT(MAX(ROW(E$1:E6819)*(E6820=E$1:E6819)))))</f>
        <v> </v>
      </c>
      <c r="L6820" s="27"/>
    </row>
    <row r="6821" spans="1:12">
      <c r="A6821" s="20"/>
    </row>
    <row r="6822" spans="1:12">
      <c r="A6822" s="20" t="s">
        <v>2740</v>
      </c>
    </row>
    <row r="6823" spans="1:12">
      <c r="A6823" s="20" t="s">
        <v>1175</v>
      </c>
      <c r="E6823" s="22">
        <f>IF(D6823="?OLD","!!!","")</f>
        <v/>
      </c>
      <c r="F6823" s="23" t="str">
        <f>IF(OR(E6823="",E6823="!!!"),"",IF(NOT(ISNA(VLOOKUP(E6823,E$1:E6822,1,FALSE()))),"OLD",IF(AND(E6823&lt;&gt;"",E6823&lt;&gt;"!!!"),"NEW","")))</f>
        <v> </v>
      </c>
      <c r="G6823" s="24" t="str">
        <f>IF(OR(E6823="",E6823="!!!"),"",IF(OR(J6823=0,AND(J6823=1,K6823=1),AND(J6823=1,I6823="SBJ"),AND(J6823=1,I6823=0)),"?IN_FOCUS",IF(J6823&lt;=2,"?ACTIVATED",IF(J6823&lt;&gt;"","?FAMILIAR",IF(F6823="NEW",IF(ISNA(VLOOKUP(E6823,#REF!,1,FALSE())),"?TYPE_IDENTIFIABLE","?REFERENTIAL"),"_")))))</f>
        <v> </v>
      </c>
      <c r="H6823" s="25" t="str">
        <f>IF(J6823&lt;&gt;1,"",IF(I6823="SBJ","CB","?"))</f>
        <v> </v>
      </c>
      <c r="I6823" s="26" t="str">
        <f>IF(OR(E6823="",E6823="!!!",F6823="NEW"),"",INDEX(B6822:B$2,-1+SUMPRODUCT(MAX(ROW(E6822:E$2)*(E6823=E6822:E$2)))))</f>
        <v> </v>
      </c>
      <c r="J6823" s="26" t="str">
        <f>IF(OR(E6823="",E6823="!!!",F6823="NEW"),"",COUNTBLANK(OFFSET(A$1,,,SUMPRODUCT(MAX(ROW(E$2:E6823)*(E6823=E$2:E6823)))))-COUNTBLANK(OFFSET(A$1,,,SUMPRODUCT(MAX(ROW(E$1:E6822)*(E2=E$1:E6822))))))</f>
        <v> </v>
      </c>
      <c r="K6823" s="26" t="str">
        <f>IF(OR(E6823="",E6823="!!!",F6823="NEW"),"",INDEX(J$1:J6822,SUMPRODUCT(MAX(ROW(E$1:E6822)*(E6823=E$1:E6822)))))</f>
        <v> </v>
      </c>
      <c r="L6823" s="27"/>
    </row>
    <row r="6824" spans="1:12">
      <c r="A6824" s="20" t="s">
        <v>1176</v>
      </c>
      <c r="E6824" s="22">
        <f>IF(D6824="?OLD","!!!","")</f>
        <v/>
      </c>
      <c r="F6824" s="23" t="str">
        <f>IF(OR(E6824="",E6824="!!!"),"",IF(NOT(ISNA(VLOOKUP(E6824,E$1:E6823,1,FALSE()))),"OLD",IF(AND(E6824&lt;&gt;"",E6824&lt;&gt;"!!!"),"NEW","")))</f>
        <v> </v>
      </c>
      <c r="G6824" s="24" t="str">
        <f>IF(OR(E6824="",E6824="!!!"),"",IF(OR(J6824=0,AND(J6824=1,K6824=1),AND(J6824=1,I6824="SBJ"),AND(J6824=1,I6824=0)),"?IN_FOCUS",IF(J6824&lt;=2,"?ACTIVATED",IF(J6824&lt;&gt;"","?FAMILIAR",IF(F6824="NEW",IF(ISNA(VLOOKUP(E6824,#REF!,1,FALSE())),"?TYPE_IDENTIFIABLE","?REFERENTIAL"),"_")))))</f>
        <v> </v>
      </c>
      <c r="H6824" s="25" t="str">
        <f>IF(J6824&lt;&gt;1,"",IF(I6824="SBJ","CB","?"))</f>
        <v> </v>
      </c>
      <c r="I6824" s="26" t="str">
        <f>IF(OR(E6824="",E6824="!!!",F6824="NEW"),"",INDEX(B6823:B$2,-1+SUMPRODUCT(MAX(ROW(E6823:E$2)*(E6824=E6823:E$2)))))</f>
        <v> </v>
      </c>
      <c r="J6824" s="26" t="str">
        <f>IF(OR(E6824="",E6824="!!!",F6824="NEW"),"",COUNTBLANK(OFFSET(A$1,,,SUMPRODUCT(MAX(ROW(E$2:E6824)*(E6824=E$2:E6824)))))-COUNTBLANK(OFFSET(A$1,,,SUMPRODUCT(MAX(ROW(E$1:E6823)*(E2=E$1:E6823))))))</f>
        <v> </v>
      </c>
      <c r="K6824" s="26" t="str">
        <f>IF(OR(E6824="",E6824="!!!",F6824="NEW"),"",INDEX(J$1:J6823,SUMPRODUCT(MAX(ROW(E$1:E6823)*(E6824=E$1:E6823)))))</f>
        <v> </v>
      </c>
      <c r="L6824" s="27"/>
    </row>
    <row r="6825" spans="1:12">
      <c r="A6825" s="20" t="s">
        <v>70</v>
      </c>
      <c r="E6825" s="22">
        <f>IF(D6825="?OLD","!!!","")</f>
        <v/>
      </c>
      <c r="F6825" s="23" t="str">
        <f>IF(OR(E6825="",E6825="!!!"),"",IF(NOT(ISNA(VLOOKUP(E6825,E$1:E6824,1,FALSE()))),"OLD",IF(AND(E6825&lt;&gt;"",E6825&lt;&gt;"!!!"),"NEW","")))</f>
        <v> </v>
      </c>
      <c r="G6825" s="24" t="str">
        <f>IF(OR(E6825="",E6825="!!!"),"",IF(OR(J6825=0,AND(J6825=1,K6825=1),AND(J6825=1,I6825="SBJ"),AND(J6825=1,I6825=0)),"?IN_FOCUS",IF(J6825&lt;=2,"?ACTIVATED",IF(J6825&lt;&gt;"","?FAMILIAR",IF(F6825="NEW",IF(ISNA(VLOOKUP(E6825,#REF!,1,FALSE())),"?TYPE_IDENTIFIABLE","?REFERENTIAL"),"_")))))</f>
        <v> </v>
      </c>
      <c r="H6825" s="25" t="str">
        <f>IF(J6825&lt;&gt;1,"",IF(I6825="SBJ","CB","?"))</f>
        <v> </v>
      </c>
      <c r="I6825" s="26" t="str">
        <f>IF(OR(E6825="",E6825="!!!",F6825="NEW"),"",INDEX(B6824:B$2,-1+SUMPRODUCT(MAX(ROW(E6824:E$2)*(E6825=E6824:E$2)))))</f>
        <v> </v>
      </c>
      <c r="J6825" s="26" t="str">
        <f>IF(OR(E6825="",E6825="!!!",F6825="NEW"),"",COUNTBLANK(OFFSET(A$1,,,SUMPRODUCT(MAX(ROW(E$2:E6825)*(E6825=E$2:E6825)))))-COUNTBLANK(OFFSET(A$1,,,SUMPRODUCT(MAX(ROW(E$1:E6824)*(E2=E$1:E6824))))))</f>
        <v> </v>
      </c>
      <c r="K6825" s="26" t="str">
        <f>IF(OR(E6825="",E6825="!!!",F6825="NEW"),"",INDEX(J$1:J6824,SUMPRODUCT(MAX(ROW(E$1:E6824)*(E6825=E$1:E6824)))))</f>
        <v> </v>
      </c>
      <c r="L6825" s="27"/>
    </row>
    <row r="6826" spans="1:12">
      <c r="A6826" s="20" t="s">
        <v>1209</v>
      </c>
      <c r="E6826" s="22">
        <f>IF(D6826="?OLD","!!!","")</f>
        <v/>
      </c>
      <c r="F6826" s="23" t="str">
        <f>IF(OR(E6826="",E6826="!!!"),"",IF(NOT(ISNA(VLOOKUP(E6826,E$1:E6825,1,FALSE()))),"OLD",IF(AND(E6826&lt;&gt;"",E6826&lt;&gt;"!!!"),"NEW","")))</f>
        <v> </v>
      </c>
      <c r="G6826" s="24" t="str">
        <f>IF(OR(E6826="",E6826="!!!"),"",IF(OR(J6826=0,AND(J6826=1,K6826=1),AND(J6826=1,I6826="SBJ"),AND(J6826=1,I6826=0)),"?IN_FOCUS",IF(J6826&lt;=2,"?ACTIVATED",IF(J6826&lt;&gt;"","?FAMILIAR",IF(F6826="NEW",IF(ISNA(VLOOKUP(E6826,#REF!,1,FALSE())),"?TYPE_IDENTIFIABLE","?REFERENTIAL"),"_")))))</f>
        <v> </v>
      </c>
      <c r="H6826" s="25" t="str">
        <f>IF(J6826&lt;&gt;1,"",IF(I6826="SBJ","CB","?"))</f>
        <v> </v>
      </c>
      <c r="I6826" s="26" t="str">
        <f>IF(OR(E6826="",E6826="!!!",F6826="NEW"),"",INDEX(B6825:B$2,-1+SUMPRODUCT(MAX(ROW(E6825:E$2)*(E6826=E6825:E$2)))))</f>
        <v> </v>
      </c>
      <c r="J6826" s="26" t="str">
        <f>IF(OR(E6826="",E6826="!!!",F6826="NEW"),"",COUNTBLANK(OFFSET(A$1,,,SUMPRODUCT(MAX(ROW(E$2:E6826)*(E6826=E$2:E6826)))))-COUNTBLANK(OFFSET(A$1,,,SUMPRODUCT(MAX(ROW(E$1:E6825)*(E2=E$1:E6825))))))</f>
        <v> </v>
      </c>
      <c r="K6826" s="26" t="str">
        <f>IF(OR(E6826="",E6826="!!!",F6826="NEW"),"",INDEX(J$1:J6825,SUMPRODUCT(MAX(ROW(E$1:E6825)*(E6826=E$1:E6825)))))</f>
        <v> </v>
      </c>
      <c r="L6826" s="27"/>
    </row>
    <row r="6827" spans="1:12">
      <c r="A6827" s="20" t="s">
        <v>1182</v>
      </c>
      <c r="E6827" s="22">
        <f>IF(D6827="?OLD","!!!","")</f>
        <v/>
      </c>
      <c r="F6827" s="23" t="str">
        <f>IF(OR(E6827="",E6827="!!!"),"",IF(NOT(ISNA(VLOOKUP(E6827,E$1:E6826,1,FALSE()))),"OLD",IF(AND(E6827&lt;&gt;"",E6827&lt;&gt;"!!!"),"NEW","")))</f>
        <v> </v>
      </c>
      <c r="G6827" s="24" t="str">
        <f>IF(OR(E6827="",E6827="!!!"),"",IF(OR(J6827=0,AND(J6827=1,K6827=1),AND(J6827=1,I6827="SBJ"),AND(J6827=1,I6827=0)),"?IN_FOCUS",IF(J6827&lt;=2,"?ACTIVATED",IF(J6827&lt;&gt;"","?FAMILIAR",IF(F6827="NEW",IF(ISNA(VLOOKUP(E6827,#REF!,1,FALSE())),"?TYPE_IDENTIFIABLE","?REFERENTIAL"),"_")))))</f>
        <v> </v>
      </c>
      <c r="H6827" s="25" t="str">
        <f>IF(J6827&lt;&gt;1,"",IF(I6827="SBJ","CB","?"))</f>
        <v> </v>
      </c>
      <c r="I6827" s="26" t="str">
        <f>IF(OR(E6827="",E6827="!!!",F6827="NEW"),"",INDEX(B6826:B$2,-1+SUMPRODUCT(MAX(ROW(E6826:E$2)*(E6827=E6826:E$2)))))</f>
        <v> </v>
      </c>
      <c r="J6827" s="26" t="str">
        <f>IF(OR(E6827="",E6827="!!!",F6827="NEW"),"",COUNTBLANK(OFFSET(A$1,,,SUMPRODUCT(MAX(ROW(E$2:E6827)*(E6827=E$2:E6827)))))-COUNTBLANK(OFFSET(A$1,,,SUMPRODUCT(MAX(ROW(E$1:E6826)*(E2=E$1:E6826))))))</f>
        <v> </v>
      </c>
      <c r="K6827" s="26" t="str">
        <f>IF(OR(E6827="",E6827="!!!",F6827="NEW"),"",INDEX(J$1:J6826,SUMPRODUCT(MAX(ROW(E$1:E6826)*(E6827=E$1:E6826)))))</f>
        <v> </v>
      </c>
      <c r="L6827" s="27"/>
    </row>
    <row r="6828" spans="1:12">
      <c r="A6828" s="20" t="s">
        <v>1083</v>
      </c>
      <c r="E6828" s="22">
        <f>IF(D6828="?OLD","!!!","")</f>
        <v/>
      </c>
      <c r="F6828" s="23" t="str">
        <f>IF(OR(E6828="",E6828="!!!"),"",IF(NOT(ISNA(VLOOKUP(E6828,E$1:E6827,1,FALSE()))),"OLD",IF(AND(E6828&lt;&gt;"",E6828&lt;&gt;"!!!"),"NEW","")))</f>
        <v> </v>
      </c>
      <c r="G6828" s="24" t="str">
        <f>IF(OR(E6828="",E6828="!!!"),"",IF(OR(J6828=0,AND(J6828=1,K6828=1),AND(J6828=1,I6828="SBJ"),AND(J6828=1,I6828=0)),"?IN_FOCUS",IF(J6828&lt;=2,"?ACTIVATED",IF(J6828&lt;&gt;"","?FAMILIAR",IF(F6828="NEW",IF(ISNA(VLOOKUP(E6828,#REF!,1,FALSE())),"?TYPE_IDENTIFIABLE","?REFERENTIAL"),"_")))))</f>
        <v> </v>
      </c>
      <c r="H6828" s="25" t="str">
        <f>IF(J6828&lt;&gt;1,"",IF(I6828="SBJ","CB","?"))</f>
        <v> </v>
      </c>
      <c r="I6828" s="26" t="str">
        <f>IF(OR(E6828="",E6828="!!!",F6828="NEW"),"",INDEX(B6827:B$2,-1+SUMPRODUCT(MAX(ROW(E6827:E$2)*(E6828=E6827:E$2)))))</f>
        <v> </v>
      </c>
      <c r="J6828" s="26" t="str">
        <f>IF(OR(E6828="",E6828="!!!",F6828="NEW"),"",COUNTBLANK(OFFSET(A$1,,,SUMPRODUCT(MAX(ROW(E$2:E6828)*(E6828=E$2:E6828)))))-COUNTBLANK(OFFSET(A$1,,,SUMPRODUCT(MAX(ROW(E$1:E6827)*(E2=E$1:E6827))))))</f>
        <v> </v>
      </c>
      <c r="K6828" s="26" t="str">
        <f>IF(OR(E6828="",E6828="!!!",F6828="NEW"),"",INDEX(J$1:J6827,SUMPRODUCT(MAX(ROW(E$1:E6827)*(E6828=E$1:E6827)))))</f>
        <v> </v>
      </c>
      <c r="L6828" s="27"/>
    </row>
    <row r="6829" spans="1:12">
      <c r="A6829" s="20" t="s">
        <v>1020</v>
      </c>
      <c r="E6829" s="22">
        <f>IF(D6829="?OLD","!!!","")</f>
        <v/>
      </c>
      <c r="F6829" s="23" t="str">
        <f>IF(OR(E6829="",E6829="!!!"),"",IF(NOT(ISNA(VLOOKUP(E6829,E$1:E6828,1,FALSE()))),"OLD",IF(AND(E6829&lt;&gt;"",E6829&lt;&gt;"!!!"),"NEW","")))</f>
        <v> </v>
      </c>
      <c r="G6829" s="24" t="str">
        <f>IF(OR(E6829="",E6829="!!!"),"",IF(OR(J6829=0,AND(J6829=1,K6829=1),AND(J6829=1,I6829="SBJ"),AND(J6829=1,I6829=0)),"?IN_FOCUS",IF(J6829&lt;=2,"?ACTIVATED",IF(J6829&lt;&gt;"","?FAMILIAR",IF(F6829="NEW",IF(ISNA(VLOOKUP(E6829,#REF!,1,FALSE())),"?TYPE_IDENTIFIABLE","?REFERENTIAL"),"_")))))</f>
        <v> </v>
      </c>
      <c r="H6829" s="25" t="str">
        <f>IF(J6829&lt;&gt;1,"",IF(I6829="SBJ","CB","?"))</f>
        <v> </v>
      </c>
      <c r="I6829" s="26" t="str">
        <f>IF(OR(E6829="",E6829="!!!",F6829="NEW"),"",INDEX(B6828:B$2,-1+SUMPRODUCT(MAX(ROW(E6828:E$2)*(E6829=E6828:E$2)))))</f>
        <v> </v>
      </c>
      <c r="J6829" s="26" t="str">
        <f>IF(OR(E6829="",E6829="!!!",F6829="NEW"),"",COUNTBLANK(OFFSET(A$1,,,SUMPRODUCT(MAX(ROW(E$2:E6829)*(E6829=E$2:E6829)))))-COUNTBLANK(OFFSET(A$1,,,SUMPRODUCT(MAX(ROW(E$1:E6828)*(E2=E$1:E6828))))))</f>
        <v> </v>
      </c>
      <c r="K6829" s="26" t="str">
        <f>IF(OR(E6829="",E6829="!!!",F6829="NEW"),"",INDEX(J$1:J6828,SUMPRODUCT(MAX(ROW(E$1:E6828)*(E6829=E$1:E6828)))))</f>
        <v> </v>
      </c>
      <c r="L6829" s="27"/>
    </row>
    <row r="6830" spans="1:12">
      <c r="A6830" s="20" t="s">
        <v>1084</v>
      </c>
      <c r="B6830" s="21" t="s">
        <v>1033</v>
      </c>
      <c r="C6830" s="21" t="s">
        <v>1086</v>
      </c>
      <c r="E6830" s="22">
        <f>IF(D6830="?OLD","!!!","")</f>
        <v/>
      </c>
      <c r="F6830" s="23" t="str">
        <f>IF(OR(E6830="",E6830="!!!"),"",IF(NOT(ISNA(VLOOKUP(E6830,E$1:E6829,1,FALSE()))),"OLD",IF(AND(E6830&lt;&gt;"",E6830&lt;&gt;"!!!"),"NEW","")))</f>
        <v> </v>
      </c>
      <c r="G6830" s="24" t="str">
        <f>IF(OR(E6830="",E6830="!!!"),"",IF(OR(J6830=0,AND(J6830=1,K6830=1),AND(J6830=1,I6830="SBJ"),AND(J6830=1,I6830=0)),"?IN_FOCUS",IF(J6830&lt;=2,"?ACTIVATED",IF(J6830&lt;&gt;"","?FAMILIAR",IF(F6830="NEW",IF(ISNA(VLOOKUP(E6830,#REF!,1,FALSE())),"?TYPE_IDENTIFIABLE","?REFERENTIAL"),"_")))))</f>
        <v> </v>
      </c>
      <c r="H6830" s="25" t="str">
        <f>IF(J6830&lt;&gt;1,"",IF(I6830="SBJ","CB","?"))</f>
        <v> </v>
      </c>
      <c r="I6830" s="26" t="str">
        <f>IF(OR(E6830="",E6830="!!!",F6830="NEW"),"",INDEX(B6829:B$2,-1+SUMPRODUCT(MAX(ROW(E6829:E$2)*(E6830=E6829:E$2)))))</f>
        <v> </v>
      </c>
      <c r="J6830" s="26" t="str">
        <f>IF(OR(E6830="",E6830="!!!",F6830="NEW"),"",COUNTBLANK(OFFSET(A$1,,,SUMPRODUCT(MAX(ROW(E$2:E6830)*(E6830=E$2:E6830)))))-COUNTBLANK(OFFSET(A$1,,,SUMPRODUCT(MAX(ROW(E$1:E6829)*(E2=E$1:E6829))))))</f>
        <v> </v>
      </c>
      <c r="K6830" s="26" t="str">
        <f>IF(OR(E6830="",E6830="!!!",F6830="NEW"),"",INDEX(J$1:J6829,SUMPRODUCT(MAX(ROW(E$1:E6829)*(E6830=E$1:E6829)))))</f>
        <v> </v>
      </c>
      <c r="L6830" s="27"/>
    </row>
    <row r="6831" spans="1:12">
      <c r="A6831" s="20" t="s">
        <v>1030</v>
      </c>
      <c r="E6831" s="22">
        <f>IF(D6831="?OLD","!!!","")</f>
        <v/>
      </c>
      <c r="F6831" s="23" t="str">
        <f>IF(OR(E6831="",E6831="!!!"),"",IF(NOT(ISNA(VLOOKUP(E6831,E$1:E6830,1,FALSE()))),"OLD",IF(AND(E6831&lt;&gt;"",E6831&lt;&gt;"!!!"),"NEW","")))</f>
        <v> </v>
      </c>
      <c r="G6831" s="24" t="str">
        <f>IF(OR(E6831="",E6831="!!!"),"",IF(OR(J6831=0,AND(J6831=1,K6831=1),AND(J6831=1,I6831="SBJ"),AND(J6831=1,I6831=0)),"?IN_FOCUS",IF(J6831&lt;=2,"?ACTIVATED",IF(J6831&lt;&gt;"","?FAMILIAR",IF(F6831="NEW",IF(ISNA(VLOOKUP(E6831,#REF!,1,FALSE())),"?TYPE_IDENTIFIABLE","?REFERENTIAL"),"_")))))</f>
        <v> </v>
      </c>
      <c r="H6831" s="25" t="str">
        <f>IF(J6831&lt;&gt;1,"",IF(I6831="SBJ","CB","?"))</f>
        <v> </v>
      </c>
      <c r="I6831" s="26" t="str">
        <f>IF(OR(E6831="",E6831="!!!",F6831="NEW"),"",INDEX(B6830:B$2,-1+SUMPRODUCT(MAX(ROW(E6830:E$2)*(E6831=E6830:E$2)))))</f>
        <v> </v>
      </c>
      <c r="J6831" s="26" t="str">
        <f>IF(OR(E6831="",E6831="!!!",F6831="NEW"),"",COUNTBLANK(OFFSET(A$1,,,SUMPRODUCT(MAX(ROW(E$2:E6831)*(E6831=E$2:E6831)))))-COUNTBLANK(OFFSET(A$1,,,SUMPRODUCT(MAX(ROW(E$1:E6830)*(E2=E$1:E6830))))))</f>
        <v> </v>
      </c>
      <c r="K6831" s="26" t="str">
        <f>IF(OR(E6831="",E6831="!!!",F6831="NEW"),"",INDEX(J$1:J6830,SUMPRODUCT(MAX(ROW(E$1:E6830)*(E6831=E$1:E6830)))))</f>
        <v> </v>
      </c>
      <c r="L6831" s="27"/>
    </row>
    <row r="6832" spans="1:12">
      <c r="A6832" s="20" t="s">
        <v>1433</v>
      </c>
      <c r="E6832" s="22">
        <f>IF(D6832="?OLD","!!!","")</f>
        <v/>
      </c>
      <c r="F6832" s="23" t="str">
        <f>IF(OR(E6832="",E6832="!!!"),"",IF(NOT(ISNA(VLOOKUP(E6832,E$1:E6831,1,FALSE()))),"OLD",IF(AND(E6832&lt;&gt;"",E6832&lt;&gt;"!!!"),"NEW","")))</f>
        <v> </v>
      </c>
      <c r="G6832" s="24" t="str">
        <f>IF(OR(E6832="",E6832="!!!"),"",IF(OR(J6832=0,AND(J6832=1,K6832=1),AND(J6832=1,I6832="SBJ"),AND(J6832=1,I6832=0)),"?IN_FOCUS",IF(J6832&lt;=2,"?ACTIVATED",IF(J6832&lt;&gt;"","?FAMILIAR",IF(F6832="NEW",IF(ISNA(VLOOKUP(E6832,#REF!,1,FALSE())),"?TYPE_IDENTIFIABLE","?REFERENTIAL"),"_")))))</f>
        <v> </v>
      </c>
      <c r="H6832" s="25" t="str">
        <f>IF(J6832&lt;&gt;1,"",IF(I6832="SBJ","CB","?"))</f>
        <v> </v>
      </c>
      <c r="I6832" s="26" t="str">
        <f>IF(OR(E6832="",E6832="!!!",F6832="NEW"),"",INDEX(B6831:B$2,-1+SUMPRODUCT(MAX(ROW(E6831:E$2)*(E6832=E6831:E$2)))))</f>
        <v> </v>
      </c>
      <c r="J6832" s="26" t="str">
        <f>IF(OR(E6832="",E6832="!!!",F6832="NEW"),"",COUNTBLANK(OFFSET(A$1,,,SUMPRODUCT(MAX(ROW(E$2:E6832)*(E6832=E$2:E6832)))))-COUNTBLANK(OFFSET(A$1,,,SUMPRODUCT(MAX(ROW(E$1:E6831)*(E2=E$1:E6831))))))</f>
        <v> </v>
      </c>
      <c r="K6832" s="26" t="str">
        <f>IF(OR(E6832="",E6832="!!!",F6832="NEW"),"",INDEX(J$1:J6831,SUMPRODUCT(MAX(ROW(E$1:E6831)*(E6832=E$1:E6831)))))</f>
        <v> </v>
      </c>
      <c r="L6832" s="27"/>
    </row>
    <row r="6833" spans="1:12">
      <c r="A6833" s="20" t="s">
        <v>102</v>
      </c>
      <c r="E6833" s="22">
        <f>IF(D6833="?OLD","!!!","")</f>
        <v/>
      </c>
      <c r="F6833" s="23" t="str">
        <f>IF(OR(E6833="",E6833="!!!"),"",IF(NOT(ISNA(VLOOKUP(E6833,E$1:E6832,1,FALSE()))),"OLD",IF(AND(E6833&lt;&gt;"",E6833&lt;&gt;"!!!"),"NEW","")))</f>
        <v> </v>
      </c>
      <c r="G6833" s="24" t="str">
        <f>IF(OR(E6833="",E6833="!!!"),"",IF(OR(J6833=0,AND(J6833=1,K6833=1),AND(J6833=1,I6833="SBJ"),AND(J6833=1,I6833=0)),"?IN_FOCUS",IF(J6833&lt;=2,"?ACTIVATED",IF(J6833&lt;&gt;"","?FAMILIAR",IF(F6833="NEW",IF(ISNA(VLOOKUP(E6833,#REF!,1,FALSE())),"?TYPE_IDENTIFIABLE","?REFERENTIAL"),"_")))))</f>
        <v> </v>
      </c>
      <c r="H6833" s="25" t="str">
        <f>IF(J6833&lt;&gt;1,"",IF(I6833="SBJ","CB","?"))</f>
        <v> </v>
      </c>
      <c r="I6833" s="26" t="str">
        <f>IF(OR(E6833="",E6833="!!!",F6833="NEW"),"",INDEX(B6832:B$2,-1+SUMPRODUCT(MAX(ROW(E6832:E$2)*(E6833=E6832:E$2)))))</f>
        <v> </v>
      </c>
      <c r="J6833" s="26" t="str">
        <f>IF(OR(E6833="",E6833="!!!",F6833="NEW"),"",COUNTBLANK(OFFSET(A$1,,,SUMPRODUCT(MAX(ROW(E$2:E6833)*(E6833=E$2:E6833)))))-COUNTBLANK(OFFSET(A$1,,,SUMPRODUCT(MAX(ROW(E$1:E6832)*(E2=E$1:E6832))))))</f>
        <v> </v>
      </c>
      <c r="K6833" s="26" t="str">
        <f>IF(OR(E6833="",E6833="!!!",F6833="NEW"),"",INDEX(J$1:J6832,SUMPRODUCT(MAX(ROW(E$1:E6832)*(E6833=E$1:E6832)))))</f>
        <v> </v>
      </c>
      <c r="L6833" s="27"/>
    </row>
    <row r="6834" spans="1:12">
      <c r="A6834" s="20" t="s">
        <v>1156</v>
      </c>
      <c r="B6834" s="21" t="s">
        <v>1033</v>
      </c>
      <c r="C6834" s="21" t="s">
        <v>1017</v>
      </c>
      <c r="D6834" s="21" t="s">
        <v>1007</v>
      </c>
      <c r="E6834" s="22">
        <f>IF(D6834="?OLD","!!!","")</f>
        <v/>
      </c>
      <c r="F6834" s="23" t="str">
        <f>IF(OR(E6834="",E6834="!!!"),"",IF(NOT(ISNA(VLOOKUP(E6834,E$1:E6833,1,FALSE()))),"OLD",IF(AND(E6834&lt;&gt;"",E6834&lt;&gt;"!!!"),"NEW","")))</f>
        <v> </v>
      </c>
      <c r="G6834" s="24" t="str">
        <f>IF(OR(E6834="",E6834="!!!"),"",IF(OR(J6834=0,AND(J6834=1,K6834=1),AND(J6834=1,I6834="SBJ"),AND(J6834=1,I6834=0)),"?IN_FOCUS",IF(J6834&lt;=2,"?ACTIVATED",IF(J6834&lt;&gt;"","?FAMILIAR",IF(F6834="NEW",IF(ISNA(VLOOKUP(E6834,#REF!,1,FALSE())),"?TYPE_IDENTIFIABLE","?REFERENTIAL"),"_")))))</f>
        <v> </v>
      </c>
      <c r="H6834" s="25" t="str">
        <f>IF(J6834&lt;&gt;1,"",IF(I6834="SBJ","CB","?"))</f>
        <v> </v>
      </c>
      <c r="I6834" s="26" t="str">
        <f>IF(OR(E6834="",E6834="!!!",F6834="NEW"),"",INDEX(B6833:B$2,-1+SUMPRODUCT(MAX(ROW(E6833:E$2)*(E6834=E6833:E$2)))))</f>
        <v> </v>
      </c>
      <c r="J6834" s="26" t="str">
        <f>IF(OR(E6834="",E6834="!!!",F6834="NEW"),"",COUNTBLANK(OFFSET(A$1,,,SUMPRODUCT(MAX(ROW(E$2:E6834)*(E6834=E$2:E6834)))))-COUNTBLANK(OFFSET(A$1,,,SUMPRODUCT(MAX(ROW(E$1:E6833)*(E2=E$1:E6833))))))</f>
        <v> </v>
      </c>
      <c r="K6834" s="26" t="str">
        <f>IF(OR(E6834="",E6834="!!!",F6834="NEW"),"",INDEX(J$1:J6833,SUMPRODUCT(MAX(ROW(E$1:E6833)*(E6834=E$1:E6833)))))</f>
        <v> </v>
      </c>
      <c r="L6834" s="27"/>
    </row>
    <row r="6835" spans="1:12">
      <c r="A6835" s="20" t="s">
        <v>1097</v>
      </c>
      <c r="E6835" s="22">
        <f>IF(D6835="?OLD","!!!","")</f>
        <v/>
      </c>
      <c r="F6835" s="23" t="str">
        <f>IF(OR(E6835="",E6835="!!!"),"",IF(NOT(ISNA(VLOOKUP(E6835,E$1:E6834,1,FALSE()))),"OLD",IF(AND(E6835&lt;&gt;"",E6835&lt;&gt;"!!!"),"NEW","")))</f>
        <v> </v>
      </c>
      <c r="G6835" s="24" t="str">
        <f>IF(OR(E6835="",E6835="!!!"),"",IF(OR(J6835=0,AND(J6835=1,K6835=1),AND(J6835=1,I6835="SBJ"),AND(J6835=1,I6835=0)),"?IN_FOCUS",IF(J6835&lt;=2,"?ACTIVATED",IF(J6835&lt;&gt;"","?FAMILIAR",IF(F6835="NEW",IF(ISNA(VLOOKUP(E6835,#REF!,1,FALSE())),"?TYPE_IDENTIFIABLE","?REFERENTIAL"),"_")))))</f>
        <v> </v>
      </c>
      <c r="H6835" s="25" t="str">
        <f>IF(J6835&lt;&gt;1,"",IF(I6835="SBJ","CB","?"))</f>
        <v> </v>
      </c>
      <c r="I6835" s="26" t="str">
        <f>IF(OR(E6835="",E6835="!!!",F6835="NEW"),"",INDEX(B6834:B$2,-1+SUMPRODUCT(MAX(ROW(E6834:E$2)*(E6835=E6834:E$2)))))</f>
        <v> </v>
      </c>
      <c r="J6835" s="26" t="str">
        <f>IF(OR(E6835="",E6835="!!!",F6835="NEW"),"",COUNTBLANK(OFFSET(A$1,,,SUMPRODUCT(MAX(ROW(E$2:E6835)*(E6835=E$2:E6835)))))-COUNTBLANK(OFFSET(A$1,,,SUMPRODUCT(MAX(ROW(E$1:E6834)*(E2=E$1:E6834))))))</f>
        <v> </v>
      </c>
      <c r="K6835" s="26" t="str">
        <f>IF(OR(E6835="",E6835="!!!",F6835="NEW"),"",INDEX(J$1:J6834,SUMPRODUCT(MAX(ROW(E$1:E6834)*(E6835=E$1:E6834)))))</f>
        <v> </v>
      </c>
      <c r="L6835" s="27"/>
    </row>
    <row r="6836" spans="1:12">
      <c r="A6836" s="20" t="s">
        <v>137</v>
      </c>
      <c r="E6836" s="22">
        <f>IF(D6836="?OLD","!!!","")</f>
        <v/>
      </c>
      <c r="F6836" s="23" t="str">
        <f>IF(OR(E6836="",E6836="!!!"),"",IF(NOT(ISNA(VLOOKUP(E6836,E$1:E6835,1,FALSE()))),"OLD",IF(AND(E6836&lt;&gt;"",E6836&lt;&gt;"!!!"),"NEW","")))</f>
        <v> </v>
      </c>
      <c r="G6836" s="24" t="str">
        <f>IF(OR(E6836="",E6836="!!!"),"",IF(OR(J6836=0,AND(J6836=1,K6836=1),AND(J6836=1,I6836="SBJ"),AND(J6836=1,I6836=0)),"?IN_FOCUS",IF(J6836&lt;=2,"?ACTIVATED",IF(J6836&lt;&gt;"","?FAMILIAR",IF(F6836="NEW",IF(ISNA(VLOOKUP(E6836,#REF!,1,FALSE())),"?TYPE_IDENTIFIABLE","?REFERENTIAL"),"_")))))</f>
        <v> </v>
      </c>
      <c r="H6836" s="25" t="str">
        <f>IF(J6836&lt;&gt;1,"",IF(I6836="SBJ","CB","?"))</f>
        <v> </v>
      </c>
      <c r="I6836" s="26" t="str">
        <f>IF(OR(E6836="",E6836="!!!",F6836="NEW"),"",INDEX(B6835:B$2,-1+SUMPRODUCT(MAX(ROW(E6835:E$2)*(E6836=E6835:E$2)))))</f>
        <v> </v>
      </c>
      <c r="J6836" s="26" t="str">
        <f>IF(OR(E6836="",E6836="!!!",F6836="NEW"),"",COUNTBLANK(OFFSET(A$1,,,SUMPRODUCT(MAX(ROW(E$2:E6836)*(E6836=E$2:E6836)))))-COUNTBLANK(OFFSET(A$1,,,SUMPRODUCT(MAX(ROW(E$1:E6835)*(E2=E$1:E6835))))))</f>
        <v> </v>
      </c>
      <c r="K6836" s="26" t="str">
        <f>IF(OR(E6836="",E6836="!!!",F6836="NEW"),"",INDEX(J$1:J6835,SUMPRODUCT(MAX(ROW(E$1:E6835)*(E6836=E$1:E6835)))))</f>
        <v> </v>
      </c>
      <c r="L6836" s="27"/>
    </row>
    <row r="6837" spans="1:12">
      <c r="A6837" s="20" t="s">
        <v>1140</v>
      </c>
      <c r="B6837" s="21" t="s">
        <v>1064</v>
      </c>
      <c r="C6837" s="21" t="s">
        <v>1073</v>
      </c>
      <c r="D6837" s="21" t="s">
        <v>1007</v>
      </c>
      <c r="E6837" s="22">
        <f>IF(D6837="?OLD","!!!","")</f>
        <v/>
      </c>
      <c r="F6837" s="23" t="str">
        <f>IF(OR(E6837="",E6837="!!!"),"",IF(NOT(ISNA(VLOOKUP(E6837,E$1:E6836,1,FALSE()))),"OLD",IF(AND(E6837&lt;&gt;"",E6837&lt;&gt;"!!!"),"NEW","")))</f>
        <v> </v>
      </c>
      <c r="G6837" s="24" t="str">
        <f>IF(OR(E6837="",E6837="!!!"),"",IF(OR(J6837=0,AND(J6837=1,K6837=1),AND(J6837=1,I6837="SBJ"),AND(J6837=1,I6837=0)),"?IN_FOCUS",IF(J6837&lt;=2,"?ACTIVATED",IF(J6837&lt;&gt;"","?FAMILIAR",IF(F6837="NEW",IF(ISNA(VLOOKUP(E6837,#REF!,1,FALSE())),"?TYPE_IDENTIFIABLE","?REFERENTIAL"),"_")))))</f>
        <v> </v>
      </c>
      <c r="H6837" s="25" t="str">
        <f>IF(J6837&lt;&gt;1,"",IF(I6837="SBJ","CB","?"))</f>
        <v> </v>
      </c>
      <c r="I6837" s="26" t="str">
        <f>IF(OR(E6837="",E6837="!!!",F6837="NEW"),"",INDEX(B6836:B$2,-1+SUMPRODUCT(MAX(ROW(E6836:E$2)*(E6837=E6836:E$2)))))</f>
        <v> </v>
      </c>
      <c r="J6837" s="26" t="str">
        <f>IF(OR(E6837="",E6837="!!!",F6837="NEW"),"",COUNTBLANK(OFFSET(A$1,,,SUMPRODUCT(MAX(ROW(E$2:E6837)*(E6837=E$2:E6837)))))-COUNTBLANK(OFFSET(A$1,,,SUMPRODUCT(MAX(ROW(E$1:E6836)*(E2=E$1:E6836))))))</f>
        <v> </v>
      </c>
      <c r="K6837" s="26" t="str">
        <f>IF(OR(E6837="",E6837="!!!",F6837="NEW"),"",INDEX(J$1:J6836,SUMPRODUCT(MAX(ROW(E$1:E6836)*(E6837=E$1:E6836)))))</f>
        <v> </v>
      </c>
      <c r="L6837" s="27"/>
    </row>
    <row r="6838" spans="1:12">
      <c r="A6838" s="20" t="s">
        <v>897</v>
      </c>
      <c r="E6838" s="22">
        <f>IF(D6838="?OLD","!!!","")</f>
        <v/>
      </c>
      <c r="F6838" s="23" t="str">
        <f>IF(OR(E6838="",E6838="!!!"),"",IF(NOT(ISNA(VLOOKUP(E6838,E$1:E6837,1,FALSE()))),"OLD",IF(AND(E6838&lt;&gt;"",E6838&lt;&gt;"!!!"),"NEW","")))</f>
        <v> </v>
      </c>
      <c r="G6838" s="24" t="str">
        <f>IF(OR(E6838="",E6838="!!!"),"",IF(OR(J6838=0,AND(J6838=1,K6838=1),AND(J6838=1,I6838="SBJ"),AND(J6838=1,I6838=0)),"?IN_FOCUS",IF(J6838&lt;=2,"?ACTIVATED",IF(J6838&lt;&gt;"","?FAMILIAR",IF(F6838="NEW",IF(ISNA(VLOOKUP(E6838,#REF!,1,FALSE())),"?TYPE_IDENTIFIABLE","?REFERENTIAL"),"_")))))</f>
        <v> </v>
      </c>
      <c r="H6838" s="25" t="str">
        <f>IF(J6838&lt;&gt;1,"",IF(I6838="SBJ","CB","?"))</f>
        <v> </v>
      </c>
      <c r="I6838" s="26" t="str">
        <f>IF(OR(E6838="",E6838="!!!",F6838="NEW"),"",INDEX(B6837:B$2,-1+SUMPRODUCT(MAX(ROW(E6837:E$2)*(E6838=E6837:E$2)))))</f>
        <v> </v>
      </c>
      <c r="J6838" s="26" t="str">
        <f>IF(OR(E6838="",E6838="!!!",F6838="NEW"),"",COUNTBLANK(OFFSET(A$1,,,SUMPRODUCT(MAX(ROW(E$2:E6838)*(E6838=E$2:E6838)))))-COUNTBLANK(OFFSET(A$1,,,SUMPRODUCT(MAX(ROW(E$1:E6837)*(E2=E$1:E6837))))))</f>
        <v> </v>
      </c>
      <c r="K6838" s="26" t="str">
        <f>IF(OR(E6838="",E6838="!!!",F6838="NEW"),"",INDEX(J$1:J6837,SUMPRODUCT(MAX(ROW(E$1:E6837)*(E6838=E$1:E6837)))))</f>
        <v> </v>
      </c>
      <c r="L6838" s="27"/>
    </row>
    <row r="6839" spans="1:12">
      <c r="A6839" s="20" t="s">
        <v>1023</v>
      </c>
      <c r="E6839" s="22">
        <f>IF(D6839="?OLD","!!!","")</f>
        <v/>
      </c>
      <c r="F6839" s="23" t="str">
        <f>IF(OR(E6839="",E6839="!!!"),"",IF(NOT(ISNA(VLOOKUP(E6839,E$1:E6838,1,FALSE()))),"OLD",IF(AND(E6839&lt;&gt;"",E6839&lt;&gt;"!!!"),"NEW","")))</f>
        <v> </v>
      </c>
      <c r="G6839" s="24" t="str">
        <f>IF(OR(E6839="",E6839="!!!"),"",IF(OR(J6839=0,AND(J6839=1,K6839=1),AND(J6839=1,I6839="SBJ"),AND(J6839=1,I6839=0)),"?IN_FOCUS",IF(J6839&lt;=2,"?ACTIVATED",IF(J6839&lt;&gt;"","?FAMILIAR",IF(F6839="NEW",IF(ISNA(VLOOKUP(E6839,#REF!,1,FALSE())),"?TYPE_IDENTIFIABLE","?REFERENTIAL"),"_")))))</f>
        <v> </v>
      </c>
      <c r="H6839" s="25" t="str">
        <f>IF(J6839&lt;&gt;1,"",IF(I6839="SBJ","CB","?"))</f>
        <v> </v>
      </c>
      <c r="I6839" s="26" t="str">
        <f>IF(OR(E6839="",E6839="!!!",F6839="NEW"),"",INDEX(B6838:B$2,-1+SUMPRODUCT(MAX(ROW(E6838:E$2)*(E6839=E6838:E$2)))))</f>
        <v> </v>
      </c>
      <c r="J6839" s="26" t="str">
        <f>IF(OR(E6839="",E6839="!!!",F6839="NEW"),"",COUNTBLANK(OFFSET(A$1,,,SUMPRODUCT(MAX(ROW(E$2:E6839)*(E6839=E$2:E6839)))))-COUNTBLANK(OFFSET(A$1,,,SUMPRODUCT(MAX(ROW(E$1:E6838)*(E2=E$1:E6838))))))</f>
        <v> </v>
      </c>
      <c r="K6839" s="26" t="str">
        <f>IF(OR(E6839="",E6839="!!!",F6839="NEW"),"",INDEX(J$1:J6838,SUMPRODUCT(MAX(ROW(E$1:E6838)*(E6839=E$1:E6838)))))</f>
        <v> </v>
      </c>
      <c r="L6839" s="27"/>
    </row>
    <row r="6840" spans="1:12">
      <c r="A6840" s="20"/>
    </row>
    <row r="6841" spans="1:12">
      <c r="A6841" s="20" t="s">
        <v>2741</v>
      </c>
    </row>
    <row r="6842" spans="1:12">
      <c r="A6842" s="20" t="s">
        <v>2742</v>
      </c>
      <c r="E6842" s="22">
        <f>IF(D6842="?OLD","!!!","")</f>
        <v/>
      </c>
      <c r="F6842" s="23" t="str">
        <f>IF(OR(E6842="",E6842="!!!"),"",IF(NOT(ISNA(VLOOKUP(E6842,E$1:E6841,1,FALSE()))),"OLD",IF(AND(E6842&lt;&gt;"",E6842&lt;&gt;"!!!"),"NEW","")))</f>
        <v> </v>
      </c>
      <c r="G6842" s="24" t="str">
        <f>IF(OR(E6842="",E6842="!!!"),"",IF(OR(J6842=0,AND(J6842=1,K6842=1),AND(J6842=1,I6842="SBJ"),AND(J6842=1,I6842=0)),"?IN_FOCUS",IF(J6842&lt;=2,"?ACTIVATED",IF(J6842&lt;&gt;"","?FAMILIAR",IF(F6842="NEW",IF(ISNA(VLOOKUP(E6842,#REF!,1,FALSE())),"?TYPE_IDENTIFIABLE","?REFERENTIAL"),"_")))))</f>
        <v> </v>
      </c>
      <c r="H6842" s="25" t="str">
        <f>IF(J6842&lt;&gt;1,"",IF(I6842="SBJ","CB","?"))</f>
        <v> </v>
      </c>
      <c r="I6842" s="26" t="str">
        <f>IF(OR(E6842="",E6842="!!!",F6842="NEW"),"",INDEX(B6841:B$2,-1+SUMPRODUCT(MAX(ROW(E6841:E$2)*(E6842=E6841:E$2)))))</f>
        <v> </v>
      </c>
      <c r="J6842" s="26" t="str">
        <f>IF(OR(E6842="",E6842="!!!",F6842="NEW"),"",COUNTBLANK(OFFSET(A$1,,,SUMPRODUCT(MAX(ROW(E$2:E6842)*(E6842=E$2:E6842)))))-COUNTBLANK(OFFSET(A$1,,,SUMPRODUCT(MAX(ROW(E$1:E6841)*(E2=E$1:E6841))))))</f>
        <v> </v>
      </c>
      <c r="K6842" s="26" t="str">
        <f>IF(OR(E6842="",E6842="!!!",F6842="NEW"),"",INDEX(J$1:J6841,SUMPRODUCT(MAX(ROW(E$1:E6841)*(E6842=E$1:E6841)))))</f>
        <v> </v>
      </c>
      <c r="L6842" s="27"/>
    </row>
    <row r="6843" spans="1:12">
      <c r="A6843" s="20" t="s">
        <v>987</v>
      </c>
      <c r="E6843" s="22">
        <f>IF(D6843="?OLD","!!!","")</f>
        <v/>
      </c>
      <c r="F6843" s="23" t="str">
        <f>IF(OR(E6843="",E6843="!!!"),"",IF(NOT(ISNA(VLOOKUP(E6843,E$1:E6842,1,FALSE()))),"OLD",IF(AND(E6843&lt;&gt;"",E6843&lt;&gt;"!!!"),"NEW","")))</f>
        <v> </v>
      </c>
      <c r="G6843" s="24" t="str">
        <f>IF(OR(E6843="",E6843="!!!"),"",IF(OR(J6843=0,AND(J6843=1,K6843=1),AND(J6843=1,I6843="SBJ"),AND(J6843=1,I6843=0)),"?IN_FOCUS",IF(J6843&lt;=2,"?ACTIVATED",IF(J6843&lt;&gt;"","?FAMILIAR",IF(F6843="NEW",IF(ISNA(VLOOKUP(E6843,#REF!,1,FALSE())),"?TYPE_IDENTIFIABLE","?REFERENTIAL"),"_")))))</f>
        <v> </v>
      </c>
      <c r="H6843" s="25" t="str">
        <f>IF(J6843&lt;&gt;1,"",IF(I6843="SBJ","CB","?"))</f>
        <v> </v>
      </c>
      <c r="I6843" s="26" t="str">
        <f>IF(OR(E6843="",E6843="!!!",F6843="NEW"),"",INDEX(B6842:B$2,-1+SUMPRODUCT(MAX(ROW(E6842:E$2)*(E6843=E6842:E$2)))))</f>
        <v> </v>
      </c>
      <c r="J6843" s="26" t="str">
        <f>IF(OR(E6843="",E6843="!!!",F6843="NEW"),"",COUNTBLANK(OFFSET(A$1,,,SUMPRODUCT(MAX(ROW(E$2:E6843)*(E6843=E$2:E6843)))))-COUNTBLANK(OFFSET(A$1,,,SUMPRODUCT(MAX(ROW(E$1:E6842)*(E2=E$1:E6842))))))</f>
        <v> </v>
      </c>
      <c r="K6843" s="26" t="str">
        <f>IF(OR(E6843="",E6843="!!!",F6843="NEW"),"",INDEX(J$1:J6842,SUMPRODUCT(MAX(ROW(E$1:E6842)*(E6843=E$1:E6842)))))</f>
        <v> </v>
      </c>
      <c r="L6843" s="27"/>
    </row>
    <row r="6844" spans="1:12">
      <c r="A6844" s="20" t="s">
        <v>1023</v>
      </c>
      <c r="E6844" s="22">
        <f>IF(D6844="?OLD","!!!","")</f>
        <v/>
      </c>
      <c r="F6844" s="23" t="str">
        <f>IF(OR(E6844="",E6844="!!!"),"",IF(NOT(ISNA(VLOOKUP(E6844,E$1:E6843,1,FALSE()))),"OLD",IF(AND(E6844&lt;&gt;"",E6844&lt;&gt;"!!!"),"NEW","")))</f>
        <v> </v>
      </c>
      <c r="G6844" s="24" t="str">
        <f>IF(OR(E6844="",E6844="!!!"),"",IF(OR(J6844=0,AND(J6844=1,K6844=1),AND(J6844=1,I6844="SBJ"),AND(J6844=1,I6844=0)),"?IN_FOCUS",IF(J6844&lt;=2,"?ACTIVATED",IF(J6844&lt;&gt;"","?FAMILIAR",IF(F6844="NEW",IF(ISNA(VLOOKUP(E6844,#REF!,1,FALSE())),"?TYPE_IDENTIFIABLE","?REFERENTIAL"),"_")))))</f>
        <v> </v>
      </c>
      <c r="H6844" s="25" t="str">
        <f>IF(J6844&lt;&gt;1,"",IF(I6844="SBJ","CB","?"))</f>
        <v> </v>
      </c>
      <c r="I6844" s="26" t="str">
        <f>IF(OR(E6844="",E6844="!!!",F6844="NEW"),"",INDEX(B6843:B$2,-1+SUMPRODUCT(MAX(ROW(E6843:E$2)*(E6844=E6843:E$2)))))</f>
        <v> </v>
      </c>
      <c r="J6844" s="26" t="str">
        <f>IF(OR(E6844="",E6844="!!!",F6844="NEW"),"",COUNTBLANK(OFFSET(A$1,,,SUMPRODUCT(MAX(ROW(E$2:E6844)*(E6844=E$2:E6844)))))-COUNTBLANK(OFFSET(A$1,,,SUMPRODUCT(MAX(ROW(E$1:E6843)*(E2=E$1:E6843))))))</f>
        <v> </v>
      </c>
      <c r="K6844" s="26" t="str">
        <f>IF(OR(E6844="",E6844="!!!",F6844="NEW"),"",INDEX(J$1:J6843,SUMPRODUCT(MAX(ROW(E$1:E6843)*(E6844=E$1:E6843)))))</f>
        <v> </v>
      </c>
      <c r="L6844" s="27"/>
    </row>
    <row r="6845" spans="1:12">
      <c r="A6845" s="20"/>
    </row>
    <row r="6846" spans="1:12">
      <c r="A6846" s="20" t="s">
        <v>2743</v>
      </c>
    </row>
    <row r="6847" spans="1:12">
      <c r="A6847" s="20" t="s">
        <v>1094</v>
      </c>
      <c r="E6847" s="22">
        <f>IF(D6847="?OLD","!!!","")</f>
        <v/>
      </c>
      <c r="F6847" s="23" t="str">
        <f>IF(OR(E6847="",E6847="!!!"),"",IF(NOT(ISNA(VLOOKUP(E6847,E$1:E6846,1,FALSE()))),"OLD",IF(AND(E6847&lt;&gt;"",E6847&lt;&gt;"!!!"),"NEW","")))</f>
        <v> </v>
      </c>
      <c r="G6847" s="24" t="str">
        <f>IF(OR(E6847="",E6847="!!!"),"",IF(OR(J6847=0,AND(J6847=1,K6847=1),AND(J6847=1,I6847="SBJ"),AND(J6847=1,I6847=0)),"?IN_FOCUS",IF(J6847&lt;=2,"?ACTIVATED",IF(J6847&lt;&gt;"","?FAMILIAR",IF(F6847="NEW",IF(ISNA(VLOOKUP(E6847,#REF!,1,FALSE())),"?TYPE_IDENTIFIABLE","?REFERENTIAL"),"_")))))</f>
        <v> </v>
      </c>
      <c r="H6847" s="25" t="str">
        <f>IF(J6847&lt;&gt;1,"",IF(I6847="SBJ","CB","?"))</f>
        <v> </v>
      </c>
      <c r="I6847" s="26" t="str">
        <f>IF(OR(E6847="",E6847="!!!",F6847="NEW"),"",INDEX(B6846:B$2,-1+SUMPRODUCT(MAX(ROW(E6846:E$2)*(E6847=E6846:E$2)))))</f>
        <v> </v>
      </c>
      <c r="J6847" s="26" t="str">
        <f>IF(OR(E6847="",E6847="!!!",F6847="NEW"),"",COUNTBLANK(OFFSET(A$1,,,SUMPRODUCT(MAX(ROW(E$2:E6847)*(E6847=E$2:E6847)))))-COUNTBLANK(OFFSET(A$1,,,SUMPRODUCT(MAX(ROW(E$1:E6846)*(E2=E$1:E6846))))))</f>
        <v> </v>
      </c>
      <c r="K6847" s="26" t="str">
        <f>IF(OR(E6847="",E6847="!!!",F6847="NEW"),"",INDEX(J$1:J6846,SUMPRODUCT(MAX(ROW(E$1:E6846)*(E6847=E$1:E6846)))))</f>
        <v> </v>
      </c>
      <c r="L6847" s="27"/>
    </row>
    <row r="6848" spans="1:12">
      <c r="A6848" s="20" t="s">
        <v>1009</v>
      </c>
      <c r="E6848" s="22">
        <f>IF(D6848="?OLD","!!!","")</f>
        <v/>
      </c>
      <c r="F6848" s="23" t="str">
        <f>IF(OR(E6848="",E6848="!!!"),"",IF(NOT(ISNA(VLOOKUP(E6848,E$1:E6847,1,FALSE()))),"OLD",IF(AND(E6848&lt;&gt;"",E6848&lt;&gt;"!!!"),"NEW","")))</f>
        <v> </v>
      </c>
      <c r="G6848" s="24" t="str">
        <f>IF(OR(E6848="",E6848="!!!"),"",IF(OR(J6848=0,AND(J6848=1,K6848=1),AND(J6848=1,I6848="SBJ"),AND(J6848=1,I6848=0)),"?IN_FOCUS",IF(J6848&lt;=2,"?ACTIVATED",IF(J6848&lt;&gt;"","?FAMILIAR",IF(F6848="NEW",IF(ISNA(VLOOKUP(E6848,#REF!,1,FALSE())),"?TYPE_IDENTIFIABLE","?REFERENTIAL"),"_")))))</f>
        <v> </v>
      </c>
      <c r="H6848" s="25" t="str">
        <f>IF(J6848&lt;&gt;1,"",IF(I6848="SBJ","CB","?"))</f>
        <v> </v>
      </c>
      <c r="I6848" s="26" t="str">
        <f>IF(OR(E6848="",E6848="!!!",F6848="NEW"),"",INDEX(B6847:B$2,-1+SUMPRODUCT(MAX(ROW(E6847:E$2)*(E6848=E6847:E$2)))))</f>
        <v> </v>
      </c>
      <c r="J6848" s="26" t="str">
        <f>IF(OR(E6848="",E6848="!!!",F6848="NEW"),"",COUNTBLANK(OFFSET(A$1,,,SUMPRODUCT(MAX(ROW(E$2:E6848)*(E6848=E$2:E6848)))))-COUNTBLANK(OFFSET(A$1,,,SUMPRODUCT(MAX(ROW(E$1:E6847)*(E2=E$1:E6847))))))</f>
        <v> </v>
      </c>
      <c r="K6848" s="26" t="str">
        <f>IF(OR(E6848="",E6848="!!!",F6848="NEW"),"",INDEX(J$1:J6847,SUMPRODUCT(MAX(ROW(E$1:E6847)*(E6848=E$1:E6847)))))</f>
        <v> </v>
      </c>
      <c r="L6848" s="27"/>
    </row>
    <row r="6849" spans="1:12">
      <c r="A6849" s="20" t="s">
        <v>28</v>
      </c>
      <c r="B6849" s="21" t="s">
        <v>1005</v>
      </c>
      <c r="C6849" s="21" t="s">
        <v>1006</v>
      </c>
      <c r="D6849" s="21" t="s">
        <v>1007</v>
      </c>
      <c r="E6849" s="22">
        <f>IF(D6849="?OLD","!!!","")</f>
        <v/>
      </c>
      <c r="F6849" s="23" t="str">
        <f>IF(OR(E6849="",E6849="!!!"),"",IF(NOT(ISNA(VLOOKUP(E6849,E$1:E6848,1,FALSE()))),"OLD",IF(AND(E6849&lt;&gt;"",E6849&lt;&gt;"!!!"),"NEW","")))</f>
        <v> </v>
      </c>
      <c r="G6849" s="24" t="str">
        <f>IF(OR(E6849="",E6849="!!!"),"",IF(OR(J6849=0,AND(J6849=1,K6849=1),AND(J6849=1,I6849="SBJ"),AND(J6849=1,I6849=0)),"?IN_FOCUS",IF(J6849&lt;=2,"?ACTIVATED",IF(J6849&lt;&gt;"","?FAMILIAR",IF(F6849="NEW",IF(ISNA(VLOOKUP(E6849,#REF!,1,FALSE())),"?TYPE_IDENTIFIABLE","?REFERENTIAL"),"_")))))</f>
        <v> </v>
      </c>
      <c r="H6849" s="25" t="str">
        <f>IF(J6849&lt;&gt;1,"",IF(I6849="SBJ","CB","?"))</f>
        <v> </v>
      </c>
      <c r="I6849" s="26" t="str">
        <f>IF(OR(E6849="",E6849="!!!",F6849="NEW"),"",INDEX(B6848:B$2,-1+SUMPRODUCT(MAX(ROW(E6848:E$2)*(E6849=E6848:E$2)))))</f>
        <v> </v>
      </c>
      <c r="J6849" s="26" t="str">
        <f>IF(OR(E6849="",E6849="!!!",F6849="NEW"),"",COUNTBLANK(OFFSET(A$1,,,SUMPRODUCT(MAX(ROW(E$2:E6849)*(E6849=E$2:E6849)))))-COUNTBLANK(OFFSET(A$1,,,SUMPRODUCT(MAX(ROW(E$1:E6848)*(E2=E$1:E6848))))))</f>
        <v> </v>
      </c>
      <c r="K6849" s="26" t="str">
        <f>IF(OR(E6849="",E6849="!!!",F6849="NEW"),"",INDEX(J$1:J6848,SUMPRODUCT(MAX(ROW(E$1:E6848)*(E6849=E$1:E6848)))))</f>
        <v> </v>
      </c>
      <c r="L6849" s="27"/>
    </row>
    <row r="6850" spans="1:12">
      <c r="A6850" s="20" t="s">
        <v>1018</v>
      </c>
      <c r="E6850" s="22">
        <f>IF(D6850="?OLD","!!!","")</f>
        <v/>
      </c>
      <c r="F6850" s="23" t="str">
        <f>IF(OR(E6850="",E6850="!!!"),"",IF(NOT(ISNA(VLOOKUP(E6850,E$1:E6849,1,FALSE()))),"OLD",IF(AND(E6850&lt;&gt;"",E6850&lt;&gt;"!!!"),"NEW","")))</f>
        <v> </v>
      </c>
      <c r="G6850" s="24" t="str">
        <f>IF(OR(E6850="",E6850="!!!"),"",IF(OR(J6850=0,AND(J6850=1,K6850=1),AND(J6850=1,I6850="SBJ"),AND(J6850=1,I6850=0)),"?IN_FOCUS",IF(J6850&lt;=2,"?ACTIVATED",IF(J6850&lt;&gt;"","?FAMILIAR",IF(F6850="NEW",IF(ISNA(VLOOKUP(E6850,#REF!,1,FALSE())),"?TYPE_IDENTIFIABLE","?REFERENTIAL"),"_")))))</f>
        <v> </v>
      </c>
      <c r="H6850" s="25" t="str">
        <f>IF(J6850&lt;&gt;1,"",IF(I6850="SBJ","CB","?"))</f>
        <v> </v>
      </c>
      <c r="I6850" s="26" t="str">
        <f>IF(OR(E6850="",E6850="!!!",F6850="NEW"),"",INDEX(B6849:B$2,-1+SUMPRODUCT(MAX(ROW(E6849:E$2)*(E6850=E6849:E$2)))))</f>
        <v> </v>
      </c>
      <c r="J6850" s="26" t="str">
        <f>IF(OR(E6850="",E6850="!!!",F6850="NEW"),"",COUNTBLANK(OFFSET(A$1,,,SUMPRODUCT(MAX(ROW(E$2:E6850)*(E6850=E$2:E6850)))))-COUNTBLANK(OFFSET(A$1,,,SUMPRODUCT(MAX(ROW(E$1:E6849)*(E2=E$1:E6849))))))</f>
        <v> </v>
      </c>
      <c r="K6850" s="26" t="str">
        <f>IF(OR(E6850="",E6850="!!!",F6850="NEW"),"",INDEX(J$1:J6849,SUMPRODUCT(MAX(ROW(E$1:E6849)*(E6850=E$1:E6849)))))</f>
        <v> </v>
      </c>
      <c r="L6850" s="27"/>
    </row>
    <row r="6851" spans="1:12">
      <c r="A6851" s="20" t="s">
        <v>987</v>
      </c>
      <c r="E6851" s="22">
        <f>IF(D6851="?OLD","!!!","")</f>
        <v/>
      </c>
      <c r="F6851" s="23" t="str">
        <f>IF(OR(E6851="",E6851="!!!"),"",IF(NOT(ISNA(VLOOKUP(E6851,E$1:E6850,1,FALSE()))),"OLD",IF(AND(E6851&lt;&gt;"",E6851&lt;&gt;"!!!"),"NEW","")))</f>
        <v> </v>
      </c>
      <c r="G6851" s="24" t="str">
        <f>IF(OR(E6851="",E6851="!!!"),"",IF(OR(J6851=0,AND(J6851=1,K6851=1),AND(J6851=1,I6851="SBJ"),AND(J6851=1,I6851=0)),"?IN_FOCUS",IF(J6851&lt;=2,"?ACTIVATED",IF(J6851&lt;&gt;"","?FAMILIAR",IF(F6851="NEW",IF(ISNA(VLOOKUP(E6851,#REF!,1,FALSE())),"?TYPE_IDENTIFIABLE","?REFERENTIAL"),"_")))))</f>
        <v> </v>
      </c>
      <c r="H6851" s="25" t="str">
        <f>IF(J6851&lt;&gt;1,"",IF(I6851="SBJ","CB","?"))</f>
        <v> </v>
      </c>
      <c r="I6851" s="26" t="str">
        <f>IF(OR(E6851="",E6851="!!!",F6851="NEW"),"",INDEX(B6850:B$2,-1+SUMPRODUCT(MAX(ROW(E6850:E$2)*(E6851=E6850:E$2)))))</f>
        <v> </v>
      </c>
      <c r="J6851" s="26" t="str">
        <f>IF(OR(E6851="",E6851="!!!",F6851="NEW"),"",COUNTBLANK(OFFSET(A$1,,,SUMPRODUCT(MAX(ROW(E$2:E6851)*(E6851=E$2:E6851)))))-COUNTBLANK(OFFSET(A$1,,,SUMPRODUCT(MAX(ROW(E$1:E6850)*(E2=E$1:E6850))))))</f>
        <v> </v>
      </c>
      <c r="K6851" s="26" t="str">
        <f>IF(OR(E6851="",E6851="!!!",F6851="NEW"),"",INDEX(J$1:J6850,SUMPRODUCT(MAX(ROW(E$1:E6850)*(E6851=E$1:E6850)))))</f>
        <v> </v>
      </c>
      <c r="L6851" s="27"/>
    </row>
    <row r="6852" spans="1:12">
      <c r="A6852" s="20" t="s">
        <v>1023</v>
      </c>
      <c r="E6852" s="22">
        <f>IF(D6852="?OLD","!!!","")</f>
        <v/>
      </c>
      <c r="F6852" s="23" t="str">
        <f>IF(OR(E6852="",E6852="!!!"),"",IF(NOT(ISNA(VLOOKUP(E6852,E$1:E6851,1,FALSE()))),"OLD",IF(AND(E6852&lt;&gt;"",E6852&lt;&gt;"!!!"),"NEW","")))</f>
        <v> </v>
      </c>
      <c r="G6852" s="24" t="str">
        <f>IF(OR(E6852="",E6852="!!!"),"",IF(OR(J6852=0,AND(J6852=1,K6852=1),AND(J6852=1,I6852="SBJ"),AND(J6852=1,I6852=0)),"?IN_FOCUS",IF(J6852&lt;=2,"?ACTIVATED",IF(J6852&lt;&gt;"","?FAMILIAR",IF(F6852="NEW",IF(ISNA(VLOOKUP(E6852,#REF!,1,FALSE())),"?TYPE_IDENTIFIABLE","?REFERENTIAL"),"_")))))</f>
        <v> </v>
      </c>
      <c r="H6852" s="25" t="str">
        <f>IF(J6852&lt;&gt;1,"",IF(I6852="SBJ","CB","?"))</f>
        <v> </v>
      </c>
      <c r="I6852" s="26" t="str">
        <f>IF(OR(E6852="",E6852="!!!",F6852="NEW"),"",INDEX(B6851:B$2,-1+SUMPRODUCT(MAX(ROW(E6851:E$2)*(E6852=E6851:E$2)))))</f>
        <v> </v>
      </c>
      <c r="J6852" s="26" t="str">
        <f>IF(OR(E6852="",E6852="!!!",F6852="NEW"),"",COUNTBLANK(OFFSET(A$1,,,SUMPRODUCT(MAX(ROW(E$2:E6852)*(E6852=E$2:E6852)))))-COUNTBLANK(OFFSET(A$1,,,SUMPRODUCT(MAX(ROW(E$1:E6851)*(E2=E$1:E6851))))))</f>
        <v> </v>
      </c>
      <c r="K6852" s="26" t="str">
        <f>IF(OR(E6852="",E6852="!!!",F6852="NEW"),"",INDEX(J$1:J6851,SUMPRODUCT(MAX(ROW(E$1:E6851)*(E6852=E$1:E6851)))))</f>
        <v> </v>
      </c>
      <c r="L6852" s="27"/>
    </row>
    <row r="6853" spans="1:12">
      <c r="A685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2024-12-05T18:02:10Z</dcterms:created>
  <dcterms:modified xsi:type="dcterms:W3CDTF">2024-12-05T18:02:10Z</dcterms:modified>
</cp:coreProperties>
</file>