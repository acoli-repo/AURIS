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<sst xmlns="http://schemas.openxmlformats.org/spreadsheetml/2006/main" count="3816" uniqueCount="1097">
  <si>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</si>
  <si>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</si>
  <si>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</si>
  <si>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</si>
  <si>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</si>
  <si>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</si>
  <si>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</si>
  <si>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</si>
  <si>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</si>
  <si>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</si>
  <si>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</si>
  <si>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4</t>
  </si>
  <si>
    <t>_</t>
  </si>
  <si>
    <t>interessar</t>
  </si>
  <si>
    <t>Durante algum tempo interessei-me interessei me pelo por o efeito placebo , o que pode parecer uma coisa estranha para interessar um mágico , a menos que a vejam nos em os termos que eu vejo , ou seja , uma coisa falsa em que alguém acredita o suficiente ao a o ponto de se tornar real .</t>
  </si>
  <si>
    <t>file://conllu/pt/teddy-1132.conllu#s1_0</t>
  </si>
  <si>
    <t>2</t>
  </si>
  <si>
    <t>34</t>
  </si>
  <si>
    <t>ser (ser tratamento)</t>
  </si>
  <si>
    <t>Por outras palavras , os comprimidos de açúcar têm um efeito mensurável em certo tipo de estudos — o efeito placebo — apenas porque a pessoa pensa que o lhe está a acontecer é um tratamento farmacêutico ou algum tipo de ... para o alívio da de a dor , por exemplo .</t>
  </si>
  <si>
    <t>file://conllu/pt/teddy-1132.conllu#s2_0</t>
  </si>
  <si>
    <t>3</t>
  </si>
  <si>
    <t>7</t>
  </si>
  <si>
    <t>haver</t>
  </si>
  <si>
    <t>Se acreditarem mesmo nisso em isso , há um efeito mensurável chamado efeito placebo .</t>
  </si>
  <si>
    <t>file://conllu/pt/teddy-1132.conllu#s3_0</t>
  </si>
  <si>
    <t>tornar</t>
  </si>
  <si>
    <t>Uma coisa falsa torna-se torna se numa em uma coisa real .</t>
  </si>
  <si>
    <t>file://conllu/pt/teddy-1132.conllu#s4_0</t>
  </si>
  <si>
    <t>5</t>
  </si>
  <si>
    <t>devido</t>
  </si>
  <si>
    <t>devido à a a perceção que se tem disso de isso .</t>
  </si>
  <si>
    <t>file://conllu/pt/teddy-1132.conllu#s5_0</t>
  </si>
  <si>
    <t>6</t>
  </si>
  <si>
    <t>querer</t>
  </si>
  <si>
    <t>Para nos em os entendermos melhor quero começar por mostrar-vos mostrar vos um truque de magia elementar .</t>
  </si>
  <si>
    <t>file://conllu/pt/teddy-1132.conllu#s6_0</t>
  </si>
  <si>
    <t>simples</t>
  </si>
  <si>
    <t>muito simples .</t>
  </si>
  <si>
    <t>file://conllu/pt/teddy-1132.conllu#s7_0</t>
  </si>
  <si>
    <t>8</t>
  </si>
  <si>
    <t>mostrar</t>
  </si>
  <si>
    <t>e vou mostrar-vos mostrar vos como é que funciona .</t>
  </si>
  <si>
    <t>file://conllu/pt/teddy-1132.conllu#s8_0</t>
  </si>
  <si>
    <t>9</t>
  </si>
  <si>
    <t>aparecer</t>
  </si>
  <si>
    <t>Este truque aparece em todos os livros de magia ara crianças , pelo por o menos desde os anos 50 .</t>
  </si>
  <si>
    <t>file://conllu/pt/teddy-1132.conllu#s9_0</t>
  </si>
  <si>
    <t>10</t>
  </si>
  <si>
    <t>aprender</t>
  </si>
  <si>
    <t>Eu aprendi-o aprendi o no em o &amp;quot; Cub Scout Magic &amp;quot; nos em os anos 70 .</t>
  </si>
  <si>
    <t>file://conllu/pt/teddy-1132.conllu#s10_0</t>
  </si>
  <si>
    <t>11</t>
  </si>
  <si>
    <t>ir</t>
  </si>
  <si>
    <t>Vou fazê-lo fazê lo agora , depois vou explicá-lo explicá lo , e a seguir vou explicar porque é que expliquei .</t>
  </si>
  <si>
    <t>file://conllu/pt/teddy-1132.conllu#s11_0</t>
  </si>
  <si>
    <t>12</t>
  </si>
  <si>
    <t>ser</t>
  </si>
  <si>
    <t>Então , é assim .</t>
  </si>
  <si>
    <t>file://conllu/pt/teddy-1132.conllu#s12_0</t>
  </si>
  <si>
    <t>13</t>
  </si>
  <si>
    <t>faca</t>
  </si>
  <si>
    <t>Uma faca , que podem verificar .</t>
  </si>
  <si>
    <t>file://conllu/pt/teddy-1132.conllu#s13_0</t>
  </si>
  <si>
    <t>14</t>
  </si>
  <si>
    <t>mão</t>
  </si>
  <si>
    <t>A minha mão , que podem verificar .</t>
  </si>
  <si>
    <t>file://conllu/pt/teddy-1132.conllu#s14_0</t>
  </si>
  <si>
    <t>15</t>
  </si>
  <si>
    <t>Vou só segurar a faca assim na em a minha mão .</t>
  </si>
  <si>
    <t>file://conllu/pt/teddy-1132.conllu#s15_0</t>
  </si>
  <si>
    <t>16</t>
  </si>
  <si>
    <t>ver</t>
  </si>
  <si>
    <t>Vou puxar a manga para cima .</t>
  </si>
  <si>
    <t>file://conllu/pt/teddy-1132.conllu#s16_0</t>
  </si>
  <si>
    <t>17</t>
  </si>
  <si>
    <t>apertar</t>
  </si>
  <si>
    <t>Para assegurar que nada sobe nem desce pela por a manga vou apertar o pulso aqui .</t>
  </si>
  <si>
    <t>file://conllu/pt/teddy-1132.conllu#s17_0</t>
  </si>
  <si>
    <t>19</t>
  </si>
  <si>
    <t>estiver</t>
  </si>
  <si>
    <t>Enquanto eu estiver a apertar aqui nada pode subir ou descer pela por a minha manga .</t>
  </si>
  <si>
    <t>file://conllu/pt/teddy-1132.conllu#s19_0</t>
  </si>
  <si>
    <t>20</t>
  </si>
  <si>
    <t>ser (ser simples)</t>
  </si>
  <si>
    <t>objetivo disto de isto é muito simples .</t>
  </si>
  <si>
    <t>file://conllu/pt/teddy-1132.conllu#s20_0</t>
  </si>
  <si>
    <t>21</t>
  </si>
  <si>
    <t>segurar (segurar abrir ver)</t>
  </si>
  <si>
    <t>Vou abrir a mão , e , espero , se tudo correr bem , o meu puro magnetismo animal vai segurar a faca .</t>
  </si>
  <si>
    <t>file://conllu/pt/teddy-1132.conllu#s21_0</t>
  </si>
  <si>
    <t>22</t>
  </si>
  <si>
    <t>estar (estar seguro)</t>
  </si>
  <si>
    <t>De facto , está tão bem segura que posso sacudi-la sacudi la , e a faca não sai .</t>
  </si>
  <si>
    <t>file://conllu/pt/teddy-1132.conllu#s22_0</t>
  </si>
  <si>
    <t>23</t>
  </si>
  <si>
    <t>subir</t>
  </si>
  <si>
    <t>Nada sobe ou desce pela por a minha manga , nada de truques .</t>
  </si>
  <si>
    <t>file://conllu/pt/teddy-1132.conllu#s23_0</t>
  </si>
  <si>
    <t>24</t>
  </si>
  <si>
    <t>poder</t>
  </si>
  <si>
    <t>E podem verificar tudo .</t>
  </si>
  <si>
    <t>file://conllu/pt/teddy-1132.conllu#s24_0</t>
  </si>
  <si>
    <t>25</t>
  </si>
  <si>
    <t>Tchar</t>
  </si>
  <si>
    <t>Tcharam ! ( Aplausos )</t>
  </si>
  <si>
    <t>file://conllu/pt/teddy-1132.conllu#s25_0</t>
  </si>
  <si>
    <t>26</t>
  </si>
  <si>
    <t>ser (ser truque)</t>
  </si>
  <si>
    <t>Este é um truque que costumo ensinar a crianças pequenas que estão interessadas em magia , porque é possível aprender bastante sobre ilusão ao a o estudar um truque , mesmo que seja muito simples .</t>
  </si>
  <si>
    <t>file://conllu/pt/teddy-1132.conllu#s26_0</t>
  </si>
  <si>
    <t>27</t>
  </si>
  <si>
    <t>conhecer</t>
  </si>
  <si>
    <t>Provavelmente muita gente aqui conhece este truque .</t>
  </si>
  <si>
    <t>file://conllu/pt/teddy-1132.conllu#s27_0</t>
  </si>
  <si>
    <t>28</t>
  </si>
  <si>
    <t>ser (ser isto)</t>
  </si>
  <si>
    <t>que acontece é isto .</t>
  </si>
  <si>
    <t>file://conllu/pt/teddy-1132.conllu#s28_0</t>
  </si>
  <si>
    <t>29</t>
  </si>
  <si>
    <t>segurar</t>
  </si>
  <si>
    <t>Eu seguro a faca na em a minha mão .</t>
  </si>
  <si>
    <t>file://conllu/pt/teddy-1132.conllu#s29_0</t>
  </si>
  <si>
    <t>30</t>
  </si>
  <si>
    <t>dizer</t>
  </si>
  <si>
    <t>Digo que vou agarrar o meu pulso para vos assegurar que nada sobe nem desce pela por a manga , o que é uma mentira .</t>
  </si>
  <si>
    <t>file://conllu/pt/teddy-1132.conllu#s30_0</t>
  </si>
  <si>
    <t>31</t>
  </si>
  <si>
    <t>estar</t>
  </si>
  <si>
    <t>Eu estou a agarrar no em o pulso porque , na em a verdade , é esse o segredo da de a ilusão .</t>
  </si>
  <si>
    <t>file://conllu/pt/teddy-1132.conllu#s31_0</t>
  </si>
  <si>
    <t>32</t>
  </si>
  <si>
    <t>deixar</t>
  </si>
  <si>
    <t>Quando a minha mão deixa de estar voltada para vocês e fica virada para trás , este dedo aqui , o meu dedo indicador muda do de o sítio onde está , para uma posição a apontar para fora assim .</t>
  </si>
  <si>
    <t>file://conllu/pt/teddy-1132.conllu#s32_0</t>
  </si>
  <si>
    <t>33</t>
  </si>
  <si>
    <t>ser (ser bom)</t>
  </si>
  <si>
    <t>Essa é boa .</t>
  </si>
  <si>
    <t>file://conllu/pt/teddy-1132.conllu#s33_0</t>
  </si>
  <si>
    <t>Há por aí alguém que não teve infância .</t>
  </si>
  <si>
    <t>file://conllu/pt/teddy-1132.conllu#s34_0</t>
  </si>
  <si>
    <t>35</t>
  </si>
  <si>
    <t>riso</t>
  </si>
  <si>
    <t>( Risos )</t>
  </si>
  <si>
    <t>file://conllu/pt/teddy-1132.conllu#s35_0</t>
  </si>
  <si>
    <t>36</t>
  </si>
  <si>
    <t>Então , é assim que acontece , daqui de aqui , certo ?</t>
  </si>
  <si>
    <t>file://conllu/pt/teddy-1132.conllu#s36_0</t>
  </si>
  <si>
    <t>37</t>
  </si>
  <si>
    <t>mover</t>
  </si>
  <si>
    <t>E quando eu me viro , o meu dedo move-se move se .</t>
  </si>
  <si>
    <t>file://conllu/pt/teddy-1132.conllu#s37_0</t>
  </si>
  <si>
    <t>38</t>
  </si>
  <si>
    <t>ser (ser enganador)</t>
  </si>
  <si>
    <t>Por que razão isto é enganador ?</t>
  </si>
  <si>
    <t>file://conllu/pt/teddy-1132.conllu#s38_0</t>
  </si>
  <si>
    <t>39</t>
  </si>
  <si>
    <t>Porque é que?</t>
  </si>
  <si>
    <t>reparar</t>
  </si>
  <si>
    <t>Porque é que não reparam que só há três dedos aqui em baixo ?</t>
  </si>
  <si>
    <t>file://conllu/pt/teddy-1132.conllu#s39_0</t>
  </si>
  <si>
    <t>40</t>
  </si>
  <si>
    <t>agrupo</t>
  </si>
  <si>
    <t>Porque a mente , e a maneira como esta processa a informação , não conta , um , dois , três — a mente agrupa-os agrupa os .</t>
  </si>
  <si>
    <t>file://conllu/pt/teddy-1132.conllu#s40_0</t>
  </si>
  <si>
    <t>41</t>
  </si>
  <si>
    <t>ser (ser isso)</t>
  </si>
  <si>
    <t>Mas não é isso que interessa .</t>
  </si>
  <si>
    <t>file://conllu/pt/teddy-1132.conllu#s41_0</t>
  </si>
  <si>
    <t>42</t>
  </si>
  <si>
    <t>abrar</t>
  </si>
  <si>
    <t>Depois abro a mão .</t>
  </si>
  <si>
    <t>file://conllu/pt/teddy-1132.conllu#s42_0</t>
  </si>
  <si>
    <t>43</t>
  </si>
  <si>
    <t>Obviamente que a faca está segura , não por magnetismo animal , mas através de uma manha , o meu dedo indicador está aqui .</t>
  </si>
  <si>
    <t>file://conllu/pt/teddy-1132.conllu#s43_0</t>
  </si>
  <si>
    <t>44</t>
  </si>
  <si>
    <t>fechar</t>
  </si>
  <si>
    <t>E quando fecho o meu dedo , a mesma coisa .</t>
  </si>
  <si>
    <t>file://conllu/pt/teddy-1132.conllu#s44_0</t>
  </si>
  <si>
    <t>45</t>
  </si>
  <si>
    <t>encobre</t>
  </si>
  <si>
    <t>Quanto me viro outra vez , este movimento encobre o meu dedo a encolher-se encolher se .</t>
  </si>
  <si>
    <t>file://conllu/pt/teddy-1132.conllu#s45_0</t>
  </si>
  <si>
    <t>46</t>
  </si>
  <si>
    <t>tirar</t>
  </si>
  <si>
    <t>Tiro esta mão .</t>
  </si>
  <si>
    <t>file://conllu/pt/teddy-1132.conllu#s46_0</t>
  </si>
  <si>
    <t>47</t>
  </si>
  <si>
    <t>Mostro</t>
  </si>
  <si>
    <t>Mostro a faca .</t>
  </si>
  <si>
    <t>file://conllu/pt/teddy-1132.conllu#s47_0</t>
  </si>
  <si>
    <t>48</t>
  </si>
  <si>
    <t>Este é um truque que podem fazer para os vossos amigos e vizinhos .</t>
  </si>
  <si>
    <t>file://conllu/pt/teddy-1132.conllu#s48_0</t>
  </si>
  <si>
    <t>49</t>
  </si>
  <si>
    <t>obrigar</t>
  </si>
  <si>
    <t>Obrigado .</t>
  </si>
  <si>
    <t>file://conllu/pt/teddy-1132.conllu#s49_0</t>
  </si>
  <si>
    <t>50</t>
  </si>
  <si>
    <t>ter</t>
  </si>
  <si>
    <t>que é que isto tem a ver com o efeito placebo ?</t>
  </si>
  <si>
    <t>file://conllu/pt/teddy-1132.conllu#s50_0</t>
  </si>
  <si>
    <t>51</t>
  </si>
  <si>
    <t>ler</t>
  </si>
  <si>
    <t>Li um estudo , há mais ou menos um ano , que me abriu os horizontes .</t>
  </si>
  <si>
    <t>file://conllu/pt/teddy-1132.conllu#s51_0</t>
  </si>
  <si>
    <t>52</t>
  </si>
  <si>
    <t>ser (ser médico)</t>
  </si>
  <si>
    <t>Não sou médico nem investigador , por isso , para mim , foi uma coisa surpreendente .</t>
  </si>
  <si>
    <t>file://conllu/pt/teddy-1132.conllu#s52_0</t>
  </si>
  <si>
    <t>53</t>
  </si>
  <si>
    <t>acontecer</t>
  </si>
  <si>
    <t>Acontece que , se se administrar um placebo na em a forma de um comprimido branco , parecido com uma aspirina , apenas um comprimido branco redondo , tem um certo efeito mensurável .</t>
  </si>
  <si>
    <t>file://conllu/pt/teddy-1132.conllu#s53_0</t>
  </si>
  <si>
    <t>54</t>
  </si>
  <si>
    <t>Mas , se mudarmos a forma que damos ao a o placebo , por exemplo , se usarmos um comprimido mais pequeno , de cor azul , com uma letra estampada em cima , é incomensuravelmente mais eficaz .</t>
  </si>
  <si>
    <t>file://conllu/pt/teddy-1132.conllu#s54_0</t>
  </si>
  <si>
    <t>56</t>
  </si>
  <si>
    <t>comprimir</t>
  </si>
  <si>
    <t>São comprimidos de açúcar .</t>
  </si>
  <si>
    <t>file://conllu/pt/teddy-1132.conllu#s56_0</t>
  </si>
  <si>
    <t>57</t>
  </si>
  <si>
    <t>Mas um comprimido branco não é tão bom como um comprimido azul .</t>
  </si>
  <si>
    <t>file://conllu/pt/teddy-1132.conllu#s57_0</t>
  </si>
  <si>
    <t>58</t>
  </si>
  <si>
    <t>quê</t>
  </si>
  <si>
    <t>quê ?</t>
  </si>
  <si>
    <t>file://conllu/pt/teddy-1132.conllu#s58_0</t>
  </si>
  <si>
    <t>59</t>
  </si>
  <si>
    <t>ficar</t>
  </si>
  <si>
    <t>Fiquei completamente admirado .</t>
  </si>
  <si>
    <t>file://conllu/pt/teddy-1132.conllu#s59_0</t>
  </si>
  <si>
    <t>60</t>
  </si>
  <si>
    <t>acabar</t>
  </si>
  <si>
    <t>Mas a coisa não acaba aqui .</t>
  </si>
  <si>
    <t>file://conllu/pt/teddy-1132.conllu#s60_0</t>
  </si>
  <si>
    <t>61</t>
  </si>
  <si>
    <t>ser (ser eficaz)</t>
  </si>
  <si>
    <t>Se forem cápsulas , são mais eficazes que comprimidos de qualquer formato .</t>
  </si>
  <si>
    <t>file://conllu/pt/teddy-1132.conllu#s61_0</t>
  </si>
  <si>
    <t>62</t>
  </si>
  <si>
    <t>ser (ser melhor)</t>
  </si>
  <si>
    <t>Uma cápsula colorida , amarela numa em uma ponta e vermelha na em a outra é melhor do de o que uma cápsula branca .</t>
  </si>
  <si>
    <t>file://conllu/pt/teddy-1132.conllu#s62_0</t>
  </si>
  <si>
    <t>63</t>
  </si>
  <si>
    <t>estar (estar relacionado)</t>
  </si>
  <si>
    <t>A dosagem está relacionada com isto .</t>
  </si>
  <si>
    <t>file://conllu/pt/teddy-1132.conllu#s63_0</t>
  </si>
  <si>
    <t>64</t>
  </si>
  <si>
    <t>Um comprimido , duas vezes ao a o dia não é tão bom quanto três comprimidos ...</t>
  </si>
  <si>
    <t>file://conllu/pt/teddy-1132.conllu#s64_0</t>
  </si>
  <si>
    <t>65</t>
  </si>
  <si>
    <t>Desculpem</t>
  </si>
  <si>
    <t>Desculpem , mas agora , não me lembro das de as estatísticas .</t>
  </si>
  <si>
    <t>file://conllu/pt/teddy-1132.conllu#s65_0</t>
  </si>
  <si>
    <t>66</t>
  </si>
  <si>
    <t>A questão é que as dosagens estão relacionadas com isso .</t>
  </si>
  <si>
    <t>file://conllu/pt/teddy-1132.conllu#s66_0</t>
  </si>
  <si>
    <t>67</t>
  </si>
  <si>
    <t>formato</t>
  </si>
  <si>
    <t>E o formato também .</t>
  </si>
  <si>
    <t>file://conllu/pt/teddy-1132.conllu#s67_0</t>
  </si>
  <si>
    <t>68</t>
  </si>
  <si>
    <t>Se quisermos o máximo do de o efeito placebo temos de pegar na em a agulha .</t>
  </si>
  <si>
    <t>file://conllu/pt/teddy-1132.conllu#s68_0</t>
  </si>
  <si>
    <t>69</t>
  </si>
  <si>
    <t>seringa</t>
  </si>
  <si>
    <t>Uma seringa com algum inerte ... uns centímetros cúbicos de algum inerte ... e injetamos isso num em um doente ...</t>
  </si>
  <si>
    <t>file://conllu/pt/teddy-1132.conllu#s69_0</t>
  </si>
  <si>
    <t>70</t>
  </si>
  <si>
    <t>ser (ser imagem)</t>
  </si>
  <si>
    <t>Isso é uma imagem muito poderosa no em o espírito deles de eles , É muito mais forte do de o que um comprimido branco .</t>
  </si>
  <si>
    <t>file://conllu/pt/teddy-1132.conllu#s70_0</t>
  </si>
  <si>
    <t>71</t>
  </si>
  <si>
    <t>gráfico</t>
  </si>
  <si>
    <t>Este gráfico ... bem , mostro-vos mostro vos noutra em outra altura , quando tivermos slides .</t>
  </si>
  <si>
    <t>file://conllu/pt/teddy-1132.conllu#s71_0</t>
  </si>
  <si>
    <t>72</t>
  </si>
  <si>
    <t>A questão é : o comprimido branco não é tão bom como o comprimido azul que não é tão bom como a cápsula , que não é tão boa como a agulha .</t>
  </si>
  <si>
    <t>file://conllu/pt/teddy-1132.conllu#s72_0</t>
  </si>
  <si>
    <t>73</t>
  </si>
  <si>
    <t>Mas nenhum deles de eles tem qualquer qualidade farmacêutica .</t>
  </si>
  <si>
    <t>file://conllu/pt/teddy-1132.conllu#s73_0</t>
  </si>
  <si>
    <t>74</t>
  </si>
  <si>
    <t>ser (ser crença)</t>
  </si>
  <si>
    <t>É apenas a nossa crença que o torna real no em o nosso corpo e tem um efeito mais forte .</t>
  </si>
  <si>
    <t>file://conllu/pt/teddy-1132.conllu#s74_0</t>
  </si>
  <si>
    <t>75</t>
  </si>
  <si>
    <t>ver (ver querer)</t>
  </si>
  <si>
    <t>Eu quis ver se podia pegar nesta em esta ideia e aplicá-la aplicá la num em um truque de magia .</t>
  </si>
  <si>
    <t>file://conllu/pt/teddy-1132.conllu#s75_0</t>
  </si>
  <si>
    <t>76</t>
  </si>
  <si>
    <t>Agarrar</t>
  </si>
  <si>
    <t>Agarrar numa em uma coisa que é obviamente é um truque falso e fazê-la fazê la parecer real .</t>
  </si>
  <si>
    <t>file://conllu/pt/teddy-1132.conllu#s76_0</t>
  </si>
  <si>
    <t>77</t>
  </si>
  <si>
    <t>saber</t>
  </si>
  <si>
    <t>Sabemos , a partir desse de esse estudo , que , quando queremos realidade , pegamos na em a agulha .</t>
  </si>
  <si>
    <t>file://conllu/pt/teddy-1132.conllu#s77_0</t>
  </si>
  <si>
    <t>78</t>
  </si>
  <si>
    <t>ser (ser alfinete)</t>
  </si>
  <si>
    <t>Isto é um alfinete de 17 centímetros .</t>
  </si>
  <si>
    <t>file://conllu/pt/teddy-1132.conllu#s78_0</t>
  </si>
  <si>
    <t>79</t>
  </si>
  <si>
    <t>ser (ser aguçado)</t>
  </si>
  <si>
    <t>É muito aguçado .</t>
  </si>
  <si>
    <t>file://conllu/pt/teddy-1132.conllu#s79_0</t>
  </si>
  <si>
    <t>80</t>
  </si>
  <si>
    <t>Vou esterilizá-lo esterilizá lo um bocadinho .</t>
  </si>
  <si>
    <t>file://conllu/pt/teddy-1132.conllu#s80_0</t>
  </si>
  <si>
    <t>81</t>
  </si>
  <si>
    <t>Isto é mesmo a minha carne .</t>
  </si>
  <si>
    <t>file://conllu/pt/teddy-1132.conllu#s81_0</t>
  </si>
  <si>
    <t>82</t>
  </si>
  <si>
    <t>ser (ser carne)</t>
  </si>
  <si>
    <t>Não é a carne especial do de o Damian .</t>
  </si>
  <si>
    <t>file://conllu/pt/teddy-1132.conllu#s82_0</t>
  </si>
  <si>
    <t>83</t>
  </si>
  <si>
    <t>Isto é a minha pele .</t>
  </si>
  <si>
    <t>file://conllu/pt/teddy-1132.conllu#s83_0</t>
  </si>
  <si>
    <t>84</t>
  </si>
  <si>
    <t>ser (ser efeito)</t>
  </si>
  <si>
    <t>Não é um efeito especial de Hollywood .</t>
  </si>
  <si>
    <t>file://conllu/pt/teddy-1132.conllu#s84_0</t>
  </si>
  <si>
    <t>85</t>
  </si>
  <si>
    <t>Vou furar a minha pele e espetar esta agulha até ao a o outro lado .</t>
  </si>
  <si>
    <t>file://conllu/pt/teddy-1132.conllu#s85_0</t>
  </si>
  <si>
    <t>86</t>
  </si>
  <si>
    <t>ser (ser sensível)</t>
  </si>
  <si>
    <t>Se forem sensíveis ou desmaiarem facilmente ...</t>
  </si>
  <si>
    <t>file://conllu/pt/teddy-1132.conllu#s86_0</t>
  </si>
  <si>
    <t>87</t>
  </si>
  <si>
    <t>fazer</t>
  </si>
  <si>
    <t>Eu fiz isto no em o quarto do de o hotel , para alguns amigos e para algumas pessoas que eu não conhecia , e uma mulher quase desmaiou .</t>
  </si>
  <si>
    <t>file://conllu/pt/teddy-1132.conllu#s87_0</t>
  </si>
  <si>
    <t>88</t>
  </si>
  <si>
    <t>sugiro</t>
  </si>
  <si>
    <t>Portanto , se ficam tontos facilmente , sugiro que olhem para o lado durante os próximos 30 ...</t>
  </si>
  <si>
    <t>file://conllu/pt/teddy-1132.conllu#s88_0</t>
  </si>
  <si>
    <t>89</t>
  </si>
  <si>
    <t>ser (ser fazer)</t>
  </si>
  <si>
    <t>melhor é fazer a parte má às a as escondidas .</t>
  </si>
  <si>
    <t>file://conllu/pt/teddy-1132.conllu#s89_0</t>
  </si>
  <si>
    <t>90</t>
  </si>
  <si>
    <t>tu</t>
  </si>
  <si>
    <t>Tu consegues ver , podes olhar para o lado , se quiseres .</t>
  </si>
  <si>
    <t>file://conllu/pt/teddy-1132.conllu#s90_0</t>
  </si>
  <si>
    <t>91</t>
  </si>
  <si>
    <t>ser (ser o)</t>
  </si>
  <si>
    <t>Isto é o que acontece , aqui , o início da de a minha carne na em a parte de baixo do de o meu braço , faço um pequeno furo .</t>
  </si>
  <si>
    <t>file://conllu/pt/teddy-1132.conllu#s91_0</t>
  </si>
  <si>
    <t>92</t>
  </si>
  <si>
    <t>desculpa</t>
  </si>
  <si>
    <t>Desculpa .</t>
  </si>
  <si>
    <t>file://conllu/pt/teddy-1132.conllu#s92_0</t>
  </si>
  <si>
    <t>93</t>
  </si>
  <si>
    <t>assustar</t>
  </si>
  <si>
    <t>Estou a assustar-te assustar te ?</t>
  </si>
  <si>
    <t>file://conllu/pt/teddy-1132.conllu#s93_0</t>
  </si>
  <si>
    <t>94</t>
  </si>
  <si>
    <t>sair</t>
  </si>
  <si>
    <t>Depois , um bocadinho através da de a minha pele , e sai do de o outro lado , assim .</t>
  </si>
  <si>
    <t>file://conllu/pt/teddy-1132.conllu#s94_0</t>
  </si>
  <si>
    <t>95</t>
  </si>
  <si>
    <t>estar (estar posição)</t>
  </si>
  <si>
    <t>Ora bem , estamos na em a mesma posição em que estávamos com o truque da de a faca .</t>
  </si>
  <si>
    <t>file://conllu/pt/teddy-1132.conllu#s95_0</t>
  </si>
  <si>
    <t>96</t>
  </si>
  <si>
    <t>mais</t>
  </si>
  <si>
    <t>Mais ou menos .</t>
  </si>
  <si>
    <t>file://conllu/pt/teddy-1132.conllu#s96_0</t>
  </si>
  <si>
    <t>97</t>
  </si>
  <si>
    <t>conseguir</t>
  </si>
  <si>
    <t>Mas agora conseguem contar os meus dedos , não conseguem ?</t>
  </si>
  <si>
    <t>file://conllu/pt/teddy-1132.conllu#s97_0</t>
  </si>
  <si>
    <t>98</t>
  </si>
  <si>
    <t>Então , vou mostrá-los mostrá los .</t>
  </si>
  <si>
    <t>file://conllu/pt/teddy-1132.conllu#s98_0</t>
  </si>
  <si>
    <t>99</t>
  </si>
  <si>
    <t>um</t>
  </si>
  <si>
    <t>Um , dois , três , quatro , cinco .</t>
  </si>
  <si>
    <t>file://conllu/pt/teddy-1132.conllu#s99_0</t>
  </si>
  <si>
    <t>100</t>
  </si>
  <si>
    <t>bem</t>
  </si>
  <si>
    <t>Sim , bem ...</t>
  </si>
  <si>
    <t>file://conllu/pt/teddy-1132.conllu#s100_0</t>
  </si>
  <si>
    <t>101</t>
  </si>
  <si>
    <t>Eu sei o que as pessoas pensam quando veem isto : &amp;quot; De certeza que ele não é tão parvo &amp;quot; para espetar a própria pele para nos em os entreter por alguns minutos . &amp;quot; Então , deem uma olhadela .</t>
  </si>
  <si>
    <t>file://conllu/pt/teddy-1132.conllu#s101_0</t>
  </si>
  <si>
    <t>102</t>
  </si>
  <si>
    <t>parecer</t>
  </si>
  <si>
    <t>Que tal vos parece ?</t>
  </si>
  <si>
    <t>file://conllu/pt/teddy-1132.conllu#s102_0</t>
  </si>
  <si>
    <t>103</t>
  </si>
  <si>
    <t>bom</t>
  </si>
  <si>
    <t>Bom ?</t>
  </si>
  <si>
    <t>file://conllu/pt/teddy-1132.conllu#s103_0</t>
  </si>
  <si>
    <t>104</t>
  </si>
  <si>
    <t>Sim , eu sei .</t>
  </si>
  <si>
    <t>file://conllu/pt/teddy-1132.conllu#s104_0</t>
  </si>
  <si>
    <t>105</t>
  </si>
  <si>
    <t>As pessoas lá atrás estão a dizer : &amp;quot; Eu não cheguei a ver aquilo . &amp;quot;</t>
  </si>
  <si>
    <t>file://conllu/pt/teddy-1132.conllu#s105_0</t>
  </si>
  <si>
    <t>106</t>
  </si>
  <si>
    <t>satélite</t>
  </si>
  <si>
    <t>As pessoas na em a sala satélite estão a começar a entrar agora .</t>
  </si>
  <si>
    <t>file://conllu/pt/teddy-1132.conllu#s106_0</t>
  </si>
  <si>
    <t>107</t>
  </si>
  <si>
    <t>Vou deixar-vos deixar vos ver bem isto .</t>
  </si>
  <si>
    <t>file://conllu/pt/teddy-1132.conllu#s107_0</t>
  </si>
  <si>
    <t>108</t>
  </si>
  <si>
    <t>Isto é mesmo a minha pele .</t>
  </si>
  <si>
    <t>file://conllu/pt/teddy-1132.conllu#s108_0</t>
  </si>
  <si>
    <t>109</t>
  </si>
  <si>
    <t>Não é nenhum efeito especial de Hollywood .</t>
  </si>
  <si>
    <t>file://conllu/pt/teddy-1132.conllu#s109_0</t>
  </si>
  <si>
    <t>110</t>
  </si>
  <si>
    <t>Isto é a minha carne , e posso dar voltas a isto .</t>
  </si>
  <si>
    <t>file://conllu/pt/teddy-1132.conllu#s110_0</t>
  </si>
  <si>
    <t>111</t>
  </si>
  <si>
    <t>Desculpem .</t>
  </si>
  <si>
    <t>file://conllu/pt/teddy-1132.conllu#s111_0</t>
  </si>
  <si>
    <t>112</t>
  </si>
  <si>
    <t>olhar</t>
  </si>
  <si>
    <t>Se estão a ficar tontos , olhem para o lado , não olhem para isto .</t>
  </si>
  <si>
    <t>file://conllu/pt/teddy-1132.conllu#s112_0</t>
  </si>
  <si>
    <t>113</t>
  </si>
  <si>
    <t>parecer (parecer dizer)</t>
  </si>
  <si>
    <t>As pessoas lá atrás ou as que virem este vídeo daqui de aqui a anos , vão dizer : &amp;quot; Sim , aquilo parece real , mas tem que haver qualquer efeito .</t>
  </si>
  <si>
    <t>file://conllu/pt/teddy-1132.conllu#s113_0</t>
  </si>
  <si>
    <t>114</t>
  </si>
  <si>
    <t>&amp;quot; Se fosse real ele estaria ... &amp;quot; — há um buraco aqui e um buraco ali — se fosse real , ele estaria a sangrar .</t>
  </si>
  <si>
    <t>file://conllu/pt/teddy-1132.conllu#s114_0</t>
  </si>
  <si>
    <t>115</t>
  </si>
  <si>
    <t>arranjar</t>
  </si>
  <si>
    <t>Ok , vou arranjar um pouco de sangue .</t>
  </si>
  <si>
    <t>file://conllu/pt/teddy-1132.conllu#s115_0</t>
  </si>
  <si>
    <t>116</t>
  </si>
  <si>
    <t>estar (estar ele)</t>
  </si>
  <si>
    <t>Sim , cá está ele .</t>
  </si>
  <si>
    <t>file://conllu/pt/teddy-1132.conllu#s116_0</t>
  </si>
  <si>
    <t>117</t>
  </si>
  <si>
    <t>normalmente</t>
  </si>
  <si>
    <t>Normalmente , nesta em esta altura , tiro a seringa , limpo o braço e mostro que não há feridas .</t>
  </si>
  <si>
    <t>file://conllu/pt/teddy-1132.conllu#s117_0</t>
  </si>
  <si>
    <t>118</t>
  </si>
  <si>
    <t>sair (sair pensar)</t>
  </si>
  <si>
    <t>Mas penso que , neste em este contexto , com a ideia de pegar numa em uma coisa falsa e torná-la torná la real , vou parar por aqui , e sair do de o palco .</t>
  </si>
  <si>
    <t>file://conllu/pt/teddy-1132.conllu#s118_0</t>
  </si>
  <si>
    <t>119</t>
  </si>
  <si>
    <t>ver (ver ver)</t>
  </si>
  <si>
    <t>Vou ver-vos ver vos várias vezes nos em os próximos dias .</t>
  </si>
  <si>
    <t>file://conllu/pt/teddy-1132.conllu#s119_0</t>
  </si>
  <si>
    <t>120</t>
  </si>
  <si>
    <t>esperar</t>
  </si>
  <si>
    <t>Espero que estejam desejosos que isso aconteça .</t>
  </si>
  <si>
    <t>file://conllu/pt/teddy-1132.conllu#s120_0</t>
  </si>
  <si>
    <t>121</t>
  </si>
  <si>
    <t>obrigado</t>
  </si>
  <si>
    <t>Muito obrigado .</t>
  </si>
  <si>
    <t>file://conllu/pt/teddy-1132.conllu#s121_0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</si>
  <si>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</si>
  <si>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</si>
  <si>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</si>
  <si>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</si>
  <si>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</si>
  <si>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</si>
  <si>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</si>
  <si>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</si>
  <si>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</si>
  <si>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</si>
  <si>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</si>
  <si>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Durante algum tempo interessei-me pelo efeito placebo, o que pode parecer uma coisa estranha para interessar um mágico, a menos que a vejam nos termos que eu vejo, ou seja, uma coisa falsa em que alguém acredita o suficiente ao ponto de se tornar real.</t>
  </si>
  <si>
    <t>Durante</t>
  </si>
  <si>
    <t>algum</t>
  </si>
  <si>
    <t>tempo</t>
  </si>
  <si>
    <t>other</t>
  </si>
  <si>
    <t>indef-np</t>
  </si>
  <si>
    <t>interessei</t>
  </si>
  <si>
    <t>me</t>
  </si>
  <si>
    <t>OBJ</t>
  </si>
  <si>
    <t>pron.pper</t>
  </si>
  <si>
    <t>?OLD</t>
  </si>
  <si>
    <t>por</t>
  </si>
  <si>
    <t>o</t>
  </si>
  <si>
    <t>efeito</t>
  </si>
  <si>
    <t>def-np.the</t>
  </si>
  <si>
    <t>placebo</t>
  </si>
  <si>
    <t>,</t>
  </si>
  <si>
    <t>other_2</t>
  </si>
  <si>
    <t>pron.pds</t>
  </si>
  <si>
    <t>que</t>
  </si>
  <si>
    <t>SBJ_5</t>
  </si>
  <si>
    <t>pode</t>
  </si>
  <si>
    <t>uma</t>
  </si>
  <si>
    <t>coisa</t>
  </si>
  <si>
    <t>OBJ_5</t>
  </si>
  <si>
    <t>indef-np.a</t>
  </si>
  <si>
    <t>estranha</t>
  </si>
  <si>
    <t>para</t>
  </si>
  <si>
    <t>mágico</t>
  </si>
  <si>
    <t>OBJ_6</t>
  </si>
  <si>
    <t>a</t>
  </si>
  <si>
    <t>menos</t>
  </si>
  <si>
    <t>OBJ_7</t>
  </si>
  <si>
    <t>vejam</t>
  </si>
  <si>
    <t>em</t>
  </si>
  <si>
    <t>os</t>
  </si>
  <si>
    <t>termos</t>
  </si>
  <si>
    <t>other_7</t>
  </si>
  <si>
    <t>SBJ_9</t>
  </si>
  <si>
    <t>eu</t>
  </si>
  <si>
    <t>OBJ_9</t>
  </si>
  <si>
    <t>vejo</t>
  </si>
  <si>
    <t>other_8</t>
  </si>
  <si>
    <t>indef-np.bare</t>
  </si>
  <si>
    <t>ou</t>
  </si>
  <si>
    <t>seja</t>
  </si>
  <si>
    <t>other_9</t>
  </si>
  <si>
    <t>falsa</t>
  </si>
  <si>
    <t>alguém</t>
  </si>
  <si>
    <t>SBJ_11</t>
  </si>
  <si>
    <t>pron.pind</t>
  </si>
  <si>
    <t>acredita</t>
  </si>
  <si>
    <t>suficiente</t>
  </si>
  <si>
    <t>OBJ_11</t>
  </si>
  <si>
    <t>ponto</t>
  </si>
  <si>
    <t>de</t>
  </si>
  <si>
    <t>se</t>
  </si>
  <si>
    <t>real</t>
  </si>
  <si>
    <t>.</t>
  </si>
  <si>
    <t># text = Por outras palavras, os comprimidos de açúcar têm um efeito mensurável em certo tipo de estudos — o efeito placebo — apenas porque a pessoa pensa que o lhe está a acontecer é um tratamento farmacêutico ou algum tipo de... para o alívio da dor, por exemplo.</t>
  </si>
  <si>
    <t>Por</t>
  </si>
  <si>
    <t>outras</t>
  </si>
  <si>
    <t>palavras</t>
  </si>
  <si>
    <t>comprimidos</t>
  </si>
  <si>
    <t>SBJ_2</t>
  </si>
  <si>
    <t>def-np.poss</t>
  </si>
  <si>
    <t>açúcar</t>
  </si>
  <si>
    <t>other_3</t>
  </si>
  <si>
    <t>têm</t>
  </si>
  <si>
    <t>OBJ_2</t>
  </si>
  <si>
    <t>mensurável</t>
  </si>
  <si>
    <t>certo</t>
  </si>
  <si>
    <t>tipo</t>
  </si>
  <si>
    <t>estudos</t>
  </si>
  <si>
    <t>other_4</t>
  </si>
  <si>
    <t>—</t>
  </si>
  <si>
    <t>SBJ</t>
  </si>
  <si>
    <t>apenas</t>
  </si>
  <si>
    <t>porque</t>
  </si>
  <si>
    <t>pessoa</t>
  </si>
  <si>
    <t>SBJ_3</t>
  </si>
  <si>
    <t>pensa</t>
  </si>
  <si>
    <t>lhe</t>
  </si>
  <si>
    <t>OBJ_4</t>
  </si>
  <si>
    <t>está</t>
  </si>
  <si>
    <t>é</t>
  </si>
  <si>
    <t>tratamento</t>
  </si>
  <si>
    <t>farmacêutico</t>
  </si>
  <si>
    <t>...</t>
  </si>
  <si>
    <t>alívio</t>
  </si>
  <si>
    <t>dor</t>
  </si>
  <si>
    <t>exemplo</t>
  </si>
  <si>
    <t># text = Se acreditarem mesmo nisso, há um efeito mensurável chamado efeito placebo.</t>
  </si>
  <si>
    <t>Se</t>
  </si>
  <si>
    <t>acreditarem</t>
  </si>
  <si>
    <t>mesmo</t>
  </si>
  <si>
    <t>isso</t>
  </si>
  <si>
    <t>há</t>
  </si>
  <si>
    <t>chamado</t>
  </si>
  <si>
    <t># text = Uma coisa falsa torna-se numa coisa real.</t>
  </si>
  <si>
    <t>Uma</t>
  </si>
  <si>
    <t>torna</t>
  </si>
  <si>
    <t># text = devido à perceção que se tem disso.</t>
  </si>
  <si>
    <t>perceção</t>
  </si>
  <si>
    <t>tem</t>
  </si>
  <si>
    <t>OBJ_3</t>
  </si>
  <si>
    <t># text = Para nos entendermos melhor quero começar por mostrar-vos um truque de magia elementar.</t>
  </si>
  <si>
    <t>Para</t>
  </si>
  <si>
    <t>entendermos</t>
  </si>
  <si>
    <t>melhor</t>
  </si>
  <si>
    <t>quero</t>
  </si>
  <si>
    <t>começar</t>
  </si>
  <si>
    <t>vos</t>
  </si>
  <si>
    <t>truque</t>
  </si>
  <si>
    <t>magia</t>
  </si>
  <si>
    <t>elementar</t>
  </si>
  <si>
    <t># text = muito simples.</t>
  </si>
  <si>
    <t>muito</t>
  </si>
  <si>
    <t># text = e vou mostrar-vos como é que funciona.</t>
  </si>
  <si>
    <t>e</t>
  </si>
  <si>
    <t>vou</t>
  </si>
  <si>
    <t>como</t>
  </si>
  <si>
    <t>funciona</t>
  </si>
  <si>
    <t># text = Este truque aparece em todos os livros de magia ara crianças, pelo menos desde os anos 50.</t>
  </si>
  <si>
    <t>Este</t>
  </si>
  <si>
    <t>def-np.dem</t>
  </si>
  <si>
    <t>aparece</t>
  </si>
  <si>
    <t>todos</t>
  </si>
  <si>
    <t>livros</t>
  </si>
  <si>
    <t>ara</t>
  </si>
  <si>
    <t>crianças</t>
  </si>
  <si>
    <t>desde</t>
  </si>
  <si>
    <t>anos</t>
  </si>
  <si>
    <t>--</t>
  </si>
  <si>
    <t># text = Eu aprendi-o no "Cub Scout Magic" nos anos 70.</t>
  </si>
  <si>
    <t>Eu</t>
  </si>
  <si>
    <t>aprendi</t>
  </si>
  <si>
    <t>&amp;quot;</t>
  </si>
  <si>
    <t>Cub</t>
  </si>
  <si>
    <t>ne</t>
  </si>
  <si>
    <t>Scout</t>
  </si>
  <si>
    <t>Magic</t>
  </si>
  <si>
    <t>def-np.quant</t>
  </si>
  <si>
    <t># text = Vou fazê-lo agora, depois vou explicá-lo, e a seguir vou explicar porque é que expliquei.</t>
  </si>
  <si>
    <t>Vou</t>
  </si>
  <si>
    <t>fazê</t>
  </si>
  <si>
    <t>lo</t>
  </si>
  <si>
    <t>agora</t>
  </si>
  <si>
    <t>depois</t>
  </si>
  <si>
    <t>explicá</t>
  </si>
  <si>
    <t>seguir</t>
  </si>
  <si>
    <t>explicar</t>
  </si>
  <si>
    <t>expliquei</t>
  </si>
  <si>
    <t># text = Então, é assim.</t>
  </si>
  <si>
    <t>Então</t>
  </si>
  <si>
    <t>assim</t>
  </si>
  <si>
    <t># text = Uma faca, que podem verificar.</t>
  </si>
  <si>
    <t>podem</t>
  </si>
  <si>
    <t>verificar</t>
  </si>
  <si>
    <t># text = A minha mão, que podem verificar.</t>
  </si>
  <si>
    <t>A</t>
  </si>
  <si>
    <t>minha</t>
  </si>
  <si>
    <t>pron.ppos</t>
  </si>
  <si>
    <t># text = Vou só segurar a faca assim na minha mão.</t>
  </si>
  <si>
    <t>só</t>
  </si>
  <si>
    <t># text = Vou puxar a manga para cima.</t>
  </si>
  <si>
    <t>puxar</t>
  </si>
  <si>
    <t>manga</t>
  </si>
  <si>
    <t>cima</t>
  </si>
  <si>
    <t># text = Para assegurar que nada sobe nem desce pela manga vou apertar o pulso aqui.</t>
  </si>
  <si>
    <t>assegurar</t>
  </si>
  <si>
    <t>nada</t>
  </si>
  <si>
    <t>sobe</t>
  </si>
  <si>
    <t>nem</t>
  </si>
  <si>
    <t>desce</t>
  </si>
  <si>
    <t>pulso</t>
  </si>
  <si>
    <t>aqui</t>
  </si>
  <si>
    <t># text = Deste modo podem ver que nada se pode movimentar.</t>
  </si>
  <si>
    <t>De</t>
  </si>
  <si>
    <t>este</t>
  </si>
  <si>
    <t>modo</t>
  </si>
  <si>
    <t>SBJ_4</t>
  </si>
  <si>
    <t>movimentar</t>
  </si>
  <si>
    <t># text = Enquanto eu estiver a apertar aqui nada pode subir ou descer pela minha manga.</t>
  </si>
  <si>
    <t>Enquanto</t>
  </si>
  <si>
    <t>descer</t>
  </si>
  <si>
    <t>other_5</t>
  </si>
  <si>
    <t># text = O objetivo disto é muito simples.</t>
  </si>
  <si>
    <t>objetivo</t>
  </si>
  <si>
    <t>isto</t>
  </si>
  <si>
    <t># text = Vou abrir a mão, e, espero, se tudo correr bem, o meu puro magnetismo animal vai segurar a faca.</t>
  </si>
  <si>
    <t>abrir</t>
  </si>
  <si>
    <t>espero</t>
  </si>
  <si>
    <t>tudo</t>
  </si>
  <si>
    <t>correr</t>
  </si>
  <si>
    <t>meu</t>
  </si>
  <si>
    <t>puro</t>
  </si>
  <si>
    <t>magnetismo</t>
  </si>
  <si>
    <t>animal</t>
  </si>
  <si>
    <t>vai</t>
  </si>
  <si>
    <t># text = De facto, está tão bem segura que posso sacudi-la, e a faca não sai.</t>
  </si>
  <si>
    <t>facto</t>
  </si>
  <si>
    <t>tão</t>
  </si>
  <si>
    <t>segura</t>
  </si>
  <si>
    <t>posso</t>
  </si>
  <si>
    <t>sacudi</t>
  </si>
  <si>
    <t>la</t>
  </si>
  <si>
    <t>não</t>
  </si>
  <si>
    <t>sai</t>
  </si>
  <si>
    <t># text = Nada sobe ou desce pela minha manga, nada de truques.</t>
  </si>
  <si>
    <t>Nada</t>
  </si>
  <si>
    <t>truques</t>
  </si>
  <si>
    <t># text = E podem verificar tudo.</t>
  </si>
  <si>
    <t>E</t>
  </si>
  <si>
    <t># text = Tcharam! (Aplausos)</t>
  </si>
  <si>
    <t>Tcharam</t>
  </si>
  <si>
    <t>!</t>
  </si>
  <si>
    <t>(</t>
  </si>
  <si>
    <t>Aplausos</t>
  </si>
  <si>
    <t>)</t>
  </si>
  <si>
    <t># text = Este é um truque que costumo ensinar a crianças pequenas que estão interessadas em magia, porque é possível aprender bastante sobre ilusão ao estudar um truque, mesmo que seja muito simples.</t>
  </si>
  <si>
    <t>costumo</t>
  </si>
  <si>
    <t>ensinar</t>
  </si>
  <si>
    <t>pequenas</t>
  </si>
  <si>
    <t>estão</t>
  </si>
  <si>
    <t>interessadas</t>
  </si>
  <si>
    <t>possível</t>
  </si>
  <si>
    <t>bastante</t>
  </si>
  <si>
    <t>sobre</t>
  </si>
  <si>
    <t>ilusão</t>
  </si>
  <si>
    <t>estudar</t>
  </si>
  <si>
    <t># text = Provavelmente muita gente aqui conhece este truque.</t>
  </si>
  <si>
    <t>Provavelmente</t>
  </si>
  <si>
    <t>muita</t>
  </si>
  <si>
    <t>gente</t>
  </si>
  <si>
    <t>conhece</t>
  </si>
  <si>
    <t># text = O que acontece é isto.</t>
  </si>
  <si>
    <t>acontece</t>
  </si>
  <si>
    <t># text = Eu seguro a faca na minha mão.</t>
  </si>
  <si>
    <t>seguro</t>
  </si>
  <si>
    <t># text = Digo que vou agarrar o meu pulso para vos assegurar que nada sobe nem desce pela manga, o que é uma mentira.</t>
  </si>
  <si>
    <t>Digo</t>
  </si>
  <si>
    <t>agarrar</t>
  </si>
  <si>
    <t>mentira</t>
  </si>
  <si>
    <t># text = Eu estou a agarrar no pulso porque, na verdade, é esse o segredo da ilusão.</t>
  </si>
  <si>
    <t>estou</t>
  </si>
  <si>
    <t>verdade</t>
  </si>
  <si>
    <t>esse</t>
  </si>
  <si>
    <t>segredo</t>
  </si>
  <si>
    <t># text = Quando a minha mão deixa de estar voltada para vocês e fica virada para trás, este dedo aqui, o meu dedo indicador muda do sítio onde está, para uma posição a apontar para fora assim.</t>
  </si>
  <si>
    <t>Quando</t>
  </si>
  <si>
    <t>deixa</t>
  </si>
  <si>
    <t>voltada</t>
  </si>
  <si>
    <t>vocês</t>
  </si>
  <si>
    <t>fica</t>
  </si>
  <si>
    <t>virada</t>
  </si>
  <si>
    <t>trás</t>
  </si>
  <si>
    <t>dedo</t>
  </si>
  <si>
    <t>indicador</t>
  </si>
  <si>
    <t>muda</t>
  </si>
  <si>
    <t>sítio</t>
  </si>
  <si>
    <t>onde</t>
  </si>
  <si>
    <t>posição</t>
  </si>
  <si>
    <t>other_6</t>
  </si>
  <si>
    <t>apontar</t>
  </si>
  <si>
    <t>fora</t>
  </si>
  <si>
    <t># text = Essa é boa.</t>
  </si>
  <si>
    <t>Essa</t>
  </si>
  <si>
    <t>boa</t>
  </si>
  <si>
    <t># text = Há por aí alguém que não teve infância.</t>
  </si>
  <si>
    <t>Há</t>
  </si>
  <si>
    <t>aí</t>
  </si>
  <si>
    <t>teve</t>
  </si>
  <si>
    <t>infância</t>
  </si>
  <si>
    <t># text = (Risos)</t>
  </si>
  <si>
    <t>Risos</t>
  </si>
  <si>
    <t># text = Então, é assim que acontece, daqui, certo?</t>
  </si>
  <si>
    <t>?</t>
  </si>
  <si>
    <t># text = E quando eu me viro, o meu dedo move-se.</t>
  </si>
  <si>
    <t>quando</t>
  </si>
  <si>
    <t>viro</t>
  </si>
  <si>
    <t>move</t>
  </si>
  <si>
    <t># text = Por que razão isto é enganador?</t>
  </si>
  <si>
    <t>pron.pint</t>
  </si>
  <si>
    <t>razão</t>
  </si>
  <si>
    <t>enganador</t>
  </si>
  <si>
    <t># text = Porque é que não reparam que só há três dedos aqui em baixo?</t>
  </si>
  <si>
    <t>Porque</t>
  </si>
  <si>
    <t>reparam</t>
  </si>
  <si>
    <t>três</t>
  </si>
  <si>
    <t>dedos</t>
  </si>
  <si>
    <t>indef-np.quant</t>
  </si>
  <si>
    <t>baixo</t>
  </si>
  <si>
    <t># text = Porque a mente, e a maneira como esta processa a informação, não conta, um, dois, três — a mente agrupa-os.</t>
  </si>
  <si>
    <t>mente</t>
  </si>
  <si>
    <t>maneira</t>
  </si>
  <si>
    <t>esta</t>
  </si>
  <si>
    <t>processa</t>
  </si>
  <si>
    <t>informação</t>
  </si>
  <si>
    <t>conta</t>
  </si>
  <si>
    <t>dois</t>
  </si>
  <si>
    <t>agrupa</t>
  </si>
  <si>
    <t># text = Mas não é isso que interessa.</t>
  </si>
  <si>
    <t>Mas</t>
  </si>
  <si>
    <t>interessa</t>
  </si>
  <si>
    <t># text = Depois abro a mão.</t>
  </si>
  <si>
    <t>Depois</t>
  </si>
  <si>
    <t>abro</t>
  </si>
  <si>
    <t># text = Obviamente que a faca está segura, não por magnetismo animal, mas através de uma manha, o meu dedo indicador está aqui.</t>
  </si>
  <si>
    <t>Obviamente</t>
  </si>
  <si>
    <t>mas</t>
  </si>
  <si>
    <t>através</t>
  </si>
  <si>
    <t>manha</t>
  </si>
  <si>
    <t># text = E quando fecho o meu dedo, a mesma coisa.</t>
  </si>
  <si>
    <t>fecho</t>
  </si>
  <si>
    <t>mesma</t>
  </si>
  <si>
    <t># text = Quanto me viro outra vez, este movimento encobre o meu dedo a encolher-se.</t>
  </si>
  <si>
    <t>Quanto</t>
  </si>
  <si>
    <t>outra</t>
  </si>
  <si>
    <t>vez</t>
  </si>
  <si>
    <t>movimento</t>
  </si>
  <si>
    <t>encolher</t>
  </si>
  <si>
    <t># text = Tiro esta mão.</t>
  </si>
  <si>
    <t>Tiro</t>
  </si>
  <si>
    <t># text = Mostro a faca.</t>
  </si>
  <si>
    <t># text = Este é um truque que podem fazer para os vossos amigos e vizinhos.</t>
  </si>
  <si>
    <t>vossos</t>
  </si>
  <si>
    <t>amigos</t>
  </si>
  <si>
    <t>vizinhos</t>
  </si>
  <si>
    <t># text = Obrigado.</t>
  </si>
  <si>
    <t>Obrigado</t>
  </si>
  <si>
    <t># text = O que é que isto tem a ver com o efeito placebo?</t>
  </si>
  <si>
    <t>com</t>
  </si>
  <si>
    <t># text = Li um estudo, há mais ou menos um ano, que me abriu os horizontes.</t>
  </si>
  <si>
    <t>Li</t>
  </si>
  <si>
    <t>estudo</t>
  </si>
  <si>
    <t>ano</t>
  </si>
  <si>
    <t>abriu</t>
  </si>
  <si>
    <t>horizontes</t>
  </si>
  <si>
    <t># text = Não sou médico nem investigador, por isso, para mim, foi uma coisa surpreendente.</t>
  </si>
  <si>
    <t>Não</t>
  </si>
  <si>
    <t>sou</t>
  </si>
  <si>
    <t>médico</t>
  </si>
  <si>
    <t>investigador</t>
  </si>
  <si>
    <t>mim</t>
  </si>
  <si>
    <t>foi</t>
  </si>
  <si>
    <t>surpreendente</t>
  </si>
  <si>
    <t># text = Acontece que, se se administrar um placebo na forma de um comprimido branco, parecido com uma aspirina, apenas um comprimido branco redondo, tem um certo efeito mensurável.</t>
  </si>
  <si>
    <t>Acontece</t>
  </si>
  <si>
    <t>administrar</t>
  </si>
  <si>
    <t>forma</t>
  </si>
  <si>
    <t>comprimido</t>
  </si>
  <si>
    <t>branco</t>
  </si>
  <si>
    <t>parecido</t>
  </si>
  <si>
    <t>aspirina</t>
  </si>
  <si>
    <t>redondo</t>
  </si>
  <si>
    <t># text = Mas, se mudarmos a forma que damos ao placebo, por exemplo, se usarmos um comprimido mais pequeno, de cor azul, com uma letra estampada em cima, é incomensuravelmente mais eficaz.</t>
  </si>
  <si>
    <t>mudarmos</t>
  </si>
  <si>
    <t>damos</t>
  </si>
  <si>
    <t>usarmos</t>
  </si>
  <si>
    <t>pequeno</t>
  </si>
  <si>
    <t>cor</t>
  </si>
  <si>
    <t>azul</t>
  </si>
  <si>
    <t>letra</t>
  </si>
  <si>
    <t>estampada</t>
  </si>
  <si>
    <t>incomensuravelmente</t>
  </si>
  <si>
    <t>eficaz</t>
  </si>
  <si>
    <t># text = No entanto, nenhuma destas coisas tem qualquer fármaco.</t>
  </si>
  <si>
    <t>Em</t>
  </si>
  <si>
    <t>entanto</t>
  </si>
  <si>
    <t>nenhuma</t>
  </si>
  <si>
    <t>pron</t>
  </si>
  <si>
    <t>estas</t>
  </si>
  <si>
    <t>coisas</t>
  </si>
  <si>
    <t>qualquer</t>
  </si>
  <si>
    <t>fármaco</t>
  </si>
  <si>
    <t># text = São comprimidos de açúcar.</t>
  </si>
  <si>
    <t>São</t>
  </si>
  <si>
    <t># text = Mas um comprimido branco não é tão bom como um comprimido azul.</t>
  </si>
  <si>
    <t># text = O quê?</t>
  </si>
  <si>
    <t># text = Fiquei completamente admirado.</t>
  </si>
  <si>
    <t>Fiquei</t>
  </si>
  <si>
    <t>completamente</t>
  </si>
  <si>
    <t>admirado</t>
  </si>
  <si>
    <t># text = Mas a coisa não acaba aqui.</t>
  </si>
  <si>
    <t>acaba</t>
  </si>
  <si>
    <t># text = Se forem cápsulas, são mais eficazes que comprimidos de qualquer formato.</t>
  </si>
  <si>
    <t>forem</t>
  </si>
  <si>
    <t>cápsulas</t>
  </si>
  <si>
    <t>são</t>
  </si>
  <si>
    <t>eficazes</t>
  </si>
  <si>
    <t># text = Uma cápsula colorida, amarela numa ponta e vermelha na outra é melhor do que uma cápsula branca.</t>
  </si>
  <si>
    <t>cápsula</t>
  </si>
  <si>
    <t>colorida</t>
  </si>
  <si>
    <t>amarela</t>
  </si>
  <si>
    <t>ponta</t>
  </si>
  <si>
    <t>vermelha</t>
  </si>
  <si>
    <t>branca</t>
  </si>
  <si>
    <t># text = A dosagem está relacionada com isto.</t>
  </si>
  <si>
    <t>dosagem</t>
  </si>
  <si>
    <t>relacionada</t>
  </si>
  <si>
    <t># text = Um comprimido, duas vezes ao dia não é tão bom quanto três comprimidos...</t>
  </si>
  <si>
    <t>Um</t>
  </si>
  <si>
    <t>duas</t>
  </si>
  <si>
    <t>vezes</t>
  </si>
  <si>
    <t>dia</t>
  </si>
  <si>
    <t>quanto</t>
  </si>
  <si>
    <t># text = Desculpem, mas agora, não me lembro das estatísticas.</t>
  </si>
  <si>
    <t>lembro</t>
  </si>
  <si>
    <t>as</t>
  </si>
  <si>
    <t>estatísticas</t>
  </si>
  <si>
    <t># text = A questão é que as dosagens estão relacionadas com isso.</t>
  </si>
  <si>
    <t>questão</t>
  </si>
  <si>
    <t>dosagens</t>
  </si>
  <si>
    <t>relacionadas</t>
  </si>
  <si>
    <t># text = E o formato também.</t>
  </si>
  <si>
    <t>também</t>
  </si>
  <si>
    <t># text = Se quisermos o máximo do efeito placebo temos de pegar na agulha.</t>
  </si>
  <si>
    <t>quisermos</t>
  </si>
  <si>
    <t>máximo</t>
  </si>
  <si>
    <t>temos</t>
  </si>
  <si>
    <t>pegar</t>
  </si>
  <si>
    <t>agulha</t>
  </si>
  <si>
    <t># text = Uma seringa com algum inerte... uns centímetros cúbicos de algum inerte... e injetamos isso num doente...</t>
  </si>
  <si>
    <t>inerte</t>
  </si>
  <si>
    <t>uns</t>
  </si>
  <si>
    <t>centímetros</t>
  </si>
  <si>
    <t>cúbicos</t>
  </si>
  <si>
    <t>injetamos</t>
  </si>
  <si>
    <t>doente</t>
  </si>
  <si>
    <t># text = Isso é uma imagem muito poderosa no espírito deles, É muito mais forte do que um comprimido branco.</t>
  </si>
  <si>
    <t>Isso</t>
  </si>
  <si>
    <t>imagem</t>
  </si>
  <si>
    <t>poderosa</t>
  </si>
  <si>
    <t>espírito</t>
  </si>
  <si>
    <t>eles</t>
  </si>
  <si>
    <t>É</t>
  </si>
  <si>
    <t>forte</t>
  </si>
  <si>
    <t># text = Este gráfico... bem, mostro-vos noutra altura, quando tivermos slides.</t>
  </si>
  <si>
    <t>mostro</t>
  </si>
  <si>
    <t>altura</t>
  </si>
  <si>
    <t>tivermos</t>
  </si>
  <si>
    <t>slides</t>
  </si>
  <si>
    <t># text = A questão é: o comprimido branco não é tão bom como o comprimido azul que não é tão bom como a cápsula, que não é tão boa como a agulha.</t>
  </si>
  <si>
    <t>:</t>
  </si>
  <si>
    <t># text = Mas nenhum deles tem qualquer qualidade farmacêutica.</t>
  </si>
  <si>
    <t>nenhum</t>
  </si>
  <si>
    <t>qualidade</t>
  </si>
  <si>
    <t>farmacêutica</t>
  </si>
  <si>
    <t># text = É apenas a nossa crença que o torna real no nosso corpo e tem um efeito mais forte.</t>
  </si>
  <si>
    <t>nossa</t>
  </si>
  <si>
    <t>crença</t>
  </si>
  <si>
    <t>nosso</t>
  </si>
  <si>
    <t>corpo</t>
  </si>
  <si>
    <t># text = Eu quis ver se podia pegar nesta ideia e aplicá-la num truque de magia.</t>
  </si>
  <si>
    <t>quis</t>
  </si>
  <si>
    <t>podia</t>
  </si>
  <si>
    <t>ideia</t>
  </si>
  <si>
    <t>aplicá</t>
  </si>
  <si>
    <t># text = Agarrar numa coisa que é obviamente é um truque falso e fazê-la parecer real.</t>
  </si>
  <si>
    <t>obviamente</t>
  </si>
  <si>
    <t>falso</t>
  </si>
  <si>
    <t># text = Sabemos, a partir desse estudo, que, quando queremos realidade, pegamos na agulha.</t>
  </si>
  <si>
    <t>Sabemos</t>
  </si>
  <si>
    <t>partir</t>
  </si>
  <si>
    <t>queremos</t>
  </si>
  <si>
    <t>realidade</t>
  </si>
  <si>
    <t>pegamos</t>
  </si>
  <si>
    <t># text = Isto é um alfinete de 17 centímetros.</t>
  </si>
  <si>
    <t>Isto</t>
  </si>
  <si>
    <t>alfinete</t>
  </si>
  <si>
    <t># text = É muito aguçado.</t>
  </si>
  <si>
    <t>aguçado</t>
  </si>
  <si>
    <t># text = Vou esterilizá-lo um bocadinho.</t>
  </si>
  <si>
    <t>esterilizá</t>
  </si>
  <si>
    <t>bocadinho</t>
  </si>
  <si>
    <t># text = Isto é mesmo a minha carne.</t>
  </si>
  <si>
    <t>carne</t>
  </si>
  <si>
    <t># text = Não é a carne especial do Damian.</t>
  </si>
  <si>
    <t>especial</t>
  </si>
  <si>
    <t>Damian</t>
  </si>
  <si>
    <t># text = Isto é a minha pele.</t>
  </si>
  <si>
    <t>pele</t>
  </si>
  <si>
    <t># text = Não é um efeito especial de Hollywood.</t>
  </si>
  <si>
    <t>Hollywood</t>
  </si>
  <si>
    <t># text = Vou furar a minha pele e espetar esta agulha até ao outro lado.</t>
  </si>
  <si>
    <t>furar</t>
  </si>
  <si>
    <t>espetar</t>
  </si>
  <si>
    <t>até</t>
  </si>
  <si>
    <t>outro</t>
  </si>
  <si>
    <t>lado</t>
  </si>
  <si>
    <t># text = Se forem sensíveis ou desmaiarem facilmente...</t>
  </si>
  <si>
    <t>sensíveis</t>
  </si>
  <si>
    <t>desmaiarem</t>
  </si>
  <si>
    <t>facilmente</t>
  </si>
  <si>
    <t># text = Eu fiz isto no quarto do hotel, para alguns amigos e para algumas pessoas que eu não conhecia, e uma mulher quase desmaiou.</t>
  </si>
  <si>
    <t>fiz</t>
  </si>
  <si>
    <t>quarto</t>
  </si>
  <si>
    <t>hotel</t>
  </si>
  <si>
    <t>alguns</t>
  </si>
  <si>
    <t>algumas</t>
  </si>
  <si>
    <t>pessoas</t>
  </si>
  <si>
    <t>conhecia</t>
  </si>
  <si>
    <t>mulher</t>
  </si>
  <si>
    <t>quase</t>
  </si>
  <si>
    <t>desmaiou</t>
  </si>
  <si>
    <t># text = Portanto, se ficam tontos facilmente, sugiro que olhem para o lado durante os próximos 30...</t>
  </si>
  <si>
    <t>Portanto</t>
  </si>
  <si>
    <t>ficam</t>
  </si>
  <si>
    <t>tontos</t>
  </si>
  <si>
    <t>olhem</t>
  </si>
  <si>
    <t>durante</t>
  </si>
  <si>
    <t>próximos</t>
  </si>
  <si>
    <t># text = O melhor é fazer a parte má às escondidas.</t>
  </si>
  <si>
    <t>parte</t>
  </si>
  <si>
    <t>má</t>
  </si>
  <si>
    <t>escondidas</t>
  </si>
  <si>
    <t># text = Tu consegues ver, podes olhar para o lado, se quiseres.</t>
  </si>
  <si>
    <t>Tu</t>
  </si>
  <si>
    <t>consegues</t>
  </si>
  <si>
    <t>podes</t>
  </si>
  <si>
    <t>quiseres</t>
  </si>
  <si>
    <t># text = Isto é o que acontece, aqui, o início da minha carne na parte de baixo do meu braço, faço um pequeno furo.</t>
  </si>
  <si>
    <t>início</t>
  </si>
  <si>
    <t>braço</t>
  </si>
  <si>
    <t>faço</t>
  </si>
  <si>
    <t>furo</t>
  </si>
  <si>
    <t># text = Desculpa.</t>
  </si>
  <si>
    <t>Desculpa</t>
  </si>
  <si>
    <t># text = Estou a assustar-te?</t>
  </si>
  <si>
    <t>Estou</t>
  </si>
  <si>
    <t>te</t>
  </si>
  <si>
    <t># text = Depois, um bocadinho através da minha pele, e sai do outro lado, assim.</t>
  </si>
  <si>
    <t># text = Ora bem, estamos na mesma posição em que estávamos com o truque da faca.</t>
  </si>
  <si>
    <t>Ora</t>
  </si>
  <si>
    <t>estamos</t>
  </si>
  <si>
    <t>estávamos</t>
  </si>
  <si>
    <t># text = Mais ou menos.</t>
  </si>
  <si>
    <t>Mais</t>
  </si>
  <si>
    <t># text = Mas agora conseguem contar os meus dedos, não conseguem?</t>
  </si>
  <si>
    <t>conseguem</t>
  </si>
  <si>
    <t>contar</t>
  </si>
  <si>
    <t>meus</t>
  </si>
  <si>
    <t># text = Então, vou mostrá-los.</t>
  </si>
  <si>
    <t>mostrá</t>
  </si>
  <si>
    <t>los</t>
  </si>
  <si>
    <t># text = Um, dois, três, quatro, cinco.</t>
  </si>
  <si>
    <t>quatro</t>
  </si>
  <si>
    <t>cinco</t>
  </si>
  <si>
    <t># text = Sim, bem...</t>
  </si>
  <si>
    <t>Sim</t>
  </si>
  <si>
    <t># text = Eu sei o que as pessoas pensam quando veem isto: \"De certeza que ele não é tão parvo \"para espetar a própria pele para nos entreter por alguns minutos.\" Então, deem uma olhadela.</t>
  </si>
  <si>
    <t>sei</t>
  </si>
  <si>
    <t>pensam</t>
  </si>
  <si>
    <t>veem</t>
  </si>
  <si>
    <t>certeza</t>
  </si>
  <si>
    <t>ele</t>
  </si>
  <si>
    <t>parvo</t>
  </si>
  <si>
    <t>própria</t>
  </si>
  <si>
    <t>entreter</t>
  </si>
  <si>
    <t>minutos</t>
  </si>
  <si>
    <t>deem</t>
  </si>
  <si>
    <t>olhadela</t>
  </si>
  <si>
    <t># text = Que tal vos parece?</t>
  </si>
  <si>
    <t>Que</t>
  </si>
  <si>
    <t>tal</t>
  </si>
  <si>
    <t>parece</t>
  </si>
  <si>
    <t># text = Bom?</t>
  </si>
  <si>
    <t>Bom</t>
  </si>
  <si>
    <t># text = Sim, eu sei.</t>
  </si>
  <si>
    <t># text = As pessoas lá atrás estão a dizer: \"Eu não cheguei a ver aquilo.\"</t>
  </si>
  <si>
    <t>As</t>
  </si>
  <si>
    <t>lá</t>
  </si>
  <si>
    <t>atrás</t>
  </si>
  <si>
    <t>cheguei</t>
  </si>
  <si>
    <t>aquilo</t>
  </si>
  <si>
    <t># text = As pessoas na sala satélite estão a começar a entrar agora.</t>
  </si>
  <si>
    <t>sala</t>
  </si>
  <si>
    <t>entrar</t>
  </si>
  <si>
    <t># text = Vou deixar-vos ver bem isto.</t>
  </si>
  <si>
    <t># text = Isto é mesmo a minha pele.</t>
  </si>
  <si>
    <t># text = Não é nenhum efeito especial de Hollywood.</t>
  </si>
  <si>
    <t># text = Isto é a minha carne, e posso dar voltas a isto.</t>
  </si>
  <si>
    <t>dar</t>
  </si>
  <si>
    <t>voltas</t>
  </si>
  <si>
    <t># text = Desculpem.</t>
  </si>
  <si>
    <t># text = Se estão a ficar tontos, olhem para o lado, não olhem para isto.</t>
  </si>
  <si>
    <t># text = As pessoas lá atrás ou as que virem este vídeo daqui a anos, vão dizer: "Sim, aquilo parece real, mas tem que haver qualquer efeito.</t>
  </si>
  <si>
    <t>virem</t>
  </si>
  <si>
    <t>vídeo</t>
  </si>
  <si>
    <t>vão</t>
  </si>
  <si>
    <t># text = \"Se fosse real ele estaria... \"— há um buraco aqui e um buraco ali — se fosse real, ele estaria a sangrar.</t>
  </si>
  <si>
    <t>fosse</t>
  </si>
  <si>
    <t>estaria</t>
  </si>
  <si>
    <t>buraco</t>
  </si>
  <si>
    <t>ali</t>
  </si>
  <si>
    <t>sangrar</t>
  </si>
  <si>
    <t># text = Ok, vou arranjar um pouco de sangue.</t>
  </si>
  <si>
    <t>Ok</t>
  </si>
  <si>
    <t>pouco</t>
  </si>
  <si>
    <t>sangue</t>
  </si>
  <si>
    <t># text = Sim, cá está ele.</t>
  </si>
  <si>
    <t>cá</t>
  </si>
  <si>
    <t># text = Normalmente, nesta altura, tiro a seringa, limpo o braço e mostro que não há feridas.</t>
  </si>
  <si>
    <t>Normalmente</t>
  </si>
  <si>
    <t>tiro</t>
  </si>
  <si>
    <t>limpo</t>
  </si>
  <si>
    <t>feridas</t>
  </si>
  <si>
    <t># text = Mas penso que, neste contexto, com a ideia de pegar numa coisa falsa e torná-la real, vou parar por aqui, e sair do palco.</t>
  </si>
  <si>
    <t>penso</t>
  </si>
  <si>
    <t>contexto</t>
  </si>
  <si>
    <t>torná</t>
  </si>
  <si>
    <t>parar</t>
  </si>
  <si>
    <t>palco</t>
  </si>
  <si>
    <t># text = Vou ver-vos várias vezes nos próximos dias.</t>
  </si>
  <si>
    <t>várias</t>
  </si>
  <si>
    <t>dias</t>
  </si>
  <si>
    <t># text = Espero que estejam desejosos que isso aconteça.</t>
  </si>
  <si>
    <t>Espero</t>
  </si>
  <si>
    <t>estejam</t>
  </si>
  <si>
    <t>desejosos</t>
  </si>
  <si>
    <t>aconteça</t>
  </si>
  <si>
    <t># text = Muito obrigado.</t>
  </si>
  <si>
    <t>Muito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</si>
</sst>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20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22</v>
      </c>
      <c r="C4" s="6" t="s">
        <v>12</v>
      </c>
      <c r="D4" s="7" t="s">
        <v>23</v>
      </c>
      <c r="E4" s="8" t="s">
        <v>24</v>
      </c>
      <c r="F4" s="6" t="s">
        <v>25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11</v>
      </c>
      <c r="B5" s="6" t="s">
        <v>11</v>
      </c>
      <c r="C5" s="6" t="s">
        <v>12</v>
      </c>
      <c r="D5" s="7" t="s">
        <v>26</v>
      </c>
      <c r="E5" s="8" t="s">
        <v>27</v>
      </c>
      <c r="F5" s="6" t="s">
        <v>28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29</v>
      </c>
      <c r="B6" s="6" t="s">
        <v>10</v>
      </c>
      <c r="C6" s="6" t="s">
        <v>12</v>
      </c>
      <c r="D6" s="7" t="s">
        <v>30</v>
      </c>
      <c r="E6" s="8" t="s">
        <v>31</v>
      </c>
      <c r="F6" s="6" t="s">
        <v>32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33</v>
      </c>
      <c r="B7" s="6" t="s">
        <v>33</v>
      </c>
      <c r="C7" s="6" t="s">
        <v>12</v>
      </c>
      <c r="D7" s="7" t="s">
        <v>34</v>
      </c>
      <c r="E7" s="8" t="s">
        <v>35</v>
      </c>
      <c r="F7" s="6" t="s">
        <v>36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22</v>
      </c>
      <c r="B8" s="6" t="s">
        <v>16</v>
      </c>
      <c r="C8" s="6" t="s">
        <v>12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21</v>
      </c>
      <c r="C9" s="6" t="s">
        <v>12</v>
      </c>
      <c r="D9" s="7" t="s">
        <v>41</v>
      </c>
      <c r="E9" s="8" t="s">
        <v>42</v>
      </c>
      <c r="F9" s="6" t="s">
        <v>43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44</v>
      </c>
      <c r="B10" s="6" t="s">
        <v>21</v>
      </c>
      <c r="C10" s="6" t="s">
        <v>12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48</v>
      </c>
      <c r="B11" s="6" t="s">
        <v>16</v>
      </c>
      <c r="C11" s="6" t="s">
        <v>12</v>
      </c>
      <c r="D11" s="7" t="s">
        <v>49</v>
      </c>
      <c r="E11" s="8" t="s">
        <v>50</v>
      </c>
      <c r="F11" s="6" t="s">
        <v>51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52</v>
      </c>
      <c r="B12" s="6" t="s">
        <v>10</v>
      </c>
      <c r="C12" s="6" t="s">
        <v>12</v>
      </c>
      <c r="D12" s="7" t="s">
        <v>53</v>
      </c>
      <c r="E12" s="8" t="s">
        <v>54</v>
      </c>
      <c r="F12" s="6" t="s">
        <v>55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56</v>
      </c>
      <c r="B13" s="6" t="s">
        <v>21</v>
      </c>
      <c r="C13" s="6" t="s">
        <v>12</v>
      </c>
      <c r="D13" s="7" t="s">
        <v>57</v>
      </c>
      <c r="E13" s="8" t="s">
        <v>58</v>
      </c>
      <c r="F13" s="6" t="s">
        <v>59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60</v>
      </c>
      <c r="B14" s="6" t="s">
        <v>16</v>
      </c>
      <c r="C14" s="6" t="s">
        <v>12</v>
      </c>
      <c r="D14" s="7" t="s">
        <v>61</v>
      </c>
      <c r="E14" s="8" t="s">
        <v>62</v>
      </c>
      <c r="F14" s="6" t="s">
        <v>63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64</v>
      </c>
      <c r="B15" s="6" t="s">
        <v>21</v>
      </c>
      <c r="C15" s="6" t="s">
        <v>12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68</v>
      </c>
      <c r="B16" s="6" t="s">
        <v>10</v>
      </c>
      <c r="C16" s="6" t="s">
        <v>12</v>
      </c>
      <c r="D16" s="7" t="s">
        <v>53</v>
      </c>
      <c r="E16" s="8" t="s">
        <v>69</v>
      </c>
      <c r="F16" s="6" t="s">
        <v>70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71</v>
      </c>
      <c r="B17" s="6" t="s">
        <v>10</v>
      </c>
      <c r="C17" s="6" t="s">
        <v>12</v>
      </c>
      <c r="D17" s="7" t="s">
        <v>72</v>
      </c>
      <c r="E17" s="8" t="s">
        <v>73</v>
      </c>
      <c r="F17" s="6" t="s">
        <v>74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75</v>
      </c>
      <c r="B18" s="6" t="s">
        <v>56</v>
      </c>
      <c r="C18" s="6" t="s">
        <v>12</v>
      </c>
      <c r="D18" s="7" t="s">
        <v>76</v>
      </c>
      <c r="E18" s="8" t="s">
        <v>77</v>
      </c>
      <c r="F18" s="6" t="s">
        <v>78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79</v>
      </c>
      <c r="B19" s="6" t="s">
        <v>21</v>
      </c>
      <c r="C19" s="6" t="s">
        <v>12</v>
      </c>
      <c r="D19" s="7" t="s">
        <v>80</v>
      </c>
      <c r="E19" s="8" t="s">
        <v>81</v>
      </c>
      <c r="F19" s="6" t="s">
        <v>82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83</v>
      </c>
      <c r="B20" s="6" t="s">
        <v>29</v>
      </c>
      <c r="C20" s="6" t="s">
        <v>12</v>
      </c>
      <c r="D20" s="7" t="s">
        <v>84</v>
      </c>
      <c r="E20" s="8" t="s">
        <v>85</v>
      </c>
      <c r="F20" s="6" t="s">
        <v>86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87</v>
      </c>
      <c r="B21" s="6" t="s">
        <v>87</v>
      </c>
      <c r="C21" s="6" t="s">
        <v>12</v>
      </c>
      <c r="D21" s="7" t="s">
        <v>88</v>
      </c>
      <c r="E21" s="8" t="s">
        <v>89</v>
      </c>
      <c r="F21" s="6" t="s">
        <v>90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91</v>
      </c>
      <c r="B22" s="6" t="s">
        <v>11</v>
      </c>
      <c r="C22" s="6" t="s">
        <v>12</v>
      </c>
      <c r="D22" s="7" t="s">
        <v>92</v>
      </c>
      <c r="E22" s="8" t="s">
        <v>93</v>
      </c>
      <c r="F22" s="6" t="s">
        <v>94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95</v>
      </c>
      <c r="B23" s="6" t="s">
        <v>16</v>
      </c>
      <c r="C23" s="6" t="s">
        <v>12</v>
      </c>
      <c r="D23" s="7" t="s">
        <v>96</v>
      </c>
      <c r="E23" s="8" t="s">
        <v>97</v>
      </c>
      <c r="F23" s="6" t="s">
        <v>98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99</v>
      </c>
      <c r="B24" s="6" t="s">
        <v>16</v>
      </c>
      <c r="C24" s="6" t="s">
        <v>12</v>
      </c>
      <c r="D24" s="7" t="s">
        <v>100</v>
      </c>
      <c r="E24" s="8" t="s">
        <v>101</v>
      </c>
      <c r="F24" s="6" t="s">
        <v>102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103</v>
      </c>
      <c r="B25" s="6" t="s">
        <v>10</v>
      </c>
      <c r="C25" s="6" t="s">
        <v>12</v>
      </c>
      <c r="D25" s="7" t="s">
        <v>104</v>
      </c>
      <c r="E25" s="8" t="s">
        <v>105</v>
      </c>
      <c r="F25" s="6" t="s">
        <v>106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107</v>
      </c>
      <c r="B26" s="6" t="s">
        <v>16</v>
      </c>
      <c r="C26" s="6" t="s">
        <v>12</v>
      </c>
      <c r="D26" s="7" t="s">
        <v>108</v>
      </c>
      <c r="E26" s="8" t="s">
        <v>109</v>
      </c>
      <c r="F26" s="6" t="s">
        <v>110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111</v>
      </c>
      <c r="B27" s="6" t="s">
        <v>29</v>
      </c>
      <c r="C27" s="6" t="s">
        <v>12</v>
      </c>
      <c r="D27" s="7" t="s">
        <v>112</v>
      </c>
      <c r="E27" s="8" t="s">
        <v>113</v>
      </c>
      <c r="F27" s="6" t="s">
        <v>114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115</v>
      </c>
      <c r="B28" s="6" t="s">
        <v>11</v>
      </c>
      <c r="C28" s="6" t="s">
        <v>12</v>
      </c>
      <c r="D28" s="7" t="s">
        <v>116</v>
      </c>
      <c r="E28" s="8" t="s">
        <v>117</v>
      </c>
      <c r="F28" s="6" t="s">
        <v>118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119</v>
      </c>
      <c r="B29" s="6" t="s">
        <v>16</v>
      </c>
      <c r="C29" s="6" t="s">
        <v>12</v>
      </c>
      <c r="D29" s="7" t="s">
        <v>120</v>
      </c>
      <c r="E29" s="8" t="s">
        <v>121</v>
      </c>
      <c r="F29" s="6" t="s">
        <v>122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123</v>
      </c>
      <c r="B30" s="6" t="s">
        <v>10</v>
      </c>
      <c r="C30" s="6" t="s">
        <v>12</v>
      </c>
      <c r="D30" s="7" t="s">
        <v>124</v>
      </c>
      <c r="E30" s="8" t="s">
        <v>125</v>
      </c>
      <c r="F30" s="6" t="s">
        <v>126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127</v>
      </c>
      <c r="B31" s="6" t="s">
        <v>16</v>
      </c>
      <c r="C31" s="6" t="s">
        <v>12</v>
      </c>
      <c r="D31" s="7" t="s">
        <v>128</v>
      </c>
      <c r="E31" s="8" t="s">
        <v>129</v>
      </c>
      <c r="F31" s="6" t="s">
        <v>130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131</v>
      </c>
      <c r="B32" s="6" t="s">
        <v>29</v>
      </c>
      <c r="C32" s="6" t="s">
        <v>12</v>
      </c>
      <c r="D32" s="7" t="s">
        <v>132</v>
      </c>
      <c r="E32" s="8" t="s">
        <v>133</v>
      </c>
      <c r="F32" s="6" t="s">
        <v>134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135</v>
      </c>
      <c r="B33" s="6" t="s">
        <v>16</v>
      </c>
      <c r="C33" s="6" t="s">
        <v>12</v>
      </c>
      <c r="D33" s="7" t="s">
        <v>136</v>
      </c>
      <c r="E33" s="8" t="s">
        <v>137</v>
      </c>
      <c r="F33" s="6" t="s">
        <v>138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17</v>
      </c>
      <c r="B34" s="6" t="s">
        <v>10</v>
      </c>
      <c r="C34" s="6" t="s">
        <v>12</v>
      </c>
      <c r="D34" s="7" t="s">
        <v>23</v>
      </c>
      <c r="E34" s="8" t="s">
        <v>139</v>
      </c>
      <c r="F34" s="6" t="s">
        <v>140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141</v>
      </c>
      <c r="B35" s="6" t="s">
        <v>16</v>
      </c>
      <c r="C35" s="6" t="s">
        <v>12</v>
      </c>
      <c r="D35" s="7" t="s">
        <v>142</v>
      </c>
      <c r="E35" s="8" t="s">
        <v>143</v>
      </c>
      <c r="F35" s="6" t="s">
        <v>144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145</v>
      </c>
      <c r="B36" s="6" t="s">
        <v>21</v>
      </c>
      <c r="C36" s="6" t="s">
        <v>12</v>
      </c>
      <c r="D36" s="7" t="s">
        <v>57</v>
      </c>
      <c r="E36" s="8" t="s">
        <v>146</v>
      </c>
      <c r="F36" s="6" t="s">
        <v>147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148</v>
      </c>
      <c r="B37" s="6" t="s">
        <v>48</v>
      </c>
      <c r="C37" s="6" t="s">
        <v>12</v>
      </c>
      <c r="D37" s="7" t="s">
        <v>149</v>
      </c>
      <c r="E37" s="8" t="s">
        <v>150</v>
      </c>
      <c r="F37" s="6" t="s">
        <v>151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152</v>
      </c>
      <c r="B38" s="6" t="s">
        <v>29</v>
      </c>
      <c r="C38" s="6" t="s">
        <v>12</v>
      </c>
      <c r="D38" s="7" t="s">
        <v>153</v>
      </c>
      <c r="E38" s="8" t="s">
        <v>154</v>
      </c>
      <c r="F38" s="6" t="s">
        <v>155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156</v>
      </c>
      <c r="B39" s="6" t="s">
        <v>29</v>
      </c>
      <c r="C39" s="6" t="s">
        <v>157</v>
      </c>
      <c r="D39" s="7" t="s">
        <v>158</v>
      </c>
      <c r="E39" s="8" t="s">
        <v>159</v>
      </c>
      <c r="F39" s="6" t="s">
        <v>160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161</v>
      </c>
      <c r="B40" s="6" t="s">
        <v>103</v>
      </c>
      <c r="C40" s="6" t="s">
        <v>12</v>
      </c>
      <c r="D40" s="7" t="s">
        <v>162</v>
      </c>
      <c r="E40" s="8" t="s">
        <v>163</v>
      </c>
      <c r="F40" s="6" t="s">
        <v>164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165</v>
      </c>
      <c r="B41" s="6" t="s">
        <v>21</v>
      </c>
      <c r="C41" s="6" t="s">
        <v>12</v>
      </c>
      <c r="D41" s="7" t="s">
        <v>166</v>
      </c>
      <c r="E41" s="8" t="s">
        <v>167</v>
      </c>
      <c r="F41" s="6" t="s">
        <v>168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169</v>
      </c>
      <c r="B42" s="6" t="s">
        <v>16</v>
      </c>
      <c r="C42" s="6" t="s">
        <v>12</v>
      </c>
      <c r="D42" s="7" t="s">
        <v>170</v>
      </c>
      <c r="E42" s="8" t="s">
        <v>171</v>
      </c>
      <c r="F42" s="6" t="s">
        <v>172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173</v>
      </c>
      <c r="B43" s="6" t="s">
        <v>29</v>
      </c>
      <c r="C43" s="6" t="s">
        <v>12</v>
      </c>
      <c r="D43" s="7" t="s">
        <v>92</v>
      </c>
      <c r="E43" s="8" t="s">
        <v>174</v>
      </c>
      <c r="F43" s="6" t="s">
        <v>175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176</v>
      </c>
      <c r="B44" s="6" t="s">
        <v>21</v>
      </c>
      <c r="C44" s="6" t="s">
        <v>12</v>
      </c>
      <c r="D44" s="7" t="s">
        <v>177</v>
      </c>
      <c r="E44" s="8" t="s">
        <v>178</v>
      </c>
      <c r="F44" s="6" t="s">
        <v>179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180</v>
      </c>
      <c r="B45" s="6" t="s">
        <v>44</v>
      </c>
      <c r="C45" s="6" t="s">
        <v>12</v>
      </c>
      <c r="D45" s="7" t="s">
        <v>181</v>
      </c>
      <c r="E45" s="8" t="s">
        <v>182</v>
      </c>
      <c r="F45" s="6" t="s">
        <v>183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184</v>
      </c>
      <c r="B46" s="6" t="s">
        <v>10</v>
      </c>
      <c r="C46" s="6" t="s">
        <v>12</v>
      </c>
      <c r="D46" s="7" t="s">
        <v>185</v>
      </c>
      <c r="E46" s="8" t="s">
        <v>186</v>
      </c>
      <c r="F46" s="6" t="s">
        <v>187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188</v>
      </c>
      <c r="B47" s="6" t="s">
        <v>10</v>
      </c>
      <c r="C47" s="6" t="s">
        <v>12</v>
      </c>
      <c r="D47" s="7" t="s">
        <v>189</v>
      </c>
      <c r="E47" s="8" t="s">
        <v>190</v>
      </c>
      <c r="F47" s="6" t="s">
        <v>191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192</v>
      </c>
      <c r="B48" s="6" t="s">
        <v>16</v>
      </c>
      <c r="C48" s="6" t="s">
        <v>12</v>
      </c>
      <c r="D48" s="7" t="s">
        <v>108</v>
      </c>
      <c r="E48" s="8" t="s">
        <v>193</v>
      </c>
      <c r="F48" s="6" t="s">
        <v>194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195</v>
      </c>
      <c r="B49" s="6" t="s">
        <v>10</v>
      </c>
      <c r="C49" s="6" t="s">
        <v>12</v>
      </c>
      <c r="D49" s="7" t="s">
        <v>196</v>
      </c>
      <c r="E49" s="8" t="s">
        <v>197</v>
      </c>
      <c r="F49" s="6" t="s">
        <v>198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199</v>
      </c>
      <c r="B50" s="6" t="s">
        <v>33</v>
      </c>
      <c r="C50" s="6" t="s">
        <v>12</v>
      </c>
      <c r="D50" s="7" t="s">
        <v>200</v>
      </c>
      <c r="E50" s="8" t="s">
        <v>201</v>
      </c>
      <c r="F50" s="6" t="s">
        <v>202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203</v>
      </c>
      <c r="B51" s="6" t="s">
        <v>10</v>
      </c>
      <c r="C51" s="6" t="s">
        <v>12</v>
      </c>
      <c r="D51" s="7" t="s">
        <v>204</v>
      </c>
      <c r="E51" s="8" t="s">
        <v>205</v>
      </c>
      <c r="F51" s="6" t="s">
        <v>206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207</v>
      </c>
      <c r="B52" s="6" t="s">
        <v>16</v>
      </c>
      <c r="C52" s="6" t="s">
        <v>12</v>
      </c>
      <c r="D52" s="7" t="s">
        <v>208</v>
      </c>
      <c r="E52" s="8" t="s">
        <v>209</v>
      </c>
      <c r="F52" s="6" t="s">
        <v>210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211</v>
      </c>
      <c r="B53" s="6" t="s">
        <v>10</v>
      </c>
      <c r="C53" s="6" t="s">
        <v>12</v>
      </c>
      <c r="D53" s="7" t="s">
        <v>212</v>
      </c>
      <c r="E53" s="8" t="s">
        <v>213</v>
      </c>
      <c r="F53" s="6" t="s">
        <v>214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215</v>
      </c>
      <c r="B54" s="6" t="s">
        <v>17</v>
      </c>
      <c r="C54" s="6" t="s">
        <v>12</v>
      </c>
      <c r="D54" s="7" t="s">
        <v>57</v>
      </c>
      <c r="E54" s="8" t="s">
        <v>216</v>
      </c>
      <c r="F54" s="6" t="s">
        <v>217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218</v>
      </c>
      <c r="B55" s="6" t="s">
        <v>16</v>
      </c>
      <c r="C55" s="6" t="s">
        <v>12</v>
      </c>
      <c r="D55" s="7" t="s">
        <v>219</v>
      </c>
      <c r="E55" s="8" t="s">
        <v>220</v>
      </c>
      <c r="F55" s="6" t="s">
        <v>221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222</v>
      </c>
      <c r="B56" s="6" t="s">
        <v>33</v>
      </c>
      <c r="C56" s="6" t="s">
        <v>12</v>
      </c>
      <c r="D56" s="7" t="s">
        <v>136</v>
      </c>
      <c r="E56" s="8" t="s">
        <v>223</v>
      </c>
      <c r="F56" s="6" t="s">
        <v>224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225</v>
      </c>
      <c r="B57" s="6" t="s">
        <v>16</v>
      </c>
      <c r="C57" s="6" t="s">
        <v>12</v>
      </c>
      <c r="D57" s="7" t="s">
        <v>226</v>
      </c>
      <c r="E57" s="8" t="s">
        <v>227</v>
      </c>
      <c r="F57" s="6" t="s">
        <v>228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229</v>
      </c>
      <c r="B58" s="6" t="s">
        <v>10</v>
      </c>
      <c r="C58" s="6" t="s">
        <v>12</v>
      </c>
      <c r="D58" s="7" t="s">
        <v>230</v>
      </c>
      <c r="E58" s="8" t="s">
        <v>231</v>
      </c>
      <c r="F58" s="6" t="s">
        <v>232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233</v>
      </c>
      <c r="B59" s="6" t="s">
        <v>29</v>
      </c>
      <c r="C59" s="6" t="s">
        <v>12</v>
      </c>
      <c r="D59" s="7" t="s">
        <v>234</v>
      </c>
      <c r="E59" s="8" t="s">
        <v>235</v>
      </c>
      <c r="F59" s="6" t="s">
        <v>236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237</v>
      </c>
      <c r="B60" s="6" t="s">
        <v>29</v>
      </c>
      <c r="C60" s="6" t="s">
        <v>12</v>
      </c>
      <c r="D60" s="7" t="s">
        <v>238</v>
      </c>
      <c r="E60" s="8" t="s">
        <v>239</v>
      </c>
      <c r="F60" s="6" t="s">
        <v>240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241</v>
      </c>
      <c r="B61" s="6" t="s">
        <v>64</v>
      </c>
      <c r="C61" s="6" t="s">
        <v>12</v>
      </c>
      <c r="D61" s="7" t="s">
        <v>242</v>
      </c>
      <c r="E61" s="8" t="s">
        <v>243</v>
      </c>
      <c r="F61" s="6" t="s">
        <v>244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245</v>
      </c>
      <c r="B62" s="6" t="s">
        <v>21</v>
      </c>
      <c r="C62" s="6" t="s">
        <v>12</v>
      </c>
      <c r="D62" s="7" t="s">
        <v>246</v>
      </c>
      <c r="E62" s="8" t="s">
        <v>247</v>
      </c>
      <c r="F62" s="6" t="s">
        <v>248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249</v>
      </c>
      <c r="B63" s="6" t="s">
        <v>48</v>
      </c>
      <c r="C63" s="6" t="s">
        <v>12</v>
      </c>
      <c r="D63" s="7" t="s">
        <v>136</v>
      </c>
      <c r="E63" s="8" t="s">
        <v>250</v>
      </c>
      <c r="F63" s="6" t="s">
        <v>251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252</v>
      </c>
      <c r="B64" s="6" t="s">
        <v>10</v>
      </c>
      <c r="C64" s="6" t="s">
        <v>12</v>
      </c>
      <c r="D64" s="7" t="s">
        <v>253</v>
      </c>
      <c r="E64" s="8" t="s">
        <v>254</v>
      </c>
      <c r="F64" s="6" t="s">
        <v>255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256</v>
      </c>
      <c r="B65" s="6" t="s">
        <v>21</v>
      </c>
      <c r="C65" s="6" t="s">
        <v>12</v>
      </c>
      <c r="D65" s="7" t="s">
        <v>57</v>
      </c>
      <c r="E65" s="8" t="s">
        <v>257</v>
      </c>
      <c r="F65" s="6" t="s">
        <v>258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259</v>
      </c>
      <c r="B66" s="6" t="s">
        <v>21</v>
      </c>
      <c r="C66" s="6" t="s">
        <v>12</v>
      </c>
      <c r="D66" s="7" t="s">
        <v>260</v>
      </c>
      <c r="E66" s="8" t="s">
        <v>261</v>
      </c>
      <c r="F66" s="6" t="s">
        <v>262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263</v>
      </c>
      <c r="B67" s="6" t="s">
        <v>44</v>
      </c>
      <c r="C67" s="6" t="s">
        <v>12</v>
      </c>
      <c r="D67" s="7" t="s">
        <v>200</v>
      </c>
      <c r="E67" s="8" t="s">
        <v>264</v>
      </c>
      <c r="F67" s="6" t="s">
        <v>265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266</v>
      </c>
      <c r="B68" s="6" t="s">
        <v>16</v>
      </c>
      <c r="C68" s="6" t="s">
        <v>12</v>
      </c>
      <c r="D68" s="7" t="s">
        <v>267</v>
      </c>
      <c r="E68" s="8" t="s">
        <v>268</v>
      </c>
      <c r="F68" s="6" t="s">
        <v>269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270</v>
      </c>
      <c r="B69" s="6" t="s">
        <v>16</v>
      </c>
      <c r="C69" s="6" t="s">
        <v>12</v>
      </c>
      <c r="D69" s="7" t="s">
        <v>271</v>
      </c>
      <c r="E69" s="8" t="s">
        <v>272</v>
      </c>
      <c r="F69" s="6" t="s">
        <v>273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274</v>
      </c>
      <c r="B70" s="6" t="s">
        <v>16</v>
      </c>
      <c r="C70" s="6" t="s">
        <v>12</v>
      </c>
      <c r="D70" s="7" t="s">
        <v>275</v>
      </c>
      <c r="E70" s="8" t="s">
        <v>276</v>
      </c>
      <c r="F70" s="6" t="s">
        <v>277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278</v>
      </c>
      <c r="B71" s="6" t="s">
        <v>21</v>
      </c>
      <c r="C71" s="6" t="s">
        <v>12</v>
      </c>
      <c r="D71" s="7" t="s">
        <v>136</v>
      </c>
      <c r="E71" s="8" t="s">
        <v>279</v>
      </c>
      <c r="F71" s="6" t="s">
        <v>280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281</v>
      </c>
      <c r="B72" s="6" t="s">
        <v>29</v>
      </c>
      <c r="C72" s="6" t="s">
        <v>12</v>
      </c>
      <c r="D72" s="7" t="s">
        <v>200</v>
      </c>
      <c r="E72" s="8" t="s">
        <v>282</v>
      </c>
      <c r="F72" s="6" t="s">
        <v>283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284</v>
      </c>
      <c r="B73" s="6" t="s">
        <v>10</v>
      </c>
      <c r="C73" s="6" t="s">
        <v>12</v>
      </c>
      <c r="D73" s="7" t="s">
        <v>285</v>
      </c>
      <c r="E73" s="8" t="s">
        <v>286</v>
      </c>
      <c r="F73" s="6" t="s">
        <v>287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288</v>
      </c>
      <c r="B74" s="6" t="s">
        <v>21</v>
      </c>
      <c r="C74" s="6" t="s">
        <v>12</v>
      </c>
      <c r="D74" s="7" t="s">
        <v>289</v>
      </c>
      <c r="E74" s="8" t="s">
        <v>290</v>
      </c>
      <c r="F74" s="6" t="s">
        <v>291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292</v>
      </c>
      <c r="B75" s="6" t="s">
        <v>10</v>
      </c>
      <c r="C75" s="6" t="s">
        <v>12</v>
      </c>
      <c r="D75" s="7" t="s">
        <v>293</v>
      </c>
      <c r="E75" s="8" t="s">
        <v>294</v>
      </c>
      <c r="F75" s="6" t="s">
        <v>295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296</v>
      </c>
      <c r="B76" s="6" t="s">
        <v>10</v>
      </c>
      <c r="C76" s="6" t="s">
        <v>12</v>
      </c>
      <c r="D76" s="7" t="s">
        <v>297</v>
      </c>
      <c r="E76" s="8" t="s">
        <v>298</v>
      </c>
      <c r="F76" s="6" t="s">
        <v>299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300</v>
      </c>
      <c r="B77" s="6" t="s">
        <v>16</v>
      </c>
      <c r="C77" s="6" t="s">
        <v>12</v>
      </c>
      <c r="D77" s="7" t="s">
        <v>301</v>
      </c>
      <c r="E77" s="8" t="s">
        <v>302</v>
      </c>
      <c r="F77" s="6" t="s">
        <v>303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304</v>
      </c>
      <c r="B78" s="6" t="s">
        <v>10</v>
      </c>
      <c r="C78" s="6" t="s">
        <v>12</v>
      </c>
      <c r="D78" s="7" t="s">
        <v>305</v>
      </c>
      <c r="E78" s="8" t="s">
        <v>306</v>
      </c>
      <c r="F78" s="6" t="s">
        <v>307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308</v>
      </c>
      <c r="B79" s="6" t="s">
        <v>10</v>
      </c>
      <c r="C79" s="6" t="s">
        <v>12</v>
      </c>
      <c r="D79" s="7" t="s">
        <v>53</v>
      </c>
      <c r="E79" s="8" t="s">
        <v>309</v>
      </c>
      <c r="F79" s="6" t="s">
        <v>310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311</v>
      </c>
      <c r="B80" s="6" t="s">
        <v>16</v>
      </c>
      <c r="C80" s="6" t="s">
        <v>12</v>
      </c>
      <c r="D80" s="7" t="s">
        <v>57</v>
      </c>
      <c r="E80" s="8" t="s">
        <v>312</v>
      </c>
      <c r="F80" s="6" t="s">
        <v>313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314</v>
      </c>
      <c r="B81" s="6" t="s">
        <v>16</v>
      </c>
      <c r="C81" s="6" t="s">
        <v>12</v>
      </c>
      <c r="D81" s="7" t="s">
        <v>315</v>
      </c>
      <c r="E81" s="8" t="s">
        <v>316</v>
      </c>
      <c r="F81" s="6" t="s">
        <v>317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318</v>
      </c>
      <c r="B82" s="6" t="s">
        <v>16</v>
      </c>
      <c r="C82" s="6" t="s">
        <v>12</v>
      </c>
      <c r="D82" s="7" t="s">
        <v>57</v>
      </c>
      <c r="E82" s="8" t="s">
        <v>319</v>
      </c>
      <c r="F82" s="6" t="s">
        <v>320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321</v>
      </c>
      <c r="B83" s="6" t="s">
        <v>16</v>
      </c>
      <c r="C83" s="6" t="s">
        <v>12</v>
      </c>
      <c r="D83" s="7" t="s">
        <v>322</v>
      </c>
      <c r="E83" s="8" t="s">
        <v>323</v>
      </c>
      <c r="F83" s="6" t="s">
        <v>324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325</v>
      </c>
      <c r="B84" s="6" t="s">
        <v>10</v>
      </c>
      <c r="C84" s="6" t="s">
        <v>12</v>
      </c>
      <c r="D84" s="7" t="s">
        <v>72</v>
      </c>
      <c r="E84" s="8" t="s">
        <v>326</v>
      </c>
      <c r="F84" s="6" t="s">
        <v>327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328</v>
      </c>
      <c r="B85" s="6" t="s">
        <v>16</v>
      </c>
      <c r="C85" s="6" t="s">
        <v>12</v>
      </c>
      <c r="D85" s="7" t="s">
        <v>329</v>
      </c>
      <c r="E85" s="8" t="s">
        <v>330</v>
      </c>
      <c r="F85" s="6" t="s">
        <v>331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332</v>
      </c>
      <c r="B86" s="6" t="s">
        <v>16</v>
      </c>
      <c r="C86" s="6" t="s">
        <v>12</v>
      </c>
      <c r="D86" s="7" t="s">
        <v>333</v>
      </c>
      <c r="E86" s="8" t="s">
        <v>334</v>
      </c>
      <c r="F86" s="6" t="s">
        <v>335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336</v>
      </c>
      <c r="B87" s="6" t="s">
        <v>40</v>
      </c>
      <c r="C87" s="6" t="s">
        <v>12</v>
      </c>
      <c r="D87" s="7" t="s">
        <v>337</v>
      </c>
      <c r="E87" s="8" t="s">
        <v>338</v>
      </c>
      <c r="F87" s="6" t="s">
        <v>339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340</v>
      </c>
      <c r="B88" s="6" t="s">
        <v>21</v>
      </c>
      <c r="C88" s="6" t="s">
        <v>12</v>
      </c>
      <c r="D88" s="7" t="s">
        <v>341</v>
      </c>
      <c r="E88" s="8" t="s">
        <v>342</v>
      </c>
      <c r="F88" s="6" t="s">
        <v>343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344</v>
      </c>
      <c r="B89" s="6" t="s">
        <v>10</v>
      </c>
      <c r="C89" s="6" t="s">
        <v>12</v>
      </c>
      <c r="D89" s="7" t="s">
        <v>345</v>
      </c>
      <c r="E89" s="8" t="s">
        <v>346</v>
      </c>
      <c r="F89" s="6" t="s">
        <v>347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348</v>
      </c>
      <c r="B90" s="6" t="s">
        <v>16</v>
      </c>
      <c r="C90" s="6" t="s">
        <v>12</v>
      </c>
      <c r="D90" s="7" t="s">
        <v>349</v>
      </c>
      <c r="E90" s="8" t="s">
        <v>350</v>
      </c>
      <c r="F90" s="6" t="s">
        <v>351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352</v>
      </c>
      <c r="B91" s="6" t="s">
        <v>10</v>
      </c>
      <c r="C91" s="6" t="s">
        <v>12</v>
      </c>
      <c r="D91" s="7" t="s">
        <v>353</v>
      </c>
      <c r="E91" s="8" t="s">
        <v>354</v>
      </c>
      <c r="F91" s="6" t="s">
        <v>355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356</v>
      </c>
      <c r="B92" s="6" t="s">
        <v>21</v>
      </c>
      <c r="C92" s="6" t="s">
        <v>12</v>
      </c>
      <c r="D92" s="7" t="s">
        <v>357</v>
      </c>
      <c r="E92" s="8" t="s">
        <v>358</v>
      </c>
      <c r="F92" s="6" t="s">
        <v>359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360</v>
      </c>
      <c r="B93" s="6" t="s">
        <v>56</v>
      </c>
      <c r="C93" s="6" t="s">
        <v>12</v>
      </c>
      <c r="D93" s="7" t="s">
        <v>361</v>
      </c>
      <c r="E93" s="8" t="s">
        <v>362</v>
      </c>
      <c r="F93" s="6" t="s">
        <v>363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364</v>
      </c>
      <c r="B94" s="6" t="s">
        <v>11</v>
      </c>
      <c r="C94" s="6" t="s">
        <v>12</v>
      </c>
      <c r="D94" s="7" t="s">
        <v>365</v>
      </c>
      <c r="E94" s="8" t="s">
        <v>366</v>
      </c>
      <c r="F94" s="6" t="s">
        <v>367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368</v>
      </c>
      <c r="B95" s="6" t="s">
        <v>10</v>
      </c>
      <c r="C95" s="6" t="s">
        <v>12</v>
      </c>
      <c r="D95" s="7" t="s">
        <v>369</v>
      </c>
      <c r="E95" s="8" t="s">
        <v>370</v>
      </c>
      <c r="F95" s="6" t="s">
        <v>371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372</v>
      </c>
      <c r="B96" s="6" t="s">
        <v>48</v>
      </c>
      <c r="C96" s="6" t="s">
        <v>12</v>
      </c>
      <c r="D96" s="7" t="s">
        <v>373</v>
      </c>
      <c r="E96" s="8" t="s">
        <v>374</v>
      </c>
      <c r="F96" s="6" t="s">
        <v>375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376</v>
      </c>
      <c r="B97" s="6" t="s">
        <v>11</v>
      </c>
      <c r="C97" s="6" t="s">
        <v>12</v>
      </c>
      <c r="D97" s="7" t="s">
        <v>41</v>
      </c>
      <c r="E97" s="8" t="s">
        <v>377</v>
      </c>
      <c r="F97" s="6" t="s">
        <v>378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379</v>
      </c>
      <c r="B98" s="6" t="s">
        <v>10</v>
      </c>
      <c r="C98" s="6" t="s">
        <v>12</v>
      </c>
      <c r="D98" s="7" t="s">
        <v>380</v>
      </c>
      <c r="E98" s="8" t="s">
        <v>381</v>
      </c>
      <c r="F98" s="6" t="s">
        <v>382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383</v>
      </c>
      <c r="B99" s="6" t="s">
        <v>21</v>
      </c>
      <c r="C99" s="6" t="s">
        <v>12</v>
      </c>
      <c r="D99" s="7" t="s">
        <v>384</v>
      </c>
      <c r="E99" s="8" t="s">
        <v>385</v>
      </c>
      <c r="F99" s="6" t="s">
        <v>386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387</v>
      </c>
      <c r="B100" s="6" t="s">
        <v>16</v>
      </c>
      <c r="C100" s="6" t="s">
        <v>12</v>
      </c>
      <c r="D100" s="7" t="s">
        <v>297</v>
      </c>
      <c r="E100" s="8" t="s">
        <v>388</v>
      </c>
      <c r="F100" s="6" t="s">
        <v>389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390</v>
      </c>
      <c r="B101" s="6" t="s">
        <v>11</v>
      </c>
      <c r="C101" s="6" t="s">
        <v>12</v>
      </c>
      <c r="D101" s="7" t="s">
        <v>391</v>
      </c>
      <c r="E101" s="8" t="s">
        <v>392</v>
      </c>
      <c r="F101" s="6" t="s">
        <v>393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394</v>
      </c>
      <c r="B102" s="6" t="s">
        <v>10</v>
      </c>
      <c r="C102" s="6" t="s">
        <v>12</v>
      </c>
      <c r="D102" s="7" t="s">
        <v>395</v>
      </c>
      <c r="E102" s="8" t="s">
        <v>396</v>
      </c>
      <c r="F102" s="6" t="s">
        <v>397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398</v>
      </c>
      <c r="B103" s="6" t="s">
        <v>11</v>
      </c>
      <c r="C103" s="6" t="s">
        <v>12</v>
      </c>
      <c r="D103" s="7" t="s">
        <v>297</v>
      </c>
      <c r="E103" s="8" t="s">
        <v>399</v>
      </c>
      <c r="F103" s="6" t="s">
        <v>400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401</v>
      </c>
      <c r="B104" s="6" t="s">
        <v>29</v>
      </c>
      <c r="C104" s="6" t="s">
        <v>12</v>
      </c>
      <c r="D104" s="7" t="s">
        <v>128</v>
      </c>
      <c r="E104" s="8" t="s">
        <v>402</v>
      </c>
      <c r="F104" s="6" t="s">
        <v>403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404</v>
      </c>
      <c r="B105" s="6" t="s">
        <v>33</v>
      </c>
      <c r="C105" s="6" t="s">
        <v>12</v>
      </c>
      <c r="D105" s="7" t="s">
        <v>405</v>
      </c>
      <c r="E105" s="8" t="s">
        <v>406</v>
      </c>
      <c r="F105" s="6" t="s">
        <v>407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408</v>
      </c>
      <c r="B106" s="6" t="s">
        <v>10</v>
      </c>
      <c r="C106" s="6" t="s">
        <v>12</v>
      </c>
      <c r="D106" s="7" t="s">
        <v>72</v>
      </c>
      <c r="E106" s="8" t="s">
        <v>409</v>
      </c>
      <c r="F106" s="6" t="s">
        <v>410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411</v>
      </c>
      <c r="B107" s="6" t="s">
        <v>16</v>
      </c>
      <c r="C107" s="6" t="s">
        <v>12</v>
      </c>
      <c r="D107" s="7" t="s">
        <v>57</v>
      </c>
      <c r="E107" s="8" t="s">
        <v>412</v>
      </c>
      <c r="F107" s="6" t="s">
        <v>413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414</v>
      </c>
      <c r="B108" s="6" t="s">
        <v>16</v>
      </c>
      <c r="C108" s="6" t="s">
        <v>12</v>
      </c>
      <c r="D108" s="7" t="s">
        <v>322</v>
      </c>
      <c r="E108" s="8" t="s">
        <v>415</v>
      </c>
      <c r="F108" s="6" t="s">
        <v>416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417</v>
      </c>
      <c r="B109" s="6" t="s">
        <v>16</v>
      </c>
      <c r="C109" s="6" t="s">
        <v>12</v>
      </c>
      <c r="D109" s="7" t="s">
        <v>57</v>
      </c>
      <c r="E109" s="8" t="s">
        <v>418</v>
      </c>
      <c r="F109" s="6" t="s">
        <v>419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420</v>
      </c>
      <c r="B110" s="6" t="s">
        <v>10</v>
      </c>
      <c r="C110" s="6" t="s">
        <v>12</v>
      </c>
      <c r="D110" s="7" t="s">
        <v>253</v>
      </c>
      <c r="E110" s="8" t="s">
        <v>421</v>
      </c>
      <c r="F110" s="6" t="s">
        <v>422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423</v>
      </c>
      <c r="B111" s="6" t="s">
        <v>60</v>
      </c>
      <c r="C111" s="6" t="s">
        <v>12</v>
      </c>
      <c r="D111" s="7" t="s">
        <v>424</v>
      </c>
      <c r="E111" s="8" t="s">
        <v>425</v>
      </c>
      <c r="F111" s="6" t="s">
        <v>426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427</v>
      </c>
      <c r="B112" s="6" t="s">
        <v>95</v>
      </c>
      <c r="C112" s="6" t="s">
        <v>12</v>
      </c>
      <c r="D112" s="7" t="s">
        <v>428</v>
      </c>
      <c r="E112" s="8" t="s">
        <v>429</v>
      </c>
      <c r="F112" s="6" t="s">
        <v>430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431</v>
      </c>
      <c r="B113" s="6" t="s">
        <v>33</v>
      </c>
      <c r="C113" s="6" t="s">
        <v>12</v>
      </c>
      <c r="D113" s="7" t="s">
        <v>128</v>
      </c>
      <c r="E113" s="8" t="s">
        <v>432</v>
      </c>
      <c r="F113" s="6" t="s">
        <v>433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434</v>
      </c>
      <c r="B114" s="6" t="s">
        <v>11</v>
      </c>
      <c r="C114" s="6" t="s">
        <v>12</v>
      </c>
      <c r="D114" s="7" t="s">
        <v>435</v>
      </c>
      <c r="E114" s="8" t="s">
        <v>436</v>
      </c>
      <c r="F114" s="6" t="s">
        <v>437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438</v>
      </c>
      <c r="B115" s="6" t="s">
        <v>11</v>
      </c>
      <c r="C115" s="6" t="s">
        <v>12</v>
      </c>
      <c r="D115" s="7" t="s">
        <v>439</v>
      </c>
      <c r="E115" s="8" t="s">
        <v>440</v>
      </c>
      <c r="F115" s="6" t="s">
        <v>441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442</v>
      </c>
      <c r="B116" s="6" t="s">
        <v>10</v>
      </c>
      <c r="C116" s="6" t="s">
        <v>12</v>
      </c>
      <c r="D116" s="7" t="s">
        <v>443</v>
      </c>
      <c r="E116" s="8" t="s">
        <v>444</v>
      </c>
      <c r="F116" s="6" t="s">
        <v>445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446</v>
      </c>
      <c r="B117" s="6" t="s">
        <v>119</v>
      </c>
      <c r="C117" s="6" t="s">
        <v>12</v>
      </c>
      <c r="D117" s="7" t="s">
        <v>447</v>
      </c>
      <c r="E117" s="8" t="s">
        <v>448</v>
      </c>
      <c r="F117" s="6" t="s">
        <v>449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450</v>
      </c>
      <c r="B118" s="6" t="s">
        <v>16</v>
      </c>
      <c r="C118" s="6" t="s">
        <v>12</v>
      </c>
      <c r="D118" s="7" t="s">
        <v>451</v>
      </c>
      <c r="E118" s="8" t="s">
        <v>452</v>
      </c>
      <c r="F118" s="6" t="s">
        <v>453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  <row r="119" spans="1:10" ht="60" customHeight="1">
      <c r="A119" s="6" t="s">
        <v>454</v>
      </c>
      <c r="B119" s="6" t="s">
        <v>10</v>
      </c>
      <c r="C119" s="6" t="s">
        <v>12</v>
      </c>
      <c r="D119" s="7" t="s">
        <v>455</v>
      </c>
      <c r="E119" s="8" t="s">
        <v>456</v>
      </c>
      <c r="F119" s="6" t="s">
        <v>457</v>
      </c>
      <c r="G119" s="9">
        <f>IF(A119=1,"_",IF(C119="_","???",C119))</f>
        <v/>
      </c>
      <c r="H119" s="10" t="s">
        <v>12</v>
      </c>
      <c r="I119" s="11" t="s">
        <v>12</v>
      </c>
      <c r="J119" s="12"/>
    </row>
    <row r="120" spans="1:10" ht="60" customHeight="1">
      <c r="A120" s="6" t="s">
        <v>458</v>
      </c>
      <c r="B120" s="6" t="s">
        <v>16</v>
      </c>
      <c r="C120" s="6" t="s">
        <v>12</v>
      </c>
      <c r="D120" s="7" t="s">
        <v>459</v>
      </c>
      <c r="E120" s="8" t="s">
        <v>460</v>
      </c>
      <c r="F120" s="6" t="s">
        <v>461</v>
      </c>
      <c r="G120" s="9">
        <f>IF(A120=1,"_",IF(C120="_","???",C120))</f>
        <v/>
      </c>
      <c r="H120" s="10" t="s">
        <v>12</v>
      </c>
      <c r="I120" s="11" t="s">
        <v>12</v>
      </c>
      <c r="J120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9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462</v>
      </c>
      <c r="B1" s="13" t="s">
        <v>463</v>
      </c>
      <c r="C1" s="13" t="s">
        <v>464</v>
      </c>
      <c r="D1" s="13" t="s">
        <v>465</v>
      </c>
      <c r="E1" s="14" t="s">
        <v>466</v>
      </c>
      <c r="F1" s="15" t="s">
        <v>467</v>
      </c>
      <c r="G1" s="16" t="s">
        <v>468</v>
      </c>
      <c r="H1" s="17" t="s">
        <v>469</v>
      </c>
      <c r="I1" s="18" t="s">
        <v>470</v>
      </c>
      <c r="J1" s="18" t="s">
        <v>471</v>
      </c>
      <c r="K1" s="18" t="s">
        <v>472</v>
      </c>
      <c r="L1" s="19" t="s">
        <v>9</v>
      </c>
    </row>
    <row r="2" spans="1:12">
      <c r="A2" s="20" t="s">
        <v>473</v>
      </c>
    </row>
    <row r="3" spans="1:12">
      <c r="A3" s="20" t="s">
        <v>474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475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476</v>
      </c>
      <c r="B5" s="27" t="s">
        <v>477</v>
      </c>
      <c r="C5" s="27" t="s">
        <v>478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479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480</v>
      </c>
      <c r="B7" s="27" t="s">
        <v>481</v>
      </c>
      <c r="C7" s="27" t="s">
        <v>482</v>
      </c>
      <c r="D7" s="27" t="s">
        <v>483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484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485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486</v>
      </c>
      <c r="B10" s="27" t="s">
        <v>477</v>
      </c>
      <c r="C10" s="27" t="s">
        <v>487</v>
      </c>
      <c r="D10" s="27" t="s">
        <v>483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488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489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485</v>
      </c>
      <c r="B13" s="27" t="s">
        <v>490</v>
      </c>
      <c r="C13" s="27" t="s">
        <v>491</v>
      </c>
      <c r="D13" s="27" t="s">
        <v>483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492</v>
      </c>
      <c r="B14" s="27" t="s">
        <v>493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494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391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495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496</v>
      </c>
      <c r="B18" s="27" t="s">
        <v>497</v>
      </c>
      <c r="C18" s="27" t="s">
        <v>498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499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500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13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380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501</v>
      </c>
      <c r="B23" s="27" t="s">
        <v>502</v>
      </c>
      <c r="C23" s="27" t="s">
        <v>498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489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503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504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492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503</v>
      </c>
      <c r="B28" s="27" t="s">
        <v>505</v>
      </c>
      <c r="C28" s="27" t="s">
        <v>482</v>
      </c>
      <c r="D28" s="27" t="s">
        <v>483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506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507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508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509</v>
      </c>
      <c r="B32" s="27" t="s">
        <v>510</v>
      </c>
      <c r="C32" s="27" t="s">
        <v>487</v>
      </c>
      <c r="D32" s="27" t="s">
        <v>483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492</v>
      </c>
      <c r="B33" s="27" t="s">
        <v>511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512</v>
      </c>
      <c r="B34" s="27" t="s">
        <v>513</v>
      </c>
      <c r="C34" s="27" t="s">
        <v>482</v>
      </c>
      <c r="D34" s="27" t="s">
        <v>483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514</v>
      </c>
      <c r="B35" s="27" t="s">
        <v>515</v>
      </c>
      <c r="C35" s="27" t="s">
        <v>516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489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517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518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489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495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496</v>
      </c>
      <c r="B41" s="27" t="s">
        <v>519</v>
      </c>
      <c r="C41" s="27" t="s">
        <v>498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520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507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492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521</v>
      </c>
      <c r="B45" s="27" t="s">
        <v>522</v>
      </c>
      <c r="C45" s="27" t="s">
        <v>523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524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485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525</v>
      </c>
      <c r="B48" s="27" t="s">
        <v>526</v>
      </c>
      <c r="C48" s="27" t="s">
        <v>487</v>
      </c>
      <c r="D48" s="27" t="s">
        <v>483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503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485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527</v>
      </c>
      <c r="B51" s="27" t="s">
        <v>526</v>
      </c>
      <c r="C51" s="27" t="s">
        <v>487</v>
      </c>
      <c r="D51" s="27" t="s">
        <v>483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528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529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26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530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531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/>
    </row>
    <row r="58" spans="1:12">
      <c r="A58" s="20" t="s">
        <v>532</v>
      </c>
    </row>
    <row r="59" spans="1:12">
      <c r="A59" s="20" t="s">
        <v>533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534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535</v>
      </c>
      <c r="B61" s="27" t="s">
        <v>490</v>
      </c>
      <c r="C61" s="27" t="s">
        <v>478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489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508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536</v>
      </c>
      <c r="B64" s="27" t="s">
        <v>537</v>
      </c>
      <c r="C64" s="27" t="s">
        <v>538</v>
      </c>
      <c r="D64" s="27" t="s">
        <v>483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528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539</v>
      </c>
      <c r="B66" s="27" t="s">
        <v>540</v>
      </c>
      <c r="C66" s="27" t="s">
        <v>516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541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380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486</v>
      </c>
      <c r="B69" s="27" t="s">
        <v>542</v>
      </c>
      <c r="C69" s="27" t="s">
        <v>538</v>
      </c>
      <c r="D69" s="27" t="s">
        <v>483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543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507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544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545</v>
      </c>
      <c r="B73" s="27" t="s">
        <v>540</v>
      </c>
      <c r="C73" s="27" t="s">
        <v>538</v>
      </c>
      <c r="D73" s="27" t="s">
        <v>483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528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546</v>
      </c>
      <c r="B75" s="27" t="s">
        <v>547</v>
      </c>
      <c r="C75" s="27" t="s">
        <v>516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548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485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486</v>
      </c>
      <c r="B78" s="27" t="s">
        <v>549</v>
      </c>
      <c r="C78" s="27" t="s">
        <v>487</v>
      </c>
      <c r="D78" s="27" t="s">
        <v>483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488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548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550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551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503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552</v>
      </c>
      <c r="B84" s="27" t="s">
        <v>553</v>
      </c>
      <c r="C84" s="27" t="s">
        <v>487</v>
      </c>
      <c r="D84" s="27" t="s">
        <v>483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554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492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485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555</v>
      </c>
      <c r="B88" s="27" t="s">
        <v>556</v>
      </c>
      <c r="C88" s="27" t="s">
        <v>482</v>
      </c>
      <c r="D88" s="27" t="s">
        <v>483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557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503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212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558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380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559</v>
      </c>
      <c r="B94" s="27" t="s">
        <v>477</v>
      </c>
      <c r="C94" s="27" t="s">
        <v>498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560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517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475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545</v>
      </c>
      <c r="B98" s="27" t="s">
        <v>477</v>
      </c>
      <c r="C98" s="27" t="s">
        <v>538</v>
      </c>
      <c r="D98" s="27" t="s">
        <v>483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528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561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500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485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562</v>
      </c>
      <c r="B103" s="27" t="s">
        <v>490</v>
      </c>
      <c r="C103" s="27" t="s">
        <v>538</v>
      </c>
      <c r="D103" s="27" t="s">
        <v>483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528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503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563</v>
      </c>
      <c r="B106" s="27" t="s">
        <v>540</v>
      </c>
      <c r="C106" s="27" t="s">
        <v>487</v>
      </c>
      <c r="D106" s="27" t="s">
        <v>483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489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484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564</v>
      </c>
      <c r="B109" s="27" t="s">
        <v>490</v>
      </c>
      <c r="C109" s="27" t="s">
        <v>516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531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/>
    </row>
    <row r="112" spans="1:12">
      <c r="A112" s="20" t="s">
        <v>565</v>
      </c>
    </row>
    <row r="113" spans="1:12">
      <c r="A113" s="20" t="s">
        <v>566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567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568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507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569</v>
      </c>
      <c r="B117" s="27" t="s">
        <v>490</v>
      </c>
      <c r="C117" s="27" t="s">
        <v>491</v>
      </c>
      <c r="D117" s="27" t="s">
        <v>483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489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570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380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486</v>
      </c>
      <c r="B121" s="27" t="s">
        <v>481</v>
      </c>
      <c r="C121" s="27" t="s">
        <v>538</v>
      </c>
      <c r="D121" s="27" t="s">
        <v>483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543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571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486</v>
      </c>
      <c r="B124" s="27" t="s">
        <v>490</v>
      </c>
      <c r="C124" s="27" t="s">
        <v>516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488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531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/>
    </row>
    <row r="128" spans="1:12">
      <c r="A128" s="20" t="s">
        <v>572</v>
      </c>
    </row>
    <row r="129" spans="1:12">
      <c r="A129" s="20" t="s">
        <v>573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496</v>
      </c>
      <c r="B130" s="27" t="s">
        <v>549</v>
      </c>
      <c r="C130" s="27" t="s">
        <v>498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520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574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529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507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495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496</v>
      </c>
      <c r="B136" s="27" t="s">
        <v>481</v>
      </c>
      <c r="C136" s="27" t="s">
        <v>498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530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531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/>
    </row>
    <row r="140" spans="1:12">
      <c r="A140" s="20" t="s">
        <v>575</v>
      </c>
    </row>
    <row r="141" spans="1:12">
      <c r="A141" s="20" t="s">
        <v>30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503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503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576</v>
      </c>
      <c r="B144" s="27" t="s">
        <v>477</v>
      </c>
      <c r="C144" s="27" t="s">
        <v>487</v>
      </c>
      <c r="D144" s="27" t="s">
        <v>483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492</v>
      </c>
      <c r="B145" s="27" t="s">
        <v>553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529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577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528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569</v>
      </c>
      <c r="B149" s="27" t="s">
        <v>578</v>
      </c>
      <c r="C149" s="27" t="s">
        <v>491</v>
      </c>
      <c r="D149" s="27" t="s">
        <v>483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531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/>
    </row>
    <row r="152" spans="1:12">
      <c r="A152" s="20" t="s">
        <v>579</v>
      </c>
    </row>
    <row r="153" spans="1:12">
      <c r="A153" s="20" t="s">
        <v>580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507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508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581</v>
      </c>
      <c r="B156" s="27" t="s">
        <v>477</v>
      </c>
      <c r="C156" s="27" t="s">
        <v>487</v>
      </c>
      <c r="D156" s="27" t="s">
        <v>483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582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583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584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484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41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585</v>
      </c>
      <c r="B162" s="27" t="s">
        <v>578</v>
      </c>
      <c r="C162" s="27" t="s">
        <v>482</v>
      </c>
      <c r="D162" s="27" t="s">
        <v>483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380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586</v>
      </c>
      <c r="B164" s="27" t="s">
        <v>578</v>
      </c>
      <c r="C164" s="27" t="s">
        <v>538</v>
      </c>
      <c r="D164" s="27" t="s">
        <v>483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528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587</v>
      </c>
      <c r="B166" s="27" t="s">
        <v>547</v>
      </c>
      <c r="C166" s="27" t="s">
        <v>516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588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531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/>
    </row>
    <row r="170" spans="1:12">
      <c r="A170" s="20" t="s">
        <v>589</v>
      </c>
    </row>
    <row r="171" spans="1:12">
      <c r="A171" s="20" t="s">
        <v>590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37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531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/>
    </row>
    <row r="175" spans="1:12">
      <c r="A175" s="20" t="s">
        <v>591</v>
      </c>
    </row>
    <row r="176" spans="1:12">
      <c r="A176" s="20" t="s">
        <v>592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593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41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585</v>
      </c>
      <c r="B179" s="27" t="s">
        <v>481</v>
      </c>
      <c r="C179" s="27" t="s">
        <v>482</v>
      </c>
      <c r="D179" s="27" t="s">
        <v>483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594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558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492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595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531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/>
    </row>
    <row r="186" spans="1:12">
      <c r="A186" s="20" t="s">
        <v>596</v>
      </c>
    </row>
    <row r="187" spans="1:12">
      <c r="A187" s="20" t="s">
        <v>597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586</v>
      </c>
      <c r="B188" s="27" t="s">
        <v>549</v>
      </c>
      <c r="C188" s="27" t="s">
        <v>598</v>
      </c>
      <c r="D188" s="27" t="s">
        <v>483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599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507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600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508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601</v>
      </c>
      <c r="B193" s="27" t="s">
        <v>477</v>
      </c>
      <c r="C193" s="27" t="s">
        <v>538</v>
      </c>
      <c r="D193" s="27" t="s">
        <v>483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528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587</v>
      </c>
      <c r="B195" s="27" t="s">
        <v>490</v>
      </c>
      <c r="C195" s="27" t="s">
        <v>516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602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603</v>
      </c>
      <c r="B197" s="27" t="s">
        <v>542</v>
      </c>
      <c r="C197" s="27" t="s">
        <v>516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489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484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485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504</v>
      </c>
      <c r="B201" s="27" t="s">
        <v>540</v>
      </c>
      <c r="C201" s="27" t="s">
        <v>487</v>
      </c>
      <c r="D201" s="27" t="s">
        <v>483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604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508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605</v>
      </c>
      <c r="B204" s="27" t="s">
        <v>490</v>
      </c>
      <c r="C204" s="27" t="s">
        <v>538</v>
      </c>
      <c r="D204" s="27" t="s">
        <v>483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199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531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/>
    </row>
    <row r="208" spans="1:12">
      <c r="A208" s="20" t="s">
        <v>606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607</v>
      </c>
    </row>
    <row r="210" spans="1:12">
      <c r="A210" s="20" t="s">
        <v>608</v>
      </c>
      <c r="B210" s="27" t="s">
        <v>549</v>
      </c>
      <c r="C210" s="27" t="s">
        <v>482</v>
      </c>
      <c r="D210" s="27" t="s">
        <v>483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609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485</v>
      </c>
      <c r="B212" s="27" t="s">
        <v>481</v>
      </c>
      <c r="C212" s="27" t="s">
        <v>482</v>
      </c>
      <c r="D212" s="27" t="s">
        <v>483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507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485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610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611</v>
      </c>
      <c r="B216" s="27" t="s">
        <v>477</v>
      </c>
      <c r="C216" s="27" t="s">
        <v>612</v>
      </c>
      <c r="D216" s="27" t="s">
        <v>483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613</v>
      </c>
      <c r="B217" s="27" t="s">
        <v>490</v>
      </c>
      <c r="C217" s="27" t="s">
        <v>612</v>
      </c>
      <c r="D217" s="27" t="s">
        <v>483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614</v>
      </c>
      <c r="B218" s="27" t="s">
        <v>490</v>
      </c>
      <c r="C218" s="27" t="s">
        <v>612</v>
      </c>
      <c r="D218" s="27" t="s">
        <v>483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610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507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508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605</v>
      </c>
      <c r="B222" s="27" t="s">
        <v>490</v>
      </c>
      <c r="C222" s="27" t="s">
        <v>615</v>
      </c>
      <c r="D222" s="27" t="s">
        <v>483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270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531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/>
    </row>
    <row r="226" spans="1:12">
      <c r="A226" s="20" t="s">
        <v>616</v>
      </c>
    </row>
    <row r="227" spans="1:12">
      <c r="A227" s="20" t="s">
        <v>617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618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619</v>
      </c>
      <c r="B229" s="27" t="s">
        <v>542</v>
      </c>
      <c r="C229" s="27" t="s">
        <v>482</v>
      </c>
      <c r="D229" s="27" t="s">
        <v>483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620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489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621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593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622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619</v>
      </c>
      <c r="B235" s="27" t="s">
        <v>578</v>
      </c>
      <c r="C235" s="27" t="s">
        <v>482</v>
      </c>
      <c r="D235" s="27" t="s">
        <v>483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489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592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503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623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593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624</v>
      </c>
      <c r="B241" s="27" t="s">
        <v>578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551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558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492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625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531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/>
    </row>
    <row r="248" spans="1:12">
      <c r="A248" s="20" t="s">
        <v>626</v>
      </c>
    </row>
    <row r="249" spans="1:12">
      <c r="A249" s="20" t="s">
        <v>627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489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558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628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531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/>
    </row>
    <row r="255" spans="1:12">
      <c r="A255" s="20" t="s">
        <v>629</v>
      </c>
    </row>
    <row r="256" spans="1:12">
      <c r="A256" s="20" t="s">
        <v>573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61</v>
      </c>
      <c r="B257" s="27" t="s">
        <v>477</v>
      </c>
      <c r="C257" s="27" t="s">
        <v>498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489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492</v>
      </c>
      <c r="B259" s="27" t="s">
        <v>553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630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631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531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/>
    </row>
    <row r="264" spans="1:12">
      <c r="A264" s="20" t="s">
        <v>632</v>
      </c>
    </row>
    <row r="265" spans="1:12">
      <c r="A265" s="20" t="s">
        <v>633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634</v>
      </c>
      <c r="B266" s="27" t="s">
        <v>477</v>
      </c>
      <c r="C266" s="27" t="s">
        <v>635</v>
      </c>
      <c r="D266" s="27" t="s">
        <v>483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65</v>
      </c>
      <c r="B267" s="27" t="s">
        <v>477</v>
      </c>
      <c r="C267" s="27" t="s">
        <v>487</v>
      </c>
      <c r="D267" s="27" t="s">
        <v>483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489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492</v>
      </c>
      <c r="B269" s="27" t="s">
        <v>553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630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631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531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/>
    </row>
    <row r="274" spans="1:12">
      <c r="A274" s="20" t="s">
        <v>636</v>
      </c>
    </row>
    <row r="275" spans="1:12">
      <c r="A275" s="20" t="s">
        <v>617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637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120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503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61</v>
      </c>
      <c r="B279" s="27" t="s">
        <v>542</v>
      </c>
      <c r="C279" s="27" t="s">
        <v>487</v>
      </c>
      <c r="D279" s="27" t="s">
        <v>483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628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507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503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634</v>
      </c>
      <c r="B283" s="27" t="s">
        <v>540</v>
      </c>
      <c r="C283" s="27" t="s">
        <v>635</v>
      </c>
      <c r="D283" s="27" t="s">
        <v>483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65</v>
      </c>
      <c r="B284" s="27" t="s">
        <v>490</v>
      </c>
      <c r="C284" s="27" t="s">
        <v>487</v>
      </c>
      <c r="D284" s="27" t="s">
        <v>483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531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/>
    </row>
    <row r="287" spans="1:12">
      <c r="A287" s="20" t="s">
        <v>638</v>
      </c>
    </row>
    <row r="288" spans="1:12">
      <c r="A288" s="20" t="s">
        <v>617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639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503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640</v>
      </c>
      <c r="B291" s="27" t="s">
        <v>542</v>
      </c>
      <c r="C291" s="27" t="s">
        <v>487</v>
      </c>
      <c r="D291" s="27" t="s">
        <v>483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500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641</v>
      </c>
      <c r="B293" s="27" t="s">
        <v>490</v>
      </c>
      <c r="C293" s="27" t="s">
        <v>516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531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/>
    </row>
    <row r="296" spans="1:12">
      <c r="A296" s="20" t="s">
        <v>642</v>
      </c>
    </row>
    <row r="297" spans="1:12">
      <c r="A297" s="20" t="s">
        <v>580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643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492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644</v>
      </c>
      <c r="B300" s="27" t="s">
        <v>553</v>
      </c>
      <c r="C300" s="27" t="s">
        <v>523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645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646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647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484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503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640</v>
      </c>
      <c r="B306" s="27" t="s">
        <v>540</v>
      </c>
      <c r="C306" s="27" t="s">
        <v>487</v>
      </c>
      <c r="D306" s="27" t="s">
        <v>483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593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76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485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648</v>
      </c>
      <c r="B310" s="27" t="s">
        <v>481</v>
      </c>
      <c r="C310" s="27" t="s">
        <v>487</v>
      </c>
      <c r="D310" s="27" t="s">
        <v>483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649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531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/>
    </row>
    <row r="314" spans="1:12">
      <c r="A314" s="20" t="s">
        <v>650</v>
      </c>
    </row>
    <row r="315" spans="1:12">
      <c r="A315" s="20" t="s">
        <v>651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652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653</v>
      </c>
      <c r="B317" s="27" t="s">
        <v>537</v>
      </c>
      <c r="C317" s="27" t="s">
        <v>598</v>
      </c>
      <c r="D317" s="27" t="s">
        <v>483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630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72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492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644</v>
      </c>
      <c r="B321" s="27" t="s">
        <v>547</v>
      </c>
      <c r="C321" s="27" t="s">
        <v>523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529</v>
      </c>
      <c r="B322" s="27" t="s">
        <v>654</v>
      </c>
      <c r="C322" s="27" t="s">
        <v>482</v>
      </c>
      <c r="D322" s="27" t="s">
        <v>483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494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655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531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/>
    </row>
    <row r="327" spans="1:12">
      <c r="A327" s="20" t="s">
        <v>656</v>
      </c>
    </row>
    <row r="328" spans="1:12">
      <c r="A328" s="20" t="s">
        <v>657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512</v>
      </c>
      <c r="B329" s="27" t="s">
        <v>549</v>
      </c>
      <c r="C329" s="27" t="s">
        <v>482</v>
      </c>
      <c r="D329" s="27" t="s">
        <v>483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80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503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76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649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644</v>
      </c>
      <c r="B334" s="27" t="s">
        <v>556</v>
      </c>
      <c r="C334" s="27" t="s">
        <v>523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494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96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517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658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484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503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634</v>
      </c>
      <c r="B341" s="27" t="s">
        <v>659</v>
      </c>
      <c r="C341" s="27" t="s">
        <v>635</v>
      </c>
      <c r="D341" s="27" t="s">
        <v>483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640</v>
      </c>
      <c r="B342" s="27" t="s">
        <v>556</v>
      </c>
      <c r="C342" s="27" t="s">
        <v>487</v>
      </c>
      <c r="D342" s="27" t="s">
        <v>483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531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/>
    </row>
    <row r="345" spans="1:12">
      <c r="A345" s="20" t="s">
        <v>660</v>
      </c>
    </row>
    <row r="346" spans="1:12">
      <c r="A346" s="20" t="s">
        <v>12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661</v>
      </c>
      <c r="B347" s="27" t="s">
        <v>549</v>
      </c>
      <c r="C347" s="27" t="s">
        <v>538</v>
      </c>
      <c r="D347" s="27" t="s">
        <v>483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528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662</v>
      </c>
      <c r="B349" s="27" t="s">
        <v>490</v>
      </c>
      <c r="C349" s="27" t="s">
        <v>491</v>
      </c>
      <c r="D349" s="27" t="s">
        <v>483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558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590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37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531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/>
    </row>
    <row r="355" spans="1:12">
      <c r="A355" s="20" t="s">
        <v>663</v>
      </c>
    </row>
    <row r="356" spans="1:12">
      <c r="A356" s="20" t="s">
        <v>617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664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503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65</v>
      </c>
      <c r="B359" s="27" t="s">
        <v>542</v>
      </c>
      <c r="C359" s="27" t="s">
        <v>487</v>
      </c>
      <c r="D359" s="27" t="s">
        <v>483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489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592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489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665</v>
      </c>
      <c r="B363" s="27" t="s">
        <v>490</v>
      </c>
      <c r="C363" s="27" t="s">
        <v>516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489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529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666</v>
      </c>
      <c r="B366" s="27" t="s">
        <v>654</v>
      </c>
      <c r="C366" s="27" t="s">
        <v>523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667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384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489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485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668</v>
      </c>
      <c r="B371" s="27" t="s">
        <v>547</v>
      </c>
      <c r="C371" s="27" t="s">
        <v>635</v>
      </c>
      <c r="D371" s="27" t="s">
        <v>483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669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670</v>
      </c>
      <c r="B373" s="27" t="s">
        <v>553</v>
      </c>
      <c r="C373" s="27" t="s">
        <v>487</v>
      </c>
      <c r="D373" s="27" t="s">
        <v>483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671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672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120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503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61</v>
      </c>
      <c r="B378" s="27" t="s">
        <v>578</v>
      </c>
      <c r="C378" s="27" t="s">
        <v>487</v>
      </c>
      <c r="D378" s="27" t="s">
        <v>483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531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/>
    </row>
    <row r="381" spans="1:12">
      <c r="A381" s="20" t="s">
        <v>673</v>
      </c>
    </row>
    <row r="382" spans="1:12">
      <c r="A382" s="20" t="s">
        <v>651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674</v>
      </c>
      <c r="B383" s="27" t="s">
        <v>477</v>
      </c>
      <c r="C383" s="27" t="s">
        <v>516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489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557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675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384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676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492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677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678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679</v>
      </c>
      <c r="B392" s="27" t="s">
        <v>578</v>
      </c>
      <c r="C392" s="27" t="s">
        <v>482</v>
      </c>
      <c r="D392" s="27" t="s">
        <v>483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489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592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503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61</v>
      </c>
      <c r="B396" s="27" t="s">
        <v>654</v>
      </c>
      <c r="C396" s="27" t="s">
        <v>487</v>
      </c>
      <c r="D396" s="27" t="s">
        <v>483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680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681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531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/>
    </row>
    <row r="401" spans="1:12">
      <c r="A401" s="20" t="s">
        <v>682</v>
      </c>
    </row>
    <row r="402" spans="1:12">
      <c r="A402" s="20" t="s">
        <v>683</v>
      </c>
      <c r="B402" s="27" t="s">
        <v>549</v>
      </c>
      <c r="C402" s="27" t="s">
        <v>523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645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517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647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484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503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634</v>
      </c>
      <c r="B408" s="27" t="s">
        <v>490</v>
      </c>
      <c r="C408" s="27" t="s">
        <v>635</v>
      </c>
      <c r="D408" s="27" t="s">
        <v>483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640</v>
      </c>
      <c r="B409" s="27" t="s">
        <v>477</v>
      </c>
      <c r="C409" s="27" t="s">
        <v>487</v>
      </c>
      <c r="D409" s="27" t="s">
        <v>483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489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644</v>
      </c>
      <c r="B411" s="27" t="s">
        <v>490</v>
      </c>
      <c r="C411" s="27" t="s">
        <v>523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528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684</v>
      </c>
      <c r="B413" s="27" t="s">
        <v>540</v>
      </c>
      <c r="C413" s="27" t="s">
        <v>516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531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/>
    </row>
    <row r="416" spans="1:12">
      <c r="A416" s="20" t="s">
        <v>685</v>
      </c>
    </row>
    <row r="417" spans="1:12">
      <c r="A417" s="20" t="s">
        <v>686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630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631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666</v>
      </c>
      <c r="B420" s="27" t="s">
        <v>542</v>
      </c>
      <c r="C420" s="27" t="s">
        <v>523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531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/>
    </row>
    <row r="423" spans="1:12">
      <c r="A423" s="20" t="s">
        <v>687</v>
      </c>
    </row>
    <row r="424" spans="1:12">
      <c r="A424" s="20" t="s">
        <v>688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689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690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691</v>
      </c>
      <c r="B427" s="27" t="s">
        <v>481</v>
      </c>
      <c r="C427" s="27" t="s">
        <v>516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692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/>
    </row>
    <row r="430" spans="1:12">
      <c r="A430" s="20" t="s">
        <v>693</v>
      </c>
    </row>
    <row r="431" spans="1:12">
      <c r="A431" s="20" t="s">
        <v>597</v>
      </c>
      <c r="B431" s="27" t="s">
        <v>549</v>
      </c>
      <c r="C431" s="27" t="s">
        <v>491</v>
      </c>
      <c r="D431" s="27" t="s">
        <v>483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558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380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586</v>
      </c>
      <c r="B434" s="27" t="s">
        <v>477</v>
      </c>
      <c r="C434" s="27" t="s">
        <v>498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492</v>
      </c>
      <c r="B435" s="27" t="s">
        <v>537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694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695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503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603</v>
      </c>
      <c r="B439" s="27" t="s">
        <v>578</v>
      </c>
      <c r="C439" s="27" t="s">
        <v>516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696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492</v>
      </c>
      <c r="B441" s="27" t="s">
        <v>493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697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698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507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587</v>
      </c>
      <c r="B445" s="27" t="s">
        <v>659</v>
      </c>
      <c r="C445" s="27" t="s">
        <v>516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489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551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558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699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49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700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701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702</v>
      </c>
      <c r="B453" s="27" t="s">
        <v>578</v>
      </c>
      <c r="C453" s="27" t="s">
        <v>516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503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485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703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380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586</v>
      </c>
      <c r="B458" s="27" t="s">
        <v>497</v>
      </c>
      <c r="C458" s="27" t="s">
        <v>498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489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568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492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518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590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37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531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/>
    </row>
    <row r="467" spans="1:12">
      <c r="A467" s="20" t="s">
        <v>704</v>
      </c>
    </row>
    <row r="468" spans="1:12">
      <c r="A468" s="20" t="s">
        <v>705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706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707</v>
      </c>
      <c r="B470" s="27" t="s">
        <v>549</v>
      </c>
      <c r="C470" s="27" t="s">
        <v>478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649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708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652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586</v>
      </c>
      <c r="B474" s="27" t="s">
        <v>481</v>
      </c>
      <c r="C474" s="27" t="s">
        <v>598</v>
      </c>
      <c r="D474" s="27" t="s">
        <v>483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531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/>
    </row>
    <row r="477" spans="1:12">
      <c r="A477" s="20" t="s">
        <v>709</v>
      </c>
    </row>
    <row r="478" spans="1:12">
      <c r="A478" s="20" t="s">
        <v>12</v>
      </c>
      <c r="B478" s="27" t="s">
        <v>549</v>
      </c>
      <c r="C478" s="27" t="s">
        <v>491</v>
      </c>
      <c r="D478" s="27" t="s">
        <v>483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492</v>
      </c>
      <c r="B479" s="27" t="s">
        <v>553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710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558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662</v>
      </c>
      <c r="B482" s="27" t="s">
        <v>477</v>
      </c>
      <c r="C482" s="27" t="s">
        <v>491</v>
      </c>
      <c r="D482" s="27" t="s">
        <v>483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531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/>
    </row>
    <row r="485" spans="1:12">
      <c r="A485" s="20" t="s">
        <v>711</v>
      </c>
    </row>
    <row r="486" spans="1:12">
      <c r="A486" s="20" t="s">
        <v>608</v>
      </c>
      <c r="B486" s="27" t="s">
        <v>549</v>
      </c>
      <c r="C486" s="27" t="s">
        <v>482</v>
      </c>
      <c r="D486" s="27" t="s">
        <v>483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712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503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61</v>
      </c>
      <c r="B489" s="27" t="s">
        <v>481</v>
      </c>
      <c r="C489" s="27" t="s">
        <v>487</v>
      </c>
      <c r="D489" s="27" t="s">
        <v>483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507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503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634</v>
      </c>
      <c r="B492" s="27" t="s">
        <v>490</v>
      </c>
      <c r="C492" s="27" t="s">
        <v>635</v>
      </c>
      <c r="D492" s="27" t="s">
        <v>483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65</v>
      </c>
      <c r="B493" s="27" t="s">
        <v>477</v>
      </c>
      <c r="C493" s="27" t="s">
        <v>487</v>
      </c>
      <c r="D493" s="27" t="s">
        <v>483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531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/>
    </row>
    <row r="496" spans="1:12">
      <c r="A496" s="20" t="s">
        <v>713</v>
      </c>
    </row>
    <row r="497" spans="1:12">
      <c r="A497" s="20" t="s">
        <v>714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492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593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715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485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668</v>
      </c>
      <c r="B502" s="27" t="s">
        <v>540</v>
      </c>
      <c r="C502" s="27" t="s">
        <v>635</v>
      </c>
      <c r="D502" s="27" t="s">
        <v>483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648</v>
      </c>
      <c r="B503" s="27" t="s">
        <v>542</v>
      </c>
      <c r="C503" s="27" t="s">
        <v>487</v>
      </c>
      <c r="D503" s="27" t="s">
        <v>483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500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585</v>
      </c>
      <c r="B505" s="27" t="s">
        <v>553</v>
      </c>
      <c r="C505" s="27" t="s">
        <v>482</v>
      </c>
      <c r="D505" s="27" t="s">
        <v>483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643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492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644</v>
      </c>
      <c r="B508" s="27" t="s">
        <v>654</v>
      </c>
      <c r="C508" s="27" t="s">
        <v>523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645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646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647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484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503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640</v>
      </c>
      <c r="B514" s="27" t="s">
        <v>547</v>
      </c>
      <c r="C514" s="27" t="s">
        <v>487</v>
      </c>
      <c r="D514" s="27" t="s">
        <v>483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489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485</v>
      </c>
      <c r="B516" s="27" t="s">
        <v>578</v>
      </c>
      <c r="C516" s="27" t="s">
        <v>491</v>
      </c>
      <c r="D516" s="27" t="s">
        <v>483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492</v>
      </c>
      <c r="B517" s="27" t="s">
        <v>493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558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495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716</v>
      </c>
      <c r="B520" s="27" t="s">
        <v>547</v>
      </c>
      <c r="C520" s="27" t="s">
        <v>498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531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/>
    </row>
    <row r="523" spans="1:12">
      <c r="A523" s="20" t="s">
        <v>717</v>
      </c>
    </row>
    <row r="524" spans="1:12">
      <c r="A524" s="20" t="s">
        <v>608</v>
      </c>
      <c r="B524" s="27" t="s">
        <v>537</v>
      </c>
      <c r="C524" s="27" t="s">
        <v>482</v>
      </c>
      <c r="D524" s="27" t="s">
        <v>483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718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503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715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507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485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648</v>
      </c>
      <c r="B530" s="27" t="s">
        <v>490</v>
      </c>
      <c r="C530" s="27" t="s">
        <v>487</v>
      </c>
      <c r="D530" s="27" t="s">
        <v>483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551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489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507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503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719</v>
      </c>
      <c r="B535" s="27" t="s">
        <v>540</v>
      </c>
      <c r="C535" s="27" t="s">
        <v>516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489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558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720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485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721</v>
      </c>
      <c r="B540" s="27" t="s">
        <v>578</v>
      </c>
      <c r="C540" s="27" t="s">
        <v>538</v>
      </c>
      <c r="D540" s="27" t="s">
        <v>483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528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503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702</v>
      </c>
      <c r="B543" s="27" t="s">
        <v>547</v>
      </c>
      <c r="C543" s="27" t="s">
        <v>487</v>
      </c>
      <c r="D543" s="27" t="s">
        <v>483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531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/>
    </row>
    <row r="546" spans="1:12">
      <c r="A546" s="20" t="s">
        <v>722</v>
      </c>
    </row>
    <row r="547" spans="1:12">
      <c r="A547" s="20" t="s">
        <v>723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503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634</v>
      </c>
      <c r="B549" s="27" t="s">
        <v>540</v>
      </c>
      <c r="C549" s="27" t="s">
        <v>635</v>
      </c>
      <c r="D549" s="27" t="s">
        <v>483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65</v>
      </c>
      <c r="B550" s="27" t="s">
        <v>537</v>
      </c>
      <c r="C550" s="27" t="s">
        <v>487</v>
      </c>
      <c r="D550" s="27" t="s">
        <v>483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724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528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128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725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500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726</v>
      </c>
      <c r="B556" s="27" t="s">
        <v>490</v>
      </c>
      <c r="C556" s="27" t="s">
        <v>482</v>
      </c>
      <c r="D556" s="27" t="s">
        <v>483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592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727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728</v>
      </c>
      <c r="B559" s="27" t="s">
        <v>578</v>
      </c>
      <c r="C559" s="27" t="s">
        <v>516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500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729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489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652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730</v>
      </c>
      <c r="B564" s="27" t="s">
        <v>490</v>
      </c>
      <c r="C564" s="27" t="s">
        <v>598</v>
      </c>
      <c r="D564" s="27" t="s">
        <v>483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649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489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485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668</v>
      </c>
      <c r="B568" s="27" t="s">
        <v>659</v>
      </c>
      <c r="C568" s="27" t="s">
        <v>635</v>
      </c>
      <c r="D568" s="27" t="s">
        <v>483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730</v>
      </c>
      <c r="B569" s="27" t="s">
        <v>654</v>
      </c>
      <c r="C569" s="27" t="s">
        <v>487</v>
      </c>
      <c r="D569" s="27" t="s">
        <v>483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731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732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528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485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733</v>
      </c>
      <c r="B574" s="27" t="s">
        <v>556</v>
      </c>
      <c r="C574" s="27" t="s">
        <v>487</v>
      </c>
      <c r="D574" s="27" t="s">
        <v>483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734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557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489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500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495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735</v>
      </c>
      <c r="B580" s="27" t="s">
        <v>736</v>
      </c>
      <c r="C580" s="27" t="s">
        <v>498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503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737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500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738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628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531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/>
    </row>
    <row r="588" spans="1:12">
      <c r="A588" s="20" t="s">
        <v>739</v>
      </c>
    </row>
    <row r="589" spans="1:12">
      <c r="A589" s="20" t="s">
        <v>740</v>
      </c>
      <c r="B589" s="27" t="s">
        <v>549</v>
      </c>
      <c r="C589" s="27" t="s">
        <v>491</v>
      </c>
      <c r="D589" s="27" t="s">
        <v>483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558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741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531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/>
    </row>
    <row r="594" spans="1:12">
      <c r="A594" s="20" t="s">
        <v>742</v>
      </c>
    </row>
    <row r="595" spans="1:12">
      <c r="A595" s="20" t="s">
        <v>743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484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744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521</v>
      </c>
      <c r="B598" s="27" t="s">
        <v>481</v>
      </c>
      <c r="C598" s="27" t="s">
        <v>523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492</v>
      </c>
      <c r="B599" s="27" t="s">
        <v>553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680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745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746</v>
      </c>
      <c r="B602" s="27" t="s">
        <v>578</v>
      </c>
      <c r="C602" s="27" t="s">
        <v>516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531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/>
    </row>
    <row r="605" spans="1:12">
      <c r="A605" s="20" t="s">
        <v>747</v>
      </c>
    </row>
    <row r="606" spans="1:12">
      <c r="A606" s="20" t="s">
        <v>690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748</v>
      </c>
      <c r="B607" s="27" t="s">
        <v>477</v>
      </c>
      <c r="C607" s="27" t="s">
        <v>516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692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/>
    </row>
    <row r="610" spans="1:12">
      <c r="A610" s="20" t="s">
        <v>749</v>
      </c>
    </row>
    <row r="611" spans="1:12">
      <c r="A611" s="20" t="s">
        <v>627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489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558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628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492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710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489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528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649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489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544</v>
      </c>
      <c r="B621" s="27" t="s">
        <v>537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750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/>
    </row>
    <row r="624" spans="1:12">
      <c r="A624" s="20" t="s">
        <v>751</v>
      </c>
    </row>
    <row r="625" spans="1:12">
      <c r="A625" s="20" t="s">
        <v>686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752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512</v>
      </c>
      <c r="B627" s="27" t="s">
        <v>537</v>
      </c>
      <c r="C627" s="27" t="s">
        <v>482</v>
      </c>
      <c r="D627" s="27" t="s">
        <v>483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480</v>
      </c>
      <c r="B628" s="27" t="s">
        <v>542</v>
      </c>
      <c r="C628" s="27" t="s">
        <v>482</v>
      </c>
      <c r="D628" s="27" t="s">
        <v>483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753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489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485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668</v>
      </c>
      <c r="B632" s="27" t="s">
        <v>490</v>
      </c>
      <c r="C632" s="27" t="s">
        <v>635</v>
      </c>
      <c r="D632" s="27" t="s">
        <v>483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730</v>
      </c>
      <c r="B633" s="27" t="s">
        <v>549</v>
      </c>
      <c r="C633" s="27" t="s">
        <v>487</v>
      </c>
      <c r="D633" s="27" t="s">
        <v>483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754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529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531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/>
    </row>
    <row r="638" spans="1:12">
      <c r="A638" s="20" t="s">
        <v>755</v>
      </c>
    </row>
    <row r="639" spans="1:12">
      <c r="A639" s="20" t="s">
        <v>533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492</v>
      </c>
      <c r="B640" s="27" t="s">
        <v>490</v>
      </c>
      <c r="C640" s="27" t="s">
        <v>756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757</v>
      </c>
      <c r="B641" s="27" t="s">
        <v>477</v>
      </c>
      <c r="C641" s="27" t="s">
        <v>478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662</v>
      </c>
      <c r="B642" s="27" t="s">
        <v>549</v>
      </c>
      <c r="C642" s="27" t="s">
        <v>491</v>
      </c>
      <c r="D642" s="27" t="s">
        <v>483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558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758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750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/>
    </row>
    <row r="647" spans="1:12">
      <c r="A647" s="20" t="s">
        <v>759</v>
      </c>
    </row>
    <row r="648" spans="1:12">
      <c r="A648" s="20" t="s">
        <v>760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558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492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680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761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492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637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570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762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763</v>
      </c>
      <c r="B657" s="27" t="s">
        <v>542</v>
      </c>
      <c r="C657" s="27" t="s">
        <v>764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649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507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765</v>
      </c>
      <c r="B660" s="27" t="s">
        <v>490</v>
      </c>
      <c r="C660" s="27" t="s">
        <v>516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750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/>
    </row>
    <row r="663" spans="1:12">
      <c r="A663" s="20" t="s">
        <v>766</v>
      </c>
    </row>
    <row r="664" spans="1:12">
      <c r="A664" s="20" t="s">
        <v>760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503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767</v>
      </c>
      <c r="B666" s="27" t="s">
        <v>537</v>
      </c>
      <c r="C666" s="27" t="s">
        <v>487</v>
      </c>
      <c r="D666" s="27" t="s">
        <v>483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489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592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503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768</v>
      </c>
      <c r="B670" s="27" t="s">
        <v>540</v>
      </c>
      <c r="C670" s="27" t="s">
        <v>487</v>
      </c>
      <c r="D670" s="27" t="s">
        <v>483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594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769</v>
      </c>
      <c r="B672" s="27" t="s">
        <v>654</v>
      </c>
      <c r="C672" s="27" t="s">
        <v>491</v>
      </c>
      <c r="D672" s="27" t="s">
        <v>483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770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503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771</v>
      </c>
      <c r="B675" s="27" t="s">
        <v>556</v>
      </c>
      <c r="C675" s="27" t="s">
        <v>487</v>
      </c>
      <c r="D675" s="27" t="s">
        <v>483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489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680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772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489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380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489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773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489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762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548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503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767</v>
      </c>
      <c r="B687" s="27" t="s">
        <v>549</v>
      </c>
      <c r="C687" s="27" t="s">
        <v>615</v>
      </c>
      <c r="D687" s="27" t="s">
        <v>483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774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508</v>
      </c>
      <c r="B689" s="27" t="s">
        <v>481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531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/>
    </row>
    <row r="692" spans="1:12">
      <c r="A692" s="20" t="s">
        <v>775</v>
      </c>
    </row>
    <row r="693" spans="1:12">
      <c r="A693" s="20" t="s">
        <v>776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680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558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569</v>
      </c>
      <c r="B696" s="27" t="s">
        <v>477</v>
      </c>
      <c r="C696" s="27" t="s">
        <v>491</v>
      </c>
      <c r="D696" s="27" t="s">
        <v>483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492</v>
      </c>
      <c r="B697" s="27" t="s">
        <v>542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777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531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/>
    </row>
    <row r="701" spans="1:12">
      <c r="A701" s="20" t="s">
        <v>778</v>
      </c>
    </row>
    <row r="702" spans="1:12">
      <c r="A702" s="20" t="s">
        <v>779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780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503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65</v>
      </c>
      <c r="B705" s="27" t="s">
        <v>481</v>
      </c>
      <c r="C705" s="27" t="s">
        <v>487</v>
      </c>
      <c r="D705" s="27" t="s">
        <v>483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531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/>
    </row>
    <row r="708" spans="1:12">
      <c r="A708" s="20" t="s">
        <v>781</v>
      </c>
    </row>
    <row r="709" spans="1:12">
      <c r="A709" s="20" t="s">
        <v>782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492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503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61</v>
      </c>
      <c r="B712" s="27" t="s">
        <v>549</v>
      </c>
      <c r="C712" s="27" t="s">
        <v>487</v>
      </c>
      <c r="D712" s="27" t="s">
        <v>483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557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676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489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680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484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670</v>
      </c>
      <c r="B718" s="27" t="s">
        <v>477</v>
      </c>
      <c r="C718" s="27" t="s">
        <v>516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671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489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783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784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528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495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785</v>
      </c>
      <c r="B725" s="27" t="s">
        <v>547</v>
      </c>
      <c r="C725" s="27" t="s">
        <v>498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489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485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668</v>
      </c>
      <c r="B728" s="27" t="s">
        <v>547</v>
      </c>
      <c r="C728" s="27" t="s">
        <v>635</v>
      </c>
      <c r="D728" s="27" t="s">
        <v>483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730</v>
      </c>
      <c r="B729" s="27" t="s">
        <v>553</v>
      </c>
      <c r="C729" s="27" t="s">
        <v>487</v>
      </c>
      <c r="D729" s="27" t="s">
        <v>483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731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557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649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531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/>
    </row>
    <row r="735" spans="1:12">
      <c r="A735" s="20" t="s">
        <v>786</v>
      </c>
    </row>
    <row r="736" spans="1:12">
      <c r="A736" s="20" t="s">
        <v>686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752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787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485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668</v>
      </c>
      <c r="B740" s="27" t="s">
        <v>490</v>
      </c>
      <c r="C740" s="27" t="s">
        <v>635</v>
      </c>
      <c r="D740" s="27" t="s">
        <v>483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730</v>
      </c>
      <c r="B741" s="27" t="s">
        <v>481</v>
      </c>
      <c r="C741" s="27" t="s">
        <v>487</v>
      </c>
      <c r="D741" s="27" t="s">
        <v>483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489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503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788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496</v>
      </c>
      <c r="B745" s="27" t="s">
        <v>549</v>
      </c>
      <c r="C745" s="27" t="s">
        <v>487</v>
      </c>
      <c r="D745" s="27" t="s">
        <v>483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531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/>
    </row>
    <row r="748" spans="1:12">
      <c r="A748" s="20" t="s">
        <v>789</v>
      </c>
    </row>
    <row r="749" spans="1:12">
      <c r="A749" s="20" t="s">
        <v>790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480</v>
      </c>
      <c r="B750" s="27" t="s">
        <v>542</v>
      </c>
      <c r="C750" s="27" t="s">
        <v>482</v>
      </c>
      <c r="D750" s="27" t="s">
        <v>483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753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791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792</v>
      </c>
      <c r="B753" s="27" t="s">
        <v>490</v>
      </c>
      <c r="C753" s="27" t="s">
        <v>478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489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652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793</v>
      </c>
      <c r="B756" s="27" t="s">
        <v>549</v>
      </c>
      <c r="C756" s="27" t="s">
        <v>598</v>
      </c>
      <c r="D756" s="27" t="s">
        <v>483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181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485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668</v>
      </c>
      <c r="B759" s="27" t="s">
        <v>490</v>
      </c>
      <c r="C759" s="27" t="s">
        <v>635</v>
      </c>
      <c r="D759" s="27" t="s">
        <v>483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730</v>
      </c>
      <c r="B760" s="27" t="s">
        <v>481</v>
      </c>
      <c r="C760" s="27" t="s">
        <v>487</v>
      </c>
      <c r="D760" s="27" t="s">
        <v>483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503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794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529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531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/>
    </row>
    <row r="766" spans="1:12">
      <c r="A766" s="20" t="s">
        <v>795</v>
      </c>
    </row>
    <row r="767" spans="1:12">
      <c r="A767" s="20" t="s">
        <v>796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769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65</v>
      </c>
      <c r="B769" s="27" t="s">
        <v>481</v>
      </c>
      <c r="C769" s="27" t="s">
        <v>598</v>
      </c>
      <c r="D769" s="27" t="s">
        <v>483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531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/>
    </row>
    <row r="772" spans="1:12">
      <c r="A772" s="20" t="s">
        <v>797</v>
      </c>
    </row>
    <row r="773" spans="1:12">
      <c r="A773" s="20" t="s">
        <v>189</v>
      </c>
      <c r="B773" s="27" t="s">
        <v>477</v>
      </c>
      <c r="C773" s="27" t="s">
        <v>538</v>
      </c>
      <c r="D773" s="27" t="s">
        <v>483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503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61</v>
      </c>
      <c r="B775" s="27" t="s">
        <v>477</v>
      </c>
      <c r="C775" s="27" t="s">
        <v>516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531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/>
    </row>
    <row r="778" spans="1:12">
      <c r="A778" s="20" t="s">
        <v>798</v>
      </c>
    </row>
    <row r="779" spans="1:12">
      <c r="A779" s="20" t="s">
        <v>597</v>
      </c>
      <c r="B779" s="27" t="s">
        <v>549</v>
      </c>
      <c r="C779" s="27" t="s">
        <v>491</v>
      </c>
      <c r="D779" s="27" t="s">
        <v>483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558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380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586</v>
      </c>
      <c r="B782" s="27" t="s">
        <v>477</v>
      </c>
      <c r="C782" s="27" t="s">
        <v>498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492</v>
      </c>
      <c r="B783" s="27" t="s">
        <v>578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630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333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500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508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799</v>
      </c>
      <c r="B788" s="27" t="s">
        <v>540</v>
      </c>
      <c r="C788" s="27" t="s">
        <v>487</v>
      </c>
      <c r="D788" s="27" t="s">
        <v>483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800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592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801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531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/>
    </row>
    <row r="794" spans="1:12">
      <c r="A794" s="20" t="s">
        <v>802</v>
      </c>
    </row>
    <row r="795" spans="1:12">
      <c r="A795" s="20" t="s">
        <v>803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531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/>
    </row>
    <row r="798" spans="1:12">
      <c r="A798" s="20" t="s">
        <v>804</v>
      </c>
    </row>
    <row r="799" spans="1:12">
      <c r="A799" s="20" t="s">
        <v>12</v>
      </c>
      <c r="B799" s="27" t="s">
        <v>540</v>
      </c>
      <c r="C799" s="27" t="s">
        <v>491</v>
      </c>
      <c r="D799" s="27" t="s">
        <v>483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492</v>
      </c>
      <c r="B800" s="27" t="s">
        <v>542</v>
      </c>
      <c r="C800" s="27" t="s">
        <v>756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558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492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662</v>
      </c>
      <c r="B803" s="27" t="s">
        <v>549</v>
      </c>
      <c r="C803" s="27" t="s">
        <v>491</v>
      </c>
      <c r="D803" s="27" t="s">
        <v>483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577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503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72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805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485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486</v>
      </c>
      <c r="B809" s="27" t="s">
        <v>490</v>
      </c>
      <c r="C809" s="27" t="s">
        <v>487</v>
      </c>
      <c r="D809" s="27" t="s">
        <v>483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488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750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/>
    </row>
    <row r="813" spans="1:12">
      <c r="A813" s="20" t="s">
        <v>806</v>
      </c>
    </row>
    <row r="814" spans="1:12">
      <c r="A814" s="20" t="s">
        <v>807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380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808</v>
      </c>
      <c r="B816" s="27" t="s">
        <v>481</v>
      </c>
      <c r="C816" s="27" t="s">
        <v>498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489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570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369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517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504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380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809</v>
      </c>
      <c r="B823" s="27" t="s">
        <v>477</v>
      </c>
      <c r="C823" s="27" t="s">
        <v>764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489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492</v>
      </c>
      <c r="B825" s="27" t="s">
        <v>553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480</v>
      </c>
      <c r="B826" s="27" t="s">
        <v>578</v>
      </c>
      <c r="C826" s="27" t="s">
        <v>482</v>
      </c>
      <c r="D826" s="27" t="s">
        <v>483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810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508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811</v>
      </c>
      <c r="B829" s="27" t="s">
        <v>578</v>
      </c>
      <c r="C829" s="27" t="s">
        <v>487</v>
      </c>
      <c r="D829" s="27" t="s">
        <v>483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531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/>
    </row>
    <row r="832" spans="1:12">
      <c r="A832" s="20" t="s">
        <v>812</v>
      </c>
    </row>
    <row r="833" spans="1:12">
      <c r="A833" s="20" t="s">
        <v>813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814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815</v>
      </c>
      <c r="B835" s="27" t="s">
        <v>477</v>
      </c>
      <c r="C835" s="27" t="s">
        <v>538</v>
      </c>
      <c r="D835" s="27" t="s">
        <v>483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646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816</v>
      </c>
      <c r="B837" s="27" t="s">
        <v>477</v>
      </c>
      <c r="C837" s="27" t="s">
        <v>516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489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484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569</v>
      </c>
      <c r="B840" s="27" t="s">
        <v>490</v>
      </c>
      <c r="C840" s="27" t="s">
        <v>491</v>
      </c>
      <c r="D840" s="27" t="s">
        <v>483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489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500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817</v>
      </c>
      <c r="B843" s="27" t="s">
        <v>477</v>
      </c>
      <c r="C843" s="27" t="s">
        <v>482</v>
      </c>
      <c r="D843" s="27" t="s">
        <v>483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489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818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495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496</v>
      </c>
      <c r="B847" s="27" t="s">
        <v>477</v>
      </c>
      <c r="C847" s="27" t="s">
        <v>498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819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531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/>
    </row>
    <row r="851" spans="1:12">
      <c r="A851" s="20" t="s">
        <v>820</v>
      </c>
    </row>
    <row r="852" spans="1:12">
      <c r="A852" s="20" t="s">
        <v>821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492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489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529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529</v>
      </c>
      <c r="B856" s="27" t="s">
        <v>553</v>
      </c>
      <c r="C856" s="27" t="s">
        <v>482</v>
      </c>
      <c r="D856" s="27" t="s">
        <v>483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822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380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488</v>
      </c>
      <c r="B859" s="27" t="s">
        <v>578</v>
      </c>
      <c r="C859" s="27" t="s">
        <v>498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507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503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823</v>
      </c>
      <c r="B862" s="27" t="s">
        <v>540</v>
      </c>
      <c r="C862" s="27" t="s">
        <v>538</v>
      </c>
      <c r="D862" s="27" t="s">
        <v>483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528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380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824</v>
      </c>
      <c r="B865" s="27" t="s">
        <v>547</v>
      </c>
      <c r="C865" s="27" t="s">
        <v>498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825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489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826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805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495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827</v>
      </c>
      <c r="B871" s="27" t="s">
        <v>736</v>
      </c>
      <c r="C871" s="27" t="s">
        <v>498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489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550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380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824</v>
      </c>
      <c r="B875" s="27" t="s">
        <v>537</v>
      </c>
      <c r="C875" s="27" t="s">
        <v>764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825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828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489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577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380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544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486</v>
      </c>
      <c r="B882" s="27" t="s">
        <v>542</v>
      </c>
      <c r="C882" s="27" t="s">
        <v>498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543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531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/>
    </row>
    <row r="886" spans="1:12">
      <c r="A886" s="20" t="s">
        <v>829</v>
      </c>
    </row>
    <row r="887" spans="1:12">
      <c r="A887" s="20" t="s">
        <v>776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489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529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830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503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823</v>
      </c>
      <c r="B892" s="27" t="s">
        <v>549</v>
      </c>
      <c r="C892" s="27" t="s">
        <v>487</v>
      </c>
      <c r="D892" s="27" t="s">
        <v>483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492</v>
      </c>
      <c r="B893" s="27" t="s">
        <v>578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831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503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485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488</v>
      </c>
      <c r="B897" s="27" t="s">
        <v>578</v>
      </c>
      <c r="C897" s="27" t="s">
        <v>487</v>
      </c>
      <c r="D897" s="27" t="s">
        <v>483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489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484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564</v>
      </c>
      <c r="B900" s="27" t="s">
        <v>490</v>
      </c>
      <c r="C900" s="27" t="s">
        <v>516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489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529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832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380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824</v>
      </c>
      <c r="B905" s="27" t="s">
        <v>542</v>
      </c>
      <c r="C905" s="27" t="s">
        <v>538</v>
      </c>
      <c r="D905" s="27" t="s">
        <v>483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369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833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489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528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834</v>
      </c>
      <c r="B910" s="27" t="s">
        <v>540</v>
      </c>
      <c r="C910" s="27" t="s">
        <v>516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835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489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805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495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836</v>
      </c>
      <c r="B915" s="27" t="s">
        <v>490</v>
      </c>
      <c r="C915" s="27" t="s">
        <v>498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837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507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641</v>
      </c>
      <c r="B918" s="27" t="s">
        <v>547</v>
      </c>
      <c r="C918" s="27" t="s">
        <v>516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489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558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838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369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839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531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/>
    </row>
    <row r="926" spans="1:12">
      <c r="A926" s="20" t="s">
        <v>840</v>
      </c>
    </row>
    <row r="927" spans="1:12">
      <c r="A927" s="20" t="s">
        <v>841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485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842</v>
      </c>
      <c r="B929" s="27" t="s">
        <v>490</v>
      </c>
      <c r="C929" s="27" t="s">
        <v>516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489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843</v>
      </c>
      <c r="B931" s="27" t="s">
        <v>549</v>
      </c>
      <c r="C931" s="27" t="s">
        <v>844</v>
      </c>
      <c r="D931" s="27" t="s">
        <v>483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528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845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846</v>
      </c>
      <c r="B934" s="27" t="s">
        <v>490</v>
      </c>
      <c r="C934" s="27" t="s">
        <v>598</v>
      </c>
      <c r="D934" s="27" t="s">
        <v>483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577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847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848</v>
      </c>
      <c r="B937" s="27" t="s">
        <v>481</v>
      </c>
      <c r="C937" s="27" t="s">
        <v>478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531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/>
    </row>
    <row r="940" spans="1:12">
      <c r="A940" s="20" t="s">
        <v>849</v>
      </c>
    </row>
    <row r="941" spans="1:12">
      <c r="A941" s="20" t="s">
        <v>850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536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528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539</v>
      </c>
      <c r="B944" s="27" t="s">
        <v>481</v>
      </c>
      <c r="C944" s="27" t="s">
        <v>516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531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/>
    </row>
    <row r="947" spans="1:12">
      <c r="A947" s="20" t="s">
        <v>851</v>
      </c>
    </row>
    <row r="948" spans="1:12">
      <c r="A948" s="20" t="s">
        <v>776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380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824</v>
      </c>
      <c r="B950" s="27" t="s">
        <v>549</v>
      </c>
      <c r="C950" s="27" t="s">
        <v>498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825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680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558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675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395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594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380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824</v>
      </c>
      <c r="B958" s="27" t="s">
        <v>477</v>
      </c>
      <c r="C958" s="27" t="s">
        <v>498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835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531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/>
    </row>
    <row r="962" spans="1:12">
      <c r="A962" s="20" t="s">
        <v>852</v>
      </c>
    </row>
    <row r="963" spans="1:12">
      <c r="A963" s="20" t="s">
        <v>12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226</v>
      </c>
      <c r="B964" s="27" t="s">
        <v>477</v>
      </c>
      <c r="C964" s="27" t="s">
        <v>756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750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/>
    </row>
    <row r="967" spans="1:12">
      <c r="A967" s="20" t="s">
        <v>853</v>
      </c>
    </row>
    <row r="968" spans="1:12">
      <c r="A968" s="20" t="s">
        <v>854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855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856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531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/>
    </row>
    <row r="973" spans="1:12">
      <c r="A973" s="20" t="s">
        <v>857</v>
      </c>
    </row>
    <row r="974" spans="1:12">
      <c r="A974" s="20" t="s">
        <v>776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503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496</v>
      </c>
      <c r="B976" s="27" t="s">
        <v>549</v>
      </c>
      <c r="C976" s="27" t="s">
        <v>487</v>
      </c>
      <c r="D976" s="27" t="s">
        <v>483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680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858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649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531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/>
    </row>
    <row r="982" spans="1:12">
      <c r="A982" s="20" t="s">
        <v>859</v>
      </c>
    </row>
    <row r="983" spans="1:12">
      <c r="A983" s="20" t="s">
        <v>566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860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861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489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862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369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863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492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536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528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847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260</v>
      </c>
      <c r="B994" s="27" t="s">
        <v>542</v>
      </c>
      <c r="C994" s="27" t="s">
        <v>478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531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/>
    </row>
    <row r="997" spans="1:12">
      <c r="A997" s="20" t="s">
        <v>864</v>
      </c>
    </row>
    <row r="998" spans="1:12">
      <c r="A998" s="20" t="s">
        <v>573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865</v>
      </c>
      <c r="B999" s="27" t="s">
        <v>549</v>
      </c>
      <c r="C999" s="27" t="s">
        <v>498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866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489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867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507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495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868</v>
      </c>
      <c r="B1005" s="27" t="s">
        <v>540</v>
      </c>
      <c r="C1005" s="27" t="s">
        <v>538</v>
      </c>
      <c r="D1005" s="27" t="s">
        <v>483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592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869</v>
      </c>
      <c r="B1007" s="27" t="s">
        <v>547</v>
      </c>
      <c r="C1007" s="27" t="s">
        <v>516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507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503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791</v>
      </c>
      <c r="B1010" s="27" t="s">
        <v>547</v>
      </c>
      <c r="C1010" s="27" t="s">
        <v>487</v>
      </c>
      <c r="D1010" s="27" t="s">
        <v>483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558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582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528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485</v>
      </c>
      <c r="B1014" s="27" t="s">
        <v>540</v>
      </c>
      <c r="C1014" s="27" t="s">
        <v>491</v>
      </c>
      <c r="D1014" s="27" t="s">
        <v>483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492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495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865</v>
      </c>
      <c r="B1017" s="27" t="s">
        <v>477</v>
      </c>
      <c r="C1017" s="27" t="s">
        <v>498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870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531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/>
    </row>
    <row r="1021" spans="1:12">
      <c r="A1021" s="20" t="s">
        <v>871</v>
      </c>
    </row>
    <row r="1022" spans="1:12">
      <c r="A1022" s="20" t="s">
        <v>633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872</v>
      </c>
      <c r="B1023" s="27" t="s">
        <v>549</v>
      </c>
      <c r="C1023" s="27" t="s">
        <v>487</v>
      </c>
      <c r="D1023" s="27" t="s">
        <v>483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557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873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805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662</v>
      </c>
      <c r="B1027" s="27" t="s">
        <v>477</v>
      </c>
      <c r="C1027" s="27" t="s">
        <v>491</v>
      </c>
      <c r="D1027" s="27" t="s">
        <v>483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531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/>
    </row>
    <row r="1030" spans="1:12">
      <c r="A1030" s="20" t="s">
        <v>874</v>
      </c>
    </row>
    <row r="1031" spans="1:12">
      <c r="A1031" s="20" t="s">
        <v>875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824</v>
      </c>
      <c r="B1032" s="27" t="s">
        <v>549</v>
      </c>
      <c r="C1032" s="27" t="s">
        <v>498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489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876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877</v>
      </c>
      <c r="B1035" s="27" t="s">
        <v>490</v>
      </c>
      <c r="C1035" s="27" t="s">
        <v>538</v>
      </c>
      <c r="D1035" s="27" t="s">
        <v>483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503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485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878</v>
      </c>
      <c r="B1038" s="27" t="s">
        <v>540</v>
      </c>
      <c r="C1038" s="27" t="s">
        <v>487</v>
      </c>
      <c r="D1038" s="27" t="s">
        <v>483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680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558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675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395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879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762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536</v>
      </c>
      <c r="B1045" s="27" t="s">
        <v>481</v>
      </c>
      <c r="C1045" s="27" t="s">
        <v>764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561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/>
    </row>
    <row r="1048" spans="1:12">
      <c r="A1048" s="20" t="s">
        <v>880</v>
      </c>
    </row>
    <row r="1049" spans="1:12">
      <c r="A1049" s="20" t="s">
        <v>253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489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783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620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489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680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480</v>
      </c>
      <c r="B1055" s="27" t="s">
        <v>542</v>
      </c>
      <c r="C1055" s="27" t="s">
        <v>482</v>
      </c>
      <c r="D1055" s="27" t="s">
        <v>483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881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528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882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883</v>
      </c>
      <c r="B1059" s="27" t="s">
        <v>490</v>
      </c>
      <c r="C1059" s="27" t="s">
        <v>487</v>
      </c>
      <c r="D1059" s="27" t="s">
        <v>483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531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/>
    </row>
    <row r="1062" spans="1:12">
      <c r="A1062" s="20" t="s">
        <v>884</v>
      </c>
    </row>
    <row r="1063" spans="1:12">
      <c r="A1063" s="20" t="s">
        <v>633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885</v>
      </c>
      <c r="B1064" s="27" t="s">
        <v>549</v>
      </c>
      <c r="C1064" s="27" t="s">
        <v>487</v>
      </c>
      <c r="D1064" s="27" t="s">
        <v>483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558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492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882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886</v>
      </c>
      <c r="B1068" s="27" t="s">
        <v>537</v>
      </c>
      <c r="C1068" s="27" t="s">
        <v>487</v>
      </c>
      <c r="D1068" s="27" t="s">
        <v>483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697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887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805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569</v>
      </c>
      <c r="B1072" s="27" t="s">
        <v>490</v>
      </c>
      <c r="C1072" s="27" t="s">
        <v>491</v>
      </c>
      <c r="D1072" s="27" t="s">
        <v>483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531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/>
    </row>
    <row r="1075" spans="1:12">
      <c r="A1075" s="20" t="s">
        <v>888</v>
      </c>
    </row>
    <row r="1076" spans="1:12">
      <c r="A1076" s="20" t="s">
        <v>686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485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260</v>
      </c>
      <c r="B1078" s="27" t="s">
        <v>477</v>
      </c>
      <c r="C1078" s="27" t="s">
        <v>487</v>
      </c>
      <c r="D1078" s="27" t="s">
        <v>483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889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531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/>
    </row>
    <row r="1082" spans="1:12">
      <c r="A1082" s="20" t="s">
        <v>890</v>
      </c>
    </row>
    <row r="1083" spans="1:12">
      <c r="A1083" s="20" t="s">
        <v>566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891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485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892</v>
      </c>
      <c r="B1086" s="27" t="s">
        <v>542</v>
      </c>
      <c r="C1086" s="27" t="s">
        <v>538</v>
      </c>
      <c r="D1086" s="27" t="s">
        <v>483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528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485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486</v>
      </c>
      <c r="B1089" s="27" t="s">
        <v>540</v>
      </c>
      <c r="C1089" s="27" t="s">
        <v>487</v>
      </c>
      <c r="D1089" s="27" t="s">
        <v>483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488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893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528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894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507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503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895</v>
      </c>
      <c r="B1096" s="27" t="s">
        <v>490</v>
      </c>
      <c r="C1096" s="27" t="s">
        <v>487</v>
      </c>
      <c r="D1096" s="27" t="s">
        <v>483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531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/>
    </row>
    <row r="1099" spans="1:12">
      <c r="A1099" s="20" t="s">
        <v>896</v>
      </c>
    </row>
    <row r="1100" spans="1:12">
      <c r="A1100" s="20" t="s">
        <v>573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267</v>
      </c>
      <c r="B1101" s="27" t="s">
        <v>477</v>
      </c>
      <c r="C1101" s="27" t="s">
        <v>538</v>
      </c>
      <c r="D1101" s="27" t="s">
        <v>483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805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475</v>
      </c>
      <c r="B1103" s="27" t="s">
        <v>477</v>
      </c>
      <c r="C1103" s="27" t="s">
        <v>516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897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561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898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899</v>
      </c>
      <c r="B1107" s="27" t="s">
        <v>477</v>
      </c>
      <c r="C1107" s="27" t="s">
        <v>538</v>
      </c>
      <c r="D1107" s="27" t="s">
        <v>483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900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528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475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897</v>
      </c>
      <c r="B1111" s="27" t="s">
        <v>490</v>
      </c>
      <c r="C1111" s="27" t="s">
        <v>478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561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592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901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569</v>
      </c>
      <c r="B1115" s="27" t="s">
        <v>542</v>
      </c>
      <c r="C1115" s="27" t="s">
        <v>491</v>
      </c>
      <c r="D1115" s="27" t="s">
        <v>483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507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380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902</v>
      </c>
      <c r="B1118" s="27" t="s">
        <v>490</v>
      </c>
      <c r="C1118" s="27" t="s">
        <v>498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561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/>
    </row>
    <row r="1121" spans="1:12">
      <c r="A1121" s="20" t="s">
        <v>903</v>
      </c>
    </row>
    <row r="1122" spans="1:12">
      <c r="A1122" s="20" t="s">
        <v>904</v>
      </c>
      <c r="B1122" s="27" t="s">
        <v>549</v>
      </c>
      <c r="C1122" s="27" t="s">
        <v>491</v>
      </c>
      <c r="D1122" s="27" t="s">
        <v>483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558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495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905</v>
      </c>
      <c r="B1125" s="27" t="s">
        <v>477</v>
      </c>
      <c r="C1125" s="27" t="s">
        <v>538</v>
      </c>
      <c r="D1125" s="27" t="s">
        <v>483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590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906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507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485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907</v>
      </c>
      <c r="B1130" s="27" t="s">
        <v>477</v>
      </c>
      <c r="C1130" s="27" t="s">
        <v>538</v>
      </c>
      <c r="D1130" s="27" t="s">
        <v>483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528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908</v>
      </c>
      <c r="B1132" s="27" t="s">
        <v>490</v>
      </c>
      <c r="C1132" s="27" t="s">
        <v>482</v>
      </c>
      <c r="D1132" s="27" t="s">
        <v>483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489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909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590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369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910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528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485</v>
      </c>
      <c r="B1139" s="27" t="s">
        <v>547</v>
      </c>
      <c r="C1139" s="27" t="s">
        <v>491</v>
      </c>
      <c r="D1139" s="27" t="s">
        <v>483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492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380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824</v>
      </c>
      <c r="B1142" s="27" t="s">
        <v>490</v>
      </c>
      <c r="C1142" s="27" t="s">
        <v>498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825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531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/>
    </row>
    <row r="1146" spans="1:12">
      <c r="A1146" s="20" t="s">
        <v>911</v>
      </c>
    </row>
    <row r="1147" spans="1:12">
      <c r="A1147" s="20" t="s">
        <v>597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275</v>
      </c>
      <c r="B1148" s="27" t="s">
        <v>477</v>
      </c>
      <c r="C1148" s="27" t="s">
        <v>598</v>
      </c>
      <c r="D1148" s="27" t="s">
        <v>483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561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384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489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912</v>
      </c>
      <c r="B1152" s="27" t="s">
        <v>477</v>
      </c>
      <c r="C1152" s="27" t="s">
        <v>516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585</v>
      </c>
      <c r="B1153" s="27" t="s">
        <v>477</v>
      </c>
      <c r="C1153" s="27" t="s">
        <v>482</v>
      </c>
      <c r="D1153" s="27" t="s">
        <v>483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507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791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913</v>
      </c>
      <c r="B1156" s="27" t="s">
        <v>490</v>
      </c>
      <c r="C1156" s="27" t="s">
        <v>478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489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752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914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915</v>
      </c>
      <c r="B1160" s="27" t="s">
        <v>542</v>
      </c>
      <c r="C1160" s="27" t="s">
        <v>516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531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/>
    </row>
    <row r="1163" spans="1:12">
      <c r="A1163" s="20" t="s">
        <v>916</v>
      </c>
    </row>
    <row r="1164" spans="1:12">
      <c r="A1164" s="20" t="s">
        <v>633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885</v>
      </c>
      <c r="B1165" s="27" t="s">
        <v>549</v>
      </c>
      <c r="C1165" s="27" t="s">
        <v>487</v>
      </c>
      <c r="D1165" s="27" t="s">
        <v>483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558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917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485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824</v>
      </c>
      <c r="B1169" s="27" t="s">
        <v>549</v>
      </c>
      <c r="C1169" s="27" t="s">
        <v>487</v>
      </c>
      <c r="D1169" s="27" t="s">
        <v>483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825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680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558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675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395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594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485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824</v>
      </c>
      <c r="B1177" s="27" t="s">
        <v>477</v>
      </c>
      <c r="C1177" s="27" t="s">
        <v>487</v>
      </c>
      <c r="D1177" s="27" t="s">
        <v>483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835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492</v>
      </c>
      <c r="B1179" s="27" t="s">
        <v>553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680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558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675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395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594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503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865</v>
      </c>
      <c r="B1186" s="27" t="s">
        <v>540</v>
      </c>
      <c r="C1186" s="27" t="s">
        <v>487</v>
      </c>
      <c r="D1186" s="27" t="s">
        <v>483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489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492</v>
      </c>
      <c r="B1188" s="27" t="s">
        <v>493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680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558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675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741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594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503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895</v>
      </c>
      <c r="B1195" s="27" t="s">
        <v>659</v>
      </c>
      <c r="C1195" s="27" t="s">
        <v>487</v>
      </c>
      <c r="D1195" s="27" t="s">
        <v>483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531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/>
    </row>
    <row r="1198" spans="1:12">
      <c r="A1198" s="20" t="s">
        <v>918</v>
      </c>
    </row>
    <row r="1199" spans="1:12">
      <c r="A1199" s="20" t="s">
        <v>776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919</v>
      </c>
      <c r="B1200" s="27" t="s">
        <v>549</v>
      </c>
      <c r="C1200" s="27" t="s">
        <v>844</v>
      </c>
      <c r="D1200" s="27" t="s">
        <v>483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528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908</v>
      </c>
      <c r="B1202" s="27" t="s">
        <v>490</v>
      </c>
      <c r="C1202" s="27" t="s">
        <v>482</v>
      </c>
      <c r="D1202" s="27" t="s">
        <v>483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577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847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920</v>
      </c>
      <c r="B1205" s="27" t="s">
        <v>481</v>
      </c>
      <c r="C1205" s="27" t="s">
        <v>478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921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531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/>
    </row>
    <row r="1209" spans="1:12">
      <c r="A1209" s="20" t="s">
        <v>922</v>
      </c>
    </row>
    <row r="1210" spans="1:12">
      <c r="A1210" s="20" t="s">
        <v>909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550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503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923</v>
      </c>
      <c r="B1213" s="27" t="s">
        <v>477</v>
      </c>
      <c r="C1213" s="27" t="s">
        <v>635</v>
      </c>
      <c r="D1213" s="27" t="s">
        <v>483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924</v>
      </c>
      <c r="B1214" s="27" t="s">
        <v>477</v>
      </c>
      <c r="C1214" s="27" t="s">
        <v>487</v>
      </c>
      <c r="D1214" s="27" t="s">
        <v>483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492</v>
      </c>
      <c r="B1215" s="27" t="s">
        <v>537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485</v>
      </c>
      <c r="B1216" s="27" t="s">
        <v>542</v>
      </c>
      <c r="C1216" s="27" t="s">
        <v>482</v>
      </c>
      <c r="D1216" s="27" t="s">
        <v>483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574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530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507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485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925</v>
      </c>
      <c r="B1221" s="27" t="s">
        <v>540</v>
      </c>
      <c r="C1221" s="27" t="s">
        <v>635</v>
      </c>
      <c r="D1221" s="27" t="s">
        <v>483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926</v>
      </c>
      <c r="B1222" s="27" t="s">
        <v>490</v>
      </c>
      <c r="C1222" s="27" t="s">
        <v>487</v>
      </c>
      <c r="D1222" s="27" t="s">
        <v>483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592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577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380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486</v>
      </c>
      <c r="B1226" s="27" t="s">
        <v>542</v>
      </c>
      <c r="C1226" s="27" t="s">
        <v>498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369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910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531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/>
    </row>
    <row r="1231" spans="1:12">
      <c r="A1231" s="20" t="s">
        <v>927</v>
      </c>
    </row>
    <row r="1232" spans="1:12">
      <c r="A1232" s="20" t="s">
        <v>608</v>
      </c>
      <c r="B1232" s="27" t="s">
        <v>549</v>
      </c>
      <c r="C1232" s="27" t="s">
        <v>482</v>
      </c>
      <c r="D1232" s="27" t="s">
        <v>483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928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72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529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929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894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507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769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930</v>
      </c>
      <c r="B1240" s="27" t="s">
        <v>547</v>
      </c>
      <c r="C1240" s="27" t="s">
        <v>598</v>
      </c>
      <c r="D1240" s="27" t="s">
        <v>483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592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931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679</v>
      </c>
      <c r="B1243" s="27" t="s">
        <v>497</v>
      </c>
      <c r="C1243" s="27" t="s">
        <v>482</v>
      </c>
      <c r="D1243" s="27" t="s">
        <v>483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507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380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586</v>
      </c>
      <c r="B1246" s="27" t="s">
        <v>659</v>
      </c>
      <c r="C1246" s="27" t="s">
        <v>538</v>
      </c>
      <c r="D1246" s="27" t="s">
        <v>483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528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587</v>
      </c>
      <c r="B1248" s="27" t="s">
        <v>736</v>
      </c>
      <c r="C1248" s="27" t="s">
        <v>516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531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/>
    </row>
    <row r="1251" spans="1:12">
      <c r="A1251" s="20" t="s">
        <v>932</v>
      </c>
    </row>
    <row r="1252" spans="1:12">
      <c r="A1252" s="20" t="s">
        <v>293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507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495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496</v>
      </c>
      <c r="B1255" s="27" t="s">
        <v>481</v>
      </c>
      <c r="C1255" s="27" t="s">
        <v>498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492</v>
      </c>
      <c r="B1256" s="27" t="s">
        <v>553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558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933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558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380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586</v>
      </c>
      <c r="B1261" s="27" t="s">
        <v>490</v>
      </c>
      <c r="C1261" s="27" t="s">
        <v>498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934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592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618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679</v>
      </c>
      <c r="B1265" s="27" t="s">
        <v>578</v>
      </c>
      <c r="C1265" s="27" t="s">
        <v>482</v>
      </c>
      <c r="D1265" s="27" t="s">
        <v>483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391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530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531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/>
    </row>
    <row r="1270" spans="1:12">
      <c r="A1270" s="20" t="s">
        <v>935</v>
      </c>
    </row>
    <row r="1271" spans="1:12">
      <c r="A1271" s="20" t="s">
        <v>936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489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503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937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528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720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808</v>
      </c>
      <c r="B1277" s="27" t="s">
        <v>490</v>
      </c>
      <c r="C1277" s="27" t="s">
        <v>598</v>
      </c>
      <c r="D1277" s="27" t="s">
        <v>483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489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492</v>
      </c>
      <c r="B1279" s="27" t="s">
        <v>654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489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752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938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939</v>
      </c>
      <c r="B1283" s="27" t="s">
        <v>497</v>
      </c>
      <c r="C1283" s="27" t="s">
        <v>516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489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940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507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503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895</v>
      </c>
      <c r="B1288" s="27" t="s">
        <v>547</v>
      </c>
      <c r="C1288" s="27" t="s">
        <v>487</v>
      </c>
      <c r="D1288" s="27" t="s">
        <v>483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531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/>
    </row>
    <row r="1291" spans="1:12">
      <c r="A1291" s="20" t="s">
        <v>941</v>
      </c>
    </row>
    <row r="1292" spans="1:12">
      <c r="A1292" s="20" t="s">
        <v>942</v>
      </c>
      <c r="B1292" s="27" t="s">
        <v>549</v>
      </c>
      <c r="C1292" s="27" t="s">
        <v>491</v>
      </c>
      <c r="D1292" s="27" t="s">
        <v>483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558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380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943</v>
      </c>
      <c r="B1295" s="27" t="s">
        <v>477</v>
      </c>
      <c r="C1295" s="27" t="s">
        <v>538</v>
      </c>
      <c r="D1295" s="27" t="s">
        <v>483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528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75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899</v>
      </c>
      <c r="B1298" s="27" t="s">
        <v>477</v>
      </c>
      <c r="C1298" s="27" t="s">
        <v>764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531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/>
    </row>
    <row r="1301" spans="1:12">
      <c r="A1301" s="20" t="s">
        <v>944</v>
      </c>
    </row>
    <row r="1302" spans="1:12">
      <c r="A1302" s="20" t="s">
        <v>909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590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945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531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/>
    </row>
    <row r="1307" spans="1:12">
      <c r="A1307" s="20" t="s">
        <v>946</v>
      </c>
    </row>
    <row r="1308" spans="1:12">
      <c r="A1308" s="20" t="s">
        <v>617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947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619</v>
      </c>
      <c r="B1310" s="27" t="s">
        <v>542</v>
      </c>
      <c r="C1310" s="27" t="s">
        <v>482</v>
      </c>
      <c r="D1310" s="27" t="s">
        <v>483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380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948</v>
      </c>
      <c r="B1312" s="27" t="s">
        <v>490</v>
      </c>
      <c r="C1312" s="27" t="s">
        <v>498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531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/>
    </row>
    <row r="1315" spans="1:12">
      <c r="A1315" s="20" t="s">
        <v>949</v>
      </c>
    </row>
    <row r="1316" spans="1:12">
      <c r="A1316" s="20" t="s">
        <v>942</v>
      </c>
      <c r="B1316" s="27" t="s">
        <v>549</v>
      </c>
      <c r="C1316" s="27" t="s">
        <v>491</v>
      </c>
      <c r="D1316" s="27" t="s">
        <v>483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558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568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503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634</v>
      </c>
      <c r="B1320" s="27" t="s">
        <v>490</v>
      </c>
      <c r="C1320" s="27" t="s">
        <v>635</v>
      </c>
      <c r="D1320" s="27" t="s">
        <v>483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950</v>
      </c>
      <c r="B1321" s="27" t="s">
        <v>481</v>
      </c>
      <c r="C1321" s="27" t="s">
        <v>487</v>
      </c>
      <c r="D1321" s="27" t="s">
        <v>483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531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/>
    </row>
    <row r="1324" spans="1:12">
      <c r="A1324" s="20" t="s">
        <v>951</v>
      </c>
    </row>
    <row r="1325" spans="1:12">
      <c r="A1325" s="20" t="s">
        <v>813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558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503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950</v>
      </c>
      <c r="B1328" s="27" t="s">
        <v>477</v>
      </c>
      <c r="C1328" s="27" t="s">
        <v>538</v>
      </c>
      <c r="D1328" s="27" t="s">
        <v>483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952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528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485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953</v>
      </c>
      <c r="B1332" s="27" t="s">
        <v>477</v>
      </c>
      <c r="C1332" s="27" t="s">
        <v>612</v>
      </c>
      <c r="D1332" s="27" t="s">
        <v>483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531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/>
    </row>
    <row r="1335" spans="1:12">
      <c r="A1335" s="20" t="s">
        <v>954</v>
      </c>
    </row>
    <row r="1336" spans="1:12">
      <c r="A1336" s="20" t="s">
        <v>942</v>
      </c>
      <c r="B1336" s="27" t="s">
        <v>549</v>
      </c>
      <c r="C1336" s="27" t="s">
        <v>491</v>
      </c>
      <c r="D1336" s="27" t="s">
        <v>483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558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503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634</v>
      </c>
      <c r="B1339" s="27" t="s">
        <v>490</v>
      </c>
      <c r="C1339" s="27" t="s">
        <v>635</v>
      </c>
      <c r="D1339" s="27" t="s">
        <v>483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955</v>
      </c>
      <c r="B1340" s="27" t="s">
        <v>481</v>
      </c>
      <c r="C1340" s="27" t="s">
        <v>487</v>
      </c>
      <c r="D1340" s="27" t="s">
        <v>483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531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/>
    </row>
    <row r="1343" spans="1:12">
      <c r="A1343" s="20" t="s">
        <v>956</v>
      </c>
    </row>
    <row r="1344" spans="1:12">
      <c r="A1344" s="20" t="s">
        <v>813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558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380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486</v>
      </c>
      <c r="B1347" s="27" t="s">
        <v>477</v>
      </c>
      <c r="C1347" s="27" t="s">
        <v>538</v>
      </c>
      <c r="D1347" s="27" t="s">
        <v>483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952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528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957</v>
      </c>
      <c r="B1350" s="27" t="s">
        <v>477</v>
      </c>
      <c r="C1350" s="27" t="s">
        <v>612</v>
      </c>
      <c r="D1350" s="27" t="s">
        <v>483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531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/>
    </row>
    <row r="1353" spans="1:12">
      <c r="A1353" s="20" t="s">
        <v>958</v>
      </c>
    </row>
    <row r="1354" spans="1:12">
      <c r="A1354" s="20" t="s">
        <v>617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959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 t="s">
        <v>503</v>
      </c>
      <c r="E1356" s="21">
        <f>IF(D1356="?OLD","!!!","")</f>
        <v/>
      </c>
      <c r="F1356" s="22" t="str">
        <f>IF(OR(E1356="",E1356="!!!"),"",IF(NOT(ISNA(VLOOKUP(E1356,E$1:E1355,1,FALSE()))),"OLD",IF(AND(E1356&lt;&gt;"",E1356&lt;&gt;"!!!"),"NEW","")))</f>
        <v> </v>
      </c>
      <c r="G1356" s="23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4" t="str">
        <f>IF(J1356&lt;&gt;1,"",IF(I1356="SBJ","CB","?"))</f>
        <v> </v>
      </c>
      <c r="I1356" s="25" t="str">
        <f>IF(OR(E1356="",E1356="!!!",F1356="NEW"),"",INDEX(B1355:B$2,-1+SUMPRODUCT(MAX(ROW(E1355:E$2)*(E1356=E1355:E$2)))))</f>
        <v> </v>
      </c>
      <c r="J1356" s="25" t="str">
        <f>IF(OR(E1356="",E1356="!!!",F1356="NEW"),"",COUNTBLANK(OFFSET(A$1,,,SUMPRODUCT(MAX(ROW(E$2:E1356)*(E1356=E$2:E1356)))))-COUNTBLANK(OFFSET(A$1,,,SUMPRODUCT(MAX(ROW(E$1:E1355)*(E2=E$1:E1355))))))</f>
        <v> </v>
      </c>
      <c r="K1356" s="25" t="str">
        <f>IF(OR(E1356="",E1356="!!!",F1356="NEW"),"",INDEX(J$1:J1355,SUMPRODUCT(MAX(ROW(E$1:E1355)*(E1356=E$1:E1355)))))</f>
        <v> </v>
      </c>
      <c r="L1356" s="26"/>
    </row>
    <row r="1357" spans="1:12">
      <c r="A1357" s="20" t="s">
        <v>634</v>
      </c>
      <c r="B1357" s="27" t="s">
        <v>540</v>
      </c>
      <c r="C1357" s="27" t="s">
        <v>635</v>
      </c>
      <c r="D1357" s="27" t="s">
        <v>483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 t="s">
        <v>955</v>
      </c>
      <c r="B1358" s="27" t="s">
        <v>542</v>
      </c>
      <c r="C1358" s="27" t="s">
        <v>487</v>
      </c>
      <c r="D1358" s="27" t="s">
        <v>483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592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 t="s">
        <v>960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769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895</v>
      </c>
      <c r="B1362" s="27" t="s">
        <v>578</v>
      </c>
      <c r="C1362" s="27" t="s">
        <v>598</v>
      </c>
      <c r="D1362" s="27" t="s">
        <v>483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961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503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485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962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963</v>
      </c>
      <c r="B1367" s="27" t="s">
        <v>540</v>
      </c>
      <c r="C1367" s="27" t="s">
        <v>487</v>
      </c>
      <c r="D1367" s="27" t="s">
        <v>483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531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/>
    </row>
    <row r="1370" spans="1:12">
      <c r="A1370" s="20" t="s">
        <v>964</v>
      </c>
    </row>
    <row r="1371" spans="1:12">
      <c r="A1371" s="20" t="s">
        <v>566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860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965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 t="s">
        <v>517</v>
      </c>
      <c r="E1374" s="21">
        <f>IF(D1374="?OLD","!!!","")</f>
        <v/>
      </c>
      <c r="F1374" s="22" t="str">
        <f>IF(OR(E1374="",E1374="!!!"),"",IF(NOT(ISNA(VLOOKUP(E1374,E$1:E1373,1,FALSE()))),"OLD",IF(AND(E1374&lt;&gt;"",E1374&lt;&gt;"!!!"),"NEW","")))</f>
        <v> </v>
      </c>
      <c r="G1374" s="23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4" t="str">
        <f>IF(J1374&lt;&gt;1,"",IF(I1374="SBJ","CB","?"))</f>
        <v> </v>
      </c>
      <c r="I1374" s="25" t="str">
        <f>IF(OR(E1374="",E1374="!!!",F1374="NEW"),"",INDEX(B1373:B$2,-1+SUMPRODUCT(MAX(ROW(E1373:E$2)*(E1374=E1373:E$2)))))</f>
        <v> </v>
      </c>
      <c r="J1374" s="25" t="str">
        <f>IF(OR(E1374="",E1374="!!!",F1374="NEW"),"",COUNTBLANK(OFFSET(A$1,,,SUMPRODUCT(MAX(ROW(E$2:E1374)*(E1374=E$2:E1374)))))-COUNTBLANK(OFFSET(A$1,,,SUMPRODUCT(MAX(ROW(E$1:E1373)*(E2=E$1:E1373))))))</f>
        <v> </v>
      </c>
      <c r="K1374" s="25" t="str">
        <f>IF(OR(E1374="",E1374="!!!",F1374="NEW"),"",INDEX(J$1:J1373,SUMPRODUCT(MAX(ROW(E$1:E1373)*(E1374=E$1:E1373)))))</f>
        <v> </v>
      </c>
      <c r="L1374" s="26"/>
    </row>
    <row r="1375" spans="1:12">
      <c r="A1375" s="20" t="s">
        <v>966</v>
      </c>
      <c r="E1375" s="21">
        <f>IF(D1375="?OLD","!!!","")</f>
        <v/>
      </c>
      <c r="F1375" s="22" t="str">
        <f>IF(OR(E1375="",E1375="!!!"),"",IF(NOT(ISNA(VLOOKUP(E1375,E$1:E1374,1,FALSE()))),"OLD",IF(AND(E1375&lt;&gt;"",E1375&lt;&gt;"!!!"),"NEW","")))</f>
        <v> </v>
      </c>
      <c r="G1375" s="23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4" t="str">
        <f>IF(J1375&lt;&gt;1,"",IF(I1375="SBJ","CB","?"))</f>
        <v> </v>
      </c>
      <c r="I1375" s="25" t="str">
        <f>IF(OR(E1375="",E1375="!!!",F1375="NEW"),"",INDEX(B1374:B$2,-1+SUMPRODUCT(MAX(ROW(E1374:E$2)*(E1375=E1374:E$2)))))</f>
        <v> </v>
      </c>
      <c r="J1375" s="25" t="str">
        <f>IF(OR(E1375="",E1375="!!!",F1375="NEW"),"",COUNTBLANK(OFFSET(A$1,,,SUMPRODUCT(MAX(ROW(E$2:E1375)*(E1375=E$2:E1375)))))-COUNTBLANK(OFFSET(A$1,,,SUMPRODUCT(MAX(ROW(E$1:E1374)*(E2=E$1:E1374))))))</f>
        <v> </v>
      </c>
      <c r="K1375" s="25" t="str">
        <f>IF(OR(E1375="",E1375="!!!",F1375="NEW"),"",INDEX(J$1:J1374,SUMPRODUCT(MAX(ROW(E$1:E1374)*(E1375=E$1:E1374)))))</f>
        <v> </v>
      </c>
      <c r="L1375" s="26"/>
    </row>
    <row r="1376" spans="1:12">
      <c r="A1376" s="20" t="s">
        <v>967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561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/>
    </row>
    <row r="1379" spans="1:12">
      <c r="A1379" s="20" t="s">
        <v>968</v>
      </c>
    </row>
    <row r="1380" spans="1:12">
      <c r="A1380" s="20" t="s">
        <v>608</v>
      </c>
      <c r="B1380" s="27" t="s">
        <v>549</v>
      </c>
      <c r="C1380" s="27" t="s">
        <v>482</v>
      </c>
      <c r="D1380" s="27" t="s">
        <v>483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969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662</v>
      </c>
      <c r="B1382" s="27" t="s">
        <v>481</v>
      </c>
      <c r="C1382" s="27" t="s">
        <v>491</v>
      </c>
      <c r="D1382" s="27" t="s">
        <v>483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507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 t="s">
        <v>485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970</v>
      </c>
      <c r="B1385" s="27" t="s">
        <v>477</v>
      </c>
      <c r="C1385" s="27" t="s">
        <v>538</v>
      </c>
      <c r="D1385" s="27" t="s">
        <v>483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528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485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 t="s">
        <v>971</v>
      </c>
      <c r="B1388" s="27" t="s">
        <v>490</v>
      </c>
      <c r="C1388" s="27" t="s">
        <v>487</v>
      </c>
      <c r="D1388" s="27" t="s">
        <v>483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 t="s">
        <v>489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500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972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800</v>
      </c>
      <c r="B1392" s="27" t="s">
        <v>540</v>
      </c>
      <c r="C1392" s="27" t="s">
        <v>478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592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500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973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974</v>
      </c>
      <c r="B1396" s="27" t="s">
        <v>540</v>
      </c>
      <c r="C1396" s="27" t="s">
        <v>478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492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512</v>
      </c>
      <c r="B1398" s="27" t="s">
        <v>537</v>
      </c>
      <c r="C1398" s="27" t="s">
        <v>482</v>
      </c>
      <c r="D1398" s="27" t="s">
        <v>483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680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975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489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592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495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976</v>
      </c>
      <c r="B1404" s="27" t="s">
        <v>553</v>
      </c>
      <c r="C1404" s="27" t="s">
        <v>498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977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 t="s">
        <v>978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531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/>
    </row>
    <row r="1409" spans="1:12">
      <c r="A1409" s="20" t="s">
        <v>979</v>
      </c>
    </row>
    <row r="1410" spans="1:12">
      <c r="A1410" s="20" t="s">
        <v>980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489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529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981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982</v>
      </c>
      <c r="B1414" s="27" t="s">
        <v>542</v>
      </c>
      <c r="C1414" s="27" t="s">
        <v>516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 t="s">
        <v>967</v>
      </c>
      <c r="E1415" s="21">
        <f>IF(D1415="?OLD","!!!","")</f>
        <v/>
      </c>
      <c r="F1415" s="22" t="str">
        <f>IF(OR(E1415="",E1415="!!!"),"",IF(NOT(ISNA(VLOOKUP(E1415,E$1:E1414,1,FALSE()))),"OLD",IF(AND(E1415&lt;&gt;"",E1415&lt;&gt;"!!!"),"NEW","")))</f>
        <v> </v>
      </c>
      <c r="G1415" s="23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4" t="str">
        <f>IF(J1415&lt;&gt;1,"",IF(I1415="SBJ","CB","?"))</f>
        <v> </v>
      </c>
      <c r="I1415" s="25" t="str">
        <f>IF(OR(E1415="",E1415="!!!",F1415="NEW"),"",INDEX(B1414:B$2,-1+SUMPRODUCT(MAX(ROW(E1414:E$2)*(E1415=E1414:E$2)))))</f>
        <v> </v>
      </c>
      <c r="J1415" s="25" t="str">
        <f>IF(OR(E1415="",E1415="!!!",F1415="NEW"),"",COUNTBLANK(OFFSET(A$1,,,SUMPRODUCT(MAX(ROW(E$2:E1415)*(E1415=E$2:E1415)))))-COUNTBLANK(OFFSET(A$1,,,SUMPRODUCT(MAX(ROW(E$1:E1414)*(E2=E$1:E1414))))))</f>
        <v> </v>
      </c>
      <c r="K1415" s="25" t="str">
        <f>IF(OR(E1415="",E1415="!!!",F1415="NEW"),"",INDEX(J$1:J1414,SUMPRODUCT(MAX(ROW(E$1:E1414)*(E1415=E$1:E1414)))))</f>
        <v> </v>
      </c>
      <c r="L1415" s="26"/>
    </row>
    <row r="1416" spans="1:12">
      <c r="A1416" s="20" t="s">
        <v>489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 t="s">
        <v>337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492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983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500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485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963</v>
      </c>
      <c r="B1422" s="27" t="s">
        <v>490</v>
      </c>
      <c r="C1422" s="27" t="s">
        <v>487</v>
      </c>
      <c r="D1422" s="27" t="s">
        <v>483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984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508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985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123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561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/>
    </row>
    <row r="1429" spans="1:12">
      <c r="A1429" s="20" t="s">
        <v>986</v>
      </c>
    </row>
    <row r="1430" spans="1:12">
      <c r="A1430" s="20" t="s">
        <v>12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 t="s">
        <v>582</v>
      </c>
      <c r="B1431" s="27" t="s">
        <v>549</v>
      </c>
      <c r="C1431" s="27" t="s">
        <v>487</v>
      </c>
      <c r="D1431" s="27" t="s">
        <v>483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558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333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 t="s">
        <v>503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 t="s">
        <v>987</v>
      </c>
      <c r="B1435" s="27" t="s">
        <v>481</v>
      </c>
      <c r="C1435" s="27" t="s">
        <v>487</v>
      </c>
      <c r="D1435" s="27" t="s">
        <v>483</v>
      </c>
      <c r="E1435" s="21">
        <f>IF(D1435="?OLD","!!!","")</f>
        <v/>
      </c>
      <c r="F1435" s="22" t="str">
        <f>IF(OR(E1435="",E1435="!!!"),"",IF(NOT(ISNA(VLOOKUP(E1435,E$1:E1434,1,FALSE()))),"OLD",IF(AND(E1435&lt;&gt;"",E1435&lt;&gt;"!!!"),"NEW","")))</f>
        <v> </v>
      </c>
      <c r="G1435" s="23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4" t="str">
        <f>IF(J1435&lt;&gt;1,"",IF(I1435="SBJ","CB","?"))</f>
        <v> </v>
      </c>
      <c r="I1435" s="25" t="str">
        <f>IF(OR(E1435="",E1435="!!!",F1435="NEW"),"",INDEX(B1434:B$2,-1+SUMPRODUCT(MAX(ROW(E1434:E$2)*(E1435=E1434:E$2)))))</f>
        <v> </v>
      </c>
      <c r="J1435" s="25" t="str">
        <f>IF(OR(E1435="",E1435="!!!",F1435="NEW"),"",COUNTBLANK(OFFSET(A$1,,,SUMPRODUCT(MAX(ROW(E$2:E1435)*(E1435=E$2:E1435)))))-COUNTBLANK(OFFSET(A$1,,,SUMPRODUCT(MAX(ROW(E$1:E1434)*(E2=E$1:E1434))))))</f>
        <v> </v>
      </c>
      <c r="K1435" s="25" t="str">
        <f>IF(OR(E1435="",E1435="!!!",F1435="NEW"),"",INDEX(J$1:J1434,SUMPRODUCT(MAX(ROW(E$1:E1434)*(E1435=E$1:E1434)))))</f>
        <v> </v>
      </c>
      <c r="L1435" s="26"/>
    </row>
    <row r="1436" spans="1:12">
      <c r="A1436" s="20" t="s">
        <v>988</v>
      </c>
      <c r="E1436" s="21">
        <f>IF(D1436="?OLD","!!!","")</f>
        <v/>
      </c>
      <c r="F1436" s="22" t="str">
        <f>IF(OR(E1436="",E1436="!!!"),"",IF(NOT(ISNA(VLOOKUP(E1436,E$1:E1435,1,FALSE()))),"OLD",IF(AND(E1436&lt;&gt;"",E1436&lt;&gt;"!!!"),"NEW","")))</f>
        <v> </v>
      </c>
      <c r="G1436" s="23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4" t="str">
        <f>IF(J1436&lt;&gt;1,"",IF(I1436="SBJ","CB","?"))</f>
        <v> </v>
      </c>
      <c r="I1436" s="25" t="str">
        <f>IF(OR(E1436="",E1436="!!!",F1436="NEW"),"",INDEX(B1435:B$2,-1+SUMPRODUCT(MAX(ROW(E1435:E$2)*(E1436=E1435:E$2)))))</f>
        <v> </v>
      </c>
      <c r="J1436" s="25" t="str">
        <f>IF(OR(E1436="",E1436="!!!",F1436="NEW"),"",COUNTBLANK(OFFSET(A$1,,,SUMPRODUCT(MAX(ROW(E$2:E1436)*(E1436=E$2:E1436)))))-COUNTBLANK(OFFSET(A$1,,,SUMPRODUCT(MAX(ROW(E$1:E1435)*(E2=E$1:E1435))))))</f>
        <v> </v>
      </c>
      <c r="K1436" s="25" t="str">
        <f>IF(OR(E1436="",E1436="!!!",F1436="NEW"),"",INDEX(J$1:J1435,SUMPRODUCT(MAX(ROW(E$1:E1435)*(E1436=E$1:E1435)))))</f>
        <v> </v>
      </c>
      <c r="L1436" s="26"/>
    </row>
    <row r="1437" spans="1:12">
      <c r="A1437" s="20" t="s">
        <v>503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882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989</v>
      </c>
      <c r="B1439" s="27" t="s">
        <v>477</v>
      </c>
      <c r="C1439" s="27" t="s">
        <v>487</v>
      </c>
      <c r="D1439" s="27" t="s">
        <v>483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531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/>
    </row>
    <row r="1442" spans="1:12">
      <c r="A1442" s="20" t="s">
        <v>990</v>
      </c>
    </row>
    <row r="1443" spans="1:12">
      <c r="A1443" s="20" t="s">
        <v>991</v>
      </c>
      <c r="E1443" s="21">
        <f>IF(D1443="?OLD","!!!","")</f>
        <v/>
      </c>
      <c r="F1443" s="22" t="str">
        <f>IF(OR(E1443="",E1443="!!!"),"",IF(NOT(ISNA(VLOOKUP(E1443,E$1:E1442,1,FALSE()))),"OLD",IF(AND(E1443&lt;&gt;"",E1443&lt;&gt;"!!!"),"NEW","")))</f>
        <v> </v>
      </c>
      <c r="G1443" s="23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4" t="str">
        <f>IF(J1443&lt;&gt;1,"",IF(I1443="SBJ","CB","?"))</f>
        <v> </v>
      </c>
      <c r="I1443" s="25" t="str">
        <f>IF(OR(E1443="",E1443="!!!",F1443="NEW"),"",INDEX(B1442:B$2,-1+SUMPRODUCT(MAX(ROW(E1442:E$2)*(E1443=E1442:E$2)))))</f>
        <v> </v>
      </c>
      <c r="J1443" s="25" t="str">
        <f>IF(OR(E1443="",E1443="!!!",F1443="NEW"),"",COUNTBLANK(OFFSET(A$1,,,SUMPRODUCT(MAX(ROW(E$2:E1443)*(E1443=E$2:E1443)))))-COUNTBLANK(OFFSET(A$1,,,SUMPRODUCT(MAX(ROW(E$1:E1442)*(E2=E$1:E1442))))))</f>
        <v> </v>
      </c>
      <c r="K1443" s="25" t="str">
        <f>IF(OR(E1443="",E1443="!!!",F1443="NEW"),"",INDEX(J$1:J1442,SUMPRODUCT(MAX(ROW(E$1:E1442)*(E1443=E$1:E1442)))))</f>
        <v> </v>
      </c>
      <c r="L1443" s="26"/>
    </row>
    <row r="1444" spans="1:12">
      <c r="A1444" s="20" t="s">
        <v>992</v>
      </c>
      <c r="E1444" s="21">
        <f>IF(D1444="?OLD","!!!","")</f>
        <v/>
      </c>
      <c r="F1444" s="22" t="str">
        <f>IF(OR(E1444="",E1444="!!!"),"",IF(NOT(ISNA(VLOOKUP(E1444,E$1:E1443,1,FALSE()))),"OLD",IF(AND(E1444&lt;&gt;"",E1444&lt;&gt;"!!!"),"NEW","")))</f>
        <v> </v>
      </c>
      <c r="G1444" s="23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4" t="str">
        <f>IF(J1444&lt;&gt;1,"",IF(I1444="SBJ","CB","?"))</f>
        <v> </v>
      </c>
      <c r="I1444" s="25" t="str">
        <f>IF(OR(E1444="",E1444="!!!",F1444="NEW"),"",INDEX(B1443:B$2,-1+SUMPRODUCT(MAX(ROW(E1443:E$2)*(E1444=E1443:E$2)))))</f>
        <v> </v>
      </c>
      <c r="J1444" s="25" t="str">
        <f>IF(OR(E1444="",E1444="!!!",F1444="NEW"),"",COUNTBLANK(OFFSET(A$1,,,SUMPRODUCT(MAX(ROW(E$2:E1444)*(E1444=E$2:E1444)))))-COUNTBLANK(OFFSET(A$1,,,SUMPRODUCT(MAX(ROW(E$1:E1443)*(E2=E$1:E1443))))))</f>
        <v> </v>
      </c>
      <c r="K1444" s="25" t="str">
        <f>IF(OR(E1444="",E1444="!!!",F1444="NEW"),"",INDEX(J$1:J1443,SUMPRODUCT(MAX(ROW(E$1:E1443)*(E1444=E$1:E1443)))))</f>
        <v> </v>
      </c>
      <c r="L1444" s="26"/>
    </row>
    <row r="1445" spans="1:12">
      <c r="A1445" s="20" t="s">
        <v>72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489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 t="s">
        <v>993</v>
      </c>
      <c r="B1447" s="27" t="s">
        <v>578</v>
      </c>
      <c r="C1447" s="27" t="s">
        <v>516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424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500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485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 t="s">
        <v>963</v>
      </c>
      <c r="B1451" s="27" t="s">
        <v>659</v>
      </c>
      <c r="C1451" s="27" t="s">
        <v>487</v>
      </c>
      <c r="D1451" s="27" t="s">
        <v>483</v>
      </c>
      <c r="E1451" s="21">
        <f>IF(D1451="?OLD","!!!","")</f>
        <v/>
      </c>
      <c r="F1451" s="22" t="str">
        <f>IF(OR(E1451="",E1451="!!!"),"",IF(NOT(ISNA(VLOOKUP(E1451,E$1:E1450,1,FALSE()))),"OLD",IF(AND(E1451&lt;&gt;"",E1451&lt;&gt;"!!!"),"NEW","")))</f>
        <v> </v>
      </c>
      <c r="G1451" s="23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4" t="str">
        <f>IF(J1451&lt;&gt;1,"",IF(I1451="SBJ","CB","?"))</f>
        <v> </v>
      </c>
      <c r="I1451" s="25" t="str">
        <f>IF(OR(E1451="",E1451="!!!",F1451="NEW"),"",INDEX(B1450:B$2,-1+SUMPRODUCT(MAX(ROW(E1450:E$2)*(E1451=E1450:E$2)))))</f>
        <v> </v>
      </c>
      <c r="J1451" s="25" t="str">
        <f>IF(OR(E1451="",E1451="!!!",F1451="NEW"),"",COUNTBLANK(OFFSET(A$1,,,SUMPRODUCT(MAX(ROW(E$2:E1451)*(E1451=E$2:E1451)))))-COUNTBLANK(OFFSET(A$1,,,SUMPRODUCT(MAX(ROW(E$1:E1450)*(E2=E$1:E1450))))))</f>
        <v> </v>
      </c>
      <c r="K1451" s="25" t="str">
        <f>IF(OR(E1451="",E1451="!!!",F1451="NEW"),"",INDEX(J$1:J1450,SUMPRODUCT(MAX(ROW(E$1:E1450)*(E1451=E$1:E1450)))))</f>
        <v> </v>
      </c>
      <c r="L1451" s="26"/>
    </row>
    <row r="1452" spans="1:12">
      <c r="A1452" s="20" t="s">
        <v>489</v>
      </c>
      <c r="E1452" s="21">
        <f>IF(D1452="?OLD","!!!","")</f>
        <v/>
      </c>
      <c r="F1452" s="22" t="str">
        <f>IF(OR(E1452="",E1452="!!!"),"",IF(NOT(ISNA(VLOOKUP(E1452,E$1:E1451,1,FALSE()))),"OLD",IF(AND(E1452&lt;&gt;"",E1452&lt;&gt;"!!!"),"NEW","")))</f>
        <v> </v>
      </c>
      <c r="G1452" s="23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4" t="str">
        <f>IF(J1452&lt;&gt;1,"",IF(I1452="SBJ","CB","?"))</f>
        <v> </v>
      </c>
      <c r="I1452" s="25" t="str">
        <f>IF(OR(E1452="",E1452="!!!",F1452="NEW"),"",INDEX(B1451:B$2,-1+SUMPRODUCT(MAX(ROW(E1451:E$2)*(E1452=E1451:E$2)))))</f>
        <v> </v>
      </c>
      <c r="J1452" s="25" t="str">
        <f>IF(OR(E1452="",E1452="!!!",F1452="NEW"),"",COUNTBLANK(OFFSET(A$1,,,SUMPRODUCT(MAX(ROW(E$2:E1452)*(E1452=E$2:E1452)))))-COUNTBLANK(OFFSET(A$1,,,SUMPRODUCT(MAX(ROW(E$1:E1451)*(E2=E$1:E1451))))))</f>
        <v> </v>
      </c>
      <c r="K1452" s="25" t="str">
        <f>IF(OR(E1452="",E1452="!!!",F1452="NEW"),"",INDEX(J$1:J1451,SUMPRODUCT(MAX(ROW(E$1:E1451)*(E1452=E$1:E1451)))))</f>
        <v> </v>
      </c>
      <c r="L1452" s="26"/>
    </row>
    <row r="1453" spans="1:12">
      <c r="A1453" s="20" t="s">
        <v>529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994</v>
      </c>
      <c r="B1454" s="27" t="s">
        <v>659</v>
      </c>
      <c r="C1454" s="27" t="s">
        <v>516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531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/>
    </row>
    <row r="1457" spans="1:12">
      <c r="A1457" s="20" t="s">
        <v>995</v>
      </c>
    </row>
    <row r="1458" spans="1:12">
      <c r="A1458" s="20" t="s">
        <v>942</v>
      </c>
      <c r="B1458" s="27" t="s">
        <v>549</v>
      </c>
      <c r="C1458" s="27" t="s">
        <v>491</v>
      </c>
      <c r="D1458" s="27" t="s">
        <v>483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558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485</v>
      </c>
      <c r="B1460" s="27" t="s">
        <v>477</v>
      </c>
      <c r="C1460" s="27" t="s">
        <v>491</v>
      </c>
      <c r="D1460" s="27" t="s">
        <v>483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492</v>
      </c>
      <c r="B1461" s="27" t="s">
        <v>537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710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489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 t="s">
        <v>649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489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485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 t="s">
        <v>996</v>
      </c>
      <c r="B1467" s="27" t="s">
        <v>542</v>
      </c>
      <c r="C1467" s="27" t="s">
        <v>538</v>
      </c>
      <c r="D1467" s="27" t="s">
        <v>483</v>
      </c>
      <c r="E1467" s="21">
        <f>IF(D1467="?OLD","!!!","")</f>
        <v/>
      </c>
      <c r="F1467" s="22" t="str">
        <f>IF(OR(E1467="",E1467="!!!"),"",IF(NOT(ISNA(VLOOKUP(E1467,E$1:E1466,1,FALSE()))),"OLD",IF(AND(E1467&lt;&gt;"",E1467&lt;&gt;"!!!"),"NEW","")))</f>
        <v> </v>
      </c>
      <c r="G1467" s="23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4" t="str">
        <f>IF(J1467&lt;&gt;1,"",IF(I1467="SBJ","CB","?"))</f>
        <v> </v>
      </c>
      <c r="I1467" s="25" t="str">
        <f>IF(OR(E1467="",E1467="!!!",F1467="NEW"),"",INDEX(B1466:B$2,-1+SUMPRODUCT(MAX(ROW(E1466:E$2)*(E1467=E1466:E$2)))))</f>
        <v> </v>
      </c>
      <c r="J1467" s="25" t="str">
        <f>IF(OR(E1467="",E1467="!!!",F1467="NEW"),"",COUNTBLANK(OFFSET(A$1,,,SUMPRODUCT(MAX(ROW(E$2:E1467)*(E1467=E$2:E1467)))))-COUNTBLANK(OFFSET(A$1,,,SUMPRODUCT(MAX(ROW(E$1:E1466)*(E2=E$1:E1466))))))</f>
        <v> </v>
      </c>
      <c r="K1467" s="25" t="str">
        <f>IF(OR(E1467="",E1467="!!!",F1467="NEW"),"",INDEX(J$1:J1466,SUMPRODUCT(MAX(ROW(E$1:E1466)*(E1467=E$1:E1466)))))</f>
        <v> </v>
      </c>
      <c r="L1467" s="26"/>
    </row>
    <row r="1468" spans="1:12">
      <c r="A1468" s="20" t="s">
        <v>528</v>
      </c>
      <c r="E1468" s="21">
        <f>IF(D1468="?OLD","!!!","")</f>
        <v/>
      </c>
      <c r="F1468" s="22" t="str">
        <f>IF(OR(E1468="",E1468="!!!"),"",IF(NOT(ISNA(VLOOKUP(E1468,E$1:E1467,1,FALSE()))),"OLD",IF(AND(E1468&lt;&gt;"",E1468&lt;&gt;"!!!"),"NEW","")))</f>
        <v> </v>
      </c>
      <c r="G1468" s="23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4" t="str">
        <f>IF(J1468&lt;&gt;1,"",IF(I1468="SBJ","CB","?"))</f>
        <v> </v>
      </c>
      <c r="I1468" s="25" t="str">
        <f>IF(OR(E1468="",E1468="!!!",F1468="NEW"),"",INDEX(B1467:B$2,-1+SUMPRODUCT(MAX(ROW(E1467:E$2)*(E1468=E1467:E$2)))))</f>
        <v> </v>
      </c>
      <c r="J1468" s="25" t="str">
        <f>IF(OR(E1468="",E1468="!!!",F1468="NEW"),"",COUNTBLANK(OFFSET(A$1,,,SUMPRODUCT(MAX(ROW(E$2:E1468)*(E1468=E$2:E1468)))))-COUNTBLANK(OFFSET(A$1,,,SUMPRODUCT(MAX(ROW(E$1:E1467)*(E2=E$1:E1467))))))</f>
        <v> </v>
      </c>
      <c r="K1468" s="25" t="str">
        <f>IF(OR(E1468="",E1468="!!!",F1468="NEW"),"",INDEX(J$1:J1467,SUMPRODUCT(MAX(ROW(E$1:E1467)*(E1468=E$1:E1467)))))</f>
        <v> </v>
      </c>
      <c r="L1468" s="26"/>
    </row>
    <row r="1469" spans="1:12">
      <c r="A1469" s="20" t="s">
        <v>503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 t="s">
        <v>634</v>
      </c>
      <c r="B1470" s="27" t="s">
        <v>547</v>
      </c>
      <c r="C1470" s="27" t="s">
        <v>635</v>
      </c>
      <c r="D1470" s="27" t="s">
        <v>483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950</v>
      </c>
      <c r="B1471" s="27" t="s">
        <v>540</v>
      </c>
      <c r="C1471" s="27" t="s">
        <v>487</v>
      </c>
      <c r="D1471" s="27" t="s">
        <v>483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507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503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 t="s">
        <v>987</v>
      </c>
      <c r="B1474" s="27" t="s">
        <v>490</v>
      </c>
      <c r="C1474" s="27" t="s">
        <v>538</v>
      </c>
      <c r="D1474" s="27" t="s">
        <v>483</v>
      </c>
      <c r="E1474" s="21">
        <f>IF(D1474="?OLD","!!!","")</f>
        <v/>
      </c>
      <c r="F1474" s="22" t="str">
        <f>IF(OR(E1474="",E1474="!!!"),"",IF(NOT(ISNA(VLOOKUP(E1474,E$1:E1473,1,FALSE()))),"OLD",IF(AND(E1474&lt;&gt;"",E1474&lt;&gt;"!!!"),"NEW","")))</f>
        <v> </v>
      </c>
      <c r="G1474" s="23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4" t="str">
        <f>IF(J1474&lt;&gt;1,"",IF(I1474="SBJ","CB","?"))</f>
        <v> </v>
      </c>
      <c r="I1474" s="25" t="str">
        <f>IF(OR(E1474="",E1474="!!!",F1474="NEW"),"",INDEX(B1473:B$2,-1+SUMPRODUCT(MAX(ROW(E1473:E$2)*(E1474=E1473:E$2)))))</f>
        <v> </v>
      </c>
      <c r="J1474" s="25" t="str">
        <f>IF(OR(E1474="",E1474="!!!",F1474="NEW"),"",COUNTBLANK(OFFSET(A$1,,,SUMPRODUCT(MAX(ROW(E$2:E1474)*(E1474=E$2:E1474)))))-COUNTBLANK(OFFSET(A$1,,,SUMPRODUCT(MAX(ROW(E$1:E1473)*(E2=E$1:E1473))))))</f>
        <v> </v>
      </c>
      <c r="K1474" s="25" t="str">
        <f>IF(OR(E1474="",E1474="!!!",F1474="NEW"),"",INDEX(J$1:J1473,SUMPRODUCT(MAX(ROW(E$1:E1473)*(E1474=E$1:E1473)))))</f>
        <v> </v>
      </c>
      <c r="L1474" s="26"/>
    </row>
    <row r="1475" spans="1:12">
      <c r="A1475" s="20" t="s">
        <v>528</v>
      </c>
      <c r="E1475" s="21">
        <f>IF(D1475="?OLD","!!!","")</f>
        <v/>
      </c>
      <c r="F1475" s="22" t="str">
        <f>IF(OR(E1475="",E1475="!!!"),"",IF(NOT(ISNA(VLOOKUP(E1475,E$1:E1474,1,FALSE()))),"OLD",IF(AND(E1475&lt;&gt;"",E1475&lt;&gt;"!!!"),"NEW","")))</f>
        <v> </v>
      </c>
      <c r="G1475" s="23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4" t="str">
        <f>IF(J1475&lt;&gt;1,"",IF(I1475="SBJ","CB","?"))</f>
        <v> </v>
      </c>
      <c r="I1475" s="25" t="str">
        <f>IF(OR(E1475="",E1475="!!!",F1475="NEW"),"",INDEX(B1474:B$2,-1+SUMPRODUCT(MAX(ROW(E1474:E$2)*(E1475=E1474:E$2)))))</f>
        <v> </v>
      </c>
      <c r="J1475" s="25" t="str">
        <f>IF(OR(E1475="",E1475="!!!",F1475="NEW"),"",COUNTBLANK(OFFSET(A$1,,,SUMPRODUCT(MAX(ROW(E$2:E1475)*(E1475=E$2:E1475)))))-COUNTBLANK(OFFSET(A$1,,,SUMPRODUCT(MAX(ROW(E$1:E1474)*(E2=E$1:E1474))))))</f>
        <v> </v>
      </c>
      <c r="K1475" s="25" t="str">
        <f>IF(OR(E1475="",E1475="!!!",F1475="NEW"),"",INDEX(J$1:J1474,SUMPRODUCT(MAX(ROW(E$1:E1474)*(E1475=E$1:E1474)))))</f>
        <v> </v>
      </c>
      <c r="L1475" s="26"/>
    </row>
    <row r="1476" spans="1:12">
      <c r="A1476" s="20" t="s">
        <v>765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528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485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668</v>
      </c>
      <c r="B1479" s="27" t="s">
        <v>547</v>
      </c>
      <c r="C1479" s="27" t="s">
        <v>635</v>
      </c>
      <c r="D1479" s="27" t="s">
        <v>483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 t="s">
        <v>997</v>
      </c>
      <c r="B1480" s="27" t="s">
        <v>540</v>
      </c>
      <c r="C1480" s="27" t="s">
        <v>487</v>
      </c>
      <c r="D1480" s="27" t="s">
        <v>483</v>
      </c>
      <c r="E1480" s="21">
        <f>IF(D1480="?OLD","!!!","")</f>
        <v/>
      </c>
      <c r="F1480" s="22" t="str">
        <f>IF(OR(E1480="",E1480="!!!"),"",IF(NOT(ISNA(VLOOKUP(E1480,E$1:E1479,1,FALSE()))),"OLD",IF(AND(E1480&lt;&gt;"",E1480&lt;&gt;"!!!"),"NEW","")))</f>
        <v> </v>
      </c>
      <c r="G1480" s="23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4" t="str">
        <f>IF(J1480&lt;&gt;1,"",IF(I1480="SBJ","CB","?"))</f>
        <v> </v>
      </c>
      <c r="I1480" s="25" t="str">
        <f>IF(OR(E1480="",E1480="!!!",F1480="NEW"),"",INDEX(B1479:B$2,-1+SUMPRODUCT(MAX(ROW(E1479:E$2)*(E1480=E1479:E$2)))))</f>
        <v> </v>
      </c>
      <c r="J1480" s="25" t="str">
        <f>IF(OR(E1480="",E1480="!!!",F1480="NEW"),"",COUNTBLANK(OFFSET(A$1,,,SUMPRODUCT(MAX(ROW(E$2:E1480)*(E1480=E$2:E1480)))))-COUNTBLANK(OFFSET(A$1,,,SUMPRODUCT(MAX(ROW(E$1:E1479)*(E2=E$1:E1479))))))</f>
        <v> </v>
      </c>
      <c r="K1480" s="25" t="str">
        <f>IF(OR(E1480="",E1480="!!!",F1480="NEW"),"",INDEX(J$1:J1479,SUMPRODUCT(MAX(ROW(E$1:E1479)*(E1480=E$1:E1479)))))</f>
        <v> </v>
      </c>
      <c r="L1480" s="26"/>
    </row>
    <row r="1481" spans="1:12">
      <c r="A1481" s="20" t="s">
        <v>489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 t="s">
        <v>998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380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833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999</v>
      </c>
      <c r="B1485" s="27" t="s">
        <v>578</v>
      </c>
      <c r="C1485" s="27" t="s">
        <v>498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531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/>
    </row>
    <row r="1488" spans="1:12">
      <c r="A1488" s="20" t="s">
        <v>1000</v>
      </c>
    </row>
    <row r="1489" spans="1:12">
      <c r="A1489" s="20" t="s">
        <v>1001</v>
      </c>
      <c r="B1489" s="27" t="s">
        <v>477</v>
      </c>
      <c r="C1489" s="27" t="s">
        <v>516</v>
      </c>
      <c r="E1489" s="21">
        <f>IF(D1489="?OLD","!!!","")</f>
        <v/>
      </c>
      <c r="F1489" s="22" t="str">
        <f>IF(OR(E1489="",E1489="!!!"),"",IF(NOT(ISNA(VLOOKUP(E1489,E$1:E1488,1,FALSE()))),"OLD",IF(AND(E1489&lt;&gt;"",E1489&lt;&gt;"!!!"),"NEW","")))</f>
        <v> </v>
      </c>
      <c r="G1489" s="23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4" t="str">
        <f>IF(J1489&lt;&gt;1,"",IF(I1489="SBJ","CB","?"))</f>
        <v> </v>
      </c>
      <c r="I1489" s="25" t="str">
        <f>IF(OR(E1489="",E1489="!!!",F1489="NEW"),"",INDEX(B1488:B$2,-1+SUMPRODUCT(MAX(ROW(E1488:E$2)*(E1489=E1488:E$2)))))</f>
        <v> </v>
      </c>
      <c r="J1489" s="25" t="str">
        <f>IF(OR(E1489="",E1489="!!!",F1489="NEW"),"",COUNTBLANK(OFFSET(A$1,,,SUMPRODUCT(MAX(ROW(E$2:E1489)*(E1489=E$2:E1489)))))-COUNTBLANK(OFFSET(A$1,,,SUMPRODUCT(MAX(ROW(E$1:E1488)*(E2=E$1:E1488))))))</f>
        <v> </v>
      </c>
      <c r="K1489" s="25" t="str">
        <f>IF(OR(E1489="",E1489="!!!",F1489="NEW"),"",INDEX(J$1:J1488,SUMPRODUCT(MAX(ROW(E$1:E1488)*(E1489=E$1:E1488)))))</f>
        <v> </v>
      </c>
      <c r="L1489" s="26"/>
    </row>
    <row r="1490" spans="1:12">
      <c r="A1490" s="20" t="s">
        <v>531</v>
      </c>
      <c r="E1490" s="21">
        <f>IF(D1490="?OLD","!!!","")</f>
        <v/>
      </c>
      <c r="F1490" s="22" t="str">
        <f>IF(OR(E1490="",E1490="!!!"),"",IF(NOT(ISNA(VLOOKUP(E1490,E$1:E1489,1,FALSE()))),"OLD",IF(AND(E1490&lt;&gt;"",E1490&lt;&gt;"!!!"),"NEW","")))</f>
        <v> </v>
      </c>
      <c r="G1490" s="23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4" t="str">
        <f>IF(J1490&lt;&gt;1,"",IF(I1490="SBJ","CB","?"))</f>
        <v> </v>
      </c>
      <c r="I1490" s="25" t="str">
        <f>IF(OR(E1490="",E1490="!!!",F1490="NEW"),"",INDEX(B1489:B$2,-1+SUMPRODUCT(MAX(ROW(E1489:E$2)*(E1490=E1489:E$2)))))</f>
        <v> </v>
      </c>
      <c r="J1490" s="25" t="str">
        <f>IF(OR(E1490="",E1490="!!!",F1490="NEW"),"",COUNTBLANK(OFFSET(A$1,,,SUMPRODUCT(MAX(ROW(E$2:E1490)*(E1490=E$2:E1490)))))-COUNTBLANK(OFFSET(A$1,,,SUMPRODUCT(MAX(ROW(E$1:E1489)*(E2=E$1:E1489))))))</f>
        <v> </v>
      </c>
      <c r="K1490" s="25" t="str">
        <f>IF(OR(E1490="",E1490="!!!",F1490="NEW"),"",INDEX(J$1:J1489,SUMPRODUCT(MAX(ROW(E$1:E1489)*(E1490=E$1:E1489)))))</f>
        <v> </v>
      </c>
      <c r="L1490" s="26"/>
    </row>
    <row r="1491" spans="1:12">
      <c r="A1491" s="20"/>
    </row>
    <row r="1492" spans="1:12">
      <c r="A1492" s="20" t="s">
        <v>1002</v>
      </c>
    </row>
    <row r="1493" spans="1:12">
      <c r="A1493" s="20" t="s">
        <v>1003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503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357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1004</v>
      </c>
      <c r="B1496" s="27" t="s">
        <v>481</v>
      </c>
      <c r="C1496" s="27" t="s">
        <v>482</v>
      </c>
      <c r="D1496" s="27" t="s">
        <v>483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750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/>
    </row>
    <row r="1499" spans="1:12">
      <c r="A1499" s="20" t="s">
        <v>1005</v>
      </c>
    </row>
    <row r="1500" spans="1:12">
      <c r="A1500" s="20" t="s">
        <v>779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489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 t="s">
        <v>380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 t="s">
        <v>948</v>
      </c>
      <c r="B1503" s="27" t="s">
        <v>549</v>
      </c>
      <c r="C1503" s="27" t="s">
        <v>498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 t="s">
        <v>784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 t="s">
        <v>528</v>
      </c>
      <c r="E1505" s="21">
        <f>IF(D1505="?OLD","!!!","")</f>
        <v/>
      </c>
      <c r="F1505" s="22" t="str">
        <f>IF(OR(E1505="",E1505="!!!"),"",IF(NOT(ISNA(VLOOKUP(E1505,E$1:E1504,1,FALSE()))),"OLD",IF(AND(E1505&lt;&gt;"",E1505&lt;&gt;"!!!"),"NEW","")))</f>
        <v> </v>
      </c>
      <c r="G1505" s="23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4" t="str">
        <f>IF(J1505&lt;&gt;1,"",IF(I1505="SBJ","CB","?"))</f>
        <v> </v>
      </c>
      <c r="I1505" s="25" t="str">
        <f>IF(OR(E1505="",E1505="!!!",F1505="NEW"),"",INDEX(B1504:B$2,-1+SUMPRODUCT(MAX(ROW(E1504:E$2)*(E1505=E1504:E$2)))))</f>
        <v> </v>
      </c>
      <c r="J1505" s="25" t="str">
        <f>IF(OR(E1505="",E1505="!!!",F1505="NEW"),"",COUNTBLANK(OFFSET(A$1,,,SUMPRODUCT(MAX(ROW(E$2:E1505)*(E1505=E$2:E1505)))))-COUNTBLANK(OFFSET(A$1,,,SUMPRODUCT(MAX(ROW(E$1:E1504)*(E2=E$1:E1504))))))</f>
        <v> </v>
      </c>
      <c r="K1505" s="25" t="str">
        <f>IF(OR(E1505="",E1505="!!!",F1505="NEW"),"",INDEX(J$1:J1504,SUMPRODUCT(MAX(ROW(E$1:E1504)*(E1505=E$1:E1504)))))</f>
        <v> </v>
      </c>
      <c r="L1505" s="26"/>
    </row>
    <row r="1506" spans="1:12">
      <c r="A1506" s="20" t="s">
        <v>503</v>
      </c>
      <c r="E1506" s="21">
        <f>IF(D1506="?OLD","!!!","")</f>
        <v/>
      </c>
      <c r="F1506" s="22" t="str">
        <f>IF(OR(E1506="",E1506="!!!"),"",IF(NOT(ISNA(VLOOKUP(E1506,E$1:E1505,1,FALSE()))),"OLD",IF(AND(E1506&lt;&gt;"",E1506&lt;&gt;"!!!"),"NEW","")))</f>
        <v> </v>
      </c>
      <c r="G1506" s="23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4" t="str">
        <f>IF(J1506&lt;&gt;1,"",IF(I1506="SBJ","CB","?"))</f>
        <v> </v>
      </c>
      <c r="I1506" s="25" t="str">
        <f>IF(OR(E1506="",E1506="!!!",F1506="NEW"),"",INDEX(B1505:B$2,-1+SUMPRODUCT(MAX(ROW(E1505:E$2)*(E1506=E1505:E$2)))))</f>
        <v> </v>
      </c>
      <c r="J1506" s="25" t="str">
        <f>IF(OR(E1506="",E1506="!!!",F1506="NEW"),"",COUNTBLANK(OFFSET(A$1,,,SUMPRODUCT(MAX(ROW(E$2:E1506)*(E1506=E$2:E1506)))))-COUNTBLANK(OFFSET(A$1,,,SUMPRODUCT(MAX(ROW(E$1:E1505)*(E2=E$1:E1505))))))</f>
        <v> </v>
      </c>
      <c r="K1506" s="25" t="str">
        <f>IF(OR(E1506="",E1506="!!!",F1506="NEW"),"",INDEX(J$1:J1505,SUMPRODUCT(MAX(ROW(E$1:E1505)*(E1506=E$1:E1505)))))</f>
        <v> </v>
      </c>
      <c r="L1506" s="26"/>
    </row>
    <row r="1507" spans="1:12">
      <c r="A1507" s="20" t="s">
        <v>634</v>
      </c>
      <c r="B1507" s="27" t="s">
        <v>547</v>
      </c>
      <c r="C1507" s="27" t="s">
        <v>635</v>
      </c>
      <c r="D1507" s="27" t="s">
        <v>483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955</v>
      </c>
      <c r="B1508" s="27" t="s">
        <v>540</v>
      </c>
      <c r="C1508" s="27" t="s">
        <v>487</v>
      </c>
      <c r="D1508" s="27" t="s">
        <v>483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489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 t="s">
        <v>592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681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528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485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962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963</v>
      </c>
      <c r="B1515" s="27" t="s">
        <v>477</v>
      </c>
      <c r="C1515" s="27" t="s">
        <v>487</v>
      </c>
      <c r="D1515" s="27" t="s">
        <v>483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 t="s">
        <v>489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628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531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/>
    </row>
    <row r="1520" spans="1:12">
      <c r="A1520" s="20" t="s">
        <v>1006</v>
      </c>
    </row>
    <row r="1521" spans="1:12">
      <c r="A1521" s="20" t="s">
        <v>1007</v>
      </c>
      <c r="E1521" s="21">
        <f>IF(D1521="?OLD","!!!","")</f>
        <v/>
      </c>
      <c r="F1521" s="22" t="str">
        <f>IF(OR(E1521="",E1521="!!!"),"",IF(NOT(ISNA(VLOOKUP(E1521,E$1:E1520,1,FALSE()))),"OLD",IF(AND(E1521&lt;&gt;"",E1521&lt;&gt;"!!!"),"NEW","")))</f>
        <v> </v>
      </c>
      <c r="G1521" s="23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4" t="str">
        <f>IF(J1521&lt;&gt;1,"",IF(I1521="SBJ","CB","?"))</f>
        <v> </v>
      </c>
      <c r="I1521" s="25" t="str">
        <f>IF(OR(E1521="",E1521="!!!",F1521="NEW"),"",INDEX(B1520:B$2,-1+SUMPRODUCT(MAX(ROW(E1520:E$2)*(E1521=E1520:E$2)))))</f>
        <v> </v>
      </c>
      <c r="J1521" s="25" t="str">
        <f>IF(OR(E1521="",E1521="!!!",F1521="NEW"),"",COUNTBLANK(OFFSET(A$1,,,SUMPRODUCT(MAX(ROW(E$2:E1521)*(E1521=E$2:E1521)))))-COUNTBLANK(OFFSET(A$1,,,SUMPRODUCT(MAX(ROW(E$1:E1520)*(E2=E$1:E1520))))))</f>
        <v> </v>
      </c>
      <c r="K1521" s="25" t="str">
        <f>IF(OR(E1521="",E1521="!!!",F1521="NEW"),"",INDEX(J$1:J1520,SUMPRODUCT(MAX(ROW(E$1:E1520)*(E1521=E$1:E1520)))))</f>
        <v> </v>
      </c>
      <c r="L1521" s="26"/>
    </row>
    <row r="1522" spans="1:12">
      <c r="A1522" s="20" t="s">
        <v>384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489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1008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507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503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788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735</v>
      </c>
      <c r="B1528" s="27" t="s">
        <v>477</v>
      </c>
      <c r="C1528" s="27" t="s">
        <v>538</v>
      </c>
      <c r="D1528" s="27" t="s">
        <v>483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507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492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 t="s">
        <v>1009</v>
      </c>
      <c r="E1531" s="21">
        <f>IF(D1531="?OLD","!!!","")</f>
        <v/>
      </c>
      <c r="F1531" s="22" t="str">
        <f>IF(OR(E1531="",E1531="!!!"),"",IF(NOT(ISNA(VLOOKUP(E1531,E$1:E1530,1,FALSE()))),"OLD",IF(AND(E1531&lt;&gt;"",E1531&lt;&gt;"!!!"),"NEW","")))</f>
        <v> </v>
      </c>
      <c r="G1531" s="23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4" t="str">
        <f>IF(J1531&lt;&gt;1,"",IF(I1531="SBJ","CB","?"))</f>
        <v> </v>
      </c>
      <c r="I1531" s="25" t="str">
        <f>IF(OR(E1531="",E1531="!!!",F1531="NEW"),"",INDEX(B1530:B$2,-1+SUMPRODUCT(MAX(ROW(E1530:E$2)*(E1531=E1530:E$2)))))</f>
        <v> </v>
      </c>
      <c r="J1531" s="25" t="str">
        <f>IF(OR(E1531="",E1531="!!!",F1531="NEW"),"",COUNTBLANK(OFFSET(A$1,,,SUMPRODUCT(MAX(ROW(E$2:E1531)*(E1531=E$2:E1531)))))-COUNTBLANK(OFFSET(A$1,,,SUMPRODUCT(MAX(ROW(E$1:E1530)*(E2=E$1:E1530))))))</f>
        <v> </v>
      </c>
      <c r="K1531" s="25" t="str">
        <f>IF(OR(E1531="",E1531="!!!",F1531="NEW"),"",INDEX(J$1:J1530,SUMPRODUCT(MAX(ROW(E$1:E1530)*(E1531=E$1:E1530)))))</f>
        <v> </v>
      </c>
      <c r="L1531" s="26"/>
    </row>
    <row r="1532" spans="1:12">
      <c r="A1532" s="20" t="s">
        <v>805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485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586</v>
      </c>
      <c r="B1534" s="27" t="s">
        <v>477</v>
      </c>
      <c r="C1534" s="27" t="s">
        <v>538</v>
      </c>
      <c r="D1534" s="27" t="s">
        <v>483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 t="s">
        <v>528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503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61</v>
      </c>
      <c r="B1537" s="27" t="s">
        <v>490</v>
      </c>
      <c r="C1537" s="27" t="s">
        <v>487</v>
      </c>
      <c r="D1537" s="27" t="s">
        <v>483</v>
      </c>
      <c r="E1537" s="21">
        <f>IF(D1537="?OLD","!!!","")</f>
        <v/>
      </c>
      <c r="F1537" s="22" t="str">
        <f>IF(OR(E1537="",E1537="!!!"),"",IF(NOT(ISNA(VLOOKUP(E1537,E$1:E1536,1,FALSE()))),"OLD",IF(AND(E1537&lt;&gt;"",E1537&lt;&gt;"!!!"),"NEW","")))</f>
        <v> </v>
      </c>
      <c r="G1537" s="23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4" t="str">
        <f>IF(J1537&lt;&gt;1,"",IF(I1537="SBJ","CB","?"))</f>
        <v> </v>
      </c>
      <c r="I1537" s="25" t="str">
        <f>IF(OR(E1537="",E1537="!!!",F1537="NEW"),"",INDEX(B1536:B$2,-1+SUMPRODUCT(MAX(ROW(E1536:E$2)*(E1537=E1536:E$2)))))</f>
        <v> </v>
      </c>
      <c r="J1537" s="25" t="str">
        <f>IF(OR(E1537="",E1537="!!!",F1537="NEW"),"",COUNTBLANK(OFFSET(A$1,,,SUMPRODUCT(MAX(ROW(E$2:E1537)*(E1537=E$2:E1537)))))-COUNTBLANK(OFFSET(A$1,,,SUMPRODUCT(MAX(ROW(E$1:E1536)*(E2=E$1:E1536))))))</f>
        <v> </v>
      </c>
      <c r="K1537" s="25" t="str">
        <f>IF(OR(E1537="",E1537="!!!",F1537="NEW"),"",INDEX(J$1:J1536,SUMPRODUCT(MAX(ROW(E$1:E1536)*(E1537=E$1:E1536)))))</f>
        <v> </v>
      </c>
      <c r="L1537" s="26"/>
    </row>
    <row r="1538" spans="1:12">
      <c r="A1538" s="20" t="s">
        <v>531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/>
    </row>
    <row r="1540" spans="1:12">
      <c r="A1540" s="20" t="s">
        <v>1010</v>
      </c>
    </row>
    <row r="1541" spans="1:12">
      <c r="A1541" s="20" t="s">
        <v>1011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 t="s">
        <v>517</v>
      </c>
      <c r="E1542" s="21">
        <f>IF(D1542="?OLD","!!!","")</f>
        <v/>
      </c>
      <c r="F1542" s="22" t="str">
        <f>IF(OR(E1542="",E1542="!!!"),"",IF(NOT(ISNA(VLOOKUP(E1542,E$1:E1541,1,FALSE()))),"OLD",IF(AND(E1542&lt;&gt;"",E1542&lt;&gt;"!!!"),"NEW","")))</f>
        <v> </v>
      </c>
      <c r="G1542" s="23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4" t="str">
        <f>IF(J1542&lt;&gt;1,"",IF(I1542="SBJ","CB","?"))</f>
        <v> </v>
      </c>
      <c r="I1542" s="25" t="str">
        <f>IF(OR(E1542="",E1542="!!!",F1542="NEW"),"",INDEX(B1541:B$2,-1+SUMPRODUCT(MAX(ROW(E1541:E$2)*(E1542=E1541:E$2)))))</f>
        <v> </v>
      </c>
      <c r="J1542" s="25" t="str">
        <f>IF(OR(E1542="",E1542="!!!",F1542="NEW"),"",COUNTBLANK(OFFSET(A$1,,,SUMPRODUCT(MAX(ROW(E$2:E1542)*(E1542=E$2:E1542)))))-COUNTBLANK(OFFSET(A$1,,,SUMPRODUCT(MAX(ROW(E$1:E1541)*(E2=E$1:E1541))))))</f>
        <v> </v>
      </c>
      <c r="K1542" s="25" t="str">
        <f>IF(OR(E1542="",E1542="!!!",F1542="NEW"),"",INDEX(J$1:J1541,SUMPRODUCT(MAX(ROW(E$1:E1541)*(E1542=E$1:E1541)))))</f>
        <v> </v>
      </c>
      <c r="L1542" s="26"/>
    </row>
    <row r="1543" spans="1:12">
      <c r="A1543" s="20" t="s">
        <v>504</v>
      </c>
      <c r="E1543" s="21">
        <f>IF(D1543="?OLD","!!!","")</f>
        <v/>
      </c>
      <c r="F1543" s="22" t="str">
        <f>IF(OR(E1543="",E1543="!!!"),"",IF(NOT(ISNA(VLOOKUP(E1543,E$1:E1542,1,FALSE()))),"OLD",IF(AND(E1543&lt;&gt;"",E1543&lt;&gt;"!!!"),"NEW","")))</f>
        <v> </v>
      </c>
      <c r="G1543" s="23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4" t="str">
        <f>IF(J1543&lt;&gt;1,"",IF(I1543="SBJ","CB","?"))</f>
        <v> </v>
      </c>
      <c r="I1543" s="25" t="str">
        <f>IF(OR(E1543="",E1543="!!!",F1543="NEW"),"",INDEX(B1542:B$2,-1+SUMPRODUCT(MAX(ROW(E1542:E$2)*(E1543=E1542:E$2)))))</f>
        <v> </v>
      </c>
      <c r="J1543" s="25" t="str">
        <f>IF(OR(E1543="",E1543="!!!",F1543="NEW"),"",COUNTBLANK(OFFSET(A$1,,,SUMPRODUCT(MAX(ROW(E$2:E1543)*(E1543=E$2:E1543)))))-COUNTBLANK(OFFSET(A$1,,,SUMPRODUCT(MAX(ROW(E$1:E1542)*(E2=E$1:E1542))))))</f>
        <v> </v>
      </c>
      <c r="K1543" s="25" t="str">
        <f>IF(OR(E1543="",E1543="!!!",F1543="NEW"),"",INDEX(J$1:J1542,SUMPRODUCT(MAX(ROW(E$1:E1542)*(E1543=E$1:E1542)))))</f>
        <v> </v>
      </c>
      <c r="L1543" s="26"/>
    </row>
    <row r="1544" spans="1:12">
      <c r="A1544" s="20" t="s">
        <v>531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/>
    </row>
    <row r="1546" spans="1:12">
      <c r="A1546" s="20" t="s">
        <v>1012</v>
      </c>
    </row>
    <row r="1547" spans="1:12">
      <c r="A1547" s="20" t="s">
        <v>776</v>
      </c>
      <c r="E1547" s="21">
        <f>IF(D1547="?OLD","!!!","")</f>
        <v/>
      </c>
      <c r="F1547" s="22" t="str">
        <f>IF(OR(E1547="",E1547="!!!"),"",IF(NOT(ISNA(VLOOKUP(E1547,E$1:E1546,1,FALSE()))),"OLD",IF(AND(E1547&lt;&gt;"",E1547&lt;&gt;"!!!"),"NEW","")))</f>
        <v> </v>
      </c>
      <c r="G1547" s="23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4" t="str">
        <f>IF(J1547&lt;&gt;1,"",IF(I1547="SBJ","CB","?"))</f>
        <v> </v>
      </c>
      <c r="I1547" s="25" t="str">
        <f>IF(OR(E1547="",E1547="!!!",F1547="NEW"),"",INDEX(B1546:B$2,-1+SUMPRODUCT(MAX(ROW(E1546:E$2)*(E1547=E1546:E$2)))))</f>
        <v> </v>
      </c>
      <c r="J1547" s="25" t="str">
        <f>IF(OR(E1547="",E1547="!!!",F1547="NEW"),"",COUNTBLANK(OFFSET(A$1,,,SUMPRODUCT(MAX(ROW(E$2:E1547)*(E1547=E$2:E1547)))))-COUNTBLANK(OFFSET(A$1,,,SUMPRODUCT(MAX(ROW(E$1:E1546)*(E2=E$1:E1546))))))</f>
        <v> </v>
      </c>
      <c r="K1547" s="25" t="str">
        <f>IF(OR(E1547="",E1547="!!!",F1547="NEW"),"",INDEX(J$1:J1546,SUMPRODUCT(MAX(ROW(E$1:E1546)*(E1547=E$1:E1546)))))</f>
        <v> </v>
      </c>
      <c r="L1547" s="26"/>
    </row>
    <row r="1548" spans="1:12">
      <c r="A1548" s="20" t="s">
        <v>620</v>
      </c>
      <c r="E1548" s="21">
        <f>IF(D1548="?OLD","!!!","")</f>
        <v/>
      </c>
      <c r="F1548" s="22" t="str">
        <f>IF(OR(E1548="",E1548="!!!"),"",IF(NOT(ISNA(VLOOKUP(E1548,E$1:E1547,1,FALSE()))),"OLD",IF(AND(E1548&lt;&gt;"",E1548&lt;&gt;"!!!"),"NEW","")))</f>
        <v> </v>
      </c>
      <c r="G1548" s="23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4" t="str">
        <f>IF(J1548&lt;&gt;1,"",IF(I1548="SBJ","CB","?"))</f>
        <v> </v>
      </c>
      <c r="I1548" s="25" t="str">
        <f>IF(OR(E1548="",E1548="!!!",F1548="NEW"),"",INDEX(B1547:B$2,-1+SUMPRODUCT(MAX(ROW(E1547:E$2)*(E1548=E1547:E$2)))))</f>
        <v> </v>
      </c>
      <c r="J1548" s="25" t="str">
        <f>IF(OR(E1548="",E1548="!!!",F1548="NEW"),"",COUNTBLANK(OFFSET(A$1,,,SUMPRODUCT(MAX(ROW(E$2:E1548)*(E1548=E$2:E1548)))))-COUNTBLANK(OFFSET(A$1,,,SUMPRODUCT(MAX(ROW(E$1:E1547)*(E2=E$1:E1547))))))</f>
        <v> </v>
      </c>
      <c r="K1548" s="25" t="str">
        <f>IF(OR(E1548="",E1548="!!!",F1548="NEW"),"",INDEX(J$1:J1547,SUMPRODUCT(MAX(ROW(E$1:E1547)*(E1548=E$1:E1547)))))</f>
        <v> </v>
      </c>
      <c r="L1548" s="26"/>
    </row>
    <row r="1549" spans="1:12">
      <c r="A1549" s="20" t="s">
        <v>1013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1014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 t="s">
        <v>508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 t="s">
        <v>1015</v>
      </c>
      <c r="B1552" s="27" t="s">
        <v>547</v>
      </c>
      <c r="C1552" s="27" t="s">
        <v>635</v>
      </c>
      <c r="D1552" s="27" t="s">
        <v>483</v>
      </c>
      <c r="E1552" s="21">
        <f>IF(D1552="?OLD","!!!","")</f>
        <v/>
      </c>
      <c r="F1552" s="22" t="str">
        <f>IF(OR(E1552="",E1552="!!!"),"",IF(NOT(ISNA(VLOOKUP(E1552,E$1:E1551,1,FALSE()))),"OLD",IF(AND(E1552&lt;&gt;"",E1552&lt;&gt;"!!!"),"NEW","")))</f>
        <v> </v>
      </c>
      <c r="G1552" s="23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4" t="str">
        <f>IF(J1552&lt;&gt;1,"",IF(I1552="SBJ","CB","?"))</f>
        <v> </v>
      </c>
      <c r="I1552" s="25" t="str">
        <f>IF(OR(E1552="",E1552="!!!",F1552="NEW"),"",INDEX(B1551:B$2,-1+SUMPRODUCT(MAX(ROW(E1551:E$2)*(E1552=E1551:E$2)))))</f>
        <v> </v>
      </c>
      <c r="J1552" s="25" t="str">
        <f>IF(OR(E1552="",E1552="!!!",F1552="NEW"),"",COUNTBLANK(OFFSET(A$1,,,SUMPRODUCT(MAX(ROW(E$2:E1552)*(E1552=E$2:E1552)))))-COUNTBLANK(OFFSET(A$1,,,SUMPRODUCT(MAX(ROW(E$1:E1551)*(E2=E$1:E1551))))))</f>
        <v> </v>
      </c>
      <c r="K1552" s="25" t="str">
        <f>IF(OR(E1552="",E1552="!!!",F1552="NEW"),"",INDEX(J$1:J1551,SUMPRODUCT(MAX(ROW(E$1:E1551)*(E1552=E$1:E1551)))))</f>
        <v> </v>
      </c>
      <c r="L1552" s="26"/>
    </row>
    <row r="1553" spans="1:12">
      <c r="A1553" s="20" t="s">
        <v>763</v>
      </c>
      <c r="B1553" s="27" t="s">
        <v>578</v>
      </c>
      <c r="C1553" s="27" t="s">
        <v>487</v>
      </c>
      <c r="D1553" s="27" t="s">
        <v>483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489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 t="s">
        <v>680</v>
      </c>
      <c r="E1555" s="21">
        <f>IF(D1555="?OLD","!!!","")</f>
        <v/>
      </c>
      <c r="F1555" s="22" t="str">
        <f>IF(OR(E1555="",E1555="!!!"),"",IF(NOT(ISNA(VLOOKUP(E1555,E$1:E1554,1,FALSE()))),"OLD",IF(AND(E1555&lt;&gt;"",E1555&lt;&gt;"!!!"),"NEW","")))</f>
        <v> </v>
      </c>
      <c r="G1555" s="23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4" t="str">
        <f>IF(J1555&lt;&gt;1,"",IF(I1555="SBJ","CB","?"))</f>
        <v> </v>
      </c>
      <c r="I1555" s="25" t="str">
        <f>IF(OR(E1555="",E1555="!!!",F1555="NEW"),"",INDEX(B1554:B$2,-1+SUMPRODUCT(MAX(ROW(E1554:E$2)*(E1555=E1554:E$2)))))</f>
        <v> </v>
      </c>
      <c r="J1555" s="25" t="str">
        <f>IF(OR(E1555="",E1555="!!!",F1555="NEW"),"",COUNTBLANK(OFFSET(A$1,,,SUMPRODUCT(MAX(ROW(E$2:E1555)*(E1555=E$2:E1555)))))-COUNTBLANK(OFFSET(A$1,,,SUMPRODUCT(MAX(ROW(E$1:E1554)*(E2=E$1:E1554))))))</f>
        <v> </v>
      </c>
      <c r="K1555" s="25" t="str">
        <f>IF(OR(E1555="",E1555="!!!",F1555="NEW"),"",INDEX(J$1:J1554,SUMPRODUCT(MAX(ROW(E$1:E1554)*(E1555=E$1:E1554)))))</f>
        <v> </v>
      </c>
      <c r="L1555" s="26"/>
    </row>
    <row r="1556" spans="1:12">
      <c r="A1556" s="20" t="s">
        <v>1013</v>
      </c>
      <c r="E1556" s="21">
        <f>IF(D1556="?OLD","!!!","")</f>
        <v/>
      </c>
      <c r="F1556" s="22" t="str">
        <f>IF(OR(E1556="",E1556="!!!"),"",IF(NOT(ISNA(VLOOKUP(E1556,E$1:E1555,1,FALSE()))),"OLD",IF(AND(E1556&lt;&gt;"",E1556&lt;&gt;"!!!"),"NEW","")))</f>
        <v> </v>
      </c>
      <c r="G1556" s="23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4" t="str">
        <f>IF(J1556&lt;&gt;1,"",IF(I1556="SBJ","CB","?"))</f>
        <v> </v>
      </c>
      <c r="I1556" s="25" t="str">
        <f>IF(OR(E1556="",E1556="!!!",F1556="NEW"),"",INDEX(B1555:B$2,-1+SUMPRODUCT(MAX(ROW(E1555:E$2)*(E1556=E1555:E$2)))))</f>
        <v> </v>
      </c>
      <c r="J1556" s="25" t="str">
        <f>IF(OR(E1556="",E1556="!!!",F1556="NEW"),"",COUNTBLANK(OFFSET(A$1,,,SUMPRODUCT(MAX(ROW(E$2:E1556)*(E1556=E$2:E1556)))))-COUNTBLANK(OFFSET(A$1,,,SUMPRODUCT(MAX(ROW(E$1:E1555)*(E2=E$1:E1555))))))</f>
        <v> </v>
      </c>
      <c r="K1556" s="25" t="str">
        <f>IF(OR(E1556="",E1556="!!!",F1556="NEW"),"",INDEX(J$1:J1555,SUMPRODUCT(MAX(ROW(E$1:E1555)*(E1556=E$1:E1555)))))</f>
        <v> </v>
      </c>
      <c r="L1556" s="26"/>
    </row>
    <row r="1557" spans="1:12">
      <c r="A1557" s="20" t="s">
        <v>750</v>
      </c>
      <c r="E1557" s="21">
        <f>IF(D1557="?OLD","!!!","")</f>
        <v/>
      </c>
      <c r="F1557" s="22" t="str">
        <f>IF(OR(E1557="",E1557="!!!"),"",IF(NOT(ISNA(VLOOKUP(E1557,E$1:E1556,1,FALSE()))),"OLD",IF(AND(E1557&lt;&gt;"",E1557&lt;&gt;"!!!"),"NEW","")))</f>
        <v> </v>
      </c>
      <c r="G1557" s="23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4" t="str">
        <f>IF(J1557&lt;&gt;1,"",IF(I1557="SBJ","CB","?"))</f>
        <v> </v>
      </c>
      <c r="I1557" s="25" t="str">
        <f>IF(OR(E1557="",E1557="!!!",F1557="NEW"),"",INDEX(B1556:B$2,-1+SUMPRODUCT(MAX(ROW(E1556:E$2)*(E1557=E1556:E$2)))))</f>
        <v> </v>
      </c>
      <c r="J1557" s="25" t="str">
        <f>IF(OR(E1557="",E1557="!!!",F1557="NEW"),"",COUNTBLANK(OFFSET(A$1,,,SUMPRODUCT(MAX(ROW(E$2:E1557)*(E1557=E$2:E1557)))))-COUNTBLANK(OFFSET(A$1,,,SUMPRODUCT(MAX(ROW(E$1:E1556)*(E2=E$1:E1556))))))</f>
        <v> </v>
      </c>
      <c r="K1557" s="25" t="str">
        <f>IF(OR(E1557="",E1557="!!!",F1557="NEW"),"",INDEX(J$1:J1556,SUMPRODUCT(MAX(ROW(E$1:E1556)*(E1557=E$1:E1556)))))</f>
        <v> </v>
      </c>
      <c r="L1557" s="26"/>
    </row>
    <row r="1558" spans="1:12">
      <c r="A1558" s="20"/>
    </row>
    <row r="1559" spans="1:12">
      <c r="A1559" s="20" t="s">
        <v>1016</v>
      </c>
    </row>
    <row r="1560" spans="1:12">
      <c r="A1560" s="20" t="s">
        <v>627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489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593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 t="s">
        <v>1017</v>
      </c>
      <c r="E1563" s="21">
        <f>IF(D1563="?OLD","!!!","")</f>
        <v/>
      </c>
      <c r="F1563" s="22" t="str">
        <f>IF(OR(E1563="",E1563="!!!"),"",IF(NOT(ISNA(VLOOKUP(E1563,E$1:E1562,1,FALSE()))),"OLD",IF(AND(E1563&lt;&gt;"",E1563&lt;&gt;"!!!"),"NEW","")))</f>
        <v> </v>
      </c>
      <c r="G1563" s="23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4" t="str">
        <f>IF(J1563&lt;&gt;1,"",IF(I1563="SBJ","CB","?"))</f>
        <v> </v>
      </c>
      <c r="I1563" s="25" t="str">
        <f>IF(OR(E1563="",E1563="!!!",F1563="NEW"),"",INDEX(B1562:B$2,-1+SUMPRODUCT(MAX(ROW(E1562:E$2)*(E1563=E1562:E$2)))))</f>
        <v> </v>
      </c>
      <c r="J1563" s="25" t="str">
        <f>IF(OR(E1563="",E1563="!!!",F1563="NEW"),"",COUNTBLANK(OFFSET(A$1,,,SUMPRODUCT(MAX(ROW(E$2:E1563)*(E1563=E$2:E1563)))))-COUNTBLANK(OFFSET(A$1,,,SUMPRODUCT(MAX(ROW(E$1:E1562)*(E2=E$1:E1562))))))</f>
        <v> </v>
      </c>
      <c r="K1563" s="25" t="str">
        <f>IF(OR(E1563="",E1563="!!!",F1563="NEW"),"",INDEX(J$1:J1562,SUMPRODUCT(MAX(ROW(E$1:E1562)*(E1563=E$1:E1562)))))</f>
        <v> </v>
      </c>
      <c r="L1563" s="26"/>
    </row>
    <row r="1564" spans="1:12">
      <c r="A1564" s="20" t="s">
        <v>1018</v>
      </c>
      <c r="B1564" s="27" t="s">
        <v>481</v>
      </c>
      <c r="C1564" s="27" t="s">
        <v>482</v>
      </c>
      <c r="D1564" s="27" t="s">
        <v>483</v>
      </c>
      <c r="E1564" s="21">
        <f>IF(D1564="?OLD","!!!","")</f>
        <v/>
      </c>
      <c r="F1564" s="22" t="str">
        <f>IF(OR(E1564="",E1564="!!!"),"",IF(NOT(ISNA(VLOOKUP(E1564,E$1:E1563,1,FALSE()))),"OLD",IF(AND(E1564&lt;&gt;"",E1564&lt;&gt;"!!!"),"NEW","")))</f>
        <v> </v>
      </c>
      <c r="G1564" s="23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4" t="str">
        <f>IF(J1564&lt;&gt;1,"",IF(I1564="SBJ","CB","?"))</f>
        <v> </v>
      </c>
      <c r="I1564" s="25" t="str">
        <f>IF(OR(E1564="",E1564="!!!",F1564="NEW"),"",INDEX(B1563:B$2,-1+SUMPRODUCT(MAX(ROW(E1563:E$2)*(E1564=E1563:E$2)))))</f>
        <v> </v>
      </c>
      <c r="J1564" s="25" t="str">
        <f>IF(OR(E1564="",E1564="!!!",F1564="NEW"),"",COUNTBLANK(OFFSET(A$1,,,SUMPRODUCT(MAX(ROW(E$2:E1564)*(E1564=E$2:E1564)))))-COUNTBLANK(OFFSET(A$1,,,SUMPRODUCT(MAX(ROW(E$1:E1563)*(E2=E$1:E1563))))))</f>
        <v> </v>
      </c>
      <c r="K1564" s="25" t="str">
        <f>IF(OR(E1564="",E1564="!!!",F1564="NEW"),"",INDEX(J$1:J1563,SUMPRODUCT(MAX(ROW(E$1:E1563)*(E1564=E$1:E1563)))))</f>
        <v> </v>
      </c>
      <c r="L1564" s="26"/>
    </row>
    <row r="1565" spans="1:12">
      <c r="A1565" s="20" t="s">
        <v>531</v>
      </c>
      <c r="E1565" s="21">
        <f>IF(D1565="?OLD","!!!","")</f>
        <v/>
      </c>
      <c r="F1565" s="22" t="str">
        <f>IF(OR(E1565="",E1565="!!!"),"",IF(NOT(ISNA(VLOOKUP(E1565,E$1:E1564,1,FALSE()))),"OLD",IF(AND(E1565&lt;&gt;"",E1565&lt;&gt;"!!!"),"NEW","")))</f>
        <v> </v>
      </c>
      <c r="G1565" s="23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4" t="str">
        <f>IF(J1565&lt;&gt;1,"",IF(I1565="SBJ","CB","?"))</f>
        <v> </v>
      </c>
      <c r="I1565" s="25" t="str">
        <f>IF(OR(E1565="",E1565="!!!",F1565="NEW"),"",INDEX(B1564:B$2,-1+SUMPRODUCT(MAX(ROW(E1564:E$2)*(E1565=E1564:E$2)))))</f>
        <v> </v>
      </c>
      <c r="J1565" s="25" t="str">
        <f>IF(OR(E1565="",E1565="!!!",F1565="NEW"),"",COUNTBLANK(OFFSET(A$1,,,SUMPRODUCT(MAX(ROW(E$2:E1565)*(E1565=E$2:E1565)))))-COUNTBLANK(OFFSET(A$1,,,SUMPRODUCT(MAX(ROW(E$1:E1564)*(E2=E$1:E1564))))))</f>
        <v> </v>
      </c>
      <c r="K1565" s="25" t="str">
        <f>IF(OR(E1565="",E1565="!!!",F1565="NEW"),"",INDEX(J$1:J1564,SUMPRODUCT(MAX(ROW(E$1:E1564)*(E1565=E$1:E1564)))))</f>
        <v> </v>
      </c>
      <c r="L1565" s="26"/>
    </row>
    <row r="1566" spans="1:12">
      <c r="A1566" s="20"/>
    </row>
    <row r="1567" spans="1:12">
      <c r="A1567" s="20" t="s">
        <v>1019</v>
      </c>
    </row>
    <row r="1568" spans="1:12">
      <c r="A1568" s="20" t="s">
        <v>875</v>
      </c>
      <c r="E1568" s="21">
        <f>IF(D1568="?OLD","!!!","")</f>
        <v/>
      </c>
      <c r="F1568" s="22" t="str">
        <f>IF(OR(E1568="",E1568="!!!"),"",IF(NOT(ISNA(VLOOKUP(E1568,E$1:E1567,1,FALSE()))),"OLD",IF(AND(E1568&lt;&gt;"",E1568&lt;&gt;"!!!"),"NEW","")))</f>
        <v> </v>
      </c>
      <c r="G1568" s="23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4" t="str">
        <f>IF(J1568&lt;&gt;1,"",IF(I1568="SBJ","CB","?"))</f>
        <v> </v>
      </c>
      <c r="I1568" s="25" t="str">
        <f>IF(OR(E1568="",E1568="!!!",F1568="NEW"),"",INDEX(B1567:B$2,-1+SUMPRODUCT(MAX(ROW(E1567:E$2)*(E1568=E1567:E$2)))))</f>
        <v> </v>
      </c>
      <c r="J1568" s="25" t="str">
        <f>IF(OR(E1568="",E1568="!!!",F1568="NEW"),"",COUNTBLANK(OFFSET(A$1,,,SUMPRODUCT(MAX(ROW(E$2:E1568)*(E1568=E$2:E1568)))))-COUNTBLANK(OFFSET(A$1,,,SUMPRODUCT(MAX(ROW(E$1:E1567)*(E2=E$1:E1567))))))</f>
        <v> </v>
      </c>
      <c r="K1568" s="25" t="str">
        <f>IF(OR(E1568="",E1568="!!!",F1568="NEW"),"",INDEX(J$1:J1567,SUMPRODUCT(MAX(ROW(E$1:E1567)*(E1568=E$1:E1567)))))</f>
        <v> </v>
      </c>
      <c r="L1568" s="26"/>
    </row>
    <row r="1569" spans="1:12">
      <c r="A1569" s="20" t="s">
        <v>489</v>
      </c>
      <c r="E1569" s="21">
        <f>IF(D1569="?OLD","!!!","")</f>
        <v/>
      </c>
      <c r="F1569" s="22" t="str">
        <f>IF(OR(E1569="",E1569="!!!"),"",IF(NOT(ISNA(VLOOKUP(E1569,E$1:E1568,1,FALSE()))),"OLD",IF(AND(E1569&lt;&gt;"",E1569&lt;&gt;"!!!"),"NEW","")))</f>
        <v> </v>
      </c>
      <c r="G1569" s="23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4" t="str">
        <f>IF(J1569&lt;&gt;1,"",IF(I1569="SBJ","CB","?"))</f>
        <v> </v>
      </c>
      <c r="I1569" s="25" t="str">
        <f>IF(OR(E1569="",E1569="!!!",F1569="NEW"),"",INDEX(B1568:B$2,-1+SUMPRODUCT(MAX(ROW(E1568:E$2)*(E1569=E1568:E$2)))))</f>
        <v> </v>
      </c>
      <c r="J1569" s="25" t="str">
        <f>IF(OR(E1569="",E1569="!!!",F1569="NEW"),"",COUNTBLANK(OFFSET(A$1,,,SUMPRODUCT(MAX(ROW(E$2:E1569)*(E1569=E$2:E1569)))))-COUNTBLANK(OFFSET(A$1,,,SUMPRODUCT(MAX(ROW(E$1:E1568)*(E2=E$1:E1568))))))</f>
        <v> </v>
      </c>
      <c r="K1569" s="25" t="str">
        <f>IF(OR(E1569="",E1569="!!!",F1569="NEW"),"",INDEX(J$1:J1568,SUMPRODUCT(MAX(ROW(E$1:E1568)*(E1569=E$1:E1568)))))</f>
        <v> </v>
      </c>
      <c r="L1569" s="26"/>
    </row>
    <row r="1570" spans="1:12">
      <c r="A1570" s="20" t="s">
        <v>773</v>
      </c>
      <c r="E1570" s="21">
        <f>IF(D1570="?OLD","!!!","")</f>
        <v/>
      </c>
      <c r="F1570" s="22" t="str">
        <f>IF(OR(E1570="",E1570="!!!"),"",IF(NOT(ISNA(VLOOKUP(E1570,E$1:E1569,1,FALSE()))),"OLD",IF(AND(E1570&lt;&gt;"",E1570&lt;&gt;"!!!"),"NEW","")))</f>
        <v> </v>
      </c>
      <c r="G1570" s="23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4" t="str">
        <f>IF(J1570&lt;&gt;1,"",IF(I1570="SBJ","CB","?"))</f>
        <v> </v>
      </c>
      <c r="I1570" s="25" t="str">
        <f>IF(OR(E1570="",E1570="!!!",F1570="NEW"),"",INDEX(B1569:B$2,-1+SUMPRODUCT(MAX(ROW(E1569:E$2)*(E1570=E1569:E$2)))))</f>
        <v> </v>
      </c>
      <c r="J1570" s="25" t="str">
        <f>IF(OR(E1570="",E1570="!!!",F1570="NEW"),"",COUNTBLANK(OFFSET(A$1,,,SUMPRODUCT(MAX(ROW(E$2:E1570)*(E1570=E$2:E1570)))))-COUNTBLANK(OFFSET(A$1,,,SUMPRODUCT(MAX(ROW(E$1:E1569)*(E2=E$1:E1569))))))</f>
        <v> </v>
      </c>
      <c r="K1570" s="25" t="str">
        <f>IF(OR(E1570="",E1570="!!!",F1570="NEW"),"",INDEX(J$1:J1569,SUMPRODUCT(MAX(ROW(E$1:E1569)*(E1570=E$1:E1569)))))</f>
        <v> </v>
      </c>
      <c r="L1570" s="26"/>
    </row>
    <row r="1571" spans="1:12">
      <c r="A1571" s="20" t="s">
        <v>489</v>
      </c>
      <c r="E1571" s="21">
        <f>IF(D1571="?OLD","!!!","")</f>
        <v/>
      </c>
      <c r="F1571" s="22" t="str">
        <f>IF(OR(E1571="",E1571="!!!"),"",IF(NOT(ISNA(VLOOKUP(E1571,E$1:E1570,1,FALSE()))),"OLD",IF(AND(E1571&lt;&gt;"",E1571&lt;&gt;"!!!"),"NEW","")))</f>
        <v> </v>
      </c>
      <c r="G1571" s="23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4" t="str">
        <f>IF(J1571&lt;&gt;1,"",IF(I1571="SBJ","CB","?"))</f>
        <v> </v>
      </c>
      <c r="I1571" s="25" t="str">
        <f>IF(OR(E1571="",E1571="!!!",F1571="NEW"),"",INDEX(B1570:B$2,-1+SUMPRODUCT(MAX(ROW(E1570:E$2)*(E1571=E1570:E$2)))))</f>
        <v> </v>
      </c>
      <c r="J1571" s="25" t="str">
        <f>IF(OR(E1571="",E1571="!!!",F1571="NEW"),"",COUNTBLANK(OFFSET(A$1,,,SUMPRODUCT(MAX(ROW(E$2:E1571)*(E1571=E$2:E1571)))))-COUNTBLANK(OFFSET(A$1,,,SUMPRODUCT(MAX(ROW(E$1:E1570)*(E2=E$1:E1570))))))</f>
        <v> </v>
      </c>
      <c r="K1571" s="25" t="str">
        <f>IF(OR(E1571="",E1571="!!!",F1571="NEW"),"",INDEX(J$1:J1570,SUMPRODUCT(MAX(ROW(E$1:E1570)*(E1571=E$1:E1570)))))</f>
        <v> </v>
      </c>
      <c r="L1571" s="26"/>
    </row>
    <row r="1572" spans="1:12">
      <c r="A1572" s="20" t="s">
        <v>762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489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 t="s">
        <v>1020</v>
      </c>
      <c r="E1574" s="21">
        <f>IF(D1574="?OLD","!!!","")</f>
        <v/>
      </c>
      <c r="F1574" s="22" t="str">
        <f>IF(OR(E1574="",E1574="!!!"),"",IF(NOT(ISNA(VLOOKUP(E1574,E$1:E1573,1,FALSE()))),"OLD",IF(AND(E1574&lt;&gt;"",E1574&lt;&gt;"!!!"),"NEW","")))</f>
        <v> </v>
      </c>
      <c r="G1574" s="23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4" t="str">
        <f>IF(J1574&lt;&gt;1,"",IF(I1574="SBJ","CB","?"))</f>
        <v> </v>
      </c>
      <c r="I1574" s="25" t="str">
        <f>IF(OR(E1574="",E1574="!!!",F1574="NEW"),"",INDEX(B1573:B$2,-1+SUMPRODUCT(MAX(ROW(E1573:E$2)*(E1574=E1573:E$2)))))</f>
        <v> </v>
      </c>
      <c r="J1574" s="25" t="str">
        <f>IF(OR(E1574="",E1574="!!!",F1574="NEW"),"",COUNTBLANK(OFFSET(A$1,,,SUMPRODUCT(MAX(ROW(E$2:E1574)*(E1574=E$2:E1574)))))-COUNTBLANK(OFFSET(A$1,,,SUMPRODUCT(MAX(ROW(E$1:E1573)*(E2=E$1:E1573))))))</f>
        <v> </v>
      </c>
      <c r="K1574" s="25" t="str">
        <f>IF(OR(E1574="",E1574="!!!",F1574="NEW"),"",INDEX(J$1:J1573,SUMPRODUCT(MAX(ROW(E$1:E1573)*(E1574=E$1:E1573)))))</f>
        <v> </v>
      </c>
      <c r="L1574" s="26"/>
    </row>
    <row r="1575" spans="1:12">
      <c r="A1575" s="20" t="s">
        <v>489</v>
      </c>
      <c r="E1575" s="21">
        <f>IF(D1575="?OLD","!!!","")</f>
        <v/>
      </c>
      <c r="F1575" s="22" t="str">
        <f>IF(OR(E1575="",E1575="!!!"),"",IF(NOT(ISNA(VLOOKUP(E1575,E$1:E1574,1,FALSE()))),"OLD",IF(AND(E1575&lt;&gt;"",E1575&lt;&gt;"!!!"),"NEW","")))</f>
        <v> </v>
      </c>
      <c r="G1575" s="23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4" t="str">
        <f>IF(J1575&lt;&gt;1,"",IF(I1575="SBJ","CB","?"))</f>
        <v> </v>
      </c>
      <c r="I1575" s="25" t="str">
        <f>IF(OR(E1575="",E1575="!!!",F1575="NEW"),"",INDEX(B1574:B$2,-1+SUMPRODUCT(MAX(ROW(E1574:E$2)*(E1575=E1574:E$2)))))</f>
        <v> </v>
      </c>
      <c r="J1575" s="25" t="str">
        <f>IF(OR(E1575="",E1575="!!!",F1575="NEW"),"",COUNTBLANK(OFFSET(A$1,,,SUMPRODUCT(MAX(ROW(E$2:E1575)*(E1575=E$2:E1575)))))-COUNTBLANK(OFFSET(A$1,,,SUMPRODUCT(MAX(ROW(E$1:E1574)*(E2=E$1:E1574))))))</f>
        <v> </v>
      </c>
      <c r="K1575" s="25" t="str">
        <f>IF(OR(E1575="",E1575="!!!",F1575="NEW"),"",INDEX(J$1:J1574,SUMPRODUCT(MAX(ROW(E$1:E1574)*(E1575=E$1:E1574)))))</f>
        <v> </v>
      </c>
      <c r="L1575" s="26"/>
    </row>
    <row r="1576" spans="1:12">
      <c r="A1576" s="20" t="s">
        <v>1021</v>
      </c>
      <c r="E1576" s="21">
        <f>IF(D1576="?OLD","!!!","")</f>
        <v/>
      </c>
      <c r="F1576" s="22" t="str">
        <f>IF(OR(E1576="",E1576="!!!"),"",IF(NOT(ISNA(VLOOKUP(E1576,E$1:E1575,1,FALSE()))),"OLD",IF(AND(E1576&lt;&gt;"",E1576&lt;&gt;"!!!"),"NEW","")))</f>
        <v> </v>
      </c>
      <c r="G1576" s="23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4" t="str">
        <f>IF(J1576&lt;&gt;1,"",IF(I1576="SBJ","CB","?"))</f>
        <v> </v>
      </c>
      <c r="I1576" s="25" t="str">
        <f>IF(OR(E1576="",E1576="!!!",F1576="NEW"),"",INDEX(B1575:B$2,-1+SUMPRODUCT(MAX(ROW(E1575:E$2)*(E1576=E1575:E$2)))))</f>
        <v> </v>
      </c>
      <c r="J1576" s="25" t="str">
        <f>IF(OR(E1576="",E1576="!!!",F1576="NEW"),"",COUNTBLANK(OFFSET(A$1,,,SUMPRODUCT(MAX(ROW(E$2:E1576)*(E1576=E$2:E1576)))))-COUNTBLANK(OFFSET(A$1,,,SUMPRODUCT(MAX(ROW(E$1:E1575)*(E2=E$1:E1575))))))</f>
        <v> </v>
      </c>
      <c r="K1576" s="25" t="str">
        <f>IF(OR(E1576="",E1576="!!!",F1576="NEW"),"",INDEX(J$1:J1575,SUMPRODUCT(MAX(ROW(E$1:E1575)*(E1576=E$1:E1575)))))</f>
        <v> </v>
      </c>
      <c r="L1576" s="26"/>
    </row>
    <row r="1577" spans="1:12">
      <c r="A1577" s="20" t="s">
        <v>531</v>
      </c>
      <c r="E1577" s="21">
        <f>IF(D1577="?OLD","!!!","")</f>
        <v/>
      </c>
      <c r="F1577" s="22" t="str">
        <f>IF(OR(E1577="",E1577="!!!"),"",IF(NOT(ISNA(VLOOKUP(E1577,E$1:E1576,1,FALSE()))),"OLD",IF(AND(E1577&lt;&gt;"",E1577&lt;&gt;"!!!"),"NEW","")))</f>
        <v> </v>
      </c>
      <c r="G1577" s="23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4" t="str">
        <f>IF(J1577&lt;&gt;1,"",IF(I1577="SBJ","CB","?"))</f>
        <v> </v>
      </c>
      <c r="I1577" s="25" t="str">
        <f>IF(OR(E1577="",E1577="!!!",F1577="NEW"),"",INDEX(B1576:B$2,-1+SUMPRODUCT(MAX(ROW(E1576:E$2)*(E1577=E1576:E$2)))))</f>
        <v> </v>
      </c>
      <c r="J1577" s="25" t="str">
        <f>IF(OR(E1577="",E1577="!!!",F1577="NEW"),"",COUNTBLANK(OFFSET(A$1,,,SUMPRODUCT(MAX(ROW(E$2:E1577)*(E1577=E$2:E1577)))))-COUNTBLANK(OFFSET(A$1,,,SUMPRODUCT(MAX(ROW(E$1:E1576)*(E2=E$1:E1576))))))</f>
        <v> </v>
      </c>
      <c r="K1577" s="25" t="str">
        <f>IF(OR(E1577="",E1577="!!!",F1577="NEW"),"",INDEX(J$1:J1576,SUMPRODUCT(MAX(ROW(E$1:E1576)*(E1577=E$1:E1576)))))</f>
        <v> </v>
      </c>
      <c r="L1577" s="26"/>
    </row>
    <row r="1578" spans="1:12">
      <c r="A1578" s="20"/>
    </row>
    <row r="1579" spans="1:12">
      <c r="A1579" s="20" t="s">
        <v>1022</v>
      </c>
    </row>
    <row r="1580" spans="1:12">
      <c r="A1580" s="20" t="s">
        <v>1023</v>
      </c>
      <c r="E1580" s="21">
        <f>IF(D1580="?OLD","!!!","")</f>
        <v/>
      </c>
      <c r="F1580" s="22" t="str">
        <f>IF(OR(E1580="",E1580="!!!"),"",IF(NOT(ISNA(VLOOKUP(E1580,E$1:E1579,1,FALSE()))),"OLD",IF(AND(E1580&lt;&gt;"",E1580&lt;&gt;"!!!"),"NEW","")))</f>
        <v> </v>
      </c>
      <c r="G1580" s="23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4" t="str">
        <f>IF(J1580&lt;&gt;1,"",IF(I1580="SBJ","CB","?"))</f>
        <v> </v>
      </c>
      <c r="I1580" s="25" t="str">
        <f>IF(OR(E1580="",E1580="!!!",F1580="NEW"),"",INDEX(B1579:B$2,-1+SUMPRODUCT(MAX(ROW(E1579:E$2)*(E1580=E1579:E$2)))))</f>
        <v> </v>
      </c>
      <c r="J1580" s="25" t="str">
        <f>IF(OR(E1580="",E1580="!!!",F1580="NEW"),"",COUNTBLANK(OFFSET(A$1,,,SUMPRODUCT(MAX(ROW(E$2:E1580)*(E1580=E$2:E1580)))))-COUNTBLANK(OFFSET(A$1,,,SUMPRODUCT(MAX(ROW(E$1:E1579)*(E2=E$1:E1579))))))</f>
        <v> </v>
      </c>
      <c r="K1580" s="25" t="str">
        <f>IF(OR(E1580="",E1580="!!!",F1580="NEW"),"",INDEX(J$1:J1579,SUMPRODUCT(MAX(ROW(E$1:E1579)*(E1580=E$1:E1579)))))</f>
        <v> </v>
      </c>
      <c r="L1580" s="26"/>
    </row>
    <row r="1581" spans="1:12">
      <c r="A1581" s="20" t="s">
        <v>489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 t="s">
        <v>384</v>
      </c>
      <c r="E1582" s="21">
        <f>IF(D1582="?OLD","!!!","")</f>
        <v/>
      </c>
      <c r="F1582" s="22" t="str">
        <f>IF(OR(E1582="",E1582="!!!"),"",IF(NOT(ISNA(VLOOKUP(E1582,E$1:E1581,1,FALSE()))),"OLD",IF(AND(E1582&lt;&gt;"",E1582&lt;&gt;"!!!"),"NEW","")))</f>
        <v> </v>
      </c>
      <c r="G1582" s="23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4" t="str">
        <f>IF(J1582&lt;&gt;1,"",IF(I1582="SBJ","CB","?"))</f>
        <v> </v>
      </c>
      <c r="I1582" s="25" t="str">
        <f>IF(OR(E1582="",E1582="!!!",F1582="NEW"),"",INDEX(B1581:B$2,-1+SUMPRODUCT(MAX(ROW(E1581:E$2)*(E1582=E1581:E$2)))))</f>
        <v> </v>
      </c>
      <c r="J1582" s="25" t="str">
        <f>IF(OR(E1582="",E1582="!!!",F1582="NEW"),"",COUNTBLANK(OFFSET(A$1,,,SUMPRODUCT(MAX(ROW(E$2:E1582)*(E1582=E$2:E1582)))))-COUNTBLANK(OFFSET(A$1,,,SUMPRODUCT(MAX(ROW(E$1:E1581)*(E2=E$1:E1581))))))</f>
        <v> </v>
      </c>
      <c r="K1582" s="25" t="str">
        <f>IF(OR(E1582="",E1582="!!!",F1582="NEW"),"",INDEX(J$1:J1581,SUMPRODUCT(MAX(ROW(E$1:E1581)*(E1582=E$1:E1581)))))</f>
        <v> </v>
      </c>
      <c r="L1582" s="26"/>
    </row>
    <row r="1583" spans="1:12">
      <c r="A1583" s="20" t="s">
        <v>561</v>
      </c>
      <c r="E1583" s="21">
        <f>IF(D1583="?OLD","!!!","")</f>
        <v/>
      </c>
      <c r="F1583" s="22" t="str">
        <f>IF(OR(E1583="",E1583="!!!"),"",IF(NOT(ISNA(VLOOKUP(E1583,E$1:E1582,1,FALSE()))),"OLD",IF(AND(E1583&lt;&gt;"",E1583&lt;&gt;"!!!"),"NEW","")))</f>
        <v> </v>
      </c>
      <c r="G1583" s="23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4" t="str">
        <f>IF(J1583&lt;&gt;1,"",IF(I1583="SBJ","CB","?"))</f>
        <v> </v>
      </c>
      <c r="I1583" s="25" t="str">
        <f>IF(OR(E1583="",E1583="!!!",F1583="NEW"),"",INDEX(B1582:B$2,-1+SUMPRODUCT(MAX(ROW(E1582:E$2)*(E1583=E1582:E$2)))))</f>
        <v> </v>
      </c>
      <c r="J1583" s="25" t="str">
        <f>IF(OR(E1583="",E1583="!!!",F1583="NEW"),"",COUNTBLANK(OFFSET(A$1,,,SUMPRODUCT(MAX(ROW(E$2:E1583)*(E1583=E$2:E1583)))))-COUNTBLANK(OFFSET(A$1,,,SUMPRODUCT(MAX(ROW(E$1:E1582)*(E2=E$1:E1582))))))</f>
        <v> </v>
      </c>
      <c r="K1583" s="25" t="str">
        <f>IF(OR(E1583="",E1583="!!!",F1583="NEW"),"",INDEX(J$1:J1582,SUMPRODUCT(MAX(ROW(E$1:E1582)*(E1583=E$1:E1582)))))</f>
        <v> </v>
      </c>
      <c r="L1583" s="26"/>
    </row>
    <row r="1584" spans="1:12">
      <c r="A1584" s="20"/>
    </row>
    <row r="1585" spans="1:12">
      <c r="A1585" s="20" t="s">
        <v>606</v>
      </c>
      <c r="E1585" s="21">
        <f>IF(D1585="?OLD","!!!","")</f>
        <v/>
      </c>
      <c r="F1585" s="22" t="str">
        <f>IF(OR(E1585="",E1585="!!!"),"",IF(NOT(ISNA(VLOOKUP(E1585,E$1:E1584,1,FALSE()))),"OLD",IF(AND(E1585&lt;&gt;"",E1585&lt;&gt;"!!!"),"NEW","")))</f>
        <v> </v>
      </c>
      <c r="G1585" s="23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4" t="str">
        <f>IF(J1585&lt;&gt;1,"",IF(I1585="SBJ","CB","?"))</f>
        <v> </v>
      </c>
      <c r="I1585" s="25" t="str">
        <f>IF(OR(E1585="",E1585="!!!",F1585="NEW"),"",INDEX(B1584:B$2,-1+SUMPRODUCT(MAX(ROW(E1584:E$2)*(E1585=E1584:E$2)))))</f>
        <v> </v>
      </c>
      <c r="J1585" s="25" t="str">
        <f>IF(OR(E1585="",E1585="!!!",F1585="NEW"),"",COUNTBLANK(OFFSET(A$1,,,SUMPRODUCT(MAX(ROW(E$2:E1585)*(E1585=E$2:E1585)))))-COUNTBLANK(OFFSET(A$1,,,SUMPRODUCT(MAX(ROW(E$1:E1584)*(E2=E$1:E1584))))))</f>
        <v> </v>
      </c>
      <c r="K1585" s="25" t="str">
        <f>IF(OR(E1585="",E1585="!!!",F1585="NEW"),"",INDEX(J$1:J1584,SUMPRODUCT(MAX(ROW(E$1:E1584)*(E1585=E$1:E1584)))))</f>
        <v> </v>
      </c>
      <c r="L1585" s="26"/>
    </row>
    <row r="1586" spans="1:12">
      <c r="A1586" s="20" t="s">
        <v>1024</v>
      </c>
    </row>
    <row r="1587" spans="1:12">
      <c r="A1587" s="20" t="s">
        <v>608</v>
      </c>
      <c r="B1587" s="27" t="s">
        <v>549</v>
      </c>
      <c r="C1587" s="27" t="s">
        <v>482</v>
      </c>
      <c r="D1587" s="27" t="s">
        <v>483</v>
      </c>
      <c r="E1587" s="21">
        <f>IF(D1587="?OLD","!!!","")</f>
        <v/>
      </c>
      <c r="F1587" s="22" t="str">
        <f>IF(OR(E1587="",E1587="!!!"),"",IF(NOT(ISNA(VLOOKUP(E1587,E$1:E1586,1,FALSE()))),"OLD",IF(AND(E1587&lt;&gt;"",E1587&lt;&gt;"!!!"),"NEW","")))</f>
        <v> </v>
      </c>
      <c r="G1587" s="23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4" t="str">
        <f>IF(J1587&lt;&gt;1,"",IF(I1587="SBJ","CB","?"))</f>
        <v> </v>
      </c>
      <c r="I1587" s="25" t="str">
        <f>IF(OR(E1587="",E1587="!!!",F1587="NEW"),"",INDEX(B1586:B$2,-1+SUMPRODUCT(MAX(ROW(E1586:E$2)*(E1587=E1586:E$2)))))</f>
        <v> </v>
      </c>
      <c r="J1587" s="25" t="str">
        <f>IF(OR(E1587="",E1587="!!!",F1587="NEW"),"",COUNTBLANK(OFFSET(A$1,,,SUMPRODUCT(MAX(ROW(E$2:E1587)*(E1587=E$2:E1587)))))-COUNTBLANK(OFFSET(A$1,,,SUMPRODUCT(MAX(ROW(E$1:E1586)*(E2=E$1:E1586))))))</f>
        <v> </v>
      </c>
      <c r="K1587" s="25" t="str">
        <f>IF(OR(E1587="",E1587="!!!",F1587="NEW"),"",INDEX(J$1:J1586,SUMPRODUCT(MAX(ROW(E$1:E1586)*(E1587=E$1:E1586)))))</f>
        <v> </v>
      </c>
      <c r="L1587" s="26"/>
    </row>
    <row r="1588" spans="1:12">
      <c r="A1588" s="20" t="s">
        <v>1025</v>
      </c>
      <c r="E1588" s="21">
        <f>IF(D1588="?OLD","!!!","")</f>
        <v/>
      </c>
      <c r="F1588" s="22" t="str">
        <f>IF(OR(E1588="",E1588="!!!"),"",IF(NOT(ISNA(VLOOKUP(E1588,E$1:E1587,1,FALSE()))),"OLD",IF(AND(E1588&lt;&gt;"",E1588&lt;&gt;"!!!"),"NEW","")))</f>
        <v> </v>
      </c>
      <c r="G1588" s="23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4" t="str">
        <f>IF(J1588&lt;&gt;1,"",IF(I1588="SBJ","CB","?"))</f>
        <v> </v>
      </c>
      <c r="I1588" s="25" t="str">
        <f>IF(OR(E1588="",E1588="!!!",F1588="NEW"),"",INDEX(B1587:B$2,-1+SUMPRODUCT(MAX(ROW(E1587:E$2)*(E1588=E1587:E$2)))))</f>
        <v> </v>
      </c>
      <c r="J1588" s="25" t="str">
        <f>IF(OR(E1588="",E1588="!!!",F1588="NEW"),"",COUNTBLANK(OFFSET(A$1,,,SUMPRODUCT(MAX(ROW(E$2:E1588)*(E1588=E$2:E1588)))))-COUNTBLANK(OFFSET(A$1,,,SUMPRODUCT(MAX(ROW(E$1:E1587)*(E2=E$1:E1587))))))</f>
        <v> </v>
      </c>
      <c r="K1588" s="25" t="str">
        <f>IF(OR(E1588="",E1588="!!!",F1588="NEW"),"",INDEX(J$1:J1587,SUMPRODUCT(MAX(ROW(E$1:E1587)*(E1588=E$1:E1587)))))</f>
        <v> </v>
      </c>
      <c r="L1588" s="26"/>
    </row>
    <row r="1589" spans="1:12">
      <c r="A1589" s="20" t="s">
        <v>485</v>
      </c>
      <c r="B1589" s="27" t="s">
        <v>481</v>
      </c>
      <c r="C1589" s="27" t="s">
        <v>491</v>
      </c>
      <c r="D1589" s="27" t="s">
        <v>483</v>
      </c>
      <c r="E1589" s="21">
        <f>IF(D1589="?OLD","!!!","")</f>
        <v/>
      </c>
      <c r="F1589" s="22" t="str">
        <f>IF(OR(E1589="",E1589="!!!"),"",IF(NOT(ISNA(VLOOKUP(E1589,E$1:E1588,1,FALSE()))),"OLD",IF(AND(E1589&lt;&gt;"",E1589&lt;&gt;"!!!"),"NEW","")))</f>
        <v> </v>
      </c>
      <c r="G1589" s="23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4" t="str">
        <f>IF(J1589&lt;&gt;1,"",IF(I1589="SBJ","CB","?"))</f>
        <v> </v>
      </c>
      <c r="I1589" s="25" t="str">
        <f>IF(OR(E1589="",E1589="!!!",F1589="NEW"),"",INDEX(B1588:B$2,-1+SUMPRODUCT(MAX(ROW(E1588:E$2)*(E1589=E1588:E$2)))))</f>
        <v> </v>
      </c>
      <c r="J1589" s="25" t="str">
        <f>IF(OR(E1589="",E1589="!!!",F1589="NEW"),"",COUNTBLANK(OFFSET(A$1,,,SUMPRODUCT(MAX(ROW(E$2:E1589)*(E1589=E$2:E1589)))))-COUNTBLANK(OFFSET(A$1,,,SUMPRODUCT(MAX(ROW(E$1:E1588)*(E2=E$1:E1588))))))</f>
        <v> </v>
      </c>
      <c r="K1589" s="25" t="str">
        <f>IF(OR(E1589="",E1589="!!!",F1589="NEW"),"",INDEX(J$1:J1588,SUMPRODUCT(MAX(ROW(E$1:E1588)*(E1589=E$1:E1588)))))</f>
        <v> </v>
      </c>
      <c r="L1589" s="26"/>
    </row>
    <row r="1590" spans="1:12">
      <c r="A1590" s="20" t="s">
        <v>492</v>
      </c>
      <c r="B1590" s="27" t="s">
        <v>578</v>
      </c>
      <c r="E1590" s="21">
        <f>IF(D1590="?OLD","!!!","")</f>
        <v/>
      </c>
      <c r="F1590" s="22" t="str">
        <f>IF(OR(E1590="",E1590="!!!"),"",IF(NOT(ISNA(VLOOKUP(E1590,E$1:E1589,1,FALSE()))),"OLD",IF(AND(E1590&lt;&gt;"",E1590&lt;&gt;"!!!"),"NEW","")))</f>
        <v> </v>
      </c>
      <c r="G1590" s="23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4" t="str">
        <f>IF(J1590&lt;&gt;1,"",IF(I1590="SBJ","CB","?"))</f>
        <v> </v>
      </c>
      <c r="I1590" s="25" t="str">
        <f>IF(OR(E1590="",E1590="!!!",F1590="NEW"),"",INDEX(B1589:B$2,-1+SUMPRODUCT(MAX(ROW(E1589:E$2)*(E1590=E1589:E$2)))))</f>
        <v> </v>
      </c>
      <c r="J1590" s="25" t="str">
        <f>IF(OR(E1590="",E1590="!!!",F1590="NEW"),"",COUNTBLANK(OFFSET(A$1,,,SUMPRODUCT(MAX(ROW(E$2:E1590)*(E1590=E$2:E1590)))))-COUNTBLANK(OFFSET(A$1,,,SUMPRODUCT(MAX(ROW(E$1:E1589)*(E2=E$1:E1589))))))</f>
        <v> </v>
      </c>
      <c r="K1590" s="25" t="str">
        <f>IF(OR(E1590="",E1590="!!!",F1590="NEW"),"",INDEX(J$1:J1589,SUMPRODUCT(MAX(ROW(E$1:E1589)*(E1590=E$1:E1589)))))</f>
        <v> </v>
      </c>
      <c r="L1590" s="26"/>
    </row>
    <row r="1591" spans="1:12">
      <c r="A1591" s="20" t="s">
        <v>882</v>
      </c>
      <c r="E1591" s="21">
        <f>IF(D1591="?OLD","!!!","")</f>
        <v/>
      </c>
      <c r="F1591" s="22" t="str">
        <f>IF(OR(E1591="",E1591="!!!"),"",IF(NOT(ISNA(VLOOKUP(E1591,E$1:E1590,1,FALSE()))),"OLD",IF(AND(E1591&lt;&gt;"",E1591&lt;&gt;"!!!"),"NEW","")))</f>
        <v> </v>
      </c>
      <c r="G1591" s="23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4" t="str">
        <f>IF(J1591&lt;&gt;1,"",IF(I1591="SBJ","CB","?"))</f>
        <v> </v>
      </c>
      <c r="I1591" s="25" t="str">
        <f>IF(OR(E1591="",E1591="!!!",F1591="NEW"),"",INDEX(B1590:B$2,-1+SUMPRODUCT(MAX(ROW(E1590:E$2)*(E1591=E1590:E$2)))))</f>
        <v> </v>
      </c>
      <c r="J1591" s="25" t="str">
        <f>IF(OR(E1591="",E1591="!!!",F1591="NEW"),"",COUNTBLANK(OFFSET(A$1,,,SUMPRODUCT(MAX(ROW(E$2:E1591)*(E1591=E$2:E1591)))))-COUNTBLANK(OFFSET(A$1,,,SUMPRODUCT(MAX(ROW(E$1:E1590)*(E2=E$1:E1590))))))</f>
        <v> </v>
      </c>
      <c r="K1591" s="25" t="str">
        <f>IF(OR(E1591="",E1591="!!!",F1591="NEW"),"",INDEX(J$1:J1590,SUMPRODUCT(MAX(ROW(E$1:E1590)*(E1591=E$1:E1590)))))</f>
        <v> </v>
      </c>
      <c r="L1591" s="26"/>
    </row>
    <row r="1592" spans="1:12">
      <c r="A1592" s="20" t="s">
        <v>974</v>
      </c>
      <c r="B1592" s="27" t="s">
        <v>553</v>
      </c>
      <c r="C1592" s="27" t="s">
        <v>487</v>
      </c>
      <c r="D1592" s="27" t="s">
        <v>483</v>
      </c>
      <c r="E1592" s="21">
        <f>IF(D1592="?OLD","!!!","")</f>
        <v/>
      </c>
      <c r="F1592" s="22" t="str">
        <f>IF(OR(E1592="",E1592="!!!"),"",IF(NOT(ISNA(VLOOKUP(E1592,E$1:E1591,1,FALSE()))),"OLD",IF(AND(E1592&lt;&gt;"",E1592&lt;&gt;"!!!"),"NEW","")))</f>
        <v> </v>
      </c>
      <c r="G1592" s="23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4" t="str">
        <f>IF(J1592&lt;&gt;1,"",IF(I1592="SBJ","CB","?"))</f>
        <v> </v>
      </c>
      <c r="I1592" s="25" t="str">
        <f>IF(OR(E1592="",E1592="!!!",F1592="NEW"),"",INDEX(B1591:B$2,-1+SUMPRODUCT(MAX(ROW(E1591:E$2)*(E1592=E1591:E$2)))))</f>
        <v> </v>
      </c>
      <c r="J1592" s="25" t="str">
        <f>IF(OR(E1592="",E1592="!!!",F1592="NEW"),"",COUNTBLANK(OFFSET(A$1,,,SUMPRODUCT(MAX(ROW(E$2:E1592)*(E1592=E$2:E1592)))))-COUNTBLANK(OFFSET(A$1,,,SUMPRODUCT(MAX(ROW(E$1:E1591)*(E2=E$1:E1591))))))</f>
        <v> </v>
      </c>
      <c r="K1592" s="25" t="str">
        <f>IF(OR(E1592="",E1592="!!!",F1592="NEW"),"",INDEX(J$1:J1591,SUMPRODUCT(MAX(ROW(E$1:E1591)*(E1592=E$1:E1591)))))</f>
        <v> </v>
      </c>
      <c r="L1592" s="26"/>
    </row>
    <row r="1593" spans="1:12">
      <c r="A1593" s="20" t="s">
        <v>1026</v>
      </c>
      <c r="E1593" s="21">
        <f>IF(D1593="?OLD","!!!","")</f>
        <v/>
      </c>
      <c r="F1593" s="22" t="str">
        <f>IF(OR(E1593="",E1593="!!!"),"",IF(NOT(ISNA(VLOOKUP(E1593,E$1:E1592,1,FALSE()))),"OLD",IF(AND(E1593&lt;&gt;"",E1593&lt;&gt;"!!!"),"NEW","")))</f>
        <v> </v>
      </c>
      <c r="G1593" s="23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4" t="str">
        <f>IF(J1593&lt;&gt;1,"",IF(I1593="SBJ","CB","?"))</f>
        <v> </v>
      </c>
      <c r="I1593" s="25" t="str">
        <f>IF(OR(E1593="",E1593="!!!",F1593="NEW"),"",INDEX(B1592:B$2,-1+SUMPRODUCT(MAX(ROW(E1592:E$2)*(E1593=E1592:E$2)))))</f>
        <v> </v>
      </c>
      <c r="J1593" s="25" t="str">
        <f>IF(OR(E1593="",E1593="!!!",F1593="NEW"),"",COUNTBLANK(OFFSET(A$1,,,SUMPRODUCT(MAX(ROW(E$2:E1593)*(E1593=E$2:E1593)))))-COUNTBLANK(OFFSET(A$1,,,SUMPRODUCT(MAX(ROW(E$1:E1592)*(E2=E$1:E1592))))))</f>
        <v> </v>
      </c>
      <c r="K1593" s="25" t="str">
        <f>IF(OR(E1593="",E1593="!!!",F1593="NEW"),"",INDEX(J$1:J1592,SUMPRODUCT(MAX(ROW(E$1:E1592)*(E1593=E$1:E1592)))))</f>
        <v> </v>
      </c>
      <c r="L1593" s="26"/>
    </row>
    <row r="1594" spans="1:12">
      <c r="A1594" s="20" t="s">
        <v>752</v>
      </c>
      <c r="E1594" s="21">
        <f>IF(D1594="?OLD","!!!","")</f>
        <v/>
      </c>
      <c r="F1594" s="22" t="str">
        <f>IF(OR(E1594="",E1594="!!!"),"",IF(NOT(ISNA(VLOOKUP(E1594,E$1:E1593,1,FALSE()))),"OLD",IF(AND(E1594&lt;&gt;"",E1594&lt;&gt;"!!!"),"NEW","")))</f>
        <v> </v>
      </c>
      <c r="G1594" s="23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4" t="str">
        <f>IF(J1594&lt;&gt;1,"",IF(I1594="SBJ","CB","?"))</f>
        <v> </v>
      </c>
      <c r="I1594" s="25" t="str">
        <f>IF(OR(E1594="",E1594="!!!",F1594="NEW"),"",INDEX(B1593:B$2,-1+SUMPRODUCT(MAX(ROW(E1593:E$2)*(E1594=E1593:E$2)))))</f>
        <v> </v>
      </c>
      <c r="J1594" s="25" t="str">
        <f>IF(OR(E1594="",E1594="!!!",F1594="NEW"),"",COUNTBLANK(OFFSET(A$1,,,SUMPRODUCT(MAX(ROW(E$2:E1594)*(E1594=E$2:E1594)))))-COUNTBLANK(OFFSET(A$1,,,SUMPRODUCT(MAX(ROW(E$1:E1593)*(E2=E$1:E1593))))))</f>
        <v> </v>
      </c>
      <c r="K1594" s="25" t="str">
        <f>IF(OR(E1594="",E1594="!!!",F1594="NEW"),"",INDEX(J$1:J1593,SUMPRODUCT(MAX(ROW(E$1:E1593)*(E1594=E$1:E1593)))))</f>
        <v> </v>
      </c>
      <c r="L1594" s="26"/>
    </row>
    <row r="1595" spans="1:12">
      <c r="A1595" s="20" t="s">
        <v>1027</v>
      </c>
      <c r="E1595" s="21">
        <f>IF(D1595="?OLD","!!!","")</f>
        <v/>
      </c>
      <c r="F1595" s="22" t="str">
        <f>IF(OR(E1595="",E1595="!!!"),"",IF(NOT(ISNA(VLOOKUP(E1595,E$1:E1594,1,FALSE()))),"OLD",IF(AND(E1595&lt;&gt;"",E1595&lt;&gt;"!!!"),"NEW","")))</f>
        <v> </v>
      </c>
      <c r="G1595" s="23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4" t="str">
        <f>IF(J1595&lt;&gt;1,"",IF(I1595="SBJ","CB","?"))</f>
        <v> </v>
      </c>
      <c r="I1595" s="25" t="str">
        <f>IF(OR(E1595="",E1595="!!!",F1595="NEW"),"",INDEX(B1594:B$2,-1+SUMPRODUCT(MAX(ROW(E1594:E$2)*(E1595=E1594:E$2)))))</f>
        <v> </v>
      </c>
      <c r="J1595" s="25" t="str">
        <f>IF(OR(E1595="",E1595="!!!",F1595="NEW"),"",COUNTBLANK(OFFSET(A$1,,,SUMPRODUCT(MAX(ROW(E$2:E1595)*(E1595=E$2:E1595)))))-COUNTBLANK(OFFSET(A$1,,,SUMPRODUCT(MAX(ROW(E$1:E1594)*(E2=E$1:E1594))))))</f>
        <v> </v>
      </c>
      <c r="K1595" s="25" t="str">
        <f>IF(OR(E1595="",E1595="!!!",F1595="NEW"),"",INDEX(J$1:J1594,SUMPRODUCT(MAX(ROW(E$1:E1594)*(E1595=E$1:E1594)))))</f>
        <v> </v>
      </c>
      <c r="L1595" s="26"/>
    </row>
    <row r="1596" spans="1:12">
      <c r="A1596" s="20" t="s">
        <v>662</v>
      </c>
      <c r="B1596" s="27" t="s">
        <v>654</v>
      </c>
      <c r="C1596" s="27" t="s">
        <v>491</v>
      </c>
      <c r="D1596" s="27" t="s">
        <v>483</v>
      </c>
      <c r="E1596" s="21">
        <f>IF(D1596="?OLD","!!!","")</f>
        <v/>
      </c>
      <c r="F1596" s="22" t="str">
        <f>IF(OR(E1596="",E1596="!!!"),"",IF(NOT(ISNA(VLOOKUP(E1596,E$1:E1595,1,FALSE()))),"OLD",IF(AND(E1596&lt;&gt;"",E1596&lt;&gt;"!!!"),"NEW","")))</f>
        <v> </v>
      </c>
      <c r="G1596" s="23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4" t="str">
        <f>IF(J1596&lt;&gt;1,"",IF(I1596="SBJ","CB","?"))</f>
        <v> </v>
      </c>
      <c r="I1596" s="25" t="str">
        <f>IF(OR(E1596="",E1596="!!!",F1596="NEW"),"",INDEX(B1595:B$2,-1+SUMPRODUCT(MAX(ROW(E1595:E$2)*(E1596=E1595:E$2)))))</f>
        <v> </v>
      </c>
      <c r="J1596" s="25" t="str">
        <f>IF(OR(E1596="",E1596="!!!",F1596="NEW"),"",COUNTBLANK(OFFSET(A$1,,,SUMPRODUCT(MAX(ROW(E$2:E1596)*(E1596=E$2:E1596)))))-COUNTBLANK(OFFSET(A$1,,,SUMPRODUCT(MAX(ROW(E$1:E1595)*(E2=E$1:E1595))))))</f>
        <v> </v>
      </c>
      <c r="K1596" s="25" t="str">
        <f>IF(OR(E1596="",E1596="!!!",F1596="NEW"),"",INDEX(J$1:J1595,SUMPRODUCT(MAX(ROW(E$1:E1595)*(E1596=E$1:E1595)))))</f>
        <v> </v>
      </c>
      <c r="L1596" s="26"/>
    </row>
    <row r="1597" spans="1:12">
      <c r="A1597" s="20" t="s">
        <v>917</v>
      </c>
      <c r="E1597" s="21">
        <f>IF(D1597="?OLD","!!!","")</f>
        <v/>
      </c>
      <c r="F1597" s="22" t="str">
        <f>IF(OR(E1597="",E1597="!!!"),"",IF(NOT(ISNA(VLOOKUP(E1597,E$1:E1596,1,FALSE()))),"OLD",IF(AND(E1597&lt;&gt;"",E1597&lt;&gt;"!!!"),"NEW","")))</f>
        <v> </v>
      </c>
      <c r="G1597" s="23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4" t="str">
        <f>IF(J1597&lt;&gt;1,"",IF(I1597="SBJ","CB","?"))</f>
        <v> </v>
      </c>
      <c r="I1597" s="25" t="str">
        <f>IF(OR(E1597="",E1597="!!!",F1597="NEW"),"",INDEX(B1596:B$2,-1+SUMPRODUCT(MAX(ROW(E1596:E$2)*(E1597=E1596:E$2)))))</f>
        <v> </v>
      </c>
      <c r="J1597" s="25" t="str">
        <f>IF(OR(E1597="",E1597="!!!",F1597="NEW"),"",COUNTBLANK(OFFSET(A$1,,,SUMPRODUCT(MAX(ROW(E$2:E1597)*(E1597=E$2:E1597)))))-COUNTBLANK(OFFSET(A$1,,,SUMPRODUCT(MAX(ROW(E$1:E1596)*(E2=E$1:E1596))))))</f>
        <v> </v>
      </c>
      <c r="K1597" s="25" t="str">
        <f>IF(OR(E1597="",E1597="!!!",F1597="NEW"),"",INDEX(J$1:J1596,SUMPRODUCT(MAX(ROW(E$1:E1596)*(E1597=E$1:E1596)))))</f>
        <v> </v>
      </c>
      <c r="L1597" s="26"/>
    </row>
    <row r="1598" spans="1:12">
      <c r="A1598" s="20" t="s">
        <v>610</v>
      </c>
      <c r="E1598" s="21">
        <f>IF(D1598="?OLD","!!!","")</f>
        <v/>
      </c>
      <c r="F1598" s="22" t="str">
        <f>IF(OR(E1598="",E1598="!!!"),"",IF(NOT(ISNA(VLOOKUP(E1598,E$1:E1597,1,FALSE()))),"OLD",IF(AND(E1598&lt;&gt;"",E1598&lt;&gt;"!!!"),"NEW","")))</f>
        <v> </v>
      </c>
      <c r="G1598" s="23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4" t="str">
        <f>IF(J1598&lt;&gt;1,"",IF(I1598="SBJ","CB","?"))</f>
        <v> </v>
      </c>
      <c r="I1598" s="25" t="str">
        <f>IF(OR(E1598="",E1598="!!!",F1598="NEW"),"",INDEX(B1597:B$2,-1+SUMPRODUCT(MAX(ROW(E1597:E$2)*(E1598=E1597:E$2)))))</f>
        <v> </v>
      </c>
      <c r="J1598" s="25" t="str">
        <f>IF(OR(E1598="",E1598="!!!",F1598="NEW"),"",COUNTBLANK(OFFSET(A$1,,,SUMPRODUCT(MAX(ROW(E$2:E1598)*(E1598=E$2:E1598)))))-COUNTBLANK(OFFSET(A$1,,,SUMPRODUCT(MAX(ROW(E$1:E1597)*(E2=E$1:E1597))))))</f>
        <v> </v>
      </c>
      <c r="K1598" s="25" t="str">
        <f>IF(OR(E1598="",E1598="!!!",F1598="NEW"),"",INDEX(J$1:J1597,SUMPRODUCT(MAX(ROW(E$1:E1597)*(E1598=E$1:E1597)))))</f>
        <v> </v>
      </c>
      <c r="L1598" s="26"/>
    </row>
    <row r="1599" spans="1:12">
      <c r="A1599" s="20" t="s">
        <v>651</v>
      </c>
      <c r="E1599" s="21">
        <f>IF(D1599="?OLD","!!!","")</f>
        <v/>
      </c>
      <c r="F1599" s="22" t="str">
        <f>IF(OR(E1599="",E1599="!!!"),"",IF(NOT(ISNA(VLOOKUP(E1599,E$1:E1598,1,FALSE()))),"OLD",IF(AND(E1599&lt;&gt;"",E1599&lt;&gt;"!!!"),"NEW","")))</f>
        <v> </v>
      </c>
      <c r="G1599" s="23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4" t="str">
        <f>IF(J1599&lt;&gt;1,"",IF(I1599="SBJ","CB","?"))</f>
        <v> </v>
      </c>
      <c r="I1599" s="25" t="str">
        <f>IF(OR(E1599="",E1599="!!!",F1599="NEW"),"",INDEX(B1598:B$2,-1+SUMPRODUCT(MAX(ROW(E1598:E$2)*(E1599=E1598:E$2)))))</f>
        <v> </v>
      </c>
      <c r="J1599" s="25" t="str">
        <f>IF(OR(E1599="",E1599="!!!",F1599="NEW"),"",COUNTBLANK(OFFSET(A$1,,,SUMPRODUCT(MAX(ROW(E$2:E1599)*(E1599=E$2:E1599)))))-COUNTBLANK(OFFSET(A$1,,,SUMPRODUCT(MAX(ROW(E$1:E1598)*(E2=E$1:E1598))))))</f>
        <v> </v>
      </c>
      <c r="K1599" s="25" t="str">
        <f>IF(OR(E1599="",E1599="!!!",F1599="NEW"),"",INDEX(J$1:J1598,SUMPRODUCT(MAX(ROW(E$1:E1598)*(E1599=E$1:E1598)))))</f>
        <v> </v>
      </c>
      <c r="L1599" s="26"/>
    </row>
    <row r="1600" spans="1:12">
      <c r="A1600" s="20" t="s">
        <v>1028</v>
      </c>
      <c r="B1600" s="27" t="s">
        <v>490</v>
      </c>
      <c r="C1600" s="27" t="s">
        <v>516</v>
      </c>
      <c r="E1600" s="21">
        <f>IF(D1600="?OLD","!!!","")</f>
        <v/>
      </c>
      <c r="F1600" s="22" t="str">
        <f>IF(OR(E1600="",E1600="!!!"),"",IF(NOT(ISNA(VLOOKUP(E1600,E$1:E1599,1,FALSE()))),"OLD",IF(AND(E1600&lt;&gt;"",E1600&lt;&gt;"!!!"),"NEW","")))</f>
        <v> </v>
      </c>
      <c r="G1600" s="23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4" t="str">
        <f>IF(J1600&lt;&gt;1,"",IF(I1600="SBJ","CB","?"))</f>
        <v> </v>
      </c>
      <c r="I1600" s="25" t="str">
        <f>IF(OR(E1600="",E1600="!!!",F1600="NEW"),"",INDEX(B1599:B$2,-1+SUMPRODUCT(MAX(ROW(E1599:E$2)*(E1600=E1599:E$2)))))</f>
        <v> </v>
      </c>
      <c r="J1600" s="25" t="str">
        <f>IF(OR(E1600="",E1600="!!!",F1600="NEW"),"",COUNTBLANK(OFFSET(A$1,,,SUMPRODUCT(MAX(ROW(E$2:E1600)*(E1600=E$2:E1600)))))-COUNTBLANK(OFFSET(A$1,,,SUMPRODUCT(MAX(ROW(E$1:E1599)*(E2=E$1:E1599))))))</f>
        <v> </v>
      </c>
      <c r="K1600" s="25" t="str">
        <f>IF(OR(E1600="",E1600="!!!",F1600="NEW"),"",INDEX(J$1:J1599,SUMPRODUCT(MAX(ROW(E$1:E1599)*(E1600=E$1:E1599)))))</f>
        <v> </v>
      </c>
      <c r="L1600" s="26"/>
    </row>
    <row r="1601" spans="1:12">
      <c r="A1601" s="20" t="s">
        <v>492</v>
      </c>
      <c r="E1601" s="21">
        <f>IF(D1601="?OLD","!!!","")</f>
        <v/>
      </c>
      <c r="F1601" s="22" t="str">
        <f>IF(OR(E1601="",E1601="!!!"),"",IF(NOT(ISNA(VLOOKUP(E1601,E$1:E1600,1,FALSE()))),"OLD",IF(AND(E1601&lt;&gt;"",E1601&lt;&gt;"!!!"),"NEW","")))</f>
        <v> </v>
      </c>
      <c r="G1601" s="23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4" t="str">
        <f>IF(J1601&lt;&gt;1,"",IF(I1601="SBJ","CB","?"))</f>
        <v> </v>
      </c>
      <c r="I1601" s="25" t="str">
        <f>IF(OR(E1601="",E1601="!!!",F1601="NEW"),"",INDEX(B1600:B$2,-1+SUMPRODUCT(MAX(ROW(E1600:E$2)*(E1601=E1600:E$2)))))</f>
        <v> </v>
      </c>
      <c r="J1601" s="25" t="str">
        <f>IF(OR(E1601="",E1601="!!!",F1601="NEW"),"",COUNTBLANK(OFFSET(A$1,,,SUMPRODUCT(MAX(ROW(E$2:E1601)*(E1601=E$2:E1601)))))-COUNTBLANK(OFFSET(A$1,,,SUMPRODUCT(MAX(ROW(E$1:E1600)*(E2=E$1:E1600))))))</f>
        <v> </v>
      </c>
      <c r="K1601" s="25" t="str">
        <f>IF(OR(E1601="",E1601="!!!",F1601="NEW"),"",INDEX(J$1:J1600,SUMPRODUCT(MAX(ROW(E$1:E1600)*(E1601=E$1:E1600)))))</f>
        <v> </v>
      </c>
      <c r="L1601" s="26"/>
    </row>
    <row r="1602" spans="1:12">
      <c r="A1602" s="20" t="s">
        <v>1029</v>
      </c>
      <c r="B1602" s="27" t="s">
        <v>654</v>
      </c>
      <c r="C1602" s="27" t="s">
        <v>482</v>
      </c>
      <c r="D1602" s="27" t="s">
        <v>483</v>
      </c>
      <c r="E1602" s="21">
        <f>IF(D1602="?OLD","!!!","")</f>
        <v/>
      </c>
      <c r="F1602" s="22" t="str">
        <f>IF(OR(E1602="",E1602="!!!"),"",IF(NOT(ISNA(VLOOKUP(E1602,E$1:E1601,1,FALSE()))),"OLD",IF(AND(E1602&lt;&gt;"",E1602&lt;&gt;"!!!"),"NEW","")))</f>
        <v> </v>
      </c>
      <c r="G1602" s="23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4" t="str">
        <f>IF(J1602&lt;&gt;1,"",IF(I1602="SBJ","CB","?"))</f>
        <v> </v>
      </c>
      <c r="I1602" s="25" t="str">
        <f>IF(OR(E1602="",E1602="!!!",F1602="NEW"),"",INDEX(B1601:B$2,-1+SUMPRODUCT(MAX(ROW(E1601:E$2)*(E1602=E1601:E$2)))))</f>
        <v> </v>
      </c>
      <c r="J1602" s="25" t="str">
        <f>IF(OR(E1602="",E1602="!!!",F1602="NEW"),"",COUNTBLANK(OFFSET(A$1,,,SUMPRODUCT(MAX(ROW(E$2:E1602)*(E1602=E$2:E1602)))))-COUNTBLANK(OFFSET(A$1,,,SUMPRODUCT(MAX(ROW(E$1:E1601)*(E2=E$1:E1601))))))</f>
        <v> </v>
      </c>
      <c r="K1602" s="25" t="str">
        <f>IF(OR(E1602="",E1602="!!!",F1602="NEW"),"",INDEX(J$1:J1601,SUMPRODUCT(MAX(ROW(E$1:E1601)*(E1602=E$1:E1601)))))</f>
        <v> </v>
      </c>
      <c r="L1602" s="26"/>
    </row>
    <row r="1603" spans="1:12">
      <c r="A1603" s="20" t="s">
        <v>680</v>
      </c>
      <c r="E1603" s="21">
        <f>IF(D1603="?OLD","!!!","")</f>
        <v/>
      </c>
      <c r="F1603" s="22" t="str">
        <f>IF(OR(E1603="",E1603="!!!"),"",IF(NOT(ISNA(VLOOKUP(E1603,E$1:E1602,1,FALSE()))),"OLD",IF(AND(E1603&lt;&gt;"",E1603&lt;&gt;"!!!"),"NEW","")))</f>
        <v> </v>
      </c>
      <c r="G1603" s="23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4" t="str">
        <f>IF(J1603&lt;&gt;1,"",IF(I1603="SBJ","CB","?"))</f>
        <v> </v>
      </c>
      <c r="I1603" s="25" t="str">
        <f>IF(OR(E1603="",E1603="!!!",F1603="NEW"),"",INDEX(B1602:B$2,-1+SUMPRODUCT(MAX(ROW(E1602:E$2)*(E1603=E1602:E$2)))))</f>
        <v> </v>
      </c>
      <c r="J1603" s="25" t="str">
        <f>IF(OR(E1603="",E1603="!!!",F1603="NEW"),"",COUNTBLANK(OFFSET(A$1,,,SUMPRODUCT(MAX(ROW(E$2:E1603)*(E1603=E$2:E1603)))))-COUNTBLANK(OFFSET(A$1,,,SUMPRODUCT(MAX(ROW(E$1:E1602)*(E2=E$1:E1602))))))</f>
        <v> </v>
      </c>
      <c r="K1603" s="25" t="str">
        <f>IF(OR(E1603="",E1603="!!!",F1603="NEW"),"",INDEX(J$1:J1602,SUMPRODUCT(MAX(ROW(E$1:E1602)*(E1603=E$1:E1602)))))</f>
        <v> </v>
      </c>
      <c r="L1603" s="26"/>
    </row>
    <row r="1604" spans="1:12">
      <c r="A1604" s="20" t="s">
        <v>558</v>
      </c>
      <c r="E1604" s="21">
        <f>IF(D1604="?OLD","!!!","")</f>
        <v/>
      </c>
      <c r="F1604" s="22" t="str">
        <f>IF(OR(E1604="",E1604="!!!"),"",IF(NOT(ISNA(VLOOKUP(E1604,E$1:E1603,1,FALSE()))),"OLD",IF(AND(E1604&lt;&gt;"",E1604&lt;&gt;"!!!"),"NEW","")))</f>
        <v> </v>
      </c>
      <c r="G1604" s="23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4" t="str">
        <f>IF(J1604&lt;&gt;1,"",IF(I1604="SBJ","CB","?"))</f>
        <v> </v>
      </c>
      <c r="I1604" s="25" t="str">
        <f>IF(OR(E1604="",E1604="!!!",F1604="NEW"),"",INDEX(B1603:B$2,-1+SUMPRODUCT(MAX(ROW(E1603:E$2)*(E1604=E1603:E$2)))))</f>
        <v> </v>
      </c>
      <c r="J1604" s="25" t="str">
        <f>IF(OR(E1604="",E1604="!!!",F1604="NEW"),"",COUNTBLANK(OFFSET(A$1,,,SUMPRODUCT(MAX(ROW(E$2:E1604)*(E1604=E$2:E1604)))))-COUNTBLANK(OFFSET(A$1,,,SUMPRODUCT(MAX(ROW(E$1:E1603)*(E2=E$1:E1603))))))</f>
        <v> </v>
      </c>
      <c r="K1604" s="25" t="str">
        <f>IF(OR(E1604="",E1604="!!!",F1604="NEW"),"",INDEX(J$1:J1603,SUMPRODUCT(MAX(ROW(E$1:E1603)*(E1604=E$1:E1603)))))</f>
        <v> </v>
      </c>
      <c r="L1604" s="26"/>
    </row>
    <row r="1605" spans="1:12">
      <c r="A1605" s="20" t="s">
        <v>675</v>
      </c>
      <c r="E1605" s="21">
        <f>IF(D1605="?OLD","!!!","")</f>
        <v/>
      </c>
      <c r="F1605" s="22" t="str">
        <f>IF(OR(E1605="",E1605="!!!"),"",IF(NOT(ISNA(VLOOKUP(E1605,E$1:E1604,1,FALSE()))),"OLD",IF(AND(E1605&lt;&gt;"",E1605&lt;&gt;"!!!"),"NEW","")))</f>
        <v> </v>
      </c>
      <c r="G1605" s="23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4" t="str">
        <f>IF(J1605&lt;&gt;1,"",IF(I1605="SBJ","CB","?"))</f>
        <v> </v>
      </c>
      <c r="I1605" s="25" t="str">
        <f>IF(OR(E1605="",E1605="!!!",F1605="NEW"),"",INDEX(B1604:B$2,-1+SUMPRODUCT(MAX(ROW(E1604:E$2)*(E1605=E1604:E$2)))))</f>
        <v> </v>
      </c>
      <c r="J1605" s="25" t="str">
        <f>IF(OR(E1605="",E1605="!!!",F1605="NEW"),"",COUNTBLANK(OFFSET(A$1,,,SUMPRODUCT(MAX(ROW(E$2:E1605)*(E1605=E$2:E1605)))))-COUNTBLANK(OFFSET(A$1,,,SUMPRODUCT(MAX(ROW(E$1:E1604)*(E2=E$1:E1604))))))</f>
        <v> </v>
      </c>
      <c r="K1605" s="25" t="str">
        <f>IF(OR(E1605="",E1605="!!!",F1605="NEW"),"",INDEX(J$1:J1604,SUMPRODUCT(MAX(ROW(E$1:E1604)*(E1605=E$1:E1604)))))</f>
        <v> </v>
      </c>
      <c r="L1605" s="26"/>
    </row>
    <row r="1606" spans="1:12">
      <c r="A1606" s="20" t="s">
        <v>1030</v>
      </c>
      <c r="E1606" s="21">
        <f>IF(D1606="?OLD","!!!","")</f>
        <v/>
      </c>
      <c r="F1606" s="22" t="str">
        <f>IF(OR(E1606="",E1606="!!!"),"",IF(NOT(ISNA(VLOOKUP(E1606,E$1:E1605,1,FALSE()))),"OLD",IF(AND(E1606&lt;&gt;"",E1606&lt;&gt;"!!!"),"NEW","")))</f>
        <v> </v>
      </c>
      <c r="G1606" s="23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4" t="str">
        <f>IF(J1606&lt;&gt;1,"",IF(I1606="SBJ","CB","?"))</f>
        <v> </v>
      </c>
      <c r="I1606" s="25" t="str">
        <f>IF(OR(E1606="",E1606="!!!",F1606="NEW"),"",INDEX(B1605:B$2,-1+SUMPRODUCT(MAX(ROW(E1605:E$2)*(E1606=E1605:E$2)))))</f>
        <v> </v>
      </c>
      <c r="J1606" s="25" t="str">
        <f>IF(OR(E1606="",E1606="!!!",F1606="NEW"),"",COUNTBLANK(OFFSET(A$1,,,SUMPRODUCT(MAX(ROW(E$2:E1606)*(E1606=E$2:E1606)))))-COUNTBLANK(OFFSET(A$1,,,SUMPRODUCT(MAX(ROW(E$1:E1605)*(E2=E$1:E1605))))))</f>
        <v> </v>
      </c>
      <c r="K1606" s="25" t="str">
        <f>IF(OR(E1606="",E1606="!!!",F1606="NEW"),"",INDEX(J$1:J1605,SUMPRODUCT(MAX(ROW(E$1:E1605)*(E1606=E$1:E1605)))))</f>
        <v> </v>
      </c>
      <c r="L1606" s="26"/>
    </row>
    <row r="1607" spans="1:12">
      <c r="A1607" s="20" t="s">
        <v>610</v>
      </c>
      <c r="E1607" s="21">
        <f>IF(D1607="?OLD","!!!","")</f>
        <v/>
      </c>
      <c r="F1607" s="22" t="str">
        <f>IF(OR(E1607="",E1607="!!!"),"",IF(NOT(ISNA(VLOOKUP(E1607,E$1:E1606,1,FALSE()))),"OLD",IF(AND(E1607&lt;&gt;"",E1607&lt;&gt;"!!!"),"NEW","")))</f>
        <v> </v>
      </c>
      <c r="G1607" s="23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4" t="str">
        <f>IF(J1607&lt;&gt;1,"",IF(I1607="SBJ","CB","?"))</f>
        <v> </v>
      </c>
      <c r="I1607" s="25" t="str">
        <f>IF(OR(E1607="",E1607="!!!",F1607="NEW"),"",INDEX(B1606:B$2,-1+SUMPRODUCT(MAX(ROW(E1606:E$2)*(E1607=E1606:E$2)))))</f>
        <v> </v>
      </c>
      <c r="J1607" s="25" t="str">
        <f>IF(OR(E1607="",E1607="!!!",F1607="NEW"),"",COUNTBLANK(OFFSET(A$1,,,SUMPRODUCT(MAX(ROW(E$2:E1607)*(E1607=E$2:E1607)))))-COUNTBLANK(OFFSET(A$1,,,SUMPRODUCT(MAX(ROW(E$1:E1606)*(E2=E$1:E1606))))))</f>
        <v> </v>
      </c>
      <c r="K1607" s="25" t="str">
        <f>IF(OR(E1607="",E1607="!!!",F1607="NEW"),"",INDEX(J$1:J1606,SUMPRODUCT(MAX(ROW(E$1:E1606)*(E1607=E$1:E1606)))))</f>
        <v> </v>
      </c>
      <c r="L1607" s="26"/>
    </row>
    <row r="1608" spans="1:12">
      <c r="A1608" s="20" t="s">
        <v>500</v>
      </c>
      <c r="E1608" s="21">
        <f>IF(D1608="?OLD","!!!","")</f>
        <v/>
      </c>
      <c r="F1608" s="22" t="str">
        <f>IF(OR(E1608="",E1608="!!!"),"",IF(NOT(ISNA(VLOOKUP(E1608,E$1:E1607,1,FALSE()))),"OLD",IF(AND(E1608&lt;&gt;"",E1608&lt;&gt;"!!!"),"NEW","")))</f>
        <v> </v>
      </c>
      <c r="G1608" s="23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4" t="str">
        <f>IF(J1608&lt;&gt;1,"",IF(I1608="SBJ","CB","?"))</f>
        <v> </v>
      </c>
      <c r="I1608" s="25" t="str">
        <f>IF(OR(E1608="",E1608="!!!",F1608="NEW"),"",INDEX(B1607:B$2,-1+SUMPRODUCT(MAX(ROW(E1607:E$2)*(E1608=E1607:E$2)))))</f>
        <v> </v>
      </c>
      <c r="J1608" s="25" t="str">
        <f>IF(OR(E1608="",E1608="!!!",F1608="NEW"),"",COUNTBLANK(OFFSET(A$1,,,SUMPRODUCT(MAX(ROW(E$2:E1608)*(E1608=E$2:E1608)))))-COUNTBLANK(OFFSET(A$1,,,SUMPRODUCT(MAX(ROW(E$1:E1607)*(E2=E$1:E1607))))))</f>
        <v> </v>
      </c>
      <c r="K1608" s="25" t="str">
        <f>IF(OR(E1608="",E1608="!!!",F1608="NEW"),"",INDEX(J$1:J1607,SUMPRODUCT(MAX(ROW(E$1:E1607)*(E1608=E$1:E1607)))))</f>
        <v> </v>
      </c>
      <c r="L1608" s="26"/>
    </row>
    <row r="1609" spans="1:12">
      <c r="A1609" s="20" t="s">
        <v>960</v>
      </c>
      <c r="E1609" s="21">
        <f>IF(D1609="?OLD","!!!","")</f>
        <v/>
      </c>
      <c r="F1609" s="22" t="str">
        <f>IF(OR(E1609="",E1609="!!!"),"",IF(NOT(ISNA(VLOOKUP(E1609,E$1:E1608,1,FALSE()))),"OLD",IF(AND(E1609&lt;&gt;"",E1609&lt;&gt;"!!!"),"NEW","")))</f>
        <v> </v>
      </c>
      <c r="G1609" s="23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4" t="str">
        <f>IF(J1609&lt;&gt;1,"",IF(I1609="SBJ","CB","?"))</f>
        <v> </v>
      </c>
      <c r="I1609" s="25" t="str">
        <f>IF(OR(E1609="",E1609="!!!",F1609="NEW"),"",INDEX(B1608:B$2,-1+SUMPRODUCT(MAX(ROW(E1608:E$2)*(E1609=E1608:E$2)))))</f>
        <v> </v>
      </c>
      <c r="J1609" s="25" t="str">
        <f>IF(OR(E1609="",E1609="!!!",F1609="NEW"),"",COUNTBLANK(OFFSET(A$1,,,SUMPRODUCT(MAX(ROW(E$2:E1609)*(E1609=E$2:E1609)))))-COUNTBLANK(OFFSET(A$1,,,SUMPRODUCT(MAX(ROW(E$1:E1608)*(E2=E$1:E1608))))))</f>
        <v> </v>
      </c>
      <c r="K1609" s="25" t="str">
        <f>IF(OR(E1609="",E1609="!!!",F1609="NEW"),"",INDEX(J$1:J1608,SUMPRODUCT(MAX(ROW(E$1:E1608)*(E1609=E$1:E1608)))))</f>
        <v> </v>
      </c>
      <c r="L1609" s="26"/>
    </row>
    <row r="1610" spans="1:12">
      <c r="A1610" s="20" t="s">
        <v>503</v>
      </c>
      <c r="E1610" s="21">
        <f>IF(D1610="?OLD","!!!","")</f>
        <v/>
      </c>
      <c r="F1610" s="22" t="str">
        <f>IF(OR(E1610="",E1610="!!!"),"",IF(NOT(ISNA(VLOOKUP(E1610,E$1:E1609,1,FALSE()))),"OLD",IF(AND(E1610&lt;&gt;"",E1610&lt;&gt;"!!!"),"NEW","")))</f>
        <v> </v>
      </c>
      <c r="G1610" s="23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4" t="str">
        <f>IF(J1610&lt;&gt;1,"",IF(I1610="SBJ","CB","?"))</f>
        <v> </v>
      </c>
      <c r="I1610" s="25" t="str">
        <f>IF(OR(E1610="",E1610="!!!",F1610="NEW"),"",INDEX(B1609:B$2,-1+SUMPRODUCT(MAX(ROW(E1609:E$2)*(E1610=E1609:E$2)))))</f>
        <v> </v>
      </c>
      <c r="J1610" s="25" t="str">
        <f>IF(OR(E1610="",E1610="!!!",F1610="NEW"),"",COUNTBLANK(OFFSET(A$1,,,SUMPRODUCT(MAX(ROW(E$2:E1610)*(E1610=E$2:E1610)))))-COUNTBLANK(OFFSET(A$1,,,SUMPRODUCT(MAX(ROW(E$1:E1609)*(E2=E$1:E1609))))))</f>
        <v> </v>
      </c>
      <c r="K1610" s="25" t="str">
        <f>IF(OR(E1610="",E1610="!!!",F1610="NEW"),"",INDEX(J$1:J1609,SUMPRODUCT(MAX(ROW(E$1:E1609)*(E1610=E$1:E1609)))))</f>
        <v> </v>
      </c>
      <c r="L1610" s="26"/>
    </row>
    <row r="1611" spans="1:12">
      <c r="A1611" s="20" t="s">
        <v>1031</v>
      </c>
      <c r="E1611" s="21">
        <f>IF(D1611="?OLD","!!!","")</f>
        <v/>
      </c>
      <c r="F1611" s="22" t="str">
        <f>IF(OR(E1611="",E1611="!!!"),"",IF(NOT(ISNA(VLOOKUP(E1611,E$1:E1610,1,FALSE()))),"OLD",IF(AND(E1611&lt;&gt;"",E1611&lt;&gt;"!!!"),"NEW","")))</f>
        <v> </v>
      </c>
      <c r="G1611" s="23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4" t="str">
        <f>IF(J1611&lt;&gt;1,"",IF(I1611="SBJ","CB","?"))</f>
        <v> </v>
      </c>
      <c r="I1611" s="25" t="str">
        <f>IF(OR(E1611="",E1611="!!!",F1611="NEW"),"",INDEX(B1610:B$2,-1+SUMPRODUCT(MAX(ROW(E1610:E$2)*(E1611=E1610:E$2)))))</f>
        <v> </v>
      </c>
      <c r="J1611" s="25" t="str">
        <f>IF(OR(E1611="",E1611="!!!",F1611="NEW"),"",COUNTBLANK(OFFSET(A$1,,,SUMPRODUCT(MAX(ROW(E$2:E1611)*(E1611=E$2:E1611)))))-COUNTBLANK(OFFSET(A$1,,,SUMPRODUCT(MAX(ROW(E$1:E1610)*(E2=E$1:E1610))))))</f>
        <v> </v>
      </c>
      <c r="K1611" s="25" t="str">
        <f>IF(OR(E1611="",E1611="!!!",F1611="NEW"),"",INDEX(J$1:J1610,SUMPRODUCT(MAX(ROW(E$1:E1610)*(E1611=E$1:E1610)))))</f>
        <v> </v>
      </c>
      <c r="L1611" s="26"/>
    </row>
    <row r="1612" spans="1:12">
      <c r="A1612" s="20" t="s">
        <v>955</v>
      </c>
      <c r="B1612" s="27" t="s">
        <v>497</v>
      </c>
      <c r="C1612" s="27" t="s">
        <v>487</v>
      </c>
      <c r="D1612" s="27" t="s">
        <v>483</v>
      </c>
      <c r="E1612" s="21">
        <f>IF(D1612="?OLD","!!!","")</f>
        <v/>
      </c>
      <c r="F1612" s="22" t="str">
        <f>IF(OR(E1612="",E1612="!!!"),"",IF(NOT(ISNA(VLOOKUP(E1612,E$1:E1611,1,FALSE()))),"OLD",IF(AND(E1612&lt;&gt;"",E1612&lt;&gt;"!!!"),"NEW","")))</f>
        <v> </v>
      </c>
      <c r="G1612" s="23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4" t="str">
        <f>IF(J1612&lt;&gt;1,"",IF(I1612="SBJ","CB","?"))</f>
        <v> </v>
      </c>
      <c r="I1612" s="25" t="str">
        <f>IF(OR(E1612="",E1612="!!!",F1612="NEW"),"",INDEX(B1611:B$2,-1+SUMPRODUCT(MAX(ROW(E1611:E$2)*(E1612=E1611:E$2)))))</f>
        <v> </v>
      </c>
      <c r="J1612" s="25" t="str">
        <f>IF(OR(E1612="",E1612="!!!",F1612="NEW"),"",COUNTBLANK(OFFSET(A$1,,,SUMPRODUCT(MAX(ROW(E$2:E1612)*(E1612=E$2:E1612)))))-COUNTBLANK(OFFSET(A$1,,,SUMPRODUCT(MAX(ROW(E$1:E1611)*(E2=E$1:E1611))))))</f>
        <v> </v>
      </c>
      <c r="K1612" s="25" t="str">
        <f>IF(OR(E1612="",E1612="!!!",F1612="NEW"),"",INDEX(J$1:J1611,SUMPRODUCT(MAX(ROW(E$1:E1611)*(E1612=E$1:E1611)))))</f>
        <v> </v>
      </c>
      <c r="L1612" s="26"/>
    </row>
    <row r="1613" spans="1:12">
      <c r="A1613" s="20" t="s">
        <v>500</v>
      </c>
      <c r="E1613" s="21">
        <f>IF(D1613="?OLD","!!!","")</f>
        <v/>
      </c>
      <c r="F1613" s="22" t="str">
        <f>IF(OR(E1613="",E1613="!!!"),"",IF(NOT(ISNA(VLOOKUP(E1613,E$1:E1612,1,FALSE()))),"OLD",IF(AND(E1613&lt;&gt;"",E1613&lt;&gt;"!!!"),"NEW","")))</f>
        <v> </v>
      </c>
      <c r="G1613" s="23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4" t="str">
        <f>IF(J1613&lt;&gt;1,"",IF(I1613="SBJ","CB","?"))</f>
        <v> </v>
      </c>
      <c r="I1613" s="25" t="str">
        <f>IF(OR(E1613="",E1613="!!!",F1613="NEW"),"",INDEX(B1612:B$2,-1+SUMPRODUCT(MAX(ROW(E1612:E$2)*(E1613=E1612:E$2)))))</f>
        <v> </v>
      </c>
      <c r="J1613" s="25" t="str">
        <f>IF(OR(E1613="",E1613="!!!",F1613="NEW"),"",COUNTBLANK(OFFSET(A$1,,,SUMPRODUCT(MAX(ROW(E$2:E1613)*(E1613=E$2:E1613)))))-COUNTBLANK(OFFSET(A$1,,,SUMPRODUCT(MAX(ROW(E$1:E1612)*(E2=E$1:E1612))))))</f>
        <v> </v>
      </c>
      <c r="K1613" s="25" t="str">
        <f>IF(OR(E1613="",E1613="!!!",F1613="NEW"),"",INDEX(J$1:J1612,SUMPRODUCT(MAX(ROW(E$1:E1612)*(E1613=E$1:E1612)))))</f>
        <v> </v>
      </c>
      <c r="L1613" s="26"/>
    </row>
    <row r="1614" spans="1:12">
      <c r="A1614" s="20" t="s">
        <v>507</v>
      </c>
      <c r="E1614" s="21">
        <f>IF(D1614="?OLD","!!!","")</f>
        <v/>
      </c>
      <c r="F1614" s="22" t="str">
        <f>IF(OR(E1614="",E1614="!!!"),"",IF(NOT(ISNA(VLOOKUP(E1614,E$1:E1613,1,FALSE()))),"OLD",IF(AND(E1614&lt;&gt;"",E1614&lt;&gt;"!!!"),"NEW","")))</f>
        <v> </v>
      </c>
      <c r="G1614" s="23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4" t="str">
        <f>IF(J1614&lt;&gt;1,"",IF(I1614="SBJ","CB","?"))</f>
        <v> </v>
      </c>
      <c r="I1614" s="25" t="str">
        <f>IF(OR(E1614="",E1614="!!!",F1614="NEW"),"",INDEX(B1613:B$2,-1+SUMPRODUCT(MAX(ROW(E1613:E$2)*(E1614=E1613:E$2)))))</f>
        <v> </v>
      </c>
      <c r="J1614" s="25" t="str">
        <f>IF(OR(E1614="",E1614="!!!",F1614="NEW"),"",COUNTBLANK(OFFSET(A$1,,,SUMPRODUCT(MAX(ROW(E$2:E1614)*(E1614=E$2:E1614)))))-COUNTBLANK(OFFSET(A$1,,,SUMPRODUCT(MAX(ROW(E$1:E1613)*(E2=E$1:E1613))))))</f>
        <v> </v>
      </c>
      <c r="K1614" s="25" t="str">
        <f>IF(OR(E1614="",E1614="!!!",F1614="NEW"),"",INDEX(J$1:J1613,SUMPRODUCT(MAX(ROW(E$1:E1613)*(E1614=E$1:E1613)))))</f>
        <v> </v>
      </c>
      <c r="L1614" s="26"/>
    </row>
    <row r="1615" spans="1:12">
      <c r="A1615" s="20" t="s">
        <v>508</v>
      </c>
      <c r="B1615" s="27" t="s">
        <v>502</v>
      </c>
      <c r="C1615" s="27" t="s">
        <v>482</v>
      </c>
      <c r="D1615" s="27" t="s">
        <v>483</v>
      </c>
      <c r="E1615" s="21">
        <f>IF(D1615="?OLD","!!!","")</f>
        <v/>
      </c>
      <c r="F1615" s="22" t="str">
        <f>IF(OR(E1615="",E1615="!!!"),"",IF(NOT(ISNA(VLOOKUP(E1615,E$1:E1614,1,FALSE()))),"OLD",IF(AND(E1615&lt;&gt;"",E1615&lt;&gt;"!!!"),"NEW","")))</f>
        <v> </v>
      </c>
      <c r="G1615" s="23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4" t="str">
        <f>IF(J1615&lt;&gt;1,"",IF(I1615="SBJ","CB","?"))</f>
        <v> </v>
      </c>
      <c r="I1615" s="25" t="str">
        <f>IF(OR(E1615="",E1615="!!!",F1615="NEW"),"",INDEX(B1614:B$2,-1+SUMPRODUCT(MAX(ROW(E1614:E$2)*(E1615=E1614:E$2)))))</f>
        <v> </v>
      </c>
      <c r="J1615" s="25" t="str">
        <f>IF(OR(E1615="",E1615="!!!",F1615="NEW"),"",COUNTBLANK(OFFSET(A$1,,,SUMPRODUCT(MAX(ROW(E$2:E1615)*(E1615=E$2:E1615)))))-COUNTBLANK(OFFSET(A$1,,,SUMPRODUCT(MAX(ROW(E$1:E1614)*(E2=E$1:E1614))))))</f>
        <v> </v>
      </c>
      <c r="K1615" s="25" t="str">
        <f>IF(OR(E1615="",E1615="!!!",F1615="NEW"),"",INDEX(J$1:J1614,SUMPRODUCT(MAX(ROW(E$1:E1614)*(E1615=E$1:E1614)))))</f>
        <v> </v>
      </c>
      <c r="L1615" s="26"/>
    </row>
    <row r="1616" spans="1:12">
      <c r="A1616" s="20" t="s">
        <v>1032</v>
      </c>
      <c r="E1616" s="21">
        <f>IF(D1616="?OLD","!!!","")</f>
        <v/>
      </c>
      <c r="F1616" s="22" t="str">
        <f>IF(OR(E1616="",E1616="!!!"),"",IF(NOT(ISNA(VLOOKUP(E1616,E$1:E1615,1,FALSE()))),"OLD",IF(AND(E1616&lt;&gt;"",E1616&lt;&gt;"!!!"),"NEW","")))</f>
        <v> </v>
      </c>
      <c r="G1616" s="23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4" t="str">
        <f>IF(J1616&lt;&gt;1,"",IF(I1616="SBJ","CB","?"))</f>
        <v> </v>
      </c>
      <c r="I1616" s="25" t="str">
        <f>IF(OR(E1616="",E1616="!!!",F1616="NEW"),"",INDEX(B1615:B$2,-1+SUMPRODUCT(MAX(ROW(E1615:E$2)*(E1616=E1615:E$2)))))</f>
        <v> </v>
      </c>
      <c r="J1616" s="25" t="str">
        <f>IF(OR(E1616="",E1616="!!!",F1616="NEW"),"",COUNTBLANK(OFFSET(A$1,,,SUMPRODUCT(MAX(ROW(E$2:E1616)*(E1616=E$2:E1616)))))-COUNTBLANK(OFFSET(A$1,,,SUMPRODUCT(MAX(ROW(E$1:E1615)*(E2=E$1:E1615))))))</f>
        <v> </v>
      </c>
      <c r="K1616" s="25" t="str">
        <f>IF(OR(E1616="",E1616="!!!",F1616="NEW"),"",INDEX(J$1:J1615,SUMPRODUCT(MAX(ROW(E$1:E1615)*(E1616=E$1:E1615)))))</f>
        <v> </v>
      </c>
      <c r="L1616" s="26"/>
    </row>
    <row r="1617" spans="1:12">
      <c r="A1617" s="20" t="s">
        <v>484</v>
      </c>
      <c r="E1617" s="21">
        <f>IF(D1617="?OLD","!!!","")</f>
        <v/>
      </c>
      <c r="F1617" s="22" t="str">
        <f>IF(OR(E1617="",E1617="!!!"),"",IF(NOT(ISNA(VLOOKUP(E1617,E$1:E1616,1,FALSE()))),"OLD",IF(AND(E1617&lt;&gt;"",E1617&lt;&gt;"!!!"),"NEW","")))</f>
        <v> </v>
      </c>
      <c r="G1617" s="23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4" t="str">
        <f>IF(J1617&lt;&gt;1,"",IF(I1617="SBJ","CB","?"))</f>
        <v> </v>
      </c>
      <c r="I1617" s="25" t="str">
        <f>IF(OR(E1617="",E1617="!!!",F1617="NEW"),"",INDEX(B1616:B$2,-1+SUMPRODUCT(MAX(ROW(E1616:E$2)*(E1617=E1616:E$2)))))</f>
        <v> </v>
      </c>
      <c r="J1617" s="25" t="str">
        <f>IF(OR(E1617="",E1617="!!!",F1617="NEW"),"",COUNTBLANK(OFFSET(A$1,,,SUMPRODUCT(MAX(ROW(E$2:E1617)*(E1617=E$2:E1617)))))-COUNTBLANK(OFFSET(A$1,,,SUMPRODUCT(MAX(ROW(E$1:E1616)*(E2=E$1:E1616))))))</f>
        <v> </v>
      </c>
      <c r="K1617" s="25" t="str">
        <f>IF(OR(E1617="",E1617="!!!",F1617="NEW"),"",INDEX(J$1:J1616,SUMPRODUCT(MAX(ROW(E$1:E1616)*(E1617=E$1:E1616)))))</f>
        <v> </v>
      </c>
      <c r="L1617" s="26"/>
    </row>
    <row r="1618" spans="1:12">
      <c r="A1618" s="20" t="s">
        <v>972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 t="s">
        <v>1033</v>
      </c>
      <c r="B1619" s="27" t="s">
        <v>736</v>
      </c>
      <c r="C1619" s="27" t="s">
        <v>478</v>
      </c>
      <c r="E1619" s="21">
        <f>IF(D1619="?OLD","!!!","")</f>
        <v/>
      </c>
      <c r="F1619" s="22" t="str">
        <f>IF(OR(E1619="",E1619="!!!"),"",IF(NOT(ISNA(VLOOKUP(E1619,E$1:E1618,1,FALSE()))),"OLD",IF(AND(E1619&lt;&gt;"",E1619&lt;&gt;"!!!"),"NEW","")))</f>
        <v> </v>
      </c>
      <c r="G1619" s="23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4" t="str">
        <f>IF(J1619&lt;&gt;1,"",IF(I1619="SBJ","CB","?"))</f>
        <v> </v>
      </c>
      <c r="I1619" s="25" t="str">
        <f>IF(OR(E1619="",E1619="!!!",F1619="NEW"),"",INDEX(B1618:B$2,-1+SUMPRODUCT(MAX(ROW(E1618:E$2)*(E1619=E1618:E$2)))))</f>
        <v> </v>
      </c>
      <c r="J1619" s="25" t="str">
        <f>IF(OR(E1619="",E1619="!!!",F1619="NEW"),"",COUNTBLANK(OFFSET(A$1,,,SUMPRODUCT(MAX(ROW(E$2:E1619)*(E1619=E$2:E1619)))))-COUNTBLANK(OFFSET(A$1,,,SUMPRODUCT(MAX(ROW(E$1:E1618)*(E2=E$1:E1618))))))</f>
        <v> </v>
      </c>
      <c r="K1619" s="25" t="str">
        <f>IF(OR(E1619="",E1619="!!!",F1619="NEW"),"",INDEX(J$1:J1618,SUMPRODUCT(MAX(ROW(E$1:E1618)*(E1619=E$1:E1618)))))</f>
        <v> </v>
      </c>
      <c r="L1619" s="26"/>
    </row>
    <row r="1620" spans="1:12">
      <c r="A1620" s="20" t="s">
        <v>531</v>
      </c>
      <c r="E1620" s="21">
        <f>IF(D1620="?OLD","!!!","")</f>
        <v/>
      </c>
      <c r="F1620" s="22" t="str">
        <f>IF(OR(E1620="",E1620="!!!"),"",IF(NOT(ISNA(VLOOKUP(E1620,E$1:E1619,1,FALSE()))),"OLD",IF(AND(E1620&lt;&gt;"",E1620&lt;&gt;"!!!"),"NEW","")))</f>
        <v> </v>
      </c>
      <c r="G1620" s="23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4" t="str">
        <f>IF(J1620&lt;&gt;1,"",IF(I1620="SBJ","CB","?"))</f>
        <v> </v>
      </c>
      <c r="I1620" s="25" t="str">
        <f>IF(OR(E1620="",E1620="!!!",F1620="NEW"),"",INDEX(B1619:B$2,-1+SUMPRODUCT(MAX(ROW(E1619:E$2)*(E1620=E1619:E$2)))))</f>
        <v> </v>
      </c>
      <c r="J1620" s="25" t="str">
        <f>IF(OR(E1620="",E1620="!!!",F1620="NEW"),"",COUNTBLANK(OFFSET(A$1,,,SUMPRODUCT(MAX(ROW(E$2:E1620)*(E1620=E$2:E1620)))))-COUNTBLANK(OFFSET(A$1,,,SUMPRODUCT(MAX(ROW(E$1:E1619)*(E2=E$1:E1619))))))</f>
        <v> </v>
      </c>
      <c r="K1620" s="25" t="str">
        <f>IF(OR(E1620="",E1620="!!!",F1620="NEW"),"",INDEX(J$1:J1619,SUMPRODUCT(MAX(ROW(E$1:E1619)*(E1620=E$1:E1619)))))</f>
        <v> </v>
      </c>
      <c r="L1620" s="26"/>
    </row>
    <row r="1621" spans="1:12">
      <c r="A1621" s="20" t="s">
        <v>610</v>
      </c>
      <c r="E1621" s="21">
        <f>IF(D1621="?OLD","!!!","")</f>
        <v/>
      </c>
      <c r="F1621" s="22" t="str">
        <f>IF(OR(E1621="",E1621="!!!"),"",IF(NOT(ISNA(VLOOKUP(E1621,E$1:E1620,1,FALSE()))),"OLD",IF(AND(E1621&lt;&gt;"",E1621&lt;&gt;"!!!"),"NEW","")))</f>
        <v> </v>
      </c>
      <c r="G1621" s="23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4" t="str">
        <f>IF(J1621&lt;&gt;1,"",IF(I1621="SBJ","CB","?"))</f>
        <v> </v>
      </c>
      <c r="I1621" s="25" t="str">
        <f>IF(OR(E1621="",E1621="!!!",F1621="NEW"),"",INDEX(B1620:B$2,-1+SUMPRODUCT(MAX(ROW(E1620:E$2)*(E1621=E1620:E$2)))))</f>
        <v> </v>
      </c>
      <c r="J1621" s="25" t="str">
        <f>IF(OR(E1621="",E1621="!!!",F1621="NEW"),"",COUNTBLANK(OFFSET(A$1,,,SUMPRODUCT(MAX(ROW(E$2:E1621)*(E1621=E$2:E1621)))))-COUNTBLANK(OFFSET(A$1,,,SUMPRODUCT(MAX(ROW(E$1:E1620)*(E2=E$1:E1620))))))</f>
        <v> </v>
      </c>
      <c r="K1621" s="25" t="str">
        <f>IF(OR(E1621="",E1621="!!!",F1621="NEW"),"",INDEX(J$1:J1620,SUMPRODUCT(MAX(ROW(E$1:E1620)*(E1621=E$1:E1620)))))</f>
        <v> </v>
      </c>
      <c r="L1621" s="26"/>
    </row>
    <row r="1622" spans="1:12">
      <c r="A1622" s="20" t="s">
        <v>627</v>
      </c>
      <c r="E1622" s="21">
        <f>IF(D1622="?OLD","!!!","")</f>
        <v/>
      </c>
      <c r="F1622" s="22" t="str">
        <f>IF(OR(E1622="",E1622="!!!"),"",IF(NOT(ISNA(VLOOKUP(E1622,E$1:E1621,1,FALSE()))),"OLD",IF(AND(E1622&lt;&gt;"",E1622&lt;&gt;"!!!"),"NEW","")))</f>
        <v> </v>
      </c>
      <c r="G1622" s="23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4" t="str">
        <f>IF(J1622&lt;&gt;1,"",IF(I1622="SBJ","CB","?"))</f>
        <v> </v>
      </c>
      <c r="I1622" s="25" t="str">
        <f>IF(OR(E1622="",E1622="!!!",F1622="NEW"),"",INDEX(B1621:B$2,-1+SUMPRODUCT(MAX(ROW(E1621:E$2)*(E1622=E1621:E$2)))))</f>
        <v> </v>
      </c>
      <c r="J1622" s="25" t="str">
        <f>IF(OR(E1622="",E1622="!!!",F1622="NEW"),"",COUNTBLANK(OFFSET(A$1,,,SUMPRODUCT(MAX(ROW(E$2:E1622)*(E1622=E$2:E1622)))))-COUNTBLANK(OFFSET(A$1,,,SUMPRODUCT(MAX(ROW(E$1:E1621)*(E2=E$1:E1621))))))</f>
        <v> </v>
      </c>
      <c r="K1622" s="25" t="str">
        <f>IF(OR(E1622="",E1622="!!!",F1622="NEW"),"",INDEX(J$1:J1621,SUMPRODUCT(MAX(ROW(E$1:E1621)*(E1622=E$1:E1621)))))</f>
        <v> </v>
      </c>
      <c r="L1622" s="26"/>
    </row>
    <row r="1623" spans="1:12">
      <c r="A1623" s="20" t="s">
        <v>489</v>
      </c>
      <c r="E1623" s="21">
        <f>IF(D1623="?OLD","!!!","")</f>
        <v/>
      </c>
      <c r="F1623" s="22" t="str">
        <f>IF(OR(E1623="",E1623="!!!"),"",IF(NOT(ISNA(VLOOKUP(E1623,E$1:E1622,1,FALSE()))),"OLD",IF(AND(E1623&lt;&gt;"",E1623&lt;&gt;"!!!"),"NEW","")))</f>
        <v> </v>
      </c>
      <c r="G1623" s="23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4" t="str">
        <f>IF(J1623&lt;&gt;1,"",IF(I1623="SBJ","CB","?"))</f>
        <v> </v>
      </c>
      <c r="I1623" s="25" t="str">
        <f>IF(OR(E1623="",E1623="!!!",F1623="NEW"),"",INDEX(B1622:B$2,-1+SUMPRODUCT(MAX(ROW(E1622:E$2)*(E1623=E1622:E$2)))))</f>
        <v> </v>
      </c>
      <c r="J1623" s="25" t="str">
        <f>IF(OR(E1623="",E1623="!!!",F1623="NEW"),"",COUNTBLANK(OFFSET(A$1,,,SUMPRODUCT(MAX(ROW(E$2:E1623)*(E1623=E$2:E1623)))))-COUNTBLANK(OFFSET(A$1,,,SUMPRODUCT(MAX(ROW(E$1:E1622)*(E2=E$1:E1622))))))</f>
        <v> </v>
      </c>
      <c r="K1623" s="25" t="str">
        <f>IF(OR(E1623="",E1623="!!!",F1623="NEW"),"",INDEX(J$1:J1622,SUMPRODUCT(MAX(ROW(E$1:E1622)*(E1623=E$1:E1622)))))</f>
        <v> </v>
      </c>
      <c r="L1623" s="26"/>
    </row>
    <row r="1624" spans="1:12">
      <c r="A1624" s="20" t="s">
        <v>1034</v>
      </c>
      <c r="E1624" s="21">
        <f>IF(D1624="?OLD","!!!","")</f>
        <v/>
      </c>
      <c r="F1624" s="22" t="str">
        <f>IF(OR(E1624="",E1624="!!!"),"",IF(NOT(ISNA(VLOOKUP(E1624,E$1:E1623,1,FALSE()))),"OLD",IF(AND(E1624&lt;&gt;"",E1624&lt;&gt;"!!!"),"NEW","")))</f>
        <v> </v>
      </c>
      <c r="G1624" s="23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4" t="str">
        <f>IF(J1624&lt;&gt;1,"",IF(I1624="SBJ","CB","?"))</f>
        <v> </v>
      </c>
      <c r="I1624" s="25" t="str">
        <f>IF(OR(E1624="",E1624="!!!",F1624="NEW"),"",INDEX(B1623:B$2,-1+SUMPRODUCT(MAX(ROW(E1623:E$2)*(E1624=E1623:E$2)))))</f>
        <v> </v>
      </c>
      <c r="J1624" s="25" t="str">
        <f>IF(OR(E1624="",E1624="!!!",F1624="NEW"),"",COUNTBLANK(OFFSET(A$1,,,SUMPRODUCT(MAX(ROW(E$2:E1624)*(E1624=E$2:E1624)))))-COUNTBLANK(OFFSET(A$1,,,SUMPRODUCT(MAX(ROW(E$1:E1623)*(E2=E$1:E1623))))))</f>
        <v> </v>
      </c>
      <c r="K1624" s="25" t="str">
        <f>IF(OR(E1624="",E1624="!!!",F1624="NEW"),"",INDEX(J$1:J1623,SUMPRODUCT(MAX(ROW(E$1:E1623)*(E1624=E$1:E1623)))))</f>
        <v> </v>
      </c>
      <c r="L1624" s="26"/>
    </row>
    <row r="1625" spans="1:12">
      <c r="A1625" s="20" t="s">
        <v>495</v>
      </c>
      <c r="E1625" s="21">
        <f>IF(D1625="?OLD","!!!","")</f>
        <v/>
      </c>
      <c r="F1625" s="22" t="str">
        <f>IF(OR(E1625="",E1625="!!!"),"",IF(NOT(ISNA(VLOOKUP(E1625,E$1:E1624,1,FALSE()))),"OLD",IF(AND(E1625&lt;&gt;"",E1625&lt;&gt;"!!!"),"NEW","")))</f>
        <v> </v>
      </c>
      <c r="G1625" s="23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4" t="str">
        <f>IF(J1625&lt;&gt;1,"",IF(I1625="SBJ","CB","?"))</f>
        <v> </v>
      </c>
      <c r="I1625" s="25" t="str">
        <f>IF(OR(E1625="",E1625="!!!",F1625="NEW"),"",INDEX(B1624:B$2,-1+SUMPRODUCT(MAX(ROW(E1624:E$2)*(E1625=E1624:E$2)))))</f>
        <v> </v>
      </c>
      <c r="J1625" s="25" t="str">
        <f>IF(OR(E1625="",E1625="!!!",F1625="NEW"),"",COUNTBLANK(OFFSET(A$1,,,SUMPRODUCT(MAX(ROW(E$2:E1625)*(E1625=E$2:E1625)))))-COUNTBLANK(OFFSET(A$1,,,SUMPRODUCT(MAX(ROW(E$1:E1624)*(E2=E$1:E1624))))))</f>
        <v> </v>
      </c>
      <c r="K1625" s="25" t="str">
        <f>IF(OR(E1625="",E1625="!!!",F1625="NEW"),"",INDEX(J$1:J1624,SUMPRODUCT(MAX(ROW(E$1:E1624)*(E1625=E$1:E1624)))))</f>
        <v> </v>
      </c>
      <c r="L1625" s="26"/>
    </row>
    <row r="1626" spans="1:12">
      <c r="A1626" s="20" t="s">
        <v>1035</v>
      </c>
      <c r="B1626" s="27" t="s">
        <v>542</v>
      </c>
      <c r="C1626" s="27" t="s">
        <v>498</v>
      </c>
      <c r="E1626" s="21">
        <f>IF(D1626="?OLD","!!!","")</f>
        <v/>
      </c>
      <c r="F1626" s="22" t="str">
        <f>IF(OR(E1626="",E1626="!!!"),"",IF(NOT(ISNA(VLOOKUP(E1626,E$1:E1625,1,FALSE()))),"OLD",IF(AND(E1626&lt;&gt;"",E1626&lt;&gt;"!!!"),"NEW","")))</f>
        <v> </v>
      </c>
      <c r="G1626" s="23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4" t="str">
        <f>IF(J1626&lt;&gt;1,"",IF(I1626="SBJ","CB","?"))</f>
        <v> </v>
      </c>
      <c r="I1626" s="25" t="str">
        <f>IF(OR(E1626="",E1626="!!!",F1626="NEW"),"",INDEX(B1625:B$2,-1+SUMPRODUCT(MAX(ROW(E1625:E$2)*(E1626=E1625:E$2)))))</f>
        <v> </v>
      </c>
      <c r="J1626" s="25" t="str">
        <f>IF(OR(E1626="",E1626="!!!",F1626="NEW"),"",COUNTBLANK(OFFSET(A$1,,,SUMPRODUCT(MAX(ROW(E$2:E1626)*(E1626=E$2:E1626)))))-COUNTBLANK(OFFSET(A$1,,,SUMPRODUCT(MAX(ROW(E$1:E1625)*(E2=E$1:E1625))))))</f>
        <v> </v>
      </c>
      <c r="K1626" s="25" t="str">
        <f>IF(OR(E1626="",E1626="!!!",F1626="NEW"),"",INDEX(J$1:J1625,SUMPRODUCT(MAX(ROW(E$1:E1625)*(E1626=E$1:E1625)))))</f>
        <v> </v>
      </c>
      <c r="L1626" s="26"/>
    </row>
    <row r="1627" spans="1:12">
      <c r="A1627" s="20" t="s">
        <v>531</v>
      </c>
      <c r="E1627" s="21">
        <f>IF(D1627="?OLD","!!!","")</f>
        <v/>
      </c>
      <c r="F1627" s="22" t="str">
        <f>IF(OR(E1627="",E1627="!!!"),"",IF(NOT(ISNA(VLOOKUP(E1627,E$1:E1626,1,FALSE()))),"OLD",IF(AND(E1627&lt;&gt;"",E1627&lt;&gt;"!!!"),"NEW","")))</f>
        <v> </v>
      </c>
      <c r="G1627" s="23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4" t="str">
        <f>IF(J1627&lt;&gt;1,"",IF(I1627="SBJ","CB","?"))</f>
        <v> </v>
      </c>
      <c r="I1627" s="25" t="str">
        <f>IF(OR(E1627="",E1627="!!!",F1627="NEW"),"",INDEX(B1626:B$2,-1+SUMPRODUCT(MAX(ROW(E1626:E$2)*(E1627=E1626:E$2)))))</f>
        <v> </v>
      </c>
      <c r="J1627" s="25" t="str">
        <f>IF(OR(E1627="",E1627="!!!",F1627="NEW"),"",COUNTBLANK(OFFSET(A$1,,,SUMPRODUCT(MAX(ROW(E$2:E1627)*(E1627=E$2:E1627)))))-COUNTBLANK(OFFSET(A$1,,,SUMPRODUCT(MAX(ROW(E$1:E1626)*(E2=E$1:E1626))))))</f>
        <v> </v>
      </c>
      <c r="K1627" s="25" t="str">
        <f>IF(OR(E1627="",E1627="!!!",F1627="NEW"),"",INDEX(J$1:J1626,SUMPRODUCT(MAX(ROW(E$1:E1626)*(E1627=E$1:E1626)))))</f>
        <v> </v>
      </c>
      <c r="L1627" s="26"/>
    </row>
    <row r="1628" spans="1:12">
      <c r="A1628" s="20"/>
    </row>
    <row r="1629" spans="1:12">
      <c r="A1629" s="20" t="s">
        <v>1036</v>
      </c>
    </row>
    <row r="1630" spans="1:12">
      <c r="A1630" s="20" t="s">
        <v>1037</v>
      </c>
      <c r="E1630" s="21">
        <f>IF(D1630="?OLD","!!!","")</f>
        <v/>
      </c>
      <c r="F1630" s="22" t="str">
        <f>IF(OR(E1630="",E1630="!!!"),"",IF(NOT(ISNA(VLOOKUP(E1630,E$1:E1629,1,FALSE()))),"OLD",IF(AND(E1630&lt;&gt;"",E1630&lt;&gt;"!!!"),"NEW","")))</f>
        <v> </v>
      </c>
      <c r="G1630" s="23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4" t="str">
        <f>IF(J1630&lt;&gt;1,"",IF(I1630="SBJ","CB","?"))</f>
        <v> </v>
      </c>
      <c r="I1630" s="25" t="str">
        <f>IF(OR(E1630="",E1630="!!!",F1630="NEW"),"",INDEX(B1629:B$2,-1+SUMPRODUCT(MAX(ROW(E1629:E$2)*(E1630=E1629:E$2)))))</f>
        <v> </v>
      </c>
      <c r="J1630" s="25" t="str">
        <f>IF(OR(E1630="",E1630="!!!",F1630="NEW"),"",COUNTBLANK(OFFSET(A$1,,,SUMPRODUCT(MAX(ROW(E$2:E1630)*(E1630=E$2:E1630)))))-COUNTBLANK(OFFSET(A$1,,,SUMPRODUCT(MAX(ROW(E$1:E1629)*(E2=E$1:E1629))))))</f>
        <v> </v>
      </c>
      <c r="K1630" s="25" t="str">
        <f>IF(OR(E1630="",E1630="!!!",F1630="NEW"),"",INDEX(J$1:J1629,SUMPRODUCT(MAX(ROW(E$1:E1629)*(E1630=E$1:E1629)))))</f>
        <v> </v>
      </c>
      <c r="L1630" s="26"/>
    </row>
    <row r="1631" spans="1:12">
      <c r="A1631" s="20" t="s">
        <v>1038</v>
      </c>
      <c r="E1631" s="21">
        <f>IF(D1631="?OLD","!!!","")</f>
        <v/>
      </c>
      <c r="F1631" s="22" t="str">
        <f>IF(OR(E1631="",E1631="!!!"),"",IF(NOT(ISNA(VLOOKUP(E1631,E$1:E1630,1,FALSE()))),"OLD",IF(AND(E1631&lt;&gt;"",E1631&lt;&gt;"!!!"),"NEW","")))</f>
        <v> </v>
      </c>
      <c r="G1631" s="23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4" t="str">
        <f>IF(J1631&lt;&gt;1,"",IF(I1631="SBJ","CB","?"))</f>
        <v> </v>
      </c>
      <c r="I1631" s="25" t="str">
        <f>IF(OR(E1631="",E1631="!!!",F1631="NEW"),"",INDEX(B1630:B$2,-1+SUMPRODUCT(MAX(ROW(E1630:E$2)*(E1631=E1630:E$2)))))</f>
        <v> </v>
      </c>
      <c r="J1631" s="25" t="str">
        <f>IF(OR(E1631="",E1631="!!!",F1631="NEW"),"",COUNTBLANK(OFFSET(A$1,,,SUMPRODUCT(MAX(ROW(E$2:E1631)*(E1631=E$2:E1631)))))-COUNTBLANK(OFFSET(A$1,,,SUMPRODUCT(MAX(ROW(E$1:E1630)*(E2=E$1:E1630))))))</f>
        <v> </v>
      </c>
      <c r="K1631" s="25" t="str">
        <f>IF(OR(E1631="",E1631="!!!",F1631="NEW"),"",INDEX(J$1:J1630,SUMPRODUCT(MAX(ROW(E$1:E1630)*(E1631=E$1:E1630)))))</f>
        <v> </v>
      </c>
      <c r="L1631" s="26"/>
    </row>
    <row r="1632" spans="1:12">
      <c r="A1632" s="20" t="s">
        <v>585</v>
      </c>
      <c r="B1632" s="27" t="s">
        <v>549</v>
      </c>
      <c r="C1632" s="27" t="s">
        <v>482</v>
      </c>
      <c r="D1632" s="27" t="s">
        <v>483</v>
      </c>
      <c r="E1632" s="21">
        <f>IF(D1632="?OLD","!!!","")</f>
        <v/>
      </c>
      <c r="F1632" s="22" t="str">
        <f>IF(OR(E1632="",E1632="!!!"),"",IF(NOT(ISNA(VLOOKUP(E1632,E$1:E1631,1,FALSE()))),"OLD",IF(AND(E1632&lt;&gt;"",E1632&lt;&gt;"!!!"),"NEW","")))</f>
        <v> </v>
      </c>
      <c r="G1632" s="23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4" t="str">
        <f>IF(J1632&lt;&gt;1,"",IF(I1632="SBJ","CB","?"))</f>
        <v> </v>
      </c>
      <c r="I1632" s="25" t="str">
        <f>IF(OR(E1632="",E1632="!!!",F1632="NEW"),"",INDEX(B1631:B$2,-1+SUMPRODUCT(MAX(ROW(E1631:E$2)*(E1632=E1631:E$2)))))</f>
        <v> </v>
      </c>
      <c r="J1632" s="25" t="str">
        <f>IF(OR(E1632="",E1632="!!!",F1632="NEW"),"",COUNTBLANK(OFFSET(A$1,,,SUMPRODUCT(MAX(ROW(E$2:E1632)*(E1632=E$2:E1632)))))-COUNTBLANK(OFFSET(A$1,,,SUMPRODUCT(MAX(ROW(E$1:E1631)*(E2=E$1:E1631))))))</f>
        <v> </v>
      </c>
      <c r="K1632" s="25" t="str">
        <f>IF(OR(E1632="",E1632="!!!",F1632="NEW"),"",INDEX(J$1:J1631,SUMPRODUCT(MAX(ROW(E$1:E1631)*(E1632=E$1:E1631)))))</f>
        <v> </v>
      </c>
      <c r="L1632" s="26"/>
    </row>
    <row r="1633" spans="1:12">
      <c r="A1633" s="20" t="s">
        <v>1039</v>
      </c>
      <c r="E1633" s="21">
        <f>IF(D1633="?OLD","!!!","")</f>
        <v/>
      </c>
      <c r="F1633" s="22" t="str">
        <f>IF(OR(E1633="",E1633="!!!"),"",IF(NOT(ISNA(VLOOKUP(E1633,E$1:E1632,1,FALSE()))),"OLD",IF(AND(E1633&lt;&gt;"",E1633&lt;&gt;"!!!"),"NEW","")))</f>
        <v> </v>
      </c>
      <c r="G1633" s="23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4" t="str">
        <f>IF(J1633&lt;&gt;1,"",IF(I1633="SBJ","CB","?"))</f>
        <v> </v>
      </c>
      <c r="I1633" s="25" t="str">
        <f>IF(OR(E1633="",E1633="!!!",F1633="NEW"),"",INDEX(B1632:B$2,-1+SUMPRODUCT(MAX(ROW(E1632:E$2)*(E1633=E1632:E$2)))))</f>
        <v> </v>
      </c>
      <c r="J1633" s="25" t="str">
        <f>IF(OR(E1633="",E1633="!!!",F1633="NEW"),"",COUNTBLANK(OFFSET(A$1,,,SUMPRODUCT(MAX(ROW(E$2:E1633)*(E1633=E$2:E1633)))))-COUNTBLANK(OFFSET(A$1,,,SUMPRODUCT(MAX(ROW(E$1:E1632)*(E2=E$1:E1632))))))</f>
        <v> </v>
      </c>
      <c r="K1633" s="25" t="str">
        <f>IF(OR(E1633="",E1633="!!!",F1633="NEW"),"",INDEX(J$1:J1632,SUMPRODUCT(MAX(ROW(E$1:E1632)*(E1633=E$1:E1632)))))</f>
        <v> </v>
      </c>
      <c r="L1633" s="26"/>
    </row>
    <row r="1634" spans="1:12">
      <c r="A1634" s="20" t="s">
        <v>750</v>
      </c>
      <c r="E1634" s="21">
        <f>IF(D1634="?OLD","!!!","")</f>
        <v/>
      </c>
      <c r="F1634" s="22" t="str">
        <f>IF(OR(E1634="",E1634="!!!"),"",IF(NOT(ISNA(VLOOKUP(E1634,E$1:E1633,1,FALSE()))),"OLD",IF(AND(E1634&lt;&gt;"",E1634&lt;&gt;"!!!"),"NEW","")))</f>
        <v> </v>
      </c>
      <c r="G1634" s="23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4" t="str">
        <f>IF(J1634&lt;&gt;1,"",IF(I1634="SBJ","CB","?"))</f>
        <v> </v>
      </c>
      <c r="I1634" s="25" t="str">
        <f>IF(OR(E1634="",E1634="!!!",F1634="NEW"),"",INDEX(B1633:B$2,-1+SUMPRODUCT(MAX(ROW(E1633:E$2)*(E1634=E1633:E$2)))))</f>
        <v> </v>
      </c>
      <c r="J1634" s="25" t="str">
        <f>IF(OR(E1634="",E1634="!!!",F1634="NEW"),"",COUNTBLANK(OFFSET(A$1,,,SUMPRODUCT(MAX(ROW(E$2:E1634)*(E1634=E$2:E1634)))))-COUNTBLANK(OFFSET(A$1,,,SUMPRODUCT(MAX(ROW(E$1:E1633)*(E2=E$1:E1633))))))</f>
        <v> </v>
      </c>
      <c r="K1634" s="25" t="str">
        <f>IF(OR(E1634="",E1634="!!!",F1634="NEW"),"",INDEX(J$1:J1633,SUMPRODUCT(MAX(ROW(E$1:E1633)*(E1634=E$1:E1633)))))</f>
        <v> </v>
      </c>
      <c r="L1634" s="26"/>
    </row>
    <row r="1635" spans="1:12">
      <c r="A1635" s="20"/>
    </row>
    <row r="1636" spans="1:12">
      <c r="A1636" s="20" t="s">
        <v>1040</v>
      </c>
    </row>
    <row r="1637" spans="1:12">
      <c r="A1637" s="20" t="s">
        <v>1041</v>
      </c>
      <c r="E1637" s="21">
        <f>IF(D1637="?OLD","!!!","")</f>
        <v/>
      </c>
      <c r="F1637" s="22" t="str">
        <f>IF(OR(E1637="",E1637="!!!"),"",IF(NOT(ISNA(VLOOKUP(E1637,E$1:E1636,1,FALSE()))),"OLD",IF(AND(E1637&lt;&gt;"",E1637&lt;&gt;"!!!"),"NEW","")))</f>
        <v> </v>
      </c>
      <c r="G1637" s="23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4" t="str">
        <f>IF(J1637&lt;&gt;1,"",IF(I1637="SBJ","CB","?"))</f>
        <v> </v>
      </c>
      <c r="I1637" s="25" t="str">
        <f>IF(OR(E1637="",E1637="!!!",F1637="NEW"),"",INDEX(B1636:B$2,-1+SUMPRODUCT(MAX(ROW(E1636:E$2)*(E1637=E1636:E$2)))))</f>
        <v> </v>
      </c>
      <c r="J1637" s="25" t="str">
        <f>IF(OR(E1637="",E1637="!!!",F1637="NEW"),"",COUNTBLANK(OFFSET(A$1,,,SUMPRODUCT(MAX(ROW(E$2:E1637)*(E1637=E$2:E1637)))))-COUNTBLANK(OFFSET(A$1,,,SUMPRODUCT(MAX(ROW(E$1:E1636)*(E2=E$1:E1636))))))</f>
        <v> </v>
      </c>
      <c r="K1637" s="25" t="str">
        <f>IF(OR(E1637="",E1637="!!!",F1637="NEW"),"",INDEX(J$1:J1636,SUMPRODUCT(MAX(ROW(E$1:E1636)*(E1637=E$1:E1636)))))</f>
        <v> </v>
      </c>
      <c r="L1637" s="26"/>
    </row>
    <row r="1638" spans="1:12">
      <c r="A1638" s="20" t="s">
        <v>750</v>
      </c>
      <c r="E1638" s="21">
        <f>IF(D1638="?OLD","!!!","")</f>
        <v/>
      </c>
      <c r="F1638" s="22" t="str">
        <f>IF(OR(E1638="",E1638="!!!"),"",IF(NOT(ISNA(VLOOKUP(E1638,E$1:E1637,1,FALSE()))),"OLD",IF(AND(E1638&lt;&gt;"",E1638&lt;&gt;"!!!"),"NEW","")))</f>
        <v> </v>
      </c>
      <c r="G1638" s="23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4" t="str">
        <f>IF(J1638&lt;&gt;1,"",IF(I1638="SBJ","CB","?"))</f>
        <v> </v>
      </c>
      <c r="I1638" s="25" t="str">
        <f>IF(OR(E1638="",E1638="!!!",F1638="NEW"),"",INDEX(B1637:B$2,-1+SUMPRODUCT(MAX(ROW(E1637:E$2)*(E1638=E1637:E$2)))))</f>
        <v> </v>
      </c>
      <c r="J1638" s="25" t="str">
        <f>IF(OR(E1638="",E1638="!!!",F1638="NEW"),"",COUNTBLANK(OFFSET(A$1,,,SUMPRODUCT(MAX(ROW(E$2:E1638)*(E1638=E$2:E1638)))))-COUNTBLANK(OFFSET(A$1,,,SUMPRODUCT(MAX(ROW(E$1:E1637)*(E2=E$1:E1637))))))</f>
        <v> </v>
      </c>
      <c r="K1638" s="25" t="str">
        <f>IF(OR(E1638="",E1638="!!!",F1638="NEW"),"",INDEX(J$1:J1637,SUMPRODUCT(MAX(ROW(E$1:E1637)*(E1638=E$1:E1637)))))</f>
        <v> </v>
      </c>
      <c r="L1638" s="26"/>
    </row>
    <row r="1639" spans="1:12">
      <c r="A1639" s="20"/>
    </row>
    <row r="1640" spans="1:12">
      <c r="A1640" s="20" t="s">
        <v>1042</v>
      </c>
    </row>
    <row r="1641" spans="1:12">
      <c r="A1641" s="20" t="s">
        <v>1023</v>
      </c>
      <c r="E1641" s="21">
        <f>IF(D1641="?OLD","!!!","")</f>
        <v/>
      </c>
      <c r="F1641" s="22" t="str">
        <f>IF(OR(E1641="",E1641="!!!"),"",IF(NOT(ISNA(VLOOKUP(E1641,E$1:E1640,1,FALSE()))),"OLD",IF(AND(E1641&lt;&gt;"",E1641&lt;&gt;"!!!"),"NEW","")))</f>
        <v> </v>
      </c>
      <c r="G1641" s="23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4" t="str">
        <f>IF(J1641&lt;&gt;1,"",IF(I1641="SBJ","CB","?"))</f>
        <v> </v>
      </c>
      <c r="I1641" s="25" t="str">
        <f>IF(OR(E1641="",E1641="!!!",F1641="NEW"),"",INDEX(B1640:B$2,-1+SUMPRODUCT(MAX(ROW(E1640:E$2)*(E1641=E1640:E$2)))))</f>
        <v> </v>
      </c>
      <c r="J1641" s="25" t="str">
        <f>IF(OR(E1641="",E1641="!!!",F1641="NEW"),"",COUNTBLANK(OFFSET(A$1,,,SUMPRODUCT(MAX(ROW(E$2:E1641)*(E1641=E$2:E1641)))))-COUNTBLANK(OFFSET(A$1,,,SUMPRODUCT(MAX(ROW(E$1:E1640)*(E2=E$1:E1640))))))</f>
        <v> </v>
      </c>
      <c r="K1641" s="25" t="str">
        <f>IF(OR(E1641="",E1641="!!!",F1641="NEW"),"",INDEX(J$1:J1640,SUMPRODUCT(MAX(ROW(E$1:E1640)*(E1641=E$1:E1640)))))</f>
        <v> </v>
      </c>
      <c r="L1641" s="26"/>
    </row>
    <row r="1642" spans="1:12">
      <c r="A1642" s="20" t="s">
        <v>489</v>
      </c>
      <c r="E1642" s="21">
        <f>IF(D1642="?OLD","!!!","")</f>
        <v/>
      </c>
      <c r="F1642" s="22" t="str">
        <f>IF(OR(E1642="",E1642="!!!"),"",IF(NOT(ISNA(VLOOKUP(E1642,E$1:E1641,1,FALSE()))),"OLD",IF(AND(E1642&lt;&gt;"",E1642&lt;&gt;"!!!"),"NEW","")))</f>
        <v> </v>
      </c>
      <c r="G1642" s="23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4" t="str">
        <f>IF(J1642&lt;&gt;1,"",IF(I1642="SBJ","CB","?"))</f>
        <v> </v>
      </c>
      <c r="I1642" s="25" t="str">
        <f>IF(OR(E1642="",E1642="!!!",F1642="NEW"),"",INDEX(B1641:B$2,-1+SUMPRODUCT(MAX(ROW(E1641:E$2)*(E1642=E1641:E$2)))))</f>
        <v> </v>
      </c>
      <c r="J1642" s="25" t="str">
        <f>IF(OR(E1642="",E1642="!!!",F1642="NEW"),"",COUNTBLANK(OFFSET(A$1,,,SUMPRODUCT(MAX(ROW(E$2:E1642)*(E1642=E$2:E1642)))))-COUNTBLANK(OFFSET(A$1,,,SUMPRODUCT(MAX(ROW(E$1:E1641)*(E2=E$1:E1641))))))</f>
        <v> </v>
      </c>
      <c r="K1642" s="25" t="str">
        <f>IF(OR(E1642="",E1642="!!!",F1642="NEW"),"",INDEX(J$1:J1641,SUMPRODUCT(MAX(ROW(E$1:E1641)*(E1642=E$1:E1641)))))</f>
        <v> </v>
      </c>
      <c r="L1642" s="26"/>
    </row>
    <row r="1643" spans="1:12">
      <c r="A1643" s="20" t="s">
        <v>512</v>
      </c>
      <c r="B1643" s="27" t="s">
        <v>549</v>
      </c>
      <c r="C1643" s="27" t="s">
        <v>482</v>
      </c>
      <c r="D1643" s="27" t="s">
        <v>483</v>
      </c>
      <c r="E1643" s="21">
        <f>IF(D1643="?OLD","!!!","")</f>
        <v/>
      </c>
      <c r="F1643" s="22" t="str">
        <f>IF(OR(E1643="",E1643="!!!"),"",IF(NOT(ISNA(VLOOKUP(E1643,E$1:E1642,1,FALSE()))),"OLD",IF(AND(E1643&lt;&gt;"",E1643&lt;&gt;"!!!"),"NEW","")))</f>
        <v> </v>
      </c>
      <c r="G1643" s="23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4" t="str">
        <f>IF(J1643&lt;&gt;1,"",IF(I1643="SBJ","CB","?"))</f>
        <v> </v>
      </c>
      <c r="I1643" s="25" t="str">
        <f>IF(OR(E1643="",E1643="!!!",F1643="NEW"),"",INDEX(B1642:B$2,-1+SUMPRODUCT(MAX(ROW(E1642:E$2)*(E1643=E1642:E$2)))))</f>
        <v> </v>
      </c>
      <c r="J1643" s="25" t="str">
        <f>IF(OR(E1643="",E1643="!!!",F1643="NEW"),"",COUNTBLANK(OFFSET(A$1,,,SUMPRODUCT(MAX(ROW(E$2:E1643)*(E1643=E$2:E1643)))))-COUNTBLANK(OFFSET(A$1,,,SUMPRODUCT(MAX(ROW(E$1:E1642)*(E2=E$1:E1642))))))</f>
        <v> </v>
      </c>
      <c r="K1643" s="25" t="str">
        <f>IF(OR(E1643="",E1643="!!!",F1643="NEW"),"",INDEX(J$1:J1642,SUMPRODUCT(MAX(ROW(E$1:E1642)*(E1643=E$1:E1642)))))</f>
        <v> </v>
      </c>
      <c r="L1643" s="26"/>
    </row>
    <row r="1644" spans="1:12">
      <c r="A1644" s="20" t="s">
        <v>1025</v>
      </c>
      <c r="E1644" s="21">
        <f>IF(D1644="?OLD","!!!","")</f>
        <v/>
      </c>
      <c r="F1644" s="22" t="str">
        <f>IF(OR(E1644="",E1644="!!!"),"",IF(NOT(ISNA(VLOOKUP(E1644,E$1:E1643,1,FALSE()))),"OLD",IF(AND(E1644&lt;&gt;"",E1644&lt;&gt;"!!!"),"NEW","")))</f>
        <v> </v>
      </c>
      <c r="G1644" s="23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4" t="str">
        <f>IF(J1644&lt;&gt;1,"",IF(I1644="SBJ","CB","?"))</f>
        <v> </v>
      </c>
      <c r="I1644" s="25" t="str">
        <f>IF(OR(E1644="",E1644="!!!",F1644="NEW"),"",INDEX(B1643:B$2,-1+SUMPRODUCT(MAX(ROW(E1643:E$2)*(E1644=E1643:E$2)))))</f>
        <v> </v>
      </c>
      <c r="J1644" s="25" t="str">
        <f>IF(OR(E1644="",E1644="!!!",F1644="NEW"),"",COUNTBLANK(OFFSET(A$1,,,SUMPRODUCT(MAX(ROW(E$2:E1644)*(E1644=E$2:E1644)))))-COUNTBLANK(OFFSET(A$1,,,SUMPRODUCT(MAX(ROW(E$1:E1643)*(E2=E$1:E1643))))))</f>
        <v> </v>
      </c>
      <c r="K1644" s="25" t="str">
        <f>IF(OR(E1644="",E1644="!!!",F1644="NEW"),"",INDEX(J$1:J1643,SUMPRODUCT(MAX(ROW(E$1:E1643)*(E1644=E$1:E1643)))))</f>
        <v> </v>
      </c>
      <c r="L1644" s="26"/>
    </row>
    <row r="1645" spans="1:12">
      <c r="A1645" s="20" t="s">
        <v>531</v>
      </c>
      <c r="E1645" s="21">
        <f>IF(D1645="?OLD","!!!","")</f>
        <v/>
      </c>
      <c r="F1645" s="22" t="str">
        <f>IF(OR(E1645="",E1645="!!!"),"",IF(NOT(ISNA(VLOOKUP(E1645,E$1:E1644,1,FALSE()))),"OLD",IF(AND(E1645&lt;&gt;"",E1645&lt;&gt;"!!!"),"NEW","")))</f>
        <v> </v>
      </c>
      <c r="G1645" s="23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4" t="str">
        <f>IF(J1645&lt;&gt;1,"",IF(I1645="SBJ","CB","?"))</f>
        <v> </v>
      </c>
      <c r="I1645" s="25" t="str">
        <f>IF(OR(E1645="",E1645="!!!",F1645="NEW"),"",INDEX(B1644:B$2,-1+SUMPRODUCT(MAX(ROW(E1644:E$2)*(E1645=E1644:E$2)))))</f>
        <v> </v>
      </c>
      <c r="J1645" s="25" t="str">
        <f>IF(OR(E1645="",E1645="!!!",F1645="NEW"),"",COUNTBLANK(OFFSET(A$1,,,SUMPRODUCT(MAX(ROW(E$2:E1645)*(E1645=E$2:E1645)))))-COUNTBLANK(OFFSET(A$1,,,SUMPRODUCT(MAX(ROW(E$1:E1644)*(E2=E$1:E1644))))))</f>
        <v> </v>
      </c>
      <c r="K1645" s="25" t="str">
        <f>IF(OR(E1645="",E1645="!!!",F1645="NEW"),"",INDEX(J$1:J1644,SUMPRODUCT(MAX(ROW(E$1:E1644)*(E1645=E$1:E1644)))))</f>
        <v> </v>
      </c>
      <c r="L1645" s="26"/>
    </row>
    <row r="1646" spans="1:12">
      <c r="A1646" s="20"/>
    </row>
    <row r="1647" spans="1:12">
      <c r="A1647" s="20" t="s">
        <v>606</v>
      </c>
      <c r="E1647" s="21">
        <f>IF(D1647="?OLD","!!!","")</f>
        <v/>
      </c>
      <c r="F1647" s="22" t="str">
        <f>IF(OR(E1647="",E1647="!!!"),"",IF(NOT(ISNA(VLOOKUP(E1647,E$1:E1646,1,FALSE()))),"OLD",IF(AND(E1647&lt;&gt;"",E1647&lt;&gt;"!!!"),"NEW","")))</f>
        <v> </v>
      </c>
      <c r="G1647" s="23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4" t="str">
        <f>IF(J1647&lt;&gt;1,"",IF(I1647="SBJ","CB","?"))</f>
        <v> </v>
      </c>
      <c r="I1647" s="25" t="str">
        <f>IF(OR(E1647="",E1647="!!!",F1647="NEW"),"",INDEX(B1646:B$2,-1+SUMPRODUCT(MAX(ROW(E1646:E$2)*(E1647=E1646:E$2)))))</f>
        <v> </v>
      </c>
      <c r="J1647" s="25" t="str">
        <f>IF(OR(E1647="",E1647="!!!",F1647="NEW"),"",COUNTBLANK(OFFSET(A$1,,,SUMPRODUCT(MAX(ROW(E$2:E1647)*(E1647=E$2:E1647)))))-COUNTBLANK(OFFSET(A$1,,,SUMPRODUCT(MAX(ROW(E$1:E1646)*(E2=E$1:E1646))))))</f>
        <v> </v>
      </c>
      <c r="K1647" s="25" t="str">
        <f>IF(OR(E1647="",E1647="!!!",F1647="NEW"),"",INDEX(J$1:J1646,SUMPRODUCT(MAX(ROW(E$1:E1646)*(E1647=E$1:E1646)))))</f>
        <v> </v>
      </c>
      <c r="L1647" s="26"/>
    </row>
    <row r="1648" spans="1:12">
      <c r="A1648" s="20" t="s">
        <v>1043</v>
      </c>
    </row>
    <row r="1649" spans="1:12">
      <c r="A1649" s="20" t="s">
        <v>1044</v>
      </c>
      <c r="E1649" s="21">
        <f>IF(D1649="?OLD","!!!","")</f>
        <v/>
      </c>
      <c r="F1649" s="22" t="str">
        <f>IF(OR(E1649="",E1649="!!!"),"",IF(NOT(ISNA(VLOOKUP(E1649,E$1:E1648,1,FALSE()))),"OLD",IF(AND(E1649&lt;&gt;"",E1649&lt;&gt;"!!!"),"NEW","")))</f>
        <v> </v>
      </c>
      <c r="G1649" s="23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4" t="str">
        <f>IF(J1649&lt;&gt;1,"",IF(I1649="SBJ","CB","?"))</f>
        <v> </v>
      </c>
      <c r="I1649" s="25" t="str">
        <f>IF(OR(E1649="",E1649="!!!",F1649="NEW"),"",INDEX(B1648:B$2,-1+SUMPRODUCT(MAX(ROW(E1648:E$2)*(E1649=E1648:E$2)))))</f>
        <v> </v>
      </c>
      <c r="J1649" s="25" t="str">
        <f>IF(OR(E1649="",E1649="!!!",F1649="NEW"),"",COUNTBLANK(OFFSET(A$1,,,SUMPRODUCT(MAX(ROW(E$2:E1649)*(E1649=E$2:E1649)))))-COUNTBLANK(OFFSET(A$1,,,SUMPRODUCT(MAX(ROW(E$1:E1648)*(E2=E$1:E1648))))))</f>
        <v> </v>
      </c>
      <c r="K1649" s="25" t="str">
        <f>IF(OR(E1649="",E1649="!!!",F1649="NEW"),"",INDEX(J$1:J1648,SUMPRODUCT(MAX(ROW(E$1:E1648)*(E1649=E$1:E1648)))))</f>
        <v> </v>
      </c>
      <c r="L1649" s="26"/>
    </row>
    <row r="1650" spans="1:12">
      <c r="A1650" s="20" t="s">
        <v>974</v>
      </c>
      <c r="B1650" s="27" t="s">
        <v>537</v>
      </c>
      <c r="C1650" s="27" t="s">
        <v>487</v>
      </c>
      <c r="D1650" s="27" t="s">
        <v>483</v>
      </c>
      <c r="E1650" s="21">
        <f>IF(D1650="?OLD","!!!","")</f>
        <v/>
      </c>
      <c r="F1650" s="22" t="str">
        <f>IF(OR(E1650="",E1650="!!!"),"",IF(NOT(ISNA(VLOOKUP(E1650,E$1:E1649,1,FALSE()))),"OLD",IF(AND(E1650&lt;&gt;"",E1650&lt;&gt;"!!!"),"NEW","")))</f>
        <v> </v>
      </c>
      <c r="G1650" s="23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4" t="str">
        <f>IF(J1650&lt;&gt;1,"",IF(I1650="SBJ","CB","?"))</f>
        <v> </v>
      </c>
      <c r="I1650" s="25" t="str">
        <f>IF(OR(E1650="",E1650="!!!",F1650="NEW"),"",INDEX(B1649:B$2,-1+SUMPRODUCT(MAX(ROW(E1649:E$2)*(E1650=E1649:E$2)))))</f>
        <v> </v>
      </c>
      <c r="J1650" s="25" t="str">
        <f>IF(OR(E1650="",E1650="!!!",F1650="NEW"),"",COUNTBLANK(OFFSET(A$1,,,SUMPRODUCT(MAX(ROW(E$2:E1650)*(E1650=E$2:E1650)))))-COUNTBLANK(OFFSET(A$1,,,SUMPRODUCT(MAX(ROW(E$1:E1649)*(E2=E$1:E1649))))))</f>
        <v> </v>
      </c>
      <c r="K1650" s="25" t="str">
        <f>IF(OR(E1650="",E1650="!!!",F1650="NEW"),"",INDEX(J$1:J1649,SUMPRODUCT(MAX(ROW(E$1:E1649)*(E1650=E$1:E1649)))))</f>
        <v> </v>
      </c>
      <c r="L1650" s="26"/>
    </row>
    <row r="1651" spans="1:12">
      <c r="A1651" s="20" t="s">
        <v>1045</v>
      </c>
      <c r="E1651" s="21">
        <f>IF(D1651="?OLD","!!!","")</f>
        <v/>
      </c>
      <c r="F1651" s="22" t="str">
        <f>IF(OR(E1651="",E1651="!!!"),"",IF(NOT(ISNA(VLOOKUP(E1651,E$1:E1650,1,FALSE()))),"OLD",IF(AND(E1651&lt;&gt;"",E1651&lt;&gt;"!!!"),"NEW","")))</f>
        <v> </v>
      </c>
      <c r="G1651" s="23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4" t="str">
        <f>IF(J1651&lt;&gt;1,"",IF(I1651="SBJ","CB","?"))</f>
        <v> </v>
      </c>
      <c r="I1651" s="25" t="str">
        <f>IF(OR(E1651="",E1651="!!!",F1651="NEW"),"",INDEX(B1650:B$2,-1+SUMPRODUCT(MAX(ROW(E1650:E$2)*(E1651=E1650:E$2)))))</f>
        <v> </v>
      </c>
      <c r="J1651" s="25" t="str">
        <f>IF(OR(E1651="",E1651="!!!",F1651="NEW"),"",COUNTBLANK(OFFSET(A$1,,,SUMPRODUCT(MAX(ROW(E$2:E1651)*(E1651=E$2:E1651)))))-COUNTBLANK(OFFSET(A$1,,,SUMPRODUCT(MAX(ROW(E$1:E1650)*(E2=E$1:E1650))))))</f>
        <v> </v>
      </c>
      <c r="K1651" s="25" t="str">
        <f>IF(OR(E1651="",E1651="!!!",F1651="NEW"),"",INDEX(J$1:J1650,SUMPRODUCT(MAX(ROW(E$1:E1650)*(E1651=E$1:E1650)))))</f>
        <v> </v>
      </c>
      <c r="L1651" s="26"/>
    </row>
    <row r="1652" spans="1:12">
      <c r="A1652" s="20" t="s">
        <v>1046</v>
      </c>
      <c r="E1652" s="21">
        <f>IF(D1652="?OLD","!!!","")</f>
        <v/>
      </c>
      <c r="F1652" s="22" t="str">
        <f>IF(OR(E1652="",E1652="!!!"),"",IF(NOT(ISNA(VLOOKUP(E1652,E$1:E1651,1,FALSE()))),"OLD",IF(AND(E1652&lt;&gt;"",E1652&lt;&gt;"!!!"),"NEW","")))</f>
        <v> </v>
      </c>
      <c r="G1652" s="23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4" t="str">
        <f>IF(J1652&lt;&gt;1,"",IF(I1652="SBJ","CB","?"))</f>
        <v> </v>
      </c>
      <c r="I1652" s="25" t="str">
        <f>IF(OR(E1652="",E1652="!!!",F1652="NEW"),"",INDEX(B1651:B$2,-1+SUMPRODUCT(MAX(ROW(E1651:E$2)*(E1652=E1651:E$2)))))</f>
        <v> </v>
      </c>
      <c r="J1652" s="25" t="str">
        <f>IF(OR(E1652="",E1652="!!!",F1652="NEW"),"",COUNTBLANK(OFFSET(A$1,,,SUMPRODUCT(MAX(ROW(E$2:E1652)*(E1652=E$2:E1652)))))-COUNTBLANK(OFFSET(A$1,,,SUMPRODUCT(MAX(ROW(E$1:E1651)*(E2=E$1:E1651))))))</f>
        <v> </v>
      </c>
      <c r="K1652" s="25" t="str">
        <f>IF(OR(E1652="",E1652="!!!",F1652="NEW"),"",INDEX(J$1:J1651,SUMPRODUCT(MAX(ROW(E$1:E1651)*(E1652=E$1:E1651)))))</f>
        <v> </v>
      </c>
      <c r="L1652" s="26"/>
    </row>
    <row r="1653" spans="1:12">
      <c r="A1653" s="20" t="s">
        <v>697</v>
      </c>
      <c r="E1653" s="21">
        <f>IF(D1653="?OLD","!!!","")</f>
        <v/>
      </c>
      <c r="F1653" s="22" t="str">
        <f>IF(OR(E1653="",E1653="!!!"),"",IF(NOT(ISNA(VLOOKUP(E1653,E$1:E1652,1,FALSE()))),"OLD",IF(AND(E1653&lt;&gt;"",E1653&lt;&gt;"!!!"),"NEW","")))</f>
        <v> </v>
      </c>
      <c r="G1653" s="23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4" t="str">
        <f>IF(J1653&lt;&gt;1,"",IF(I1653="SBJ","CB","?"))</f>
        <v> </v>
      </c>
      <c r="I1653" s="25" t="str">
        <f>IF(OR(E1653="",E1653="!!!",F1653="NEW"),"",INDEX(B1652:B$2,-1+SUMPRODUCT(MAX(ROW(E1652:E$2)*(E1653=E1652:E$2)))))</f>
        <v> </v>
      </c>
      <c r="J1653" s="25" t="str">
        <f>IF(OR(E1653="",E1653="!!!",F1653="NEW"),"",COUNTBLANK(OFFSET(A$1,,,SUMPRODUCT(MAX(ROW(E$2:E1653)*(E1653=E$2:E1653)))))-COUNTBLANK(OFFSET(A$1,,,SUMPRODUCT(MAX(ROW(E$1:E1652)*(E2=E$1:E1652))))))</f>
        <v> </v>
      </c>
      <c r="K1653" s="25" t="str">
        <f>IF(OR(E1653="",E1653="!!!",F1653="NEW"),"",INDEX(J$1:J1652,SUMPRODUCT(MAX(ROW(E$1:E1652)*(E1653=E$1:E1652)))))</f>
        <v> </v>
      </c>
      <c r="L1653" s="26"/>
    </row>
    <row r="1654" spans="1:12">
      <c r="A1654" s="20" t="s">
        <v>503</v>
      </c>
      <c r="E1654" s="21">
        <f>IF(D1654="?OLD","!!!","")</f>
        <v/>
      </c>
      <c r="F1654" s="22" t="str">
        <f>IF(OR(E1654="",E1654="!!!"),"",IF(NOT(ISNA(VLOOKUP(E1654,E$1:E1653,1,FALSE()))),"OLD",IF(AND(E1654&lt;&gt;"",E1654&lt;&gt;"!!!"),"NEW","")))</f>
        <v> </v>
      </c>
      <c r="G1654" s="23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4" t="str">
        <f>IF(J1654&lt;&gt;1,"",IF(I1654="SBJ","CB","?"))</f>
        <v> </v>
      </c>
      <c r="I1654" s="25" t="str">
        <f>IF(OR(E1654="",E1654="!!!",F1654="NEW"),"",INDEX(B1653:B$2,-1+SUMPRODUCT(MAX(ROW(E1653:E$2)*(E1654=E1653:E$2)))))</f>
        <v> </v>
      </c>
      <c r="J1654" s="25" t="str">
        <f>IF(OR(E1654="",E1654="!!!",F1654="NEW"),"",COUNTBLANK(OFFSET(A$1,,,SUMPRODUCT(MAX(ROW(E$2:E1654)*(E1654=E$2:E1654)))))-COUNTBLANK(OFFSET(A$1,,,SUMPRODUCT(MAX(ROW(E$1:E1653)*(E2=E$1:E1653))))))</f>
        <v> </v>
      </c>
      <c r="K1654" s="25" t="str">
        <f>IF(OR(E1654="",E1654="!!!",F1654="NEW"),"",INDEX(J$1:J1653,SUMPRODUCT(MAX(ROW(E$1:E1653)*(E1654=E$1:E1653)))))</f>
        <v> </v>
      </c>
      <c r="L1654" s="26"/>
    </row>
    <row r="1655" spans="1:12">
      <c r="A1655" s="20" t="s">
        <v>124</v>
      </c>
      <c r="E1655" s="21">
        <f>IF(D1655="?OLD","!!!","")</f>
        <v/>
      </c>
      <c r="F1655" s="22" t="str">
        <f>IF(OR(E1655="",E1655="!!!"),"",IF(NOT(ISNA(VLOOKUP(E1655,E$1:E1654,1,FALSE()))),"OLD",IF(AND(E1655&lt;&gt;"",E1655&lt;&gt;"!!!"),"NEW","")))</f>
        <v> </v>
      </c>
      <c r="G1655" s="23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4" t="str">
        <f>IF(J1655&lt;&gt;1,"",IF(I1655="SBJ","CB","?"))</f>
        <v> </v>
      </c>
      <c r="I1655" s="25" t="str">
        <f>IF(OR(E1655="",E1655="!!!",F1655="NEW"),"",INDEX(B1654:B$2,-1+SUMPRODUCT(MAX(ROW(E1654:E$2)*(E1655=E1654:E$2)))))</f>
        <v> </v>
      </c>
      <c r="J1655" s="25" t="str">
        <f>IF(OR(E1655="",E1655="!!!",F1655="NEW"),"",COUNTBLANK(OFFSET(A$1,,,SUMPRODUCT(MAX(ROW(E$2:E1655)*(E1655=E$2:E1655)))))-COUNTBLANK(OFFSET(A$1,,,SUMPRODUCT(MAX(ROW(E$1:E1654)*(E2=E$1:E1654))))))</f>
        <v> </v>
      </c>
      <c r="K1655" s="25" t="str">
        <f>IF(OR(E1655="",E1655="!!!",F1655="NEW"),"",INDEX(J$1:J1654,SUMPRODUCT(MAX(ROW(E$1:E1654)*(E1655=E$1:E1654)))))</f>
        <v> </v>
      </c>
      <c r="L1655" s="26"/>
    </row>
    <row r="1656" spans="1:12">
      <c r="A1656" s="20" t="s">
        <v>917</v>
      </c>
      <c r="E1656" s="21">
        <f>IF(D1656="?OLD","!!!","")</f>
        <v/>
      </c>
      <c r="F1656" s="22" t="str">
        <f>IF(OR(E1656="",E1656="!!!"),"",IF(NOT(ISNA(VLOOKUP(E1656,E$1:E1655,1,FALSE()))),"OLD",IF(AND(E1656&lt;&gt;"",E1656&lt;&gt;"!!!"),"NEW","")))</f>
        <v> </v>
      </c>
      <c r="G1656" s="23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4" t="str">
        <f>IF(J1656&lt;&gt;1,"",IF(I1656="SBJ","CB","?"))</f>
        <v> </v>
      </c>
      <c r="I1656" s="25" t="str">
        <f>IF(OR(E1656="",E1656="!!!",F1656="NEW"),"",INDEX(B1655:B$2,-1+SUMPRODUCT(MAX(ROW(E1655:E$2)*(E1656=E1655:E$2)))))</f>
        <v> </v>
      </c>
      <c r="J1656" s="25" t="str">
        <f>IF(OR(E1656="",E1656="!!!",F1656="NEW"),"",COUNTBLANK(OFFSET(A$1,,,SUMPRODUCT(MAX(ROW(E$2:E1656)*(E1656=E$2:E1656)))))-COUNTBLANK(OFFSET(A$1,,,SUMPRODUCT(MAX(ROW(E$1:E1655)*(E2=E$1:E1655))))))</f>
        <v> </v>
      </c>
      <c r="K1656" s="25" t="str">
        <f>IF(OR(E1656="",E1656="!!!",F1656="NEW"),"",INDEX(J$1:J1655,SUMPRODUCT(MAX(ROW(E$1:E1655)*(E1656=E$1:E1655)))))</f>
        <v> </v>
      </c>
      <c r="L1656" s="26"/>
    </row>
    <row r="1657" spans="1:12">
      <c r="A1657" s="20" t="s">
        <v>610</v>
      </c>
      <c r="E1657" s="21">
        <f>IF(D1657="?OLD","!!!","")</f>
        <v/>
      </c>
      <c r="F1657" s="22" t="str">
        <f>IF(OR(E1657="",E1657="!!!"),"",IF(NOT(ISNA(VLOOKUP(E1657,E$1:E1656,1,FALSE()))),"OLD",IF(AND(E1657&lt;&gt;"",E1657&lt;&gt;"!!!"),"NEW","")))</f>
        <v> </v>
      </c>
      <c r="G1657" s="23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4" t="str">
        <f>IF(J1657&lt;&gt;1,"",IF(I1657="SBJ","CB","?"))</f>
        <v> </v>
      </c>
      <c r="I1657" s="25" t="str">
        <f>IF(OR(E1657="",E1657="!!!",F1657="NEW"),"",INDEX(B1656:B$2,-1+SUMPRODUCT(MAX(ROW(E1656:E$2)*(E1657=E1656:E$2)))))</f>
        <v> </v>
      </c>
      <c r="J1657" s="25" t="str">
        <f>IF(OR(E1657="",E1657="!!!",F1657="NEW"),"",COUNTBLANK(OFFSET(A$1,,,SUMPRODUCT(MAX(ROW(E$2:E1657)*(E1657=E$2:E1657)))))-COUNTBLANK(OFFSET(A$1,,,SUMPRODUCT(MAX(ROW(E$1:E1656)*(E2=E$1:E1656))))))</f>
        <v> </v>
      </c>
      <c r="K1657" s="25" t="str">
        <f>IF(OR(E1657="",E1657="!!!",F1657="NEW"),"",INDEX(J$1:J1656,SUMPRODUCT(MAX(ROW(E$1:E1656)*(E1657=E$1:E1656)))))</f>
        <v> </v>
      </c>
      <c r="L1657" s="26"/>
    </row>
    <row r="1658" spans="1:12">
      <c r="A1658" s="20" t="s">
        <v>608</v>
      </c>
      <c r="B1658" s="27" t="s">
        <v>654</v>
      </c>
      <c r="C1658" s="27" t="s">
        <v>482</v>
      </c>
      <c r="D1658" s="27" t="s">
        <v>483</v>
      </c>
      <c r="E1658" s="21">
        <f>IF(D1658="?OLD","!!!","")</f>
        <v/>
      </c>
      <c r="F1658" s="22" t="str">
        <f>IF(OR(E1658="",E1658="!!!"),"",IF(NOT(ISNA(VLOOKUP(E1658,E$1:E1657,1,FALSE()))),"OLD",IF(AND(E1658&lt;&gt;"",E1658&lt;&gt;"!!!"),"NEW","")))</f>
        <v> </v>
      </c>
      <c r="G1658" s="23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4" t="str">
        <f>IF(J1658&lt;&gt;1,"",IF(I1658="SBJ","CB","?"))</f>
        <v> </v>
      </c>
      <c r="I1658" s="25" t="str">
        <f>IF(OR(E1658="",E1658="!!!",F1658="NEW"),"",INDEX(B1657:B$2,-1+SUMPRODUCT(MAX(ROW(E1657:E$2)*(E1658=E1657:E$2)))))</f>
        <v> </v>
      </c>
      <c r="J1658" s="25" t="str">
        <f>IF(OR(E1658="",E1658="!!!",F1658="NEW"),"",COUNTBLANK(OFFSET(A$1,,,SUMPRODUCT(MAX(ROW(E$2:E1658)*(E1658=E$2:E1658)))))-COUNTBLANK(OFFSET(A$1,,,SUMPRODUCT(MAX(ROW(E$1:E1657)*(E2=E$1:E1657))))))</f>
        <v> </v>
      </c>
      <c r="K1658" s="25" t="str">
        <f>IF(OR(E1658="",E1658="!!!",F1658="NEW"),"",INDEX(J$1:J1657,SUMPRODUCT(MAX(ROW(E$1:E1657)*(E1658=E$1:E1657)))))</f>
        <v> </v>
      </c>
      <c r="L1658" s="26"/>
    </row>
    <row r="1659" spans="1:12">
      <c r="A1659" s="20" t="s">
        <v>680</v>
      </c>
      <c r="E1659" s="21">
        <f>IF(D1659="?OLD","!!!","")</f>
        <v/>
      </c>
      <c r="F1659" s="22" t="str">
        <f>IF(OR(E1659="",E1659="!!!"),"",IF(NOT(ISNA(VLOOKUP(E1659,E$1:E1658,1,FALSE()))),"OLD",IF(AND(E1659&lt;&gt;"",E1659&lt;&gt;"!!!"),"NEW","")))</f>
        <v> </v>
      </c>
      <c r="G1659" s="23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4" t="str">
        <f>IF(J1659&lt;&gt;1,"",IF(I1659="SBJ","CB","?"))</f>
        <v> </v>
      </c>
      <c r="I1659" s="25" t="str">
        <f>IF(OR(E1659="",E1659="!!!",F1659="NEW"),"",INDEX(B1658:B$2,-1+SUMPRODUCT(MAX(ROW(E1658:E$2)*(E1659=E1658:E$2)))))</f>
        <v> </v>
      </c>
      <c r="J1659" s="25" t="str">
        <f>IF(OR(E1659="",E1659="!!!",F1659="NEW"),"",COUNTBLANK(OFFSET(A$1,,,SUMPRODUCT(MAX(ROW(E$2:E1659)*(E1659=E$2:E1659)))))-COUNTBLANK(OFFSET(A$1,,,SUMPRODUCT(MAX(ROW(E$1:E1658)*(E2=E$1:E1658))))))</f>
        <v> </v>
      </c>
      <c r="K1659" s="25" t="str">
        <f>IF(OR(E1659="",E1659="!!!",F1659="NEW"),"",INDEX(J$1:J1658,SUMPRODUCT(MAX(ROW(E$1:E1658)*(E1659=E$1:E1658)))))</f>
        <v> </v>
      </c>
      <c r="L1659" s="26"/>
    </row>
    <row r="1660" spans="1:12">
      <c r="A1660" s="20" t="s">
        <v>1047</v>
      </c>
      <c r="E1660" s="21">
        <f>IF(D1660="?OLD","!!!","")</f>
        <v/>
      </c>
      <c r="F1660" s="22" t="str">
        <f>IF(OR(E1660="",E1660="!!!"),"",IF(NOT(ISNA(VLOOKUP(E1660,E$1:E1659,1,FALSE()))),"OLD",IF(AND(E1660&lt;&gt;"",E1660&lt;&gt;"!!!"),"NEW","")))</f>
        <v> </v>
      </c>
      <c r="G1660" s="23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4" t="str">
        <f>IF(J1660&lt;&gt;1,"",IF(I1660="SBJ","CB","?"))</f>
        <v> </v>
      </c>
      <c r="I1660" s="25" t="str">
        <f>IF(OR(E1660="",E1660="!!!",F1660="NEW"),"",INDEX(B1659:B$2,-1+SUMPRODUCT(MAX(ROW(E1659:E$2)*(E1660=E1659:E$2)))))</f>
        <v> </v>
      </c>
      <c r="J1660" s="25" t="str">
        <f>IF(OR(E1660="",E1660="!!!",F1660="NEW"),"",COUNTBLANK(OFFSET(A$1,,,SUMPRODUCT(MAX(ROW(E$2:E1660)*(E1660=E$2:E1660)))))-COUNTBLANK(OFFSET(A$1,,,SUMPRODUCT(MAX(ROW(E$1:E1659)*(E2=E$1:E1659))))))</f>
        <v> </v>
      </c>
      <c r="K1660" s="25" t="str">
        <f>IF(OR(E1660="",E1660="!!!",F1660="NEW"),"",INDEX(J$1:J1659,SUMPRODUCT(MAX(ROW(E$1:E1659)*(E1660=E$1:E1659)))))</f>
        <v> </v>
      </c>
      <c r="L1660" s="26"/>
    </row>
    <row r="1661" spans="1:12">
      <c r="A1661" s="20" t="s">
        <v>503</v>
      </c>
      <c r="E1661" s="21">
        <f>IF(D1661="?OLD","!!!","")</f>
        <v/>
      </c>
      <c r="F1661" s="22" t="str">
        <f>IF(OR(E1661="",E1661="!!!"),"",IF(NOT(ISNA(VLOOKUP(E1661,E$1:E1660,1,FALSE()))),"OLD",IF(AND(E1661&lt;&gt;"",E1661&lt;&gt;"!!!"),"NEW","")))</f>
        <v> </v>
      </c>
      <c r="G1661" s="23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4" t="str">
        <f>IF(J1661&lt;&gt;1,"",IF(I1661="SBJ","CB","?"))</f>
        <v> </v>
      </c>
      <c r="I1661" s="25" t="str">
        <f>IF(OR(E1661="",E1661="!!!",F1661="NEW"),"",INDEX(B1660:B$2,-1+SUMPRODUCT(MAX(ROW(E1660:E$2)*(E1661=E1660:E$2)))))</f>
        <v> </v>
      </c>
      <c r="J1661" s="25" t="str">
        <f>IF(OR(E1661="",E1661="!!!",F1661="NEW"),"",COUNTBLANK(OFFSET(A$1,,,SUMPRODUCT(MAX(ROW(E$2:E1661)*(E1661=E$2:E1661)))))-COUNTBLANK(OFFSET(A$1,,,SUMPRODUCT(MAX(ROW(E$1:E1660)*(E2=E$1:E1660))))))</f>
        <v> </v>
      </c>
      <c r="K1661" s="25" t="str">
        <f>IF(OR(E1661="",E1661="!!!",F1661="NEW"),"",INDEX(J$1:J1660,SUMPRODUCT(MAX(ROW(E$1:E1660)*(E1661=E$1:E1660)))))</f>
        <v> </v>
      </c>
      <c r="L1661" s="26"/>
    </row>
    <row r="1662" spans="1:12">
      <c r="A1662" s="20" t="s">
        <v>72</v>
      </c>
      <c r="E1662" s="21">
        <f>IF(D1662="?OLD","!!!","")</f>
        <v/>
      </c>
      <c r="F1662" s="22" t="str">
        <f>IF(OR(E1662="",E1662="!!!"),"",IF(NOT(ISNA(VLOOKUP(E1662,E$1:E1661,1,FALSE()))),"OLD",IF(AND(E1662&lt;&gt;"",E1662&lt;&gt;"!!!"),"NEW","")))</f>
        <v> </v>
      </c>
      <c r="G1662" s="23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4" t="str">
        <f>IF(J1662&lt;&gt;1,"",IF(I1662="SBJ","CB","?"))</f>
        <v> </v>
      </c>
      <c r="I1662" s="25" t="str">
        <f>IF(OR(E1662="",E1662="!!!",F1662="NEW"),"",INDEX(B1661:B$2,-1+SUMPRODUCT(MAX(ROW(E1661:E$2)*(E1662=E1661:E$2)))))</f>
        <v> </v>
      </c>
      <c r="J1662" s="25" t="str">
        <f>IF(OR(E1662="",E1662="!!!",F1662="NEW"),"",COUNTBLANK(OFFSET(A$1,,,SUMPRODUCT(MAX(ROW(E$2:E1662)*(E1662=E$2:E1662)))))-COUNTBLANK(OFFSET(A$1,,,SUMPRODUCT(MAX(ROW(E$1:E1661)*(E2=E$1:E1661))))))</f>
        <v> </v>
      </c>
      <c r="K1662" s="25" t="str">
        <f>IF(OR(E1662="",E1662="!!!",F1662="NEW"),"",INDEX(J$1:J1661,SUMPRODUCT(MAX(ROW(E$1:E1661)*(E1662=E$1:E1661)))))</f>
        <v> </v>
      </c>
      <c r="L1662" s="26"/>
    </row>
    <row r="1663" spans="1:12">
      <c r="A1663" s="20" t="s">
        <v>1048</v>
      </c>
      <c r="B1663" s="27" t="s">
        <v>556</v>
      </c>
      <c r="C1663" s="27" t="s">
        <v>491</v>
      </c>
      <c r="D1663" s="27" t="s">
        <v>483</v>
      </c>
      <c r="E1663" s="21">
        <f>IF(D1663="?OLD","!!!","")</f>
        <v/>
      </c>
      <c r="F1663" s="22" t="str">
        <f>IF(OR(E1663="",E1663="!!!"),"",IF(NOT(ISNA(VLOOKUP(E1663,E$1:E1662,1,FALSE()))),"OLD",IF(AND(E1663&lt;&gt;"",E1663&lt;&gt;"!!!"),"NEW","")))</f>
        <v> </v>
      </c>
      <c r="G1663" s="23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4" t="str">
        <f>IF(J1663&lt;&gt;1,"",IF(I1663="SBJ","CB","?"))</f>
        <v> </v>
      </c>
      <c r="I1663" s="25" t="str">
        <f>IF(OR(E1663="",E1663="!!!",F1663="NEW"),"",INDEX(B1662:B$2,-1+SUMPRODUCT(MAX(ROW(E1662:E$2)*(E1663=E1662:E$2)))))</f>
        <v> </v>
      </c>
      <c r="J1663" s="25" t="str">
        <f>IF(OR(E1663="",E1663="!!!",F1663="NEW"),"",COUNTBLANK(OFFSET(A$1,,,SUMPRODUCT(MAX(ROW(E$2:E1663)*(E1663=E$2:E1663)))))-COUNTBLANK(OFFSET(A$1,,,SUMPRODUCT(MAX(ROW(E$1:E1662)*(E2=E$1:E1662))))))</f>
        <v> </v>
      </c>
      <c r="K1663" s="25" t="str">
        <f>IF(OR(E1663="",E1663="!!!",F1663="NEW"),"",INDEX(J$1:J1662,SUMPRODUCT(MAX(ROW(E$1:E1662)*(E1663=E$1:E1662)))))</f>
        <v> </v>
      </c>
      <c r="L1663" s="26"/>
    </row>
    <row r="1664" spans="1:12">
      <c r="A1664" s="20" t="s">
        <v>531</v>
      </c>
      <c r="E1664" s="21">
        <f>IF(D1664="?OLD","!!!","")</f>
        <v/>
      </c>
      <c r="F1664" s="22" t="str">
        <f>IF(OR(E1664="",E1664="!!!"),"",IF(NOT(ISNA(VLOOKUP(E1664,E$1:E1663,1,FALSE()))),"OLD",IF(AND(E1664&lt;&gt;"",E1664&lt;&gt;"!!!"),"NEW","")))</f>
        <v> </v>
      </c>
      <c r="G1664" s="23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4" t="str">
        <f>IF(J1664&lt;&gt;1,"",IF(I1664="SBJ","CB","?"))</f>
        <v> </v>
      </c>
      <c r="I1664" s="25" t="str">
        <f>IF(OR(E1664="",E1664="!!!",F1664="NEW"),"",INDEX(B1663:B$2,-1+SUMPRODUCT(MAX(ROW(E1663:E$2)*(E1664=E1663:E$2)))))</f>
        <v> </v>
      </c>
      <c r="J1664" s="25" t="str">
        <f>IF(OR(E1664="",E1664="!!!",F1664="NEW"),"",COUNTBLANK(OFFSET(A$1,,,SUMPRODUCT(MAX(ROW(E$2:E1664)*(E1664=E$2:E1664)))))-COUNTBLANK(OFFSET(A$1,,,SUMPRODUCT(MAX(ROW(E$1:E1663)*(E2=E$1:E1663))))))</f>
        <v> </v>
      </c>
      <c r="K1664" s="25" t="str">
        <f>IF(OR(E1664="",E1664="!!!",F1664="NEW"),"",INDEX(J$1:J1663,SUMPRODUCT(MAX(ROW(E$1:E1663)*(E1664=E$1:E1663)))))</f>
        <v> </v>
      </c>
      <c r="L1664" s="26"/>
    </row>
    <row r="1665" spans="1:12">
      <c r="A1665" s="20" t="s">
        <v>610</v>
      </c>
      <c r="E1665" s="21">
        <f>IF(D1665="?OLD","!!!","")</f>
        <v/>
      </c>
      <c r="F1665" s="22" t="str">
        <f>IF(OR(E1665="",E1665="!!!"),"",IF(NOT(ISNA(VLOOKUP(E1665,E$1:E1664,1,FALSE()))),"OLD",IF(AND(E1665&lt;&gt;"",E1665&lt;&gt;"!!!"),"NEW","")))</f>
        <v> </v>
      </c>
      <c r="G1665" s="23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4" t="str">
        <f>IF(J1665&lt;&gt;1,"",IF(I1665="SBJ","CB","?"))</f>
        <v> </v>
      </c>
      <c r="I1665" s="25" t="str">
        <f>IF(OR(E1665="",E1665="!!!",F1665="NEW"),"",INDEX(B1664:B$2,-1+SUMPRODUCT(MAX(ROW(E1664:E$2)*(E1665=E1664:E$2)))))</f>
        <v> </v>
      </c>
      <c r="J1665" s="25" t="str">
        <f>IF(OR(E1665="",E1665="!!!",F1665="NEW"),"",COUNTBLANK(OFFSET(A$1,,,SUMPRODUCT(MAX(ROW(E$2:E1665)*(E1665=E$2:E1665)))))-COUNTBLANK(OFFSET(A$1,,,SUMPRODUCT(MAX(ROW(E$1:E1664)*(E2=E$1:E1664))))))</f>
        <v> </v>
      </c>
      <c r="K1665" s="25" t="str">
        <f>IF(OR(E1665="",E1665="!!!",F1665="NEW"),"",INDEX(J$1:J1664,SUMPRODUCT(MAX(ROW(E$1:E1664)*(E1665=E$1:E1664)))))</f>
        <v> </v>
      </c>
      <c r="L1665" s="26"/>
    </row>
    <row r="1666" spans="1:12">
      <c r="A1666" s="20"/>
    </row>
    <row r="1667" spans="1:12">
      <c r="A1667" s="20" t="s">
        <v>1049</v>
      </c>
    </row>
    <row r="1668" spans="1:12">
      <c r="A1668" s="20" t="s">
        <v>1044</v>
      </c>
      <c r="E1668" s="21">
        <f>IF(D1668="?OLD","!!!","")</f>
        <v/>
      </c>
      <c r="F1668" s="22" t="str">
        <f>IF(OR(E1668="",E1668="!!!"),"",IF(NOT(ISNA(VLOOKUP(E1668,E$1:E1667,1,FALSE()))),"OLD",IF(AND(E1668&lt;&gt;"",E1668&lt;&gt;"!!!"),"NEW","")))</f>
        <v> </v>
      </c>
      <c r="G1668" s="23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4" t="str">
        <f>IF(J1668&lt;&gt;1,"",IF(I1668="SBJ","CB","?"))</f>
        <v> </v>
      </c>
      <c r="I1668" s="25" t="str">
        <f>IF(OR(E1668="",E1668="!!!",F1668="NEW"),"",INDEX(B1667:B$2,-1+SUMPRODUCT(MAX(ROW(E1667:E$2)*(E1668=E1667:E$2)))))</f>
        <v> </v>
      </c>
      <c r="J1668" s="25" t="str">
        <f>IF(OR(E1668="",E1668="!!!",F1668="NEW"),"",COUNTBLANK(OFFSET(A$1,,,SUMPRODUCT(MAX(ROW(E$2:E1668)*(E1668=E$2:E1668)))))-COUNTBLANK(OFFSET(A$1,,,SUMPRODUCT(MAX(ROW(E$1:E1667)*(E2=E$1:E1667))))))</f>
        <v> </v>
      </c>
      <c r="K1668" s="25" t="str">
        <f>IF(OR(E1668="",E1668="!!!",F1668="NEW"),"",INDEX(J$1:J1667,SUMPRODUCT(MAX(ROW(E$1:E1667)*(E1668=E$1:E1667)))))</f>
        <v> </v>
      </c>
      <c r="L1668" s="26"/>
    </row>
    <row r="1669" spans="1:12">
      <c r="A1669" s="20" t="s">
        <v>974</v>
      </c>
      <c r="B1669" s="27" t="s">
        <v>549</v>
      </c>
      <c r="C1669" s="27" t="s">
        <v>538</v>
      </c>
      <c r="D1669" s="27" t="s">
        <v>483</v>
      </c>
      <c r="E1669" s="21">
        <f>IF(D1669="?OLD","!!!","")</f>
        <v/>
      </c>
      <c r="F1669" s="22" t="str">
        <f>IF(OR(E1669="",E1669="!!!"),"",IF(NOT(ISNA(VLOOKUP(E1669,E$1:E1668,1,FALSE()))),"OLD",IF(AND(E1669&lt;&gt;"",E1669&lt;&gt;"!!!"),"NEW","")))</f>
        <v> </v>
      </c>
      <c r="G1669" s="23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4" t="str">
        <f>IF(J1669&lt;&gt;1,"",IF(I1669="SBJ","CB","?"))</f>
        <v> </v>
      </c>
      <c r="I1669" s="25" t="str">
        <f>IF(OR(E1669="",E1669="!!!",F1669="NEW"),"",INDEX(B1668:B$2,-1+SUMPRODUCT(MAX(ROW(E1668:E$2)*(E1669=E1668:E$2)))))</f>
        <v> </v>
      </c>
      <c r="J1669" s="25" t="str">
        <f>IF(OR(E1669="",E1669="!!!",F1669="NEW"),"",COUNTBLANK(OFFSET(A$1,,,SUMPRODUCT(MAX(ROW(E$2:E1669)*(E1669=E$2:E1669)))))-COUNTBLANK(OFFSET(A$1,,,SUMPRODUCT(MAX(ROW(E$1:E1668)*(E2=E$1:E1668))))))</f>
        <v> </v>
      </c>
      <c r="K1669" s="25" t="str">
        <f>IF(OR(E1669="",E1669="!!!",F1669="NEW"),"",INDEX(J$1:J1668,SUMPRODUCT(MAX(ROW(E$1:E1668)*(E1669=E$1:E1668)))))</f>
        <v> </v>
      </c>
      <c r="L1669" s="26"/>
    </row>
    <row r="1670" spans="1:12">
      <c r="A1670" s="20" t="s">
        <v>507</v>
      </c>
      <c r="E1670" s="21">
        <f>IF(D1670="?OLD","!!!","")</f>
        <v/>
      </c>
      <c r="F1670" s="22" t="str">
        <f>IF(OR(E1670="",E1670="!!!"),"",IF(NOT(ISNA(VLOOKUP(E1670,E$1:E1669,1,FALSE()))),"OLD",IF(AND(E1670&lt;&gt;"",E1670&lt;&gt;"!!!"),"NEW","")))</f>
        <v> </v>
      </c>
      <c r="G1670" s="23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4" t="str">
        <f>IF(J1670&lt;&gt;1,"",IF(I1670="SBJ","CB","?"))</f>
        <v> </v>
      </c>
      <c r="I1670" s="25" t="str">
        <f>IF(OR(E1670="",E1670="!!!",F1670="NEW"),"",INDEX(B1669:B$2,-1+SUMPRODUCT(MAX(ROW(E1669:E$2)*(E1670=E1669:E$2)))))</f>
        <v> </v>
      </c>
      <c r="J1670" s="25" t="str">
        <f>IF(OR(E1670="",E1670="!!!",F1670="NEW"),"",COUNTBLANK(OFFSET(A$1,,,SUMPRODUCT(MAX(ROW(E$2:E1670)*(E1670=E$2:E1670)))))-COUNTBLANK(OFFSET(A$1,,,SUMPRODUCT(MAX(ROW(E$1:E1669)*(E2=E$1:E1669))))))</f>
        <v> </v>
      </c>
      <c r="K1670" s="25" t="str">
        <f>IF(OR(E1670="",E1670="!!!",F1670="NEW"),"",INDEX(J$1:J1669,SUMPRODUCT(MAX(ROW(E$1:E1669)*(E1670=E$1:E1669)))))</f>
        <v> </v>
      </c>
      <c r="L1670" s="26"/>
    </row>
    <row r="1671" spans="1:12">
      <c r="A1671" s="20" t="s">
        <v>503</v>
      </c>
      <c r="E1671" s="21">
        <f>IF(D1671="?OLD","!!!","")</f>
        <v/>
      </c>
      <c r="F1671" s="22" t="str">
        <f>IF(OR(E1671="",E1671="!!!"),"",IF(NOT(ISNA(VLOOKUP(E1671,E$1:E1670,1,FALSE()))),"OLD",IF(AND(E1671&lt;&gt;"",E1671&lt;&gt;"!!!"),"NEW","")))</f>
        <v> </v>
      </c>
      <c r="G1671" s="23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4" t="str">
        <f>IF(J1671&lt;&gt;1,"",IF(I1671="SBJ","CB","?"))</f>
        <v> </v>
      </c>
      <c r="I1671" s="25" t="str">
        <f>IF(OR(E1671="",E1671="!!!",F1671="NEW"),"",INDEX(B1670:B$2,-1+SUMPRODUCT(MAX(ROW(E1670:E$2)*(E1671=E1670:E$2)))))</f>
        <v> </v>
      </c>
      <c r="J1671" s="25" t="str">
        <f>IF(OR(E1671="",E1671="!!!",F1671="NEW"),"",COUNTBLANK(OFFSET(A$1,,,SUMPRODUCT(MAX(ROW(E$2:E1671)*(E1671=E$2:E1671)))))-COUNTBLANK(OFFSET(A$1,,,SUMPRODUCT(MAX(ROW(E$1:E1670)*(E2=E$1:E1670))))))</f>
        <v> </v>
      </c>
      <c r="K1671" s="25" t="str">
        <f>IF(OR(E1671="",E1671="!!!",F1671="NEW"),"",INDEX(J$1:J1670,SUMPRODUCT(MAX(ROW(E$1:E1670)*(E1671=E$1:E1670)))))</f>
        <v> </v>
      </c>
      <c r="L1671" s="26"/>
    </row>
    <row r="1672" spans="1:12">
      <c r="A1672" s="20" t="s">
        <v>1050</v>
      </c>
      <c r="B1672" s="27" t="s">
        <v>490</v>
      </c>
      <c r="C1672" s="27" t="s">
        <v>487</v>
      </c>
      <c r="D1672" s="27" t="s">
        <v>483</v>
      </c>
      <c r="E1672" s="21">
        <f>IF(D1672="?OLD","!!!","")</f>
        <v/>
      </c>
      <c r="F1672" s="22" t="str">
        <f>IF(OR(E1672="",E1672="!!!"),"",IF(NOT(ISNA(VLOOKUP(E1672,E$1:E1671,1,FALSE()))),"OLD",IF(AND(E1672&lt;&gt;"",E1672&lt;&gt;"!!!"),"NEW","")))</f>
        <v> </v>
      </c>
      <c r="G1672" s="23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4" t="str">
        <f>IF(J1672&lt;&gt;1,"",IF(I1672="SBJ","CB","?"))</f>
        <v> </v>
      </c>
      <c r="I1672" s="25" t="str">
        <f>IF(OR(E1672="",E1672="!!!",F1672="NEW"),"",INDEX(B1671:B$2,-1+SUMPRODUCT(MAX(ROW(E1671:E$2)*(E1672=E1671:E$2)))))</f>
        <v> </v>
      </c>
      <c r="J1672" s="25" t="str">
        <f>IF(OR(E1672="",E1672="!!!",F1672="NEW"),"",COUNTBLANK(OFFSET(A$1,,,SUMPRODUCT(MAX(ROW(E$2:E1672)*(E1672=E$2:E1672)))))-COUNTBLANK(OFFSET(A$1,,,SUMPRODUCT(MAX(ROW(E$1:E1671)*(E2=E$1:E1671))))))</f>
        <v> </v>
      </c>
      <c r="K1672" s="25" t="str">
        <f>IF(OR(E1672="",E1672="!!!",F1672="NEW"),"",INDEX(J$1:J1671,SUMPRODUCT(MAX(ROW(E$1:E1671)*(E1672=E$1:E1671)))))</f>
        <v> </v>
      </c>
      <c r="L1672" s="26"/>
    </row>
    <row r="1673" spans="1:12">
      <c r="A1673" s="20" t="s">
        <v>405</v>
      </c>
      <c r="E1673" s="21">
        <f>IF(D1673="?OLD","!!!","")</f>
        <v/>
      </c>
      <c r="F1673" s="22" t="str">
        <f>IF(OR(E1673="",E1673="!!!"),"",IF(NOT(ISNA(VLOOKUP(E1673,E$1:E1672,1,FALSE()))),"OLD",IF(AND(E1673&lt;&gt;"",E1673&lt;&gt;"!!!"),"NEW","")))</f>
        <v> </v>
      </c>
      <c r="G1673" s="23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4" t="str">
        <f>IF(J1673&lt;&gt;1,"",IF(I1673="SBJ","CB","?"))</f>
        <v> </v>
      </c>
      <c r="I1673" s="25" t="str">
        <f>IF(OR(E1673="",E1673="!!!",F1673="NEW"),"",INDEX(B1672:B$2,-1+SUMPRODUCT(MAX(ROW(E1672:E$2)*(E1673=E1672:E$2)))))</f>
        <v> </v>
      </c>
      <c r="J1673" s="25" t="str">
        <f>IF(OR(E1673="",E1673="!!!",F1673="NEW"),"",COUNTBLANK(OFFSET(A$1,,,SUMPRODUCT(MAX(ROW(E$2:E1673)*(E1673=E$2:E1673)))))-COUNTBLANK(OFFSET(A$1,,,SUMPRODUCT(MAX(ROW(E$1:E1672)*(E2=E$1:E1672))))))</f>
        <v> </v>
      </c>
      <c r="K1673" s="25" t="str">
        <f>IF(OR(E1673="",E1673="!!!",F1673="NEW"),"",INDEX(J$1:J1672,SUMPRODUCT(MAX(ROW(E$1:E1672)*(E1673=E$1:E1672)))))</f>
        <v> </v>
      </c>
      <c r="L1673" s="26"/>
    </row>
    <row r="1674" spans="1:12">
      <c r="A1674" s="20" t="s">
        <v>697</v>
      </c>
      <c r="E1674" s="21">
        <f>IF(D1674="?OLD","!!!","")</f>
        <v/>
      </c>
      <c r="F1674" s="22" t="str">
        <f>IF(OR(E1674="",E1674="!!!"),"",IF(NOT(ISNA(VLOOKUP(E1674,E$1:E1673,1,FALSE()))),"OLD",IF(AND(E1674&lt;&gt;"",E1674&lt;&gt;"!!!"),"NEW","")))</f>
        <v> </v>
      </c>
      <c r="G1674" s="23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4" t="str">
        <f>IF(J1674&lt;&gt;1,"",IF(I1674="SBJ","CB","?"))</f>
        <v> </v>
      </c>
      <c r="I1674" s="25" t="str">
        <f>IF(OR(E1674="",E1674="!!!",F1674="NEW"),"",INDEX(B1673:B$2,-1+SUMPRODUCT(MAX(ROW(E1673:E$2)*(E1674=E1673:E$2)))))</f>
        <v> </v>
      </c>
      <c r="J1674" s="25" t="str">
        <f>IF(OR(E1674="",E1674="!!!",F1674="NEW"),"",COUNTBLANK(OFFSET(A$1,,,SUMPRODUCT(MAX(ROW(E$2:E1674)*(E1674=E$2:E1674)))))-COUNTBLANK(OFFSET(A$1,,,SUMPRODUCT(MAX(ROW(E$1:E1673)*(E2=E$1:E1673))))))</f>
        <v> </v>
      </c>
      <c r="K1674" s="25" t="str">
        <f>IF(OR(E1674="",E1674="!!!",F1674="NEW"),"",INDEX(J$1:J1673,SUMPRODUCT(MAX(ROW(E$1:E1673)*(E1674=E$1:E1673)))))</f>
        <v> </v>
      </c>
      <c r="L1674" s="26"/>
    </row>
    <row r="1675" spans="1:12">
      <c r="A1675" s="20" t="s">
        <v>503</v>
      </c>
      <c r="E1675" s="21">
        <f>IF(D1675="?OLD","!!!","")</f>
        <v/>
      </c>
      <c r="F1675" s="22" t="str">
        <f>IF(OR(E1675="",E1675="!!!"),"",IF(NOT(ISNA(VLOOKUP(E1675,E$1:E1674,1,FALSE()))),"OLD",IF(AND(E1675&lt;&gt;"",E1675&lt;&gt;"!!!"),"NEW","")))</f>
        <v> </v>
      </c>
      <c r="G1675" s="23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4" t="str">
        <f>IF(J1675&lt;&gt;1,"",IF(I1675="SBJ","CB","?"))</f>
        <v> </v>
      </c>
      <c r="I1675" s="25" t="str">
        <f>IF(OR(E1675="",E1675="!!!",F1675="NEW"),"",INDEX(B1674:B$2,-1+SUMPRODUCT(MAX(ROW(E1674:E$2)*(E1675=E1674:E$2)))))</f>
        <v> </v>
      </c>
      <c r="J1675" s="25" t="str">
        <f>IF(OR(E1675="",E1675="!!!",F1675="NEW"),"",COUNTBLANK(OFFSET(A$1,,,SUMPRODUCT(MAX(ROW(E$2:E1675)*(E1675=E$2:E1675)))))-COUNTBLANK(OFFSET(A$1,,,SUMPRODUCT(MAX(ROW(E$1:E1674)*(E2=E$1:E1674))))))</f>
        <v> </v>
      </c>
      <c r="K1675" s="25" t="str">
        <f>IF(OR(E1675="",E1675="!!!",F1675="NEW"),"",INDEX(J$1:J1674,SUMPRODUCT(MAX(ROW(E$1:E1674)*(E1675=E$1:E1674)))))</f>
        <v> </v>
      </c>
      <c r="L1675" s="26"/>
    </row>
    <row r="1676" spans="1:12">
      <c r="A1676" s="20" t="s">
        <v>584</v>
      </c>
      <c r="E1676" s="21">
        <f>IF(D1676="?OLD","!!!","")</f>
        <v/>
      </c>
      <c r="F1676" s="22" t="str">
        <f>IF(OR(E1676="",E1676="!!!"),"",IF(NOT(ISNA(VLOOKUP(E1676,E$1:E1675,1,FALSE()))),"OLD",IF(AND(E1676&lt;&gt;"",E1676&lt;&gt;"!!!"),"NEW","")))</f>
        <v> </v>
      </c>
      <c r="G1676" s="23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4" t="str">
        <f>IF(J1676&lt;&gt;1,"",IF(I1676="SBJ","CB","?"))</f>
        <v> </v>
      </c>
      <c r="I1676" s="25" t="str">
        <f>IF(OR(E1676="",E1676="!!!",F1676="NEW"),"",INDEX(B1675:B$2,-1+SUMPRODUCT(MAX(ROW(E1675:E$2)*(E1676=E1675:E$2)))))</f>
        <v> </v>
      </c>
      <c r="J1676" s="25" t="str">
        <f>IF(OR(E1676="",E1676="!!!",F1676="NEW"),"",COUNTBLANK(OFFSET(A$1,,,SUMPRODUCT(MAX(ROW(E$2:E1676)*(E1676=E$2:E1676)))))-COUNTBLANK(OFFSET(A$1,,,SUMPRODUCT(MAX(ROW(E$1:E1675)*(E2=E$1:E1675))))))</f>
        <v> </v>
      </c>
      <c r="K1676" s="25" t="str">
        <f>IF(OR(E1676="",E1676="!!!",F1676="NEW"),"",INDEX(J$1:J1675,SUMPRODUCT(MAX(ROW(E$1:E1675)*(E1676=E$1:E1675)))))</f>
        <v> </v>
      </c>
      <c r="L1676" s="26"/>
    </row>
    <row r="1677" spans="1:12">
      <c r="A1677" s="20" t="s">
        <v>503</v>
      </c>
      <c r="E1677" s="21">
        <f>IF(D1677="?OLD","!!!","")</f>
        <v/>
      </c>
      <c r="F1677" s="22" t="str">
        <f>IF(OR(E1677="",E1677="!!!"),"",IF(NOT(ISNA(VLOOKUP(E1677,E$1:E1676,1,FALSE()))),"OLD",IF(AND(E1677&lt;&gt;"",E1677&lt;&gt;"!!!"),"NEW","")))</f>
        <v> </v>
      </c>
      <c r="G1677" s="23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4" t="str">
        <f>IF(J1677&lt;&gt;1,"",IF(I1677="SBJ","CB","?"))</f>
        <v> </v>
      </c>
      <c r="I1677" s="25" t="str">
        <f>IF(OR(E1677="",E1677="!!!",F1677="NEW"),"",INDEX(B1676:B$2,-1+SUMPRODUCT(MAX(ROW(E1676:E$2)*(E1677=E1676:E$2)))))</f>
        <v> </v>
      </c>
      <c r="J1677" s="25" t="str">
        <f>IF(OR(E1677="",E1677="!!!",F1677="NEW"),"",COUNTBLANK(OFFSET(A$1,,,SUMPRODUCT(MAX(ROW(E$2:E1677)*(E1677=E$2:E1677)))))-COUNTBLANK(OFFSET(A$1,,,SUMPRODUCT(MAX(ROW(E$1:E1676)*(E2=E$1:E1676))))))</f>
        <v> </v>
      </c>
      <c r="K1677" s="25" t="str">
        <f>IF(OR(E1677="",E1677="!!!",F1677="NEW"),"",INDEX(J$1:J1676,SUMPRODUCT(MAX(ROW(E$1:E1676)*(E1677=E$1:E1676)))))</f>
        <v> </v>
      </c>
      <c r="L1677" s="26"/>
    </row>
    <row r="1678" spans="1:12">
      <c r="A1678" s="20" t="s">
        <v>1051</v>
      </c>
      <c r="E1678" s="21">
        <f>IF(D1678="?OLD","!!!","")</f>
        <v/>
      </c>
      <c r="F1678" s="22" t="str">
        <f>IF(OR(E1678="",E1678="!!!"),"",IF(NOT(ISNA(VLOOKUP(E1678,E$1:E1677,1,FALSE()))),"OLD",IF(AND(E1678&lt;&gt;"",E1678&lt;&gt;"!!!"),"NEW","")))</f>
        <v> </v>
      </c>
      <c r="G1678" s="23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4" t="str">
        <f>IF(J1678&lt;&gt;1,"",IF(I1678="SBJ","CB","?"))</f>
        <v> </v>
      </c>
      <c r="I1678" s="25" t="str">
        <f>IF(OR(E1678="",E1678="!!!",F1678="NEW"),"",INDEX(B1677:B$2,-1+SUMPRODUCT(MAX(ROW(E1677:E$2)*(E1678=E1677:E$2)))))</f>
        <v> </v>
      </c>
      <c r="J1678" s="25" t="str">
        <f>IF(OR(E1678="",E1678="!!!",F1678="NEW"),"",COUNTBLANK(OFFSET(A$1,,,SUMPRODUCT(MAX(ROW(E$2:E1678)*(E1678=E$2:E1678)))))-COUNTBLANK(OFFSET(A$1,,,SUMPRODUCT(MAX(ROW(E$1:E1677)*(E2=E$1:E1677))))))</f>
        <v> </v>
      </c>
      <c r="K1678" s="25" t="str">
        <f>IF(OR(E1678="",E1678="!!!",F1678="NEW"),"",INDEX(J$1:J1677,SUMPRODUCT(MAX(ROW(E$1:E1677)*(E1678=E$1:E1677)))))</f>
        <v> </v>
      </c>
      <c r="L1678" s="26"/>
    </row>
    <row r="1679" spans="1:12">
      <c r="A1679" s="20" t="s">
        <v>620</v>
      </c>
      <c r="E1679" s="21">
        <f>IF(D1679="?OLD","!!!","")</f>
        <v/>
      </c>
      <c r="F1679" s="22" t="str">
        <f>IF(OR(E1679="",E1679="!!!"),"",IF(NOT(ISNA(VLOOKUP(E1679,E$1:E1678,1,FALSE()))),"OLD",IF(AND(E1679&lt;&gt;"",E1679&lt;&gt;"!!!"),"NEW","")))</f>
        <v> </v>
      </c>
      <c r="G1679" s="23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4" t="str">
        <f>IF(J1679&lt;&gt;1,"",IF(I1679="SBJ","CB","?"))</f>
        <v> </v>
      </c>
      <c r="I1679" s="25" t="str">
        <f>IF(OR(E1679="",E1679="!!!",F1679="NEW"),"",INDEX(B1678:B$2,-1+SUMPRODUCT(MAX(ROW(E1678:E$2)*(E1679=E1678:E$2)))))</f>
        <v> </v>
      </c>
      <c r="J1679" s="25" t="str">
        <f>IF(OR(E1679="",E1679="!!!",F1679="NEW"),"",COUNTBLANK(OFFSET(A$1,,,SUMPRODUCT(MAX(ROW(E$2:E1679)*(E1679=E$2:E1679)))))-COUNTBLANK(OFFSET(A$1,,,SUMPRODUCT(MAX(ROW(E$1:E1678)*(E2=E$1:E1678))))))</f>
        <v> </v>
      </c>
      <c r="K1679" s="25" t="str">
        <f>IF(OR(E1679="",E1679="!!!",F1679="NEW"),"",INDEX(J$1:J1678,SUMPRODUCT(MAX(ROW(E$1:E1678)*(E1679=E$1:E1678)))))</f>
        <v> </v>
      </c>
      <c r="L1679" s="26"/>
    </row>
    <row r="1680" spans="1:12">
      <c r="A1680" s="20" t="s">
        <v>531</v>
      </c>
      <c r="E1680" s="21">
        <f>IF(D1680="?OLD","!!!","")</f>
        <v/>
      </c>
      <c r="F1680" s="22" t="str">
        <f>IF(OR(E1680="",E1680="!!!"),"",IF(NOT(ISNA(VLOOKUP(E1680,E$1:E1679,1,FALSE()))),"OLD",IF(AND(E1680&lt;&gt;"",E1680&lt;&gt;"!!!"),"NEW","")))</f>
        <v> </v>
      </c>
      <c r="G1680" s="23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4" t="str">
        <f>IF(J1680&lt;&gt;1,"",IF(I1680="SBJ","CB","?"))</f>
        <v> </v>
      </c>
      <c r="I1680" s="25" t="str">
        <f>IF(OR(E1680="",E1680="!!!",F1680="NEW"),"",INDEX(B1679:B$2,-1+SUMPRODUCT(MAX(ROW(E1679:E$2)*(E1680=E1679:E$2)))))</f>
        <v> </v>
      </c>
      <c r="J1680" s="25" t="str">
        <f>IF(OR(E1680="",E1680="!!!",F1680="NEW"),"",COUNTBLANK(OFFSET(A$1,,,SUMPRODUCT(MAX(ROW(E$2:E1680)*(E1680=E$2:E1680)))))-COUNTBLANK(OFFSET(A$1,,,SUMPRODUCT(MAX(ROW(E$1:E1679)*(E2=E$1:E1679))))))</f>
        <v> </v>
      </c>
      <c r="K1680" s="25" t="str">
        <f>IF(OR(E1680="",E1680="!!!",F1680="NEW"),"",INDEX(J$1:J1679,SUMPRODUCT(MAX(ROW(E$1:E1679)*(E1680=E$1:E1679)))))</f>
        <v> </v>
      </c>
      <c r="L1680" s="26"/>
    </row>
    <row r="1681" spans="1:12">
      <c r="A1681" s="20"/>
    </row>
    <row r="1682" spans="1:12">
      <c r="A1682" s="20" t="s">
        <v>1052</v>
      </c>
    </row>
    <row r="1683" spans="1:12">
      <c r="A1683" s="20" t="s">
        <v>617</v>
      </c>
      <c r="E1683" s="21">
        <f>IF(D1683="?OLD","!!!","")</f>
        <v/>
      </c>
      <c r="F1683" s="22" t="str">
        <f>IF(OR(E1683="",E1683="!!!"),"",IF(NOT(ISNA(VLOOKUP(E1683,E$1:E1682,1,FALSE()))),"OLD",IF(AND(E1683&lt;&gt;"",E1683&lt;&gt;"!!!"),"NEW","")))</f>
        <v> </v>
      </c>
      <c r="G1683" s="23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4" t="str">
        <f>IF(J1683&lt;&gt;1,"",IF(I1683="SBJ","CB","?"))</f>
        <v> </v>
      </c>
      <c r="I1683" s="25" t="str">
        <f>IF(OR(E1683="",E1683="!!!",F1683="NEW"),"",INDEX(B1682:B$2,-1+SUMPRODUCT(MAX(ROW(E1682:E$2)*(E1683=E1682:E$2)))))</f>
        <v> </v>
      </c>
      <c r="J1683" s="25" t="str">
        <f>IF(OR(E1683="",E1683="!!!",F1683="NEW"),"",COUNTBLANK(OFFSET(A$1,,,SUMPRODUCT(MAX(ROW(E$2:E1683)*(E1683=E$2:E1683)))))-COUNTBLANK(OFFSET(A$1,,,SUMPRODUCT(MAX(ROW(E$1:E1682)*(E2=E$1:E1682))))))</f>
        <v> </v>
      </c>
      <c r="K1683" s="25" t="str">
        <f>IF(OR(E1683="",E1683="!!!",F1683="NEW"),"",INDEX(J$1:J1682,SUMPRODUCT(MAX(ROW(E$1:E1682)*(E1683=E$1:E1682)))))</f>
        <v> </v>
      </c>
      <c r="L1683" s="26"/>
    </row>
    <row r="1684" spans="1:12">
      <c r="A1684" s="20" t="s">
        <v>132</v>
      </c>
      <c r="E1684" s="21">
        <f>IF(D1684="?OLD","!!!","")</f>
        <v/>
      </c>
      <c r="F1684" s="22" t="str">
        <f>IF(OR(E1684="",E1684="!!!"),"",IF(NOT(ISNA(VLOOKUP(E1684,E$1:E1683,1,FALSE()))),"OLD",IF(AND(E1684&lt;&gt;"",E1684&lt;&gt;"!!!"),"NEW","")))</f>
        <v> </v>
      </c>
      <c r="G1684" s="23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4" t="str">
        <f>IF(J1684&lt;&gt;1,"",IF(I1684="SBJ","CB","?"))</f>
        <v> </v>
      </c>
      <c r="I1684" s="25" t="str">
        <f>IF(OR(E1684="",E1684="!!!",F1684="NEW"),"",INDEX(B1683:B$2,-1+SUMPRODUCT(MAX(ROW(E1683:E$2)*(E1684=E1683:E$2)))))</f>
        <v> </v>
      </c>
      <c r="J1684" s="25" t="str">
        <f>IF(OR(E1684="",E1684="!!!",F1684="NEW"),"",COUNTBLANK(OFFSET(A$1,,,SUMPRODUCT(MAX(ROW(E$2:E1684)*(E1684=E$2:E1684)))))-COUNTBLANK(OFFSET(A$1,,,SUMPRODUCT(MAX(ROW(E$1:E1683)*(E2=E$1:E1683))))))</f>
        <v> </v>
      </c>
      <c r="K1684" s="25" t="str">
        <f>IF(OR(E1684="",E1684="!!!",F1684="NEW"),"",INDEX(J$1:J1683,SUMPRODUCT(MAX(ROW(E$1:E1683)*(E1684=E$1:E1683)))))</f>
        <v> </v>
      </c>
      <c r="L1684" s="26"/>
    </row>
    <row r="1685" spans="1:12">
      <c r="A1685" s="20" t="s">
        <v>585</v>
      </c>
      <c r="B1685" s="27" t="s">
        <v>542</v>
      </c>
      <c r="C1685" s="27" t="s">
        <v>482</v>
      </c>
      <c r="D1685" s="27" t="s">
        <v>483</v>
      </c>
      <c r="E1685" s="21">
        <f>IF(D1685="?OLD","!!!","")</f>
        <v/>
      </c>
      <c r="F1685" s="22" t="str">
        <f>IF(OR(E1685="",E1685="!!!"),"",IF(NOT(ISNA(VLOOKUP(E1685,E$1:E1684,1,FALSE()))),"OLD",IF(AND(E1685&lt;&gt;"",E1685&lt;&gt;"!!!"),"NEW","")))</f>
        <v> </v>
      </c>
      <c r="G1685" s="23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4" t="str">
        <f>IF(J1685&lt;&gt;1,"",IF(I1685="SBJ","CB","?"))</f>
        <v> </v>
      </c>
      <c r="I1685" s="25" t="str">
        <f>IF(OR(E1685="",E1685="!!!",F1685="NEW"),"",INDEX(B1684:B$2,-1+SUMPRODUCT(MAX(ROW(E1684:E$2)*(E1685=E1684:E$2)))))</f>
        <v> </v>
      </c>
      <c r="J1685" s="25" t="str">
        <f>IF(OR(E1685="",E1685="!!!",F1685="NEW"),"",COUNTBLANK(OFFSET(A$1,,,SUMPRODUCT(MAX(ROW(E$2:E1685)*(E1685=E$2:E1685)))))-COUNTBLANK(OFFSET(A$1,,,SUMPRODUCT(MAX(ROW(E$1:E1684)*(E2=E$1:E1684))))))</f>
        <v> </v>
      </c>
      <c r="K1685" s="25" t="str">
        <f>IF(OR(E1685="",E1685="!!!",F1685="NEW"),"",INDEX(J$1:J1684,SUMPRODUCT(MAX(ROW(E$1:E1684)*(E1685=E$1:E1684)))))</f>
        <v> </v>
      </c>
      <c r="L1685" s="26"/>
    </row>
    <row r="1686" spans="1:12">
      <c r="A1686" s="20" t="s">
        <v>72</v>
      </c>
      <c r="E1686" s="21">
        <f>IF(D1686="?OLD","!!!","")</f>
        <v/>
      </c>
      <c r="F1686" s="22" t="str">
        <f>IF(OR(E1686="",E1686="!!!"),"",IF(NOT(ISNA(VLOOKUP(E1686,E$1:E1685,1,FALSE()))),"OLD",IF(AND(E1686&lt;&gt;"",E1686&lt;&gt;"!!!"),"NEW","")))</f>
        <v> </v>
      </c>
      <c r="G1686" s="23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4" t="str">
        <f>IF(J1686&lt;&gt;1,"",IF(I1686="SBJ","CB","?"))</f>
        <v> </v>
      </c>
      <c r="I1686" s="25" t="str">
        <f>IF(OR(E1686="",E1686="!!!",F1686="NEW"),"",INDEX(B1685:B$2,-1+SUMPRODUCT(MAX(ROW(E1685:E$2)*(E1686=E1685:E$2)))))</f>
        <v> </v>
      </c>
      <c r="J1686" s="25" t="str">
        <f>IF(OR(E1686="",E1686="!!!",F1686="NEW"),"",COUNTBLANK(OFFSET(A$1,,,SUMPRODUCT(MAX(ROW(E$2:E1686)*(E1686=E$2:E1686)))))-COUNTBLANK(OFFSET(A$1,,,SUMPRODUCT(MAX(ROW(E$1:E1685)*(E2=E$1:E1685))))))</f>
        <v> </v>
      </c>
      <c r="K1686" s="25" t="str">
        <f>IF(OR(E1686="",E1686="!!!",F1686="NEW"),"",INDEX(J$1:J1685,SUMPRODUCT(MAX(ROW(E$1:E1685)*(E1686=E$1:E1685)))))</f>
        <v> </v>
      </c>
      <c r="L1686" s="26"/>
    </row>
    <row r="1687" spans="1:12">
      <c r="A1687" s="20" t="s">
        <v>384</v>
      </c>
      <c r="E1687" s="21">
        <f>IF(D1687="?OLD","!!!","")</f>
        <v/>
      </c>
      <c r="F1687" s="22" t="str">
        <f>IF(OR(E1687="",E1687="!!!"),"",IF(NOT(ISNA(VLOOKUP(E1687,E$1:E1686,1,FALSE()))),"OLD",IF(AND(E1687&lt;&gt;"",E1687&lt;&gt;"!!!"),"NEW","")))</f>
        <v> </v>
      </c>
      <c r="G1687" s="23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4" t="str">
        <f>IF(J1687&lt;&gt;1,"",IF(I1687="SBJ","CB","?"))</f>
        <v> </v>
      </c>
      <c r="I1687" s="25" t="str">
        <f>IF(OR(E1687="",E1687="!!!",F1687="NEW"),"",INDEX(B1686:B$2,-1+SUMPRODUCT(MAX(ROW(E1686:E$2)*(E1687=E1686:E$2)))))</f>
        <v> </v>
      </c>
      <c r="J1687" s="25" t="str">
        <f>IF(OR(E1687="",E1687="!!!",F1687="NEW"),"",COUNTBLANK(OFFSET(A$1,,,SUMPRODUCT(MAX(ROW(E$2:E1687)*(E1687=E$2:E1687)))))-COUNTBLANK(OFFSET(A$1,,,SUMPRODUCT(MAX(ROW(E$1:E1686)*(E2=E$1:E1686))))))</f>
        <v> </v>
      </c>
      <c r="K1687" s="25" t="str">
        <f>IF(OR(E1687="",E1687="!!!",F1687="NEW"),"",INDEX(J$1:J1686,SUMPRODUCT(MAX(ROW(E$1:E1686)*(E1687=E$1:E1686)))))</f>
        <v> </v>
      </c>
      <c r="L1687" s="26"/>
    </row>
    <row r="1688" spans="1:12">
      <c r="A1688" s="20" t="s">
        <v>662</v>
      </c>
      <c r="B1688" s="27" t="s">
        <v>540</v>
      </c>
      <c r="C1688" s="27" t="s">
        <v>491</v>
      </c>
      <c r="D1688" s="27" t="s">
        <v>483</v>
      </c>
      <c r="E1688" s="21">
        <f>IF(D1688="?OLD","!!!","")</f>
        <v/>
      </c>
      <c r="F1688" s="22" t="str">
        <f>IF(OR(E1688="",E1688="!!!"),"",IF(NOT(ISNA(VLOOKUP(E1688,E$1:E1687,1,FALSE()))),"OLD",IF(AND(E1688&lt;&gt;"",E1688&lt;&gt;"!!!"),"NEW","")))</f>
        <v> </v>
      </c>
      <c r="G1688" s="23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4" t="str">
        <f>IF(J1688&lt;&gt;1,"",IF(I1688="SBJ","CB","?"))</f>
        <v> </v>
      </c>
      <c r="I1688" s="25" t="str">
        <f>IF(OR(E1688="",E1688="!!!",F1688="NEW"),"",INDEX(B1687:B$2,-1+SUMPRODUCT(MAX(ROW(E1687:E$2)*(E1688=E1687:E$2)))))</f>
        <v> </v>
      </c>
      <c r="J1688" s="25" t="str">
        <f>IF(OR(E1688="",E1688="!!!",F1688="NEW"),"",COUNTBLANK(OFFSET(A$1,,,SUMPRODUCT(MAX(ROW(E$2:E1688)*(E1688=E$2:E1688)))))-COUNTBLANK(OFFSET(A$1,,,SUMPRODUCT(MAX(ROW(E$1:E1687)*(E2=E$1:E1687))))))</f>
        <v> </v>
      </c>
      <c r="K1688" s="25" t="str">
        <f>IF(OR(E1688="",E1688="!!!",F1688="NEW"),"",INDEX(J$1:J1687,SUMPRODUCT(MAX(ROW(E$1:E1687)*(E1688=E$1:E1687)))))</f>
        <v> </v>
      </c>
      <c r="L1688" s="26"/>
    </row>
    <row r="1689" spans="1:12">
      <c r="A1689" s="20" t="s">
        <v>531</v>
      </c>
      <c r="E1689" s="21">
        <f>IF(D1689="?OLD","!!!","")</f>
        <v/>
      </c>
      <c r="F1689" s="22" t="str">
        <f>IF(OR(E1689="",E1689="!!!"),"",IF(NOT(ISNA(VLOOKUP(E1689,E$1:E1688,1,FALSE()))),"OLD",IF(AND(E1689&lt;&gt;"",E1689&lt;&gt;"!!!"),"NEW","")))</f>
        <v> </v>
      </c>
      <c r="G1689" s="23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4" t="str">
        <f>IF(J1689&lt;&gt;1,"",IF(I1689="SBJ","CB","?"))</f>
        <v> </v>
      </c>
      <c r="I1689" s="25" t="str">
        <f>IF(OR(E1689="",E1689="!!!",F1689="NEW"),"",INDEX(B1688:B$2,-1+SUMPRODUCT(MAX(ROW(E1688:E$2)*(E1689=E1688:E$2)))))</f>
        <v> </v>
      </c>
      <c r="J1689" s="25" t="str">
        <f>IF(OR(E1689="",E1689="!!!",F1689="NEW"),"",COUNTBLANK(OFFSET(A$1,,,SUMPRODUCT(MAX(ROW(E$2:E1689)*(E1689=E$2:E1689)))))-COUNTBLANK(OFFSET(A$1,,,SUMPRODUCT(MAX(ROW(E$1:E1688)*(E2=E$1:E1688))))))</f>
        <v> </v>
      </c>
      <c r="K1689" s="25" t="str">
        <f>IF(OR(E1689="",E1689="!!!",F1689="NEW"),"",INDEX(J$1:J1688,SUMPRODUCT(MAX(ROW(E$1:E1688)*(E1689=E$1:E1688)))))</f>
        <v> </v>
      </c>
      <c r="L1689" s="26"/>
    </row>
    <row r="1690" spans="1:12">
      <c r="A1690" s="20"/>
    </row>
    <row r="1691" spans="1:12">
      <c r="A1691" s="20" t="s">
        <v>1053</v>
      </c>
    </row>
    <row r="1692" spans="1:12">
      <c r="A1692" s="20" t="s">
        <v>942</v>
      </c>
      <c r="B1692" s="27" t="s">
        <v>549</v>
      </c>
      <c r="C1692" s="27" t="s">
        <v>491</v>
      </c>
      <c r="D1692" s="27" t="s">
        <v>483</v>
      </c>
      <c r="E1692" s="21">
        <f>IF(D1692="?OLD","!!!","")</f>
        <v/>
      </c>
      <c r="F1692" s="22" t="str">
        <f>IF(OR(E1692="",E1692="!!!"),"",IF(NOT(ISNA(VLOOKUP(E1692,E$1:E1691,1,FALSE()))),"OLD",IF(AND(E1692&lt;&gt;"",E1692&lt;&gt;"!!!"),"NEW","")))</f>
        <v> </v>
      </c>
      <c r="G1692" s="23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4" t="str">
        <f>IF(J1692&lt;&gt;1,"",IF(I1692="SBJ","CB","?"))</f>
        <v> </v>
      </c>
      <c r="I1692" s="25" t="str">
        <f>IF(OR(E1692="",E1692="!!!",F1692="NEW"),"",INDEX(B1691:B$2,-1+SUMPRODUCT(MAX(ROW(E1691:E$2)*(E1692=E1691:E$2)))))</f>
        <v> </v>
      </c>
      <c r="J1692" s="25" t="str">
        <f>IF(OR(E1692="",E1692="!!!",F1692="NEW"),"",COUNTBLANK(OFFSET(A$1,,,SUMPRODUCT(MAX(ROW(E$2:E1692)*(E1692=E$2:E1692)))))-COUNTBLANK(OFFSET(A$1,,,SUMPRODUCT(MAX(ROW(E$1:E1691)*(E2=E$1:E1691))))))</f>
        <v> </v>
      </c>
      <c r="K1692" s="25" t="str">
        <f>IF(OR(E1692="",E1692="!!!",F1692="NEW"),"",INDEX(J$1:J1691,SUMPRODUCT(MAX(ROW(E$1:E1691)*(E1692=E$1:E1691)))))</f>
        <v> </v>
      </c>
      <c r="L1692" s="26"/>
    </row>
    <row r="1693" spans="1:12">
      <c r="A1693" s="20" t="s">
        <v>558</v>
      </c>
      <c r="E1693" s="21">
        <f>IF(D1693="?OLD","!!!","")</f>
        <v/>
      </c>
      <c r="F1693" s="22" t="str">
        <f>IF(OR(E1693="",E1693="!!!"),"",IF(NOT(ISNA(VLOOKUP(E1693,E$1:E1692,1,FALSE()))),"OLD",IF(AND(E1693&lt;&gt;"",E1693&lt;&gt;"!!!"),"NEW","")))</f>
        <v> </v>
      </c>
      <c r="G1693" s="23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4" t="str">
        <f>IF(J1693&lt;&gt;1,"",IF(I1693="SBJ","CB","?"))</f>
        <v> </v>
      </c>
      <c r="I1693" s="25" t="str">
        <f>IF(OR(E1693="",E1693="!!!",F1693="NEW"),"",INDEX(B1692:B$2,-1+SUMPRODUCT(MAX(ROW(E1692:E$2)*(E1693=E1692:E$2)))))</f>
        <v> </v>
      </c>
      <c r="J1693" s="25" t="str">
        <f>IF(OR(E1693="",E1693="!!!",F1693="NEW"),"",COUNTBLANK(OFFSET(A$1,,,SUMPRODUCT(MAX(ROW(E$2:E1693)*(E1693=E$2:E1693)))))-COUNTBLANK(OFFSET(A$1,,,SUMPRODUCT(MAX(ROW(E$1:E1692)*(E2=E$1:E1692))))))</f>
        <v> </v>
      </c>
      <c r="K1693" s="25" t="str">
        <f>IF(OR(E1693="",E1693="!!!",F1693="NEW"),"",INDEX(J$1:J1692,SUMPRODUCT(MAX(ROW(E$1:E1692)*(E1693=E$1:E1692)))))</f>
        <v> </v>
      </c>
      <c r="L1693" s="26"/>
    </row>
    <row r="1694" spans="1:12">
      <c r="A1694" s="20" t="s">
        <v>568</v>
      </c>
      <c r="E1694" s="21">
        <f>IF(D1694="?OLD","!!!","")</f>
        <v/>
      </c>
      <c r="F1694" s="22" t="str">
        <f>IF(OR(E1694="",E1694="!!!"),"",IF(NOT(ISNA(VLOOKUP(E1694,E$1:E1693,1,FALSE()))),"OLD",IF(AND(E1694&lt;&gt;"",E1694&lt;&gt;"!!!"),"NEW","")))</f>
        <v> </v>
      </c>
      <c r="G1694" s="23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4" t="str">
        <f>IF(J1694&lt;&gt;1,"",IF(I1694="SBJ","CB","?"))</f>
        <v> </v>
      </c>
      <c r="I1694" s="25" t="str">
        <f>IF(OR(E1694="",E1694="!!!",F1694="NEW"),"",INDEX(B1693:B$2,-1+SUMPRODUCT(MAX(ROW(E1693:E$2)*(E1694=E1693:E$2)))))</f>
        <v> </v>
      </c>
      <c r="J1694" s="25" t="str">
        <f>IF(OR(E1694="",E1694="!!!",F1694="NEW"),"",COUNTBLANK(OFFSET(A$1,,,SUMPRODUCT(MAX(ROW(E$2:E1694)*(E1694=E$2:E1694)))))-COUNTBLANK(OFFSET(A$1,,,SUMPRODUCT(MAX(ROW(E$1:E1693)*(E2=E$1:E1693))))))</f>
        <v> </v>
      </c>
      <c r="K1694" s="25" t="str">
        <f>IF(OR(E1694="",E1694="!!!",F1694="NEW"),"",INDEX(J$1:J1693,SUMPRODUCT(MAX(ROW(E$1:E1693)*(E1694=E$1:E1693)))))</f>
        <v> </v>
      </c>
      <c r="L1694" s="26"/>
    </row>
    <row r="1695" spans="1:12">
      <c r="A1695" s="20" t="s">
        <v>503</v>
      </c>
      <c r="E1695" s="21">
        <f>IF(D1695="?OLD","!!!","")</f>
        <v/>
      </c>
      <c r="F1695" s="22" t="str">
        <f>IF(OR(E1695="",E1695="!!!"),"",IF(NOT(ISNA(VLOOKUP(E1695,E$1:E1694,1,FALSE()))),"OLD",IF(AND(E1695&lt;&gt;"",E1695&lt;&gt;"!!!"),"NEW","")))</f>
        <v> </v>
      </c>
      <c r="G1695" s="23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4" t="str">
        <f>IF(J1695&lt;&gt;1,"",IF(I1695="SBJ","CB","?"))</f>
        <v> </v>
      </c>
      <c r="I1695" s="25" t="str">
        <f>IF(OR(E1695="",E1695="!!!",F1695="NEW"),"",INDEX(B1694:B$2,-1+SUMPRODUCT(MAX(ROW(E1694:E$2)*(E1695=E1694:E$2)))))</f>
        <v> </v>
      </c>
      <c r="J1695" s="25" t="str">
        <f>IF(OR(E1695="",E1695="!!!",F1695="NEW"),"",COUNTBLANK(OFFSET(A$1,,,SUMPRODUCT(MAX(ROW(E$2:E1695)*(E1695=E$2:E1695)))))-COUNTBLANK(OFFSET(A$1,,,SUMPRODUCT(MAX(ROW(E$1:E1694)*(E2=E$1:E1694))))))</f>
        <v> </v>
      </c>
      <c r="K1695" s="25" t="str">
        <f>IF(OR(E1695="",E1695="!!!",F1695="NEW"),"",INDEX(J$1:J1694,SUMPRODUCT(MAX(ROW(E$1:E1694)*(E1695=E$1:E1694)))))</f>
        <v> </v>
      </c>
      <c r="L1695" s="26"/>
    </row>
    <row r="1696" spans="1:12">
      <c r="A1696" s="20" t="s">
        <v>634</v>
      </c>
      <c r="B1696" s="27" t="s">
        <v>490</v>
      </c>
      <c r="C1696" s="27" t="s">
        <v>635</v>
      </c>
      <c r="D1696" s="27" t="s">
        <v>483</v>
      </c>
      <c r="E1696" s="21">
        <f>IF(D1696="?OLD","!!!","")</f>
        <v/>
      </c>
      <c r="F1696" s="22" t="str">
        <f>IF(OR(E1696="",E1696="!!!"),"",IF(NOT(ISNA(VLOOKUP(E1696,E$1:E1695,1,FALSE()))),"OLD",IF(AND(E1696&lt;&gt;"",E1696&lt;&gt;"!!!"),"NEW","")))</f>
        <v> </v>
      </c>
      <c r="G1696" s="23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4" t="str">
        <f>IF(J1696&lt;&gt;1,"",IF(I1696="SBJ","CB","?"))</f>
        <v> </v>
      </c>
      <c r="I1696" s="25" t="str">
        <f>IF(OR(E1696="",E1696="!!!",F1696="NEW"),"",INDEX(B1695:B$2,-1+SUMPRODUCT(MAX(ROW(E1695:E$2)*(E1696=E1695:E$2)))))</f>
        <v> </v>
      </c>
      <c r="J1696" s="25" t="str">
        <f>IF(OR(E1696="",E1696="!!!",F1696="NEW"),"",COUNTBLANK(OFFSET(A$1,,,SUMPRODUCT(MAX(ROW(E$2:E1696)*(E1696=E$2:E1696)))))-COUNTBLANK(OFFSET(A$1,,,SUMPRODUCT(MAX(ROW(E$1:E1695)*(E2=E$1:E1695))))))</f>
        <v> </v>
      </c>
      <c r="K1696" s="25" t="str">
        <f>IF(OR(E1696="",E1696="!!!",F1696="NEW"),"",INDEX(J$1:J1695,SUMPRODUCT(MAX(ROW(E$1:E1695)*(E1696=E$1:E1695)))))</f>
        <v> </v>
      </c>
      <c r="L1696" s="26"/>
    </row>
    <row r="1697" spans="1:12">
      <c r="A1697" s="20" t="s">
        <v>955</v>
      </c>
      <c r="B1697" s="27" t="s">
        <v>481</v>
      </c>
      <c r="C1697" s="27" t="s">
        <v>487</v>
      </c>
      <c r="D1697" s="27" t="s">
        <v>483</v>
      </c>
      <c r="E1697" s="21">
        <f>IF(D1697="?OLD","!!!","")</f>
        <v/>
      </c>
      <c r="F1697" s="22" t="str">
        <f>IF(OR(E1697="",E1697="!!!"),"",IF(NOT(ISNA(VLOOKUP(E1697,E$1:E1696,1,FALSE()))),"OLD",IF(AND(E1697&lt;&gt;"",E1697&lt;&gt;"!!!"),"NEW","")))</f>
        <v> </v>
      </c>
      <c r="G1697" s="23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4" t="str">
        <f>IF(J1697&lt;&gt;1,"",IF(I1697="SBJ","CB","?"))</f>
        <v> </v>
      </c>
      <c r="I1697" s="25" t="str">
        <f>IF(OR(E1697="",E1697="!!!",F1697="NEW"),"",INDEX(B1696:B$2,-1+SUMPRODUCT(MAX(ROW(E1696:E$2)*(E1697=E1696:E$2)))))</f>
        <v> </v>
      </c>
      <c r="J1697" s="25" t="str">
        <f>IF(OR(E1697="",E1697="!!!",F1697="NEW"),"",COUNTBLANK(OFFSET(A$1,,,SUMPRODUCT(MAX(ROW(E$2:E1697)*(E1697=E$2:E1697)))))-COUNTBLANK(OFFSET(A$1,,,SUMPRODUCT(MAX(ROW(E$1:E1696)*(E2=E$1:E1696))))))</f>
        <v> </v>
      </c>
      <c r="K1697" s="25" t="str">
        <f>IF(OR(E1697="",E1697="!!!",F1697="NEW"),"",INDEX(J$1:J1696,SUMPRODUCT(MAX(ROW(E$1:E1696)*(E1697=E$1:E1696)))))</f>
        <v> </v>
      </c>
      <c r="L1697" s="26"/>
    </row>
    <row r="1698" spans="1:12">
      <c r="A1698" s="20" t="s">
        <v>531</v>
      </c>
      <c r="E1698" s="21">
        <f>IF(D1698="?OLD","!!!","")</f>
        <v/>
      </c>
      <c r="F1698" s="22" t="str">
        <f>IF(OR(E1698="",E1698="!!!"),"",IF(NOT(ISNA(VLOOKUP(E1698,E$1:E1697,1,FALSE()))),"OLD",IF(AND(E1698&lt;&gt;"",E1698&lt;&gt;"!!!"),"NEW","")))</f>
        <v> </v>
      </c>
      <c r="G1698" s="23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4" t="str">
        <f>IF(J1698&lt;&gt;1,"",IF(I1698="SBJ","CB","?"))</f>
        <v> </v>
      </c>
      <c r="I1698" s="25" t="str">
        <f>IF(OR(E1698="",E1698="!!!",F1698="NEW"),"",INDEX(B1697:B$2,-1+SUMPRODUCT(MAX(ROW(E1697:E$2)*(E1698=E1697:E$2)))))</f>
        <v> </v>
      </c>
      <c r="J1698" s="25" t="str">
        <f>IF(OR(E1698="",E1698="!!!",F1698="NEW"),"",COUNTBLANK(OFFSET(A$1,,,SUMPRODUCT(MAX(ROW(E$2:E1698)*(E1698=E$2:E1698)))))-COUNTBLANK(OFFSET(A$1,,,SUMPRODUCT(MAX(ROW(E$1:E1697)*(E2=E$1:E1697))))))</f>
        <v> </v>
      </c>
      <c r="K1698" s="25" t="str">
        <f>IF(OR(E1698="",E1698="!!!",F1698="NEW"),"",INDEX(J$1:J1697,SUMPRODUCT(MAX(ROW(E$1:E1697)*(E1698=E$1:E1697)))))</f>
        <v> </v>
      </c>
      <c r="L1698" s="26"/>
    </row>
    <row r="1699" spans="1:12">
      <c r="A1699" s="20"/>
    </row>
    <row r="1700" spans="1:12">
      <c r="A1700" s="20" t="s">
        <v>1054</v>
      </c>
    </row>
    <row r="1701" spans="1:12">
      <c r="A1701" s="20" t="s">
        <v>813</v>
      </c>
      <c r="E1701" s="21">
        <f>IF(D1701="?OLD","!!!","")</f>
        <v/>
      </c>
      <c r="F1701" s="22" t="str">
        <f>IF(OR(E1701="",E1701="!!!"),"",IF(NOT(ISNA(VLOOKUP(E1701,E$1:E1700,1,FALSE()))),"OLD",IF(AND(E1701&lt;&gt;"",E1701&lt;&gt;"!!!"),"NEW","")))</f>
        <v> </v>
      </c>
      <c r="G1701" s="23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4" t="str">
        <f>IF(J1701&lt;&gt;1,"",IF(I1701="SBJ","CB","?"))</f>
        <v> </v>
      </c>
      <c r="I1701" s="25" t="str">
        <f>IF(OR(E1701="",E1701="!!!",F1701="NEW"),"",INDEX(B1700:B$2,-1+SUMPRODUCT(MAX(ROW(E1700:E$2)*(E1701=E1700:E$2)))))</f>
        <v> </v>
      </c>
      <c r="J1701" s="25" t="str">
        <f>IF(OR(E1701="",E1701="!!!",F1701="NEW"),"",COUNTBLANK(OFFSET(A$1,,,SUMPRODUCT(MAX(ROW(E$2:E1701)*(E1701=E$2:E1701)))))-COUNTBLANK(OFFSET(A$1,,,SUMPRODUCT(MAX(ROW(E$1:E1700)*(E2=E$1:E1700))))))</f>
        <v> </v>
      </c>
      <c r="K1701" s="25" t="str">
        <f>IF(OR(E1701="",E1701="!!!",F1701="NEW"),"",INDEX(J$1:J1700,SUMPRODUCT(MAX(ROW(E$1:E1700)*(E1701=E$1:E1700)))))</f>
        <v> </v>
      </c>
      <c r="L1701" s="26"/>
    </row>
    <row r="1702" spans="1:12">
      <c r="A1702" s="20" t="s">
        <v>558</v>
      </c>
      <c r="E1702" s="21">
        <f>IF(D1702="?OLD","!!!","")</f>
        <v/>
      </c>
      <c r="F1702" s="22" t="str">
        <f>IF(OR(E1702="",E1702="!!!"),"",IF(NOT(ISNA(VLOOKUP(E1702,E$1:E1701,1,FALSE()))),"OLD",IF(AND(E1702&lt;&gt;"",E1702&lt;&gt;"!!!"),"NEW","")))</f>
        <v> </v>
      </c>
      <c r="G1702" s="23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4" t="str">
        <f>IF(J1702&lt;&gt;1,"",IF(I1702="SBJ","CB","?"))</f>
        <v> </v>
      </c>
      <c r="I1702" s="25" t="str">
        <f>IF(OR(E1702="",E1702="!!!",F1702="NEW"),"",INDEX(B1701:B$2,-1+SUMPRODUCT(MAX(ROW(E1701:E$2)*(E1702=E1701:E$2)))))</f>
        <v> </v>
      </c>
      <c r="J1702" s="25" t="str">
        <f>IF(OR(E1702="",E1702="!!!",F1702="NEW"),"",COUNTBLANK(OFFSET(A$1,,,SUMPRODUCT(MAX(ROW(E$2:E1702)*(E1702=E$2:E1702)))))-COUNTBLANK(OFFSET(A$1,,,SUMPRODUCT(MAX(ROW(E$1:E1701)*(E2=E$1:E1701))))))</f>
        <v> </v>
      </c>
      <c r="K1702" s="25" t="str">
        <f>IF(OR(E1702="",E1702="!!!",F1702="NEW"),"",INDEX(J$1:J1701,SUMPRODUCT(MAX(ROW(E$1:E1701)*(E1702=E$1:E1701)))))</f>
        <v> </v>
      </c>
      <c r="L1702" s="26"/>
    </row>
    <row r="1703" spans="1:12">
      <c r="A1703" s="20" t="s">
        <v>919</v>
      </c>
      <c r="E1703" s="21">
        <f>IF(D1703="?OLD","!!!","")</f>
        <v/>
      </c>
      <c r="F1703" s="22" t="str">
        <f>IF(OR(E1703="",E1703="!!!"),"",IF(NOT(ISNA(VLOOKUP(E1703,E$1:E1702,1,FALSE()))),"OLD",IF(AND(E1703&lt;&gt;"",E1703&lt;&gt;"!!!"),"NEW","")))</f>
        <v> </v>
      </c>
      <c r="G1703" s="23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4" t="str">
        <f>IF(J1703&lt;&gt;1,"",IF(I1703="SBJ","CB","?"))</f>
        <v> </v>
      </c>
      <c r="I1703" s="25" t="str">
        <f>IF(OR(E1703="",E1703="!!!",F1703="NEW"),"",INDEX(B1702:B$2,-1+SUMPRODUCT(MAX(ROW(E1702:E$2)*(E1703=E1702:E$2)))))</f>
        <v> </v>
      </c>
      <c r="J1703" s="25" t="str">
        <f>IF(OR(E1703="",E1703="!!!",F1703="NEW"),"",COUNTBLANK(OFFSET(A$1,,,SUMPRODUCT(MAX(ROW(E$2:E1703)*(E1703=E$2:E1703)))))-COUNTBLANK(OFFSET(A$1,,,SUMPRODUCT(MAX(ROW(E$1:E1702)*(E2=E$1:E1702))))))</f>
        <v> </v>
      </c>
      <c r="K1703" s="25" t="str">
        <f>IF(OR(E1703="",E1703="!!!",F1703="NEW"),"",INDEX(J$1:J1702,SUMPRODUCT(MAX(ROW(E$1:E1702)*(E1703=E$1:E1702)))))</f>
        <v> </v>
      </c>
      <c r="L1703" s="26"/>
    </row>
    <row r="1704" spans="1:12">
      <c r="A1704" s="20" t="s">
        <v>486</v>
      </c>
      <c r="B1704" s="27" t="s">
        <v>477</v>
      </c>
      <c r="C1704" s="27" t="s">
        <v>538</v>
      </c>
      <c r="D1704" s="27" t="s">
        <v>483</v>
      </c>
      <c r="E1704" s="21">
        <f>IF(D1704="?OLD","!!!","")</f>
        <v/>
      </c>
      <c r="F1704" s="22" t="str">
        <f>IF(OR(E1704="",E1704="!!!"),"",IF(NOT(ISNA(VLOOKUP(E1704,E$1:E1703,1,FALSE()))),"OLD",IF(AND(E1704&lt;&gt;"",E1704&lt;&gt;"!!!"),"NEW","")))</f>
        <v> </v>
      </c>
      <c r="G1704" s="23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4" t="str">
        <f>IF(J1704&lt;&gt;1,"",IF(I1704="SBJ","CB","?"))</f>
        <v> </v>
      </c>
      <c r="I1704" s="25" t="str">
        <f>IF(OR(E1704="",E1704="!!!",F1704="NEW"),"",INDEX(B1703:B$2,-1+SUMPRODUCT(MAX(ROW(E1703:E$2)*(E1704=E1703:E$2)))))</f>
        <v> </v>
      </c>
      <c r="J1704" s="25" t="str">
        <f>IF(OR(E1704="",E1704="!!!",F1704="NEW"),"",COUNTBLANK(OFFSET(A$1,,,SUMPRODUCT(MAX(ROW(E$2:E1704)*(E1704=E$2:E1704)))))-COUNTBLANK(OFFSET(A$1,,,SUMPRODUCT(MAX(ROW(E$1:E1703)*(E2=E$1:E1703))))))</f>
        <v> </v>
      </c>
      <c r="K1704" s="25" t="str">
        <f>IF(OR(E1704="",E1704="!!!",F1704="NEW"),"",INDEX(J$1:J1703,SUMPRODUCT(MAX(ROW(E$1:E1703)*(E1704=E$1:E1703)))))</f>
        <v> </v>
      </c>
      <c r="L1704" s="26"/>
    </row>
    <row r="1705" spans="1:12">
      <c r="A1705" s="20" t="s">
        <v>952</v>
      </c>
      <c r="E1705" s="21">
        <f>IF(D1705="?OLD","!!!","")</f>
        <v/>
      </c>
      <c r="F1705" s="22" t="str">
        <f>IF(OR(E1705="",E1705="!!!"),"",IF(NOT(ISNA(VLOOKUP(E1705,E$1:E1704,1,FALSE()))),"OLD",IF(AND(E1705&lt;&gt;"",E1705&lt;&gt;"!!!"),"NEW","")))</f>
        <v> </v>
      </c>
      <c r="G1705" s="23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4" t="str">
        <f>IF(J1705&lt;&gt;1,"",IF(I1705="SBJ","CB","?"))</f>
        <v> </v>
      </c>
      <c r="I1705" s="25" t="str">
        <f>IF(OR(E1705="",E1705="!!!",F1705="NEW"),"",INDEX(B1704:B$2,-1+SUMPRODUCT(MAX(ROW(E1704:E$2)*(E1705=E1704:E$2)))))</f>
        <v> </v>
      </c>
      <c r="J1705" s="25" t="str">
        <f>IF(OR(E1705="",E1705="!!!",F1705="NEW"),"",COUNTBLANK(OFFSET(A$1,,,SUMPRODUCT(MAX(ROW(E$2:E1705)*(E1705=E$2:E1705)))))-COUNTBLANK(OFFSET(A$1,,,SUMPRODUCT(MAX(ROW(E$1:E1704)*(E2=E$1:E1704))))))</f>
        <v> </v>
      </c>
      <c r="K1705" s="25" t="str">
        <f>IF(OR(E1705="",E1705="!!!",F1705="NEW"),"",INDEX(J$1:J1704,SUMPRODUCT(MAX(ROW(E$1:E1704)*(E1705=E$1:E1704)))))</f>
        <v> </v>
      </c>
      <c r="L1705" s="26"/>
    </row>
    <row r="1706" spans="1:12">
      <c r="A1706" s="20" t="s">
        <v>528</v>
      </c>
      <c r="E1706" s="21">
        <f>IF(D1706="?OLD","!!!","")</f>
        <v/>
      </c>
      <c r="F1706" s="22" t="str">
        <f>IF(OR(E1706="",E1706="!!!"),"",IF(NOT(ISNA(VLOOKUP(E1706,E$1:E1705,1,FALSE()))),"OLD",IF(AND(E1706&lt;&gt;"",E1706&lt;&gt;"!!!"),"NEW","")))</f>
        <v> </v>
      </c>
      <c r="G1706" s="23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4" t="str">
        <f>IF(J1706&lt;&gt;1,"",IF(I1706="SBJ","CB","?"))</f>
        <v> </v>
      </c>
      <c r="I1706" s="25" t="str">
        <f>IF(OR(E1706="",E1706="!!!",F1706="NEW"),"",INDEX(B1705:B$2,-1+SUMPRODUCT(MAX(ROW(E1705:E$2)*(E1706=E1705:E$2)))))</f>
        <v> </v>
      </c>
      <c r="J1706" s="25" t="str">
        <f>IF(OR(E1706="",E1706="!!!",F1706="NEW"),"",COUNTBLANK(OFFSET(A$1,,,SUMPRODUCT(MAX(ROW(E$2:E1706)*(E1706=E$2:E1706)))))-COUNTBLANK(OFFSET(A$1,,,SUMPRODUCT(MAX(ROW(E$1:E1705)*(E2=E$1:E1705))))))</f>
        <v> </v>
      </c>
      <c r="K1706" s="25" t="str">
        <f>IF(OR(E1706="",E1706="!!!",F1706="NEW"),"",INDEX(J$1:J1705,SUMPRODUCT(MAX(ROW(E$1:E1705)*(E1706=E$1:E1705)))))</f>
        <v> </v>
      </c>
      <c r="L1706" s="26"/>
    </row>
    <row r="1707" spans="1:12">
      <c r="A1707" s="20" t="s">
        <v>957</v>
      </c>
      <c r="B1707" s="27" t="s">
        <v>477</v>
      </c>
      <c r="C1707" s="27" t="s">
        <v>612</v>
      </c>
      <c r="D1707" s="27" t="s">
        <v>483</v>
      </c>
      <c r="E1707" s="21">
        <f>IF(D1707="?OLD","!!!","")</f>
        <v/>
      </c>
      <c r="F1707" s="22" t="str">
        <f>IF(OR(E1707="",E1707="!!!"),"",IF(NOT(ISNA(VLOOKUP(E1707,E$1:E1706,1,FALSE()))),"OLD",IF(AND(E1707&lt;&gt;"",E1707&lt;&gt;"!!!"),"NEW","")))</f>
        <v> </v>
      </c>
      <c r="G1707" s="23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4" t="str">
        <f>IF(J1707&lt;&gt;1,"",IF(I1707="SBJ","CB","?"))</f>
        <v> </v>
      </c>
      <c r="I1707" s="25" t="str">
        <f>IF(OR(E1707="",E1707="!!!",F1707="NEW"),"",INDEX(B1706:B$2,-1+SUMPRODUCT(MAX(ROW(E1706:E$2)*(E1707=E1706:E$2)))))</f>
        <v> </v>
      </c>
      <c r="J1707" s="25" t="str">
        <f>IF(OR(E1707="",E1707="!!!",F1707="NEW"),"",COUNTBLANK(OFFSET(A$1,,,SUMPRODUCT(MAX(ROW(E$2:E1707)*(E1707=E$2:E1707)))))-COUNTBLANK(OFFSET(A$1,,,SUMPRODUCT(MAX(ROW(E$1:E1706)*(E2=E$1:E1706))))))</f>
        <v> </v>
      </c>
      <c r="K1707" s="25" t="str">
        <f>IF(OR(E1707="",E1707="!!!",F1707="NEW"),"",INDEX(J$1:J1706,SUMPRODUCT(MAX(ROW(E$1:E1706)*(E1707=E$1:E1706)))))</f>
        <v> </v>
      </c>
      <c r="L1707" s="26"/>
    </row>
    <row r="1708" spans="1:12">
      <c r="A1708" s="20" t="s">
        <v>531</v>
      </c>
      <c r="E1708" s="21">
        <f>IF(D1708="?OLD","!!!","")</f>
        <v/>
      </c>
      <c r="F1708" s="22" t="str">
        <f>IF(OR(E1708="",E1708="!!!"),"",IF(NOT(ISNA(VLOOKUP(E1708,E$1:E1707,1,FALSE()))),"OLD",IF(AND(E1708&lt;&gt;"",E1708&lt;&gt;"!!!"),"NEW","")))</f>
        <v> </v>
      </c>
      <c r="G1708" s="23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4" t="str">
        <f>IF(J1708&lt;&gt;1,"",IF(I1708="SBJ","CB","?"))</f>
        <v> </v>
      </c>
      <c r="I1708" s="25" t="str">
        <f>IF(OR(E1708="",E1708="!!!",F1708="NEW"),"",INDEX(B1707:B$2,-1+SUMPRODUCT(MAX(ROW(E1707:E$2)*(E1708=E1707:E$2)))))</f>
        <v> </v>
      </c>
      <c r="J1708" s="25" t="str">
        <f>IF(OR(E1708="",E1708="!!!",F1708="NEW"),"",COUNTBLANK(OFFSET(A$1,,,SUMPRODUCT(MAX(ROW(E$2:E1708)*(E1708=E$2:E1708)))))-COUNTBLANK(OFFSET(A$1,,,SUMPRODUCT(MAX(ROW(E$1:E1707)*(E2=E$1:E1707))))))</f>
        <v> </v>
      </c>
      <c r="K1708" s="25" t="str">
        <f>IF(OR(E1708="",E1708="!!!",F1708="NEW"),"",INDEX(J$1:J1707,SUMPRODUCT(MAX(ROW(E$1:E1707)*(E1708=E$1:E1707)))))</f>
        <v> </v>
      </c>
      <c r="L1708" s="26"/>
    </row>
    <row r="1709" spans="1:12">
      <c r="A1709" s="20"/>
    </row>
    <row r="1710" spans="1:12">
      <c r="A1710" s="20" t="s">
        <v>1055</v>
      </c>
    </row>
    <row r="1711" spans="1:12">
      <c r="A1711" s="20" t="s">
        <v>942</v>
      </c>
      <c r="B1711" s="27" t="s">
        <v>549</v>
      </c>
      <c r="C1711" s="27" t="s">
        <v>491</v>
      </c>
      <c r="D1711" s="27" t="s">
        <v>483</v>
      </c>
      <c r="E1711" s="21">
        <f>IF(D1711="?OLD","!!!","")</f>
        <v/>
      </c>
      <c r="F1711" s="22" t="str">
        <f>IF(OR(E1711="",E1711="!!!"),"",IF(NOT(ISNA(VLOOKUP(E1711,E$1:E1710,1,FALSE()))),"OLD",IF(AND(E1711&lt;&gt;"",E1711&lt;&gt;"!!!"),"NEW","")))</f>
        <v> </v>
      </c>
      <c r="G1711" s="23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4" t="str">
        <f>IF(J1711&lt;&gt;1,"",IF(I1711="SBJ","CB","?"))</f>
        <v> </v>
      </c>
      <c r="I1711" s="25" t="str">
        <f>IF(OR(E1711="",E1711="!!!",F1711="NEW"),"",INDEX(B1710:B$2,-1+SUMPRODUCT(MAX(ROW(E1710:E$2)*(E1711=E1710:E$2)))))</f>
        <v> </v>
      </c>
      <c r="J1711" s="25" t="str">
        <f>IF(OR(E1711="",E1711="!!!",F1711="NEW"),"",COUNTBLANK(OFFSET(A$1,,,SUMPRODUCT(MAX(ROW(E$2:E1711)*(E1711=E$2:E1711)))))-COUNTBLANK(OFFSET(A$1,,,SUMPRODUCT(MAX(ROW(E$1:E1710)*(E2=E$1:E1710))))))</f>
        <v> </v>
      </c>
      <c r="K1711" s="25" t="str">
        <f>IF(OR(E1711="",E1711="!!!",F1711="NEW"),"",INDEX(J$1:J1710,SUMPRODUCT(MAX(ROW(E$1:E1710)*(E1711=E$1:E1710)))))</f>
        <v> </v>
      </c>
      <c r="L1711" s="26"/>
    </row>
    <row r="1712" spans="1:12">
      <c r="A1712" s="20" t="s">
        <v>558</v>
      </c>
      <c r="E1712" s="21">
        <f>IF(D1712="?OLD","!!!","")</f>
        <v/>
      </c>
      <c r="F1712" s="22" t="str">
        <f>IF(OR(E1712="",E1712="!!!"),"",IF(NOT(ISNA(VLOOKUP(E1712,E$1:E1711,1,FALSE()))),"OLD",IF(AND(E1712&lt;&gt;"",E1712&lt;&gt;"!!!"),"NEW","")))</f>
        <v> </v>
      </c>
      <c r="G1712" s="23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4" t="str">
        <f>IF(J1712&lt;&gt;1,"",IF(I1712="SBJ","CB","?"))</f>
        <v> </v>
      </c>
      <c r="I1712" s="25" t="str">
        <f>IF(OR(E1712="",E1712="!!!",F1712="NEW"),"",INDEX(B1711:B$2,-1+SUMPRODUCT(MAX(ROW(E1711:E$2)*(E1712=E1711:E$2)))))</f>
        <v> </v>
      </c>
      <c r="J1712" s="25" t="str">
        <f>IF(OR(E1712="",E1712="!!!",F1712="NEW"),"",COUNTBLANK(OFFSET(A$1,,,SUMPRODUCT(MAX(ROW(E$2:E1712)*(E1712=E$2:E1712)))))-COUNTBLANK(OFFSET(A$1,,,SUMPRODUCT(MAX(ROW(E$1:E1711)*(E2=E$1:E1711))))))</f>
        <v> </v>
      </c>
      <c r="K1712" s="25" t="str">
        <f>IF(OR(E1712="",E1712="!!!",F1712="NEW"),"",INDEX(J$1:J1711,SUMPRODUCT(MAX(ROW(E$1:E1711)*(E1712=E$1:E1711)))))</f>
        <v> </v>
      </c>
      <c r="L1712" s="26"/>
    </row>
    <row r="1713" spans="1:12">
      <c r="A1713" s="20" t="s">
        <v>503</v>
      </c>
      <c r="E1713" s="21">
        <f>IF(D1713="?OLD","!!!","")</f>
        <v/>
      </c>
      <c r="F1713" s="22" t="str">
        <f>IF(OR(E1713="",E1713="!!!"),"",IF(NOT(ISNA(VLOOKUP(E1713,E$1:E1712,1,FALSE()))),"OLD",IF(AND(E1713&lt;&gt;"",E1713&lt;&gt;"!!!"),"NEW","")))</f>
        <v> </v>
      </c>
      <c r="G1713" s="23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4" t="str">
        <f>IF(J1713&lt;&gt;1,"",IF(I1713="SBJ","CB","?"))</f>
        <v> </v>
      </c>
      <c r="I1713" s="25" t="str">
        <f>IF(OR(E1713="",E1713="!!!",F1713="NEW"),"",INDEX(B1712:B$2,-1+SUMPRODUCT(MAX(ROW(E1712:E$2)*(E1713=E1712:E$2)))))</f>
        <v> </v>
      </c>
      <c r="J1713" s="25" t="str">
        <f>IF(OR(E1713="",E1713="!!!",F1713="NEW"),"",COUNTBLANK(OFFSET(A$1,,,SUMPRODUCT(MAX(ROW(E$2:E1713)*(E1713=E$2:E1713)))))-COUNTBLANK(OFFSET(A$1,,,SUMPRODUCT(MAX(ROW(E$1:E1712)*(E2=E$1:E1712))))))</f>
        <v> </v>
      </c>
      <c r="K1713" s="25" t="str">
        <f>IF(OR(E1713="",E1713="!!!",F1713="NEW"),"",INDEX(J$1:J1712,SUMPRODUCT(MAX(ROW(E$1:E1712)*(E1713=E$1:E1712)))))</f>
        <v> </v>
      </c>
      <c r="L1713" s="26"/>
    </row>
    <row r="1714" spans="1:12">
      <c r="A1714" s="20" t="s">
        <v>634</v>
      </c>
      <c r="B1714" s="27" t="s">
        <v>490</v>
      </c>
      <c r="C1714" s="27" t="s">
        <v>635</v>
      </c>
      <c r="D1714" s="27" t="s">
        <v>483</v>
      </c>
      <c r="E1714" s="21">
        <f>IF(D1714="?OLD","!!!","")</f>
        <v/>
      </c>
      <c r="F1714" s="22" t="str">
        <f>IF(OR(E1714="",E1714="!!!"),"",IF(NOT(ISNA(VLOOKUP(E1714,E$1:E1713,1,FALSE()))),"OLD",IF(AND(E1714&lt;&gt;"",E1714&lt;&gt;"!!!"),"NEW","")))</f>
        <v> </v>
      </c>
      <c r="G1714" s="23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4" t="str">
        <f>IF(J1714&lt;&gt;1,"",IF(I1714="SBJ","CB","?"))</f>
        <v> </v>
      </c>
      <c r="I1714" s="25" t="str">
        <f>IF(OR(E1714="",E1714="!!!",F1714="NEW"),"",INDEX(B1713:B$2,-1+SUMPRODUCT(MAX(ROW(E1713:E$2)*(E1714=E1713:E$2)))))</f>
        <v> </v>
      </c>
      <c r="J1714" s="25" t="str">
        <f>IF(OR(E1714="",E1714="!!!",F1714="NEW"),"",COUNTBLANK(OFFSET(A$1,,,SUMPRODUCT(MAX(ROW(E$2:E1714)*(E1714=E$2:E1714)))))-COUNTBLANK(OFFSET(A$1,,,SUMPRODUCT(MAX(ROW(E$1:E1713)*(E2=E$1:E1713))))))</f>
        <v> </v>
      </c>
      <c r="K1714" s="25" t="str">
        <f>IF(OR(E1714="",E1714="!!!",F1714="NEW"),"",INDEX(J$1:J1713,SUMPRODUCT(MAX(ROW(E$1:E1713)*(E1714=E$1:E1713)))))</f>
        <v> </v>
      </c>
      <c r="L1714" s="26"/>
    </row>
    <row r="1715" spans="1:12">
      <c r="A1715" s="20" t="s">
        <v>950</v>
      </c>
      <c r="B1715" s="27" t="s">
        <v>481</v>
      </c>
      <c r="C1715" s="27" t="s">
        <v>487</v>
      </c>
      <c r="D1715" s="27" t="s">
        <v>483</v>
      </c>
      <c r="E1715" s="21">
        <f>IF(D1715="?OLD","!!!","")</f>
        <v/>
      </c>
      <c r="F1715" s="22" t="str">
        <f>IF(OR(E1715="",E1715="!!!"),"",IF(NOT(ISNA(VLOOKUP(E1715,E$1:E1714,1,FALSE()))),"OLD",IF(AND(E1715&lt;&gt;"",E1715&lt;&gt;"!!!"),"NEW","")))</f>
        <v> </v>
      </c>
      <c r="G1715" s="23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4" t="str">
        <f>IF(J1715&lt;&gt;1,"",IF(I1715="SBJ","CB","?"))</f>
        <v> </v>
      </c>
      <c r="I1715" s="25" t="str">
        <f>IF(OR(E1715="",E1715="!!!",F1715="NEW"),"",INDEX(B1714:B$2,-1+SUMPRODUCT(MAX(ROW(E1714:E$2)*(E1715=E1714:E$2)))))</f>
        <v> </v>
      </c>
      <c r="J1715" s="25" t="str">
        <f>IF(OR(E1715="",E1715="!!!",F1715="NEW"),"",COUNTBLANK(OFFSET(A$1,,,SUMPRODUCT(MAX(ROW(E$2:E1715)*(E1715=E$2:E1715)))))-COUNTBLANK(OFFSET(A$1,,,SUMPRODUCT(MAX(ROW(E$1:E1714)*(E2=E$1:E1714))))))</f>
        <v> </v>
      </c>
      <c r="K1715" s="25" t="str">
        <f>IF(OR(E1715="",E1715="!!!",F1715="NEW"),"",INDEX(J$1:J1714,SUMPRODUCT(MAX(ROW(E$1:E1714)*(E1715=E$1:E1714)))))</f>
        <v> </v>
      </c>
      <c r="L1715" s="26"/>
    </row>
    <row r="1716" spans="1:12">
      <c r="A1716" s="20" t="s">
        <v>489</v>
      </c>
      <c r="E1716" s="21">
        <f>IF(D1716="?OLD","!!!","")</f>
        <v/>
      </c>
      <c r="F1716" s="22" t="str">
        <f>IF(OR(E1716="",E1716="!!!"),"",IF(NOT(ISNA(VLOOKUP(E1716,E$1:E1715,1,FALSE()))),"OLD",IF(AND(E1716&lt;&gt;"",E1716&lt;&gt;"!!!"),"NEW","")))</f>
        <v> </v>
      </c>
      <c r="G1716" s="23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4" t="str">
        <f>IF(J1716&lt;&gt;1,"",IF(I1716="SBJ","CB","?"))</f>
        <v> </v>
      </c>
      <c r="I1716" s="25" t="str">
        <f>IF(OR(E1716="",E1716="!!!",F1716="NEW"),"",INDEX(B1715:B$2,-1+SUMPRODUCT(MAX(ROW(E1715:E$2)*(E1716=E1715:E$2)))))</f>
        <v> </v>
      </c>
      <c r="J1716" s="25" t="str">
        <f>IF(OR(E1716="",E1716="!!!",F1716="NEW"),"",COUNTBLANK(OFFSET(A$1,,,SUMPRODUCT(MAX(ROW(E$2:E1716)*(E1716=E$2:E1716)))))-COUNTBLANK(OFFSET(A$1,,,SUMPRODUCT(MAX(ROW(E$1:E1715)*(E2=E$1:E1715))))))</f>
        <v> </v>
      </c>
      <c r="K1716" s="25" t="str">
        <f>IF(OR(E1716="",E1716="!!!",F1716="NEW"),"",INDEX(J$1:J1715,SUMPRODUCT(MAX(ROW(E$1:E1715)*(E1716=E$1:E1715)))))</f>
        <v> </v>
      </c>
      <c r="L1716" s="26"/>
    </row>
    <row r="1717" spans="1:12">
      <c r="A1717" s="20" t="s">
        <v>592</v>
      </c>
      <c r="E1717" s="21">
        <f>IF(D1717="?OLD","!!!","")</f>
        <v/>
      </c>
      <c r="F1717" s="22" t="str">
        <f>IF(OR(E1717="",E1717="!!!"),"",IF(NOT(ISNA(VLOOKUP(E1717,E$1:E1716,1,FALSE()))),"OLD",IF(AND(E1717&lt;&gt;"",E1717&lt;&gt;"!!!"),"NEW","")))</f>
        <v> </v>
      </c>
      <c r="G1717" s="23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4" t="str">
        <f>IF(J1717&lt;&gt;1,"",IF(I1717="SBJ","CB","?"))</f>
        <v> </v>
      </c>
      <c r="I1717" s="25" t="str">
        <f>IF(OR(E1717="",E1717="!!!",F1717="NEW"),"",INDEX(B1716:B$2,-1+SUMPRODUCT(MAX(ROW(E1716:E$2)*(E1717=E1716:E$2)))))</f>
        <v> </v>
      </c>
      <c r="J1717" s="25" t="str">
        <f>IF(OR(E1717="",E1717="!!!",F1717="NEW"),"",COUNTBLANK(OFFSET(A$1,,,SUMPRODUCT(MAX(ROW(E$2:E1717)*(E1717=E$2:E1717)))))-COUNTBLANK(OFFSET(A$1,,,SUMPRODUCT(MAX(ROW(E$1:E1716)*(E2=E$1:E1716))))))</f>
        <v> </v>
      </c>
      <c r="K1717" s="25" t="str">
        <f>IF(OR(E1717="",E1717="!!!",F1717="NEW"),"",INDEX(J$1:J1716,SUMPRODUCT(MAX(ROW(E$1:E1716)*(E1717=E$1:E1716)))))</f>
        <v> </v>
      </c>
      <c r="L1717" s="26"/>
    </row>
    <row r="1718" spans="1:12">
      <c r="A1718" s="20" t="s">
        <v>677</v>
      </c>
      <c r="E1718" s="21">
        <f>IF(D1718="?OLD","!!!","")</f>
        <v/>
      </c>
      <c r="F1718" s="22" t="str">
        <f>IF(OR(E1718="",E1718="!!!"),"",IF(NOT(ISNA(VLOOKUP(E1718,E$1:E1717,1,FALSE()))),"OLD",IF(AND(E1718&lt;&gt;"",E1718&lt;&gt;"!!!"),"NEW","")))</f>
        <v> </v>
      </c>
      <c r="G1718" s="23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4" t="str">
        <f>IF(J1718&lt;&gt;1,"",IF(I1718="SBJ","CB","?"))</f>
        <v> </v>
      </c>
      <c r="I1718" s="25" t="str">
        <f>IF(OR(E1718="",E1718="!!!",F1718="NEW"),"",INDEX(B1717:B$2,-1+SUMPRODUCT(MAX(ROW(E1717:E$2)*(E1718=E1717:E$2)))))</f>
        <v> </v>
      </c>
      <c r="J1718" s="25" t="str">
        <f>IF(OR(E1718="",E1718="!!!",F1718="NEW"),"",COUNTBLANK(OFFSET(A$1,,,SUMPRODUCT(MAX(ROW(E$2:E1718)*(E1718=E$2:E1718)))))-COUNTBLANK(OFFSET(A$1,,,SUMPRODUCT(MAX(ROW(E$1:E1717)*(E2=E$1:E1717))))))</f>
        <v> </v>
      </c>
      <c r="K1718" s="25" t="str">
        <f>IF(OR(E1718="",E1718="!!!",F1718="NEW"),"",INDEX(J$1:J1717,SUMPRODUCT(MAX(ROW(E$1:E1717)*(E1718=E$1:E1717)))))</f>
        <v> </v>
      </c>
      <c r="L1718" s="26"/>
    </row>
    <row r="1719" spans="1:12">
      <c r="A1719" s="20" t="s">
        <v>1056</v>
      </c>
      <c r="E1719" s="21">
        <f>IF(D1719="?OLD","!!!","")</f>
        <v/>
      </c>
      <c r="F1719" s="22" t="str">
        <f>IF(OR(E1719="",E1719="!!!"),"",IF(NOT(ISNA(VLOOKUP(E1719,E$1:E1718,1,FALSE()))),"OLD",IF(AND(E1719&lt;&gt;"",E1719&lt;&gt;"!!!"),"NEW","")))</f>
        <v> </v>
      </c>
      <c r="G1719" s="23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4" t="str">
        <f>IF(J1719&lt;&gt;1,"",IF(I1719="SBJ","CB","?"))</f>
        <v> </v>
      </c>
      <c r="I1719" s="25" t="str">
        <f>IF(OR(E1719="",E1719="!!!",F1719="NEW"),"",INDEX(B1718:B$2,-1+SUMPRODUCT(MAX(ROW(E1718:E$2)*(E1719=E1718:E$2)))))</f>
        <v> </v>
      </c>
      <c r="J1719" s="25" t="str">
        <f>IF(OR(E1719="",E1719="!!!",F1719="NEW"),"",COUNTBLANK(OFFSET(A$1,,,SUMPRODUCT(MAX(ROW(E$2:E1719)*(E1719=E$2:E1719)))))-COUNTBLANK(OFFSET(A$1,,,SUMPRODUCT(MAX(ROW(E$1:E1718)*(E2=E$1:E1718))))))</f>
        <v> </v>
      </c>
      <c r="K1719" s="25" t="str">
        <f>IF(OR(E1719="",E1719="!!!",F1719="NEW"),"",INDEX(J$1:J1718,SUMPRODUCT(MAX(ROW(E$1:E1718)*(E1719=E$1:E1718)))))</f>
        <v> </v>
      </c>
      <c r="L1719" s="26"/>
    </row>
    <row r="1720" spans="1:12">
      <c r="A1720" s="20" t="s">
        <v>1057</v>
      </c>
      <c r="B1720" s="27" t="s">
        <v>578</v>
      </c>
      <c r="C1720" s="27" t="s">
        <v>516</v>
      </c>
      <c r="E1720" s="21">
        <f>IF(D1720="?OLD","!!!","")</f>
        <v/>
      </c>
      <c r="F1720" s="22" t="str">
        <f>IF(OR(E1720="",E1720="!!!"),"",IF(NOT(ISNA(VLOOKUP(E1720,E$1:E1719,1,FALSE()))),"OLD",IF(AND(E1720&lt;&gt;"",E1720&lt;&gt;"!!!"),"NEW","")))</f>
        <v> </v>
      </c>
      <c r="G1720" s="23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4" t="str">
        <f>IF(J1720&lt;&gt;1,"",IF(I1720="SBJ","CB","?"))</f>
        <v> </v>
      </c>
      <c r="I1720" s="25" t="str">
        <f>IF(OR(E1720="",E1720="!!!",F1720="NEW"),"",INDEX(B1719:B$2,-1+SUMPRODUCT(MAX(ROW(E1719:E$2)*(E1720=E1719:E$2)))))</f>
        <v> </v>
      </c>
      <c r="J1720" s="25" t="str">
        <f>IF(OR(E1720="",E1720="!!!",F1720="NEW"),"",COUNTBLANK(OFFSET(A$1,,,SUMPRODUCT(MAX(ROW(E$2:E1720)*(E1720=E$2:E1720)))))-COUNTBLANK(OFFSET(A$1,,,SUMPRODUCT(MAX(ROW(E$1:E1719)*(E2=E$1:E1719))))))</f>
        <v> </v>
      </c>
      <c r="K1720" s="25" t="str">
        <f>IF(OR(E1720="",E1720="!!!",F1720="NEW"),"",INDEX(J$1:J1719,SUMPRODUCT(MAX(ROW(E$1:E1719)*(E1720=E$1:E1719)))))</f>
        <v> </v>
      </c>
      <c r="L1720" s="26"/>
    </row>
    <row r="1721" spans="1:12">
      <c r="A1721" s="20" t="s">
        <v>503</v>
      </c>
      <c r="E1721" s="21">
        <f>IF(D1721="?OLD","!!!","")</f>
        <v/>
      </c>
      <c r="F1721" s="22" t="str">
        <f>IF(OR(E1721="",E1721="!!!"),"",IF(NOT(ISNA(VLOOKUP(E1721,E$1:E1720,1,FALSE()))),"OLD",IF(AND(E1721&lt;&gt;"",E1721&lt;&gt;"!!!"),"NEW","")))</f>
        <v> </v>
      </c>
      <c r="G1721" s="23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4" t="str">
        <f>IF(J1721&lt;&gt;1,"",IF(I1721="SBJ","CB","?"))</f>
        <v> </v>
      </c>
      <c r="I1721" s="25" t="str">
        <f>IF(OR(E1721="",E1721="!!!",F1721="NEW"),"",INDEX(B1720:B$2,-1+SUMPRODUCT(MAX(ROW(E1720:E$2)*(E1721=E1720:E$2)))))</f>
        <v> </v>
      </c>
      <c r="J1721" s="25" t="str">
        <f>IF(OR(E1721="",E1721="!!!",F1721="NEW"),"",COUNTBLANK(OFFSET(A$1,,,SUMPRODUCT(MAX(ROW(E$2:E1721)*(E1721=E$2:E1721)))))-COUNTBLANK(OFFSET(A$1,,,SUMPRODUCT(MAX(ROW(E$1:E1720)*(E2=E$1:E1720))))))</f>
        <v> </v>
      </c>
      <c r="K1721" s="25" t="str">
        <f>IF(OR(E1721="",E1721="!!!",F1721="NEW"),"",INDEX(J$1:J1720,SUMPRODUCT(MAX(ROW(E$1:E1720)*(E1721=E$1:E1720)))))</f>
        <v> </v>
      </c>
      <c r="L1721" s="26"/>
    </row>
    <row r="1722" spans="1:12">
      <c r="A1722" s="20" t="s">
        <v>662</v>
      </c>
      <c r="B1722" s="27" t="s">
        <v>578</v>
      </c>
      <c r="C1722" s="27" t="s">
        <v>491</v>
      </c>
      <c r="D1722" s="27" t="s">
        <v>483</v>
      </c>
      <c r="E1722" s="21">
        <f>IF(D1722="?OLD","!!!","")</f>
        <v/>
      </c>
      <c r="F1722" s="22" t="str">
        <f>IF(OR(E1722="",E1722="!!!"),"",IF(NOT(ISNA(VLOOKUP(E1722,E$1:E1721,1,FALSE()))),"OLD",IF(AND(E1722&lt;&gt;"",E1722&lt;&gt;"!!!"),"NEW","")))</f>
        <v> </v>
      </c>
      <c r="G1722" s="23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4" t="str">
        <f>IF(J1722&lt;&gt;1,"",IF(I1722="SBJ","CB","?"))</f>
        <v> </v>
      </c>
      <c r="I1722" s="25" t="str">
        <f>IF(OR(E1722="",E1722="!!!",F1722="NEW"),"",INDEX(B1721:B$2,-1+SUMPRODUCT(MAX(ROW(E1721:E$2)*(E1722=E1721:E$2)))))</f>
        <v> </v>
      </c>
      <c r="J1722" s="25" t="str">
        <f>IF(OR(E1722="",E1722="!!!",F1722="NEW"),"",COUNTBLANK(OFFSET(A$1,,,SUMPRODUCT(MAX(ROW(E$2:E1722)*(E1722=E$2:E1722)))))-COUNTBLANK(OFFSET(A$1,,,SUMPRODUCT(MAX(ROW(E$1:E1721)*(E2=E$1:E1721))))))</f>
        <v> </v>
      </c>
      <c r="K1722" s="25" t="str">
        <f>IF(OR(E1722="",E1722="!!!",F1722="NEW"),"",INDEX(J$1:J1721,SUMPRODUCT(MAX(ROW(E$1:E1721)*(E1722=E$1:E1721)))))</f>
        <v> </v>
      </c>
      <c r="L1722" s="26"/>
    </row>
    <row r="1723" spans="1:12">
      <c r="A1723" s="20" t="s">
        <v>531</v>
      </c>
      <c r="E1723" s="21">
        <f>IF(D1723="?OLD","!!!","")</f>
        <v/>
      </c>
      <c r="F1723" s="22" t="str">
        <f>IF(OR(E1723="",E1723="!!!"),"",IF(NOT(ISNA(VLOOKUP(E1723,E$1:E1722,1,FALSE()))),"OLD",IF(AND(E1723&lt;&gt;"",E1723&lt;&gt;"!!!"),"NEW","")))</f>
        <v> </v>
      </c>
      <c r="G1723" s="23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4" t="str">
        <f>IF(J1723&lt;&gt;1,"",IF(I1723="SBJ","CB","?"))</f>
        <v> </v>
      </c>
      <c r="I1723" s="25" t="str">
        <f>IF(OR(E1723="",E1723="!!!",F1723="NEW"),"",INDEX(B1722:B$2,-1+SUMPRODUCT(MAX(ROW(E1722:E$2)*(E1723=E1722:E$2)))))</f>
        <v> </v>
      </c>
      <c r="J1723" s="25" t="str">
        <f>IF(OR(E1723="",E1723="!!!",F1723="NEW"),"",COUNTBLANK(OFFSET(A$1,,,SUMPRODUCT(MAX(ROW(E$2:E1723)*(E1723=E$2:E1723)))))-COUNTBLANK(OFFSET(A$1,,,SUMPRODUCT(MAX(ROW(E$1:E1722)*(E2=E$1:E1722))))))</f>
        <v> </v>
      </c>
      <c r="K1723" s="25" t="str">
        <f>IF(OR(E1723="",E1723="!!!",F1723="NEW"),"",INDEX(J$1:J1722,SUMPRODUCT(MAX(ROW(E$1:E1722)*(E1723=E$1:E1722)))))</f>
        <v> </v>
      </c>
      <c r="L1723" s="26"/>
    </row>
    <row r="1724" spans="1:12">
      <c r="A1724" s="20"/>
    </row>
    <row r="1725" spans="1:12">
      <c r="A1725" s="20" t="s">
        <v>1058</v>
      </c>
    </row>
    <row r="1726" spans="1:12">
      <c r="A1726" s="20" t="s">
        <v>253</v>
      </c>
      <c r="E1726" s="21">
        <f>IF(D1726="?OLD","!!!","")</f>
        <v/>
      </c>
      <c r="F1726" s="22" t="str">
        <f>IF(OR(E1726="",E1726="!!!"),"",IF(NOT(ISNA(VLOOKUP(E1726,E$1:E1725,1,FALSE()))),"OLD",IF(AND(E1726&lt;&gt;"",E1726&lt;&gt;"!!!"),"NEW","")))</f>
        <v> </v>
      </c>
      <c r="G1726" s="23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4" t="str">
        <f>IF(J1726&lt;&gt;1,"",IF(I1726="SBJ","CB","?"))</f>
        <v> </v>
      </c>
      <c r="I1726" s="25" t="str">
        <f>IF(OR(E1726="",E1726="!!!",F1726="NEW"),"",INDEX(B1725:B$2,-1+SUMPRODUCT(MAX(ROW(E1725:E$2)*(E1726=E1725:E$2)))))</f>
        <v> </v>
      </c>
      <c r="J1726" s="25" t="str">
        <f>IF(OR(E1726="",E1726="!!!",F1726="NEW"),"",COUNTBLANK(OFFSET(A$1,,,SUMPRODUCT(MAX(ROW(E$2:E1726)*(E1726=E$2:E1726)))))-COUNTBLANK(OFFSET(A$1,,,SUMPRODUCT(MAX(ROW(E$1:E1725)*(E2=E$1:E1725))))))</f>
        <v> </v>
      </c>
      <c r="K1726" s="25" t="str">
        <f>IF(OR(E1726="",E1726="!!!",F1726="NEW"),"",INDEX(J$1:J1725,SUMPRODUCT(MAX(ROW(E$1:E1725)*(E1726=E$1:E1725)))))</f>
        <v> </v>
      </c>
      <c r="L1726" s="26"/>
    </row>
    <row r="1727" spans="1:12">
      <c r="A1727" s="20" t="s">
        <v>531</v>
      </c>
      <c r="E1727" s="21">
        <f>IF(D1727="?OLD","!!!","")</f>
        <v/>
      </c>
      <c r="F1727" s="22" t="str">
        <f>IF(OR(E1727="",E1727="!!!"),"",IF(NOT(ISNA(VLOOKUP(E1727,E$1:E1726,1,FALSE()))),"OLD",IF(AND(E1727&lt;&gt;"",E1727&lt;&gt;"!!!"),"NEW","")))</f>
        <v> </v>
      </c>
      <c r="G1727" s="23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4" t="str">
        <f>IF(J1727&lt;&gt;1,"",IF(I1727="SBJ","CB","?"))</f>
        <v> </v>
      </c>
      <c r="I1727" s="25" t="str">
        <f>IF(OR(E1727="",E1727="!!!",F1727="NEW"),"",INDEX(B1726:B$2,-1+SUMPRODUCT(MAX(ROW(E1726:E$2)*(E1727=E1726:E$2)))))</f>
        <v> </v>
      </c>
      <c r="J1727" s="25" t="str">
        <f>IF(OR(E1727="",E1727="!!!",F1727="NEW"),"",COUNTBLANK(OFFSET(A$1,,,SUMPRODUCT(MAX(ROW(E$2:E1727)*(E1727=E$2:E1727)))))-COUNTBLANK(OFFSET(A$1,,,SUMPRODUCT(MAX(ROW(E$1:E1726)*(E2=E$1:E1726))))))</f>
        <v> </v>
      </c>
      <c r="K1727" s="25" t="str">
        <f>IF(OR(E1727="",E1727="!!!",F1727="NEW"),"",INDEX(J$1:J1726,SUMPRODUCT(MAX(ROW(E$1:E1726)*(E1727=E$1:E1726)))))</f>
        <v> </v>
      </c>
      <c r="L1727" s="26"/>
    </row>
    <row r="1728" spans="1:12">
      <c r="A1728" s="20"/>
    </row>
    <row r="1729" spans="1:12">
      <c r="A1729" s="20" t="s">
        <v>1059</v>
      </c>
    </row>
    <row r="1730" spans="1:12">
      <c r="A1730" s="20" t="s">
        <v>566</v>
      </c>
      <c r="E1730" s="21">
        <f>IF(D1730="?OLD","!!!","")</f>
        <v/>
      </c>
      <c r="F1730" s="22" t="str">
        <f>IF(OR(E1730="",E1730="!!!"),"",IF(NOT(ISNA(VLOOKUP(E1730,E$1:E1729,1,FALSE()))),"OLD",IF(AND(E1730&lt;&gt;"",E1730&lt;&gt;"!!!"),"NEW","")))</f>
        <v> </v>
      </c>
      <c r="G1730" s="23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4" t="str">
        <f>IF(J1730&lt;&gt;1,"",IF(I1730="SBJ","CB","?"))</f>
        <v> </v>
      </c>
      <c r="I1730" s="25" t="str">
        <f>IF(OR(E1730="",E1730="!!!",F1730="NEW"),"",INDEX(B1729:B$2,-1+SUMPRODUCT(MAX(ROW(E1729:E$2)*(E1730=E1729:E$2)))))</f>
        <v> </v>
      </c>
      <c r="J1730" s="25" t="str">
        <f>IF(OR(E1730="",E1730="!!!",F1730="NEW"),"",COUNTBLANK(OFFSET(A$1,,,SUMPRODUCT(MAX(ROW(E$2:E1730)*(E1730=E$2:E1730)))))-COUNTBLANK(OFFSET(A$1,,,SUMPRODUCT(MAX(ROW(E$1:E1729)*(E2=E$1:E1729))))))</f>
        <v> </v>
      </c>
      <c r="K1730" s="25" t="str">
        <f>IF(OR(E1730="",E1730="!!!",F1730="NEW"),"",INDEX(J$1:J1729,SUMPRODUCT(MAX(ROW(E$1:E1729)*(E1730=E$1:E1729)))))</f>
        <v> </v>
      </c>
      <c r="L1730" s="26"/>
    </row>
    <row r="1731" spans="1:12">
      <c r="A1731" s="20" t="s">
        <v>697</v>
      </c>
      <c r="E1731" s="21">
        <f>IF(D1731="?OLD","!!!","")</f>
        <v/>
      </c>
      <c r="F1731" s="22" t="str">
        <f>IF(OR(E1731="",E1731="!!!"),"",IF(NOT(ISNA(VLOOKUP(E1731,E$1:E1730,1,FALSE()))),"OLD",IF(AND(E1731&lt;&gt;"",E1731&lt;&gt;"!!!"),"NEW","")))</f>
        <v> </v>
      </c>
      <c r="G1731" s="23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4" t="str">
        <f>IF(J1731&lt;&gt;1,"",IF(I1731="SBJ","CB","?"))</f>
        <v> </v>
      </c>
      <c r="I1731" s="25" t="str">
        <f>IF(OR(E1731="",E1731="!!!",F1731="NEW"),"",INDEX(B1730:B$2,-1+SUMPRODUCT(MAX(ROW(E1730:E$2)*(E1731=E1730:E$2)))))</f>
        <v> </v>
      </c>
      <c r="J1731" s="25" t="str">
        <f>IF(OR(E1731="",E1731="!!!",F1731="NEW"),"",COUNTBLANK(OFFSET(A$1,,,SUMPRODUCT(MAX(ROW(E$2:E1731)*(E1731=E$2:E1731)))))-COUNTBLANK(OFFSET(A$1,,,SUMPRODUCT(MAX(ROW(E$1:E1730)*(E2=E$1:E1730))))))</f>
        <v> </v>
      </c>
      <c r="K1731" s="25" t="str">
        <f>IF(OR(E1731="",E1731="!!!",F1731="NEW"),"",INDEX(J$1:J1730,SUMPRODUCT(MAX(ROW(E$1:E1730)*(E1731=E$1:E1730)))))</f>
        <v> </v>
      </c>
      <c r="L1731" s="26"/>
    </row>
    <row r="1732" spans="1:12">
      <c r="A1732" s="20" t="s">
        <v>503</v>
      </c>
      <c r="E1732" s="21">
        <f>IF(D1732="?OLD","!!!","")</f>
        <v/>
      </c>
      <c r="F1732" s="22" t="str">
        <f>IF(OR(E1732="",E1732="!!!"),"",IF(NOT(ISNA(VLOOKUP(E1732,E$1:E1731,1,FALSE()))),"OLD",IF(AND(E1732&lt;&gt;"",E1732&lt;&gt;"!!!"),"NEW","")))</f>
        <v> </v>
      </c>
      <c r="G1732" s="23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4" t="str">
        <f>IF(J1732&lt;&gt;1,"",IF(I1732="SBJ","CB","?"))</f>
        <v> </v>
      </c>
      <c r="I1732" s="25" t="str">
        <f>IF(OR(E1732="",E1732="!!!",F1732="NEW"),"",INDEX(B1731:B$2,-1+SUMPRODUCT(MAX(ROW(E1731:E$2)*(E1732=E1731:E$2)))))</f>
        <v> </v>
      </c>
      <c r="J1732" s="25" t="str">
        <f>IF(OR(E1732="",E1732="!!!",F1732="NEW"),"",COUNTBLANK(OFFSET(A$1,,,SUMPRODUCT(MAX(ROW(E$2:E1732)*(E1732=E$2:E1732)))))-COUNTBLANK(OFFSET(A$1,,,SUMPRODUCT(MAX(ROW(E$1:E1731)*(E2=E$1:E1731))))))</f>
        <v> </v>
      </c>
      <c r="K1732" s="25" t="str">
        <f>IF(OR(E1732="",E1732="!!!",F1732="NEW"),"",INDEX(J$1:J1731,SUMPRODUCT(MAX(ROW(E$1:E1731)*(E1732=E$1:E1731)))))</f>
        <v> </v>
      </c>
      <c r="L1732" s="26"/>
    </row>
    <row r="1733" spans="1:12">
      <c r="A1733" s="20" t="s">
        <v>230</v>
      </c>
      <c r="E1733" s="21">
        <f>IF(D1733="?OLD","!!!","")</f>
        <v/>
      </c>
      <c r="F1733" s="22" t="str">
        <f>IF(OR(E1733="",E1733="!!!"),"",IF(NOT(ISNA(VLOOKUP(E1733,E$1:E1732,1,FALSE()))),"OLD",IF(AND(E1733&lt;&gt;"",E1733&lt;&gt;"!!!"),"NEW","")))</f>
        <v> </v>
      </c>
      <c r="G1733" s="23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4" t="str">
        <f>IF(J1733&lt;&gt;1,"",IF(I1733="SBJ","CB","?"))</f>
        <v> </v>
      </c>
      <c r="I1733" s="25" t="str">
        <f>IF(OR(E1733="",E1733="!!!",F1733="NEW"),"",INDEX(B1732:B$2,-1+SUMPRODUCT(MAX(ROW(E1732:E$2)*(E1733=E1732:E$2)))))</f>
        <v> </v>
      </c>
      <c r="J1733" s="25" t="str">
        <f>IF(OR(E1733="",E1733="!!!",F1733="NEW"),"",COUNTBLANK(OFFSET(A$1,,,SUMPRODUCT(MAX(ROW(E$2:E1733)*(E1733=E$2:E1733)))))-COUNTBLANK(OFFSET(A$1,,,SUMPRODUCT(MAX(ROW(E$1:E1732)*(E2=E$1:E1732))))))</f>
        <v> </v>
      </c>
      <c r="K1733" s="25" t="str">
        <f>IF(OR(E1733="",E1733="!!!",F1733="NEW"),"",INDEX(J$1:J1732,SUMPRODUCT(MAX(ROW(E$1:E1732)*(E1733=E$1:E1732)))))</f>
        <v> </v>
      </c>
      <c r="L1733" s="26"/>
    </row>
    <row r="1734" spans="1:12">
      <c r="A1734" s="20" t="s">
        <v>982</v>
      </c>
      <c r="B1734" s="27" t="s">
        <v>556</v>
      </c>
      <c r="C1734" s="27" t="s">
        <v>516</v>
      </c>
      <c r="E1734" s="21">
        <f>IF(D1734="?OLD","!!!","")</f>
        <v/>
      </c>
      <c r="F1734" s="22" t="str">
        <f>IF(OR(E1734="",E1734="!!!"),"",IF(NOT(ISNA(VLOOKUP(E1734,E$1:E1733,1,FALSE()))),"OLD",IF(AND(E1734&lt;&gt;"",E1734&lt;&gt;"!!!"),"NEW","")))</f>
        <v> </v>
      </c>
      <c r="G1734" s="23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4" t="str">
        <f>IF(J1734&lt;&gt;1,"",IF(I1734="SBJ","CB","?"))</f>
        <v> </v>
      </c>
      <c r="I1734" s="25" t="str">
        <f>IF(OR(E1734="",E1734="!!!",F1734="NEW"),"",INDEX(B1733:B$2,-1+SUMPRODUCT(MAX(ROW(E1733:E$2)*(E1734=E1733:E$2)))))</f>
        <v> </v>
      </c>
      <c r="J1734" s="25" t="str">
        <f>IF(OR(E1734="",E1734="!!!",F1734="NEW"),"",COUNTBLANK(OFFSET(A$1,,,SUMPRODUCT(MAX(ROW(E$2:E1734)*(E1734=E$2:E1734)))))-COUNTBLANK(OFFSET(A$1,,,SUMPRODUCT(MAX(ROW(E$1:E1733)*(E2=E$1:E1733))))))</f>
        <v> </v>
      </c>
      <c r="K1734" s="25" t="str">
        <f>IF(OR(E1734="",E1734="!!!",F1734="NEW"),"",INDEX(J$1:J1733,SUMPRODUCT(MAX(ROW(E$1:E1733)*(E1734=E$1:E1733)))))</f>
        <v> </v>
      </c>
      <c r="L1734" s="26"/>
    </row>
    <row r="1735" spans="1:12">
      <c r="A1735" s="20" t="s">
        <v>489</v>
      </c>
      <c r="E1735" s="21">
        <f>IF(D1735="?OLD","!!!","")</f>
        <v/>
      </c>
      <c r="F1735" s="22" t="str">
        <f>IF(OR(E1735="",E1735="!!!"),"",IF(NOT(ISNA(VLOOKUP(E1735,E$1:E1734,1,FALSE()))),"OLD",IF(AND(E1735&lt;&gt;"",E1735&lt;&gt;"!!!"),"NEW","")))</f>
        <v> </v>
      </c>
      <c r="G1735" s="23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4" t="str">
        <f>IF(J1735&lt;&gt;1,"",IF(I1735="SBJ","CB","?"))</f>
        <v> </v>
      </c>
      <c r="I1735" s="25" t="str">
        <f>IF(OR(E1735="",E1735="!!!",F1735="NEW"),"",INDEX(B1734:B$2,-1+SUMPRODUCT(MAX(ROW(E1734:E$2)*(E1735=E1734:E$2)))))</f>
        <v> </v>
      </c>
      <c r="J1735" s="25" t="str">
        <f>IF(OR(E1735="",E1735="!!!",F1735="NEW"),"",COUNTBLANK(OFFSET(A$1,,,SUMPRODUCT(MAX(ROW(E$2:E1735)*(E1735=E$2:E1735)))))-COUNTBLANK(OFFSET(A$1,,,SUMPRODUCT(MAX(ROW(E$1:E1734)*(E2=E$1:E1734))))))</f>
        <v> </v>
      </c>
      <c r="K1735" s="25" t="str">
        <f>IF(OR(E1735="",E1735="!!!",F1735="NEW"),"",INDEX(J$1:J1734,SUMPRODUCT(MAX(ROW(E$1:E1734)*(E1735=E$1:E1734)))))</f>
        <v> </v>
      </c>
      <c r="L1735" s="26"/>
    </row>
    <row r="1736" spans="1:12">
      <c r="A1736" s="20" t="s">
        <v>983</v>
      </c>
      <c r="E1736" s="21">
        <f>IF(D1736="?OLD","!!!","")</f>
        <v/>
      </c>
      <c r="F1736" s="22" t="str">
        <f>IF(OR(E1736="",E1736="!!!"),"",IF(NOT(ISNA(VLOOKUP(E1736,E$1:E1735,1,FALSE()))),"OLD",IF(AND(E1736&lt;&gt;"",E1736&lt;&gt;"!!!"),"NEW","")))</f>
        <v> </v>
      </c>
      <c r="G1736" s="23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4" t="str">
        <f>IF(J1736&lt;&gt;1,"",IF(I1736="SBJ","CB","?"))</f>
        <v> </v>
      </c>
      <c r="I1736" s="25" t="str">
        <f>IF(OR(E1736="",E1736="!!!",F1736="NEW"),"",INDEX(B1735:B$2,-1+SUMPRODUCT(MAX(ROW(E1735:E$2)*(E1736=E1735:E$2)))))</f>
        <v> </v>
      </c>
      <c r="J1736" s="25" t="str">
        <f>IF(OR(E1736="",E1736="!!!",F1736="NEW"),"",COUNTBLANK(OFFSET(A$1,,,SUMPRODUCT(MAX(ROW(E$2:E1736)*(E1736=E$2:E1736)))))-COUNTBLANK(OFFSET(A$1,,,SUMPRODUCT(MAX(ROW(E$1:E1735)*(E2=E$1:E1735))))))</f>
        <v> </v>
      </c>
      <c r="K1736" s="25" t="str">
        <f>IF(OR(E1736="",E1736="!!!",F1736="NEW"),"",INDEX(J$1:J1735,SUMPRODUCT(MAX(ROW(E$1:E1735)*(E1736=E$1:E1735)))))</f>
        <v> </v>
      </c>
      <c r="L1736" s="26"/>
    </row>
    <row r="1737" spans="1:12">
      <c r="A1737" s="20" t="s">
        <v>500</v>
      </c>
      <c r="E1737" s="21">
        <f>IF(D1737="?OLD","!!!","")</f>
        <v/>
      </c>
      <c r="F1737" s="22" t="str">
        <f>IF(OR(E1737="",E1737="!!!"),"",IF(NOT(ISNA(VLOOKUP(E1737,E$1:E1736,1,FALSE()))),"OLD",IF(AND(E1737&lt;&gt;"",E1737&lt;&gt;"!!!"),"NEW","")))</f>
        <v> </v>
      </c>
      <c r="G1737" s="23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4" t="str">
        <f>IF(J1737&lt;&gt;1,"",IF(I1737="SBJ","CB","?"))</f>
        <v> </v>
      </c>
      <c r="I1737" s="25" t="str">
        <f>IF(OR(E1737="",E1737="!!!",F1737="NEW"),"",INDEX(B1736:B$2,-1+SUMPRODUCT(MAX(ROW(E1736:E$2)*(E1737=E1736:E$2)))))</f>
        <v> </v>
      </c>
      <c r="J1737" s="25" t="str">
        <f>IF(OR(E1737="",E1737="!!!",F1737="NEW"),"",COUNTBLANK(OFFSET(A$1,,,SUMPRODUCT(MAX(ROW(E$2:E1737)*(E1737=E$2:E1737)))))-COUNTBLANK(OFFSET(A$1,,,SUMPRODUCT(MAX(ROW(E$1:E1736)*(E2=E$1:E1736))))))</f>
        <v> </v>
      </c>
      <c r="K1737" s="25" t="str">
        <f>IF(OR(E1737="",E1737="!!!",F1737="NEW"),"",INDEX(J$1:J1736,SUMPRODUCT(MAX(ROW(E$1:E1736)*(E1737=E$1:E1736)))))</f>
        <v> </v>
      </c>
      <c r="L1737" s="26"/>
    </row>
    <row r="1738" spans="1:12">
      <c r="A1738" s="20" t="s">
        <v>485</v>
      </c>
      <c r="E1738" s="21">
        <f>IF(D1738="?OLD","!!!","")</f>
        <v/>
      </c>
      <c r="F1738" s="22" t="str">
        <f>IF(OR(E1738="",E1738="!!!"),"",IF(NOT(ISNA(VLOOKUP(E1738,E$1:E1737,1,FALSE()))),"OLD",IF(AND(E1738&lt;&gt;"",E1738&lt;&gt;"!!!"),"NEW","")))</f>
        <v> </v>
      </c>
      <c r="G1738" s="23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4" t="str">
        <f>IF(J1738&lt;&gt;1,"",IF(I1738="SBJ","CB","?"))</f>
        <v> </v>
      </c>
      <c r="I1738" s="25" t="str">
        <f>IF(OR(E1738="",E1738="!!!",F1738="NEW"),"",INDEX(B1737:B$2,-1+SUMPRODUCT(MAX(ROW(E1737:E$2)*(E1738=E1737:E$2)))))</f>
        <v> </v>
      </c>
      <c r="J1738" s="25" t="str">
        <f>IF(OR(E1738="",E1738="!!!",F1738="NEW"),"",COUNTBLANK(OFFSET(A$1,,,SUMPRODUCT(MAX(ROW(E$2:E1738)*(E1738=E$2:E1738)))))-COUNTBLANK(OFFSET(A$1,,,SUMPRODUCT(MAX(ROW(E$1:E1737)*(E2=E$1:E1737))))))</f>
        <v> </v>
      </c>
      <c r="K1738" s="25" t="str">
        <f>IF(OR(E1738="",E1738="!!!",F1738="NEW"),"",INDEX(J$1:J1737,SUMPRODUCT(MAX(ROW(E$1:E1737)*(E1738=E$1:E1737)))))</f>
        <v> </v>
      </c>
      <c r="L1738" s="26"/>
    </row>
    <row r="1739" spans="1:12">
      <c r="A1739" s="20" t="s">
        <v>963</v>
      </c>
      <c r="B1739" s="27" t="s">
        <v>490</v>
      </c>
      <c r="C1739" s="27" t="s">
        <v>487</v>
      </c>
      <c r="D1739" s="27" t="s">
        <v>483</v>
      </c>
      <c r="E1739" s="21">
        <f>IF(D1739="?OLD","!!!","")</f>
        <v/>
      </c>
      <c r="F1739" s="22" t="str">
        <f>IF(OR(E1739="",E1739="!!!"),"",IF(NOT(ISNA(VLOOKUP(E1739,E$1:E1738,1,FALSE()))),"OLD",IF(AND(E1739&lt;&gt;"",E1739&lt;&gt;"!!!"),"NEW","")))</f>
        <v> </v>
      </c>
      <c r="G1739" s="23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4" t="str">
        <f>IF(J1739&lt;&gt;1,"",IF(I1739="SBJ","CB","?"))</f>
        <v> </v>
      </c>
      <c r="I1739" s="25" t="str">
        <f>IF(OR(E1739="",E1739="!!!",F1739="NEW"),"",INDEX(B1738:B$2,-1+SUMPRODUCT(MAX(ROW(E1738:E$2)*(E1739=E1738:E$2)))))</f>
        <v> </v>
      </c>
      <c r="J1739" s="25" t="str">
        <f>IF(OR(E1739="",E1739="!!!",F1739="NEW"),"",COUNTBLANK(OFFSET(A$1,,,SUMPRODUCT(MAX(ROW(E$2:E1739)*(E1739=E$2:E1739)))))-COUNTBLANK(OFFSET(A$1,,,SUMPRODUCT(MAX(ROW(E$1:E1738)*(E2=E$1:E1738))))))</f>
        <v> </v>
      </c>
      <c r="K1739" s="25" t="str">
        <f>IF(OR(E1739="",E1739="!!!",F1739="NEW"),"",INDEX(J$1:J1738,SUMPRODUCT(MAX(ROW(E$1:E1738)*(E1739=E$1:E1738)))))</f>
        <v> </v>
      </c>
      <c r="L1739" s="26"/>
    </row>
    <row r="1740" spans="1:12">
      <c r="A1740" s="20" t="s">
        <v>489</v>
      </c>
      <c r="E1740" s="21">
        <f>IF(D1740="?OLD","!!!","")</f>
        <v/>
      </c>
      <c r="F1740" s="22" t="str">
        <f>IF(OR(E1740="",E1740="!!!"),"",IF(NOT(ISNA(VLOOKUP(E1740,E$1:E1739,1,FALSE()))),"OLD",IF(AND(E1740&lt;&gt;"",E1740&lt;&gt;"!!!"),"NEW","")))</f>
        <v> </v>
      </c>
      <c r="G1740" s="23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4" t="str">
        <f>IF(J1740&lt;&gt;1,"",IF(I1740="SBJ","CB","?"))</f>
        <v> </v>
      </c>
      <c r="I1740" s="25" t="str">
        <f>IF(OR(E1740="",E1740="!!!",F1740="NEW"),"",INDEX(B1739:B$2,-1+SUMPRODUCT(MAX(ROW(E1739:E$2)*(E1740=E1739:E$2)))))</f>
        <v> </v>
      </c>
      <c r="J1740" s="25" t="str">
        <f>IF(OR(E1740="",E1740="!!!",F1740="NEW"),"",COUNTBLANK(OFFSET(A$1,,,SUMPRODUCT(MAX(ROW(E$2:E1740)*(E1740=E$2:E1740)))))-COUNTBLANK(OFFSET(A$1,,,SUMPRODUCT(MAX(ROW(E$1:E1739)*(E2=E$1:E1739))))))</f>
        <v> </v>
      </c>
      <c r="K1740" s="25" t="str">
        <f>IF(OR(E1740="",E1740="!!!",F1740="NEW"),"",INDEX(J$1:J1739,SUMPRODUCT(MAX(ROW(E$1:E1739)*(E1740=E$1:E1739)))))</f>
        <v> </v>
      </c>
      <c r="L1740" s="26"/>
    </row>
    <row r="1741" spans="1:12">
      <c r="A1741" s="20" t="s">
        <v>680</v>
      </c>
      <c r="E1741" s="21">
        <f>IF(D1741="?OLD","!!!","")</f>
        <v/>
      </c>
      <c r="F1741" s="22" t="str">
        <f>IF(OR(E1741="",E1741="!!!"),"",IF(NOT(ISNA(VLOOKUP(E1741,E$1:E1740,1,FALSE()))),"OLD",IF(AND(E1741&lt;&gt;"",E1741&lt;&gt;"!!!"),"NEW","")))</f>
        <v> </v>
      </c>
      <c r="G1741" s="23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4" t="str">
        <f>IF(J1741&lt;&gt;1,"",IF(I1741="SBJ","CB","?"))</f>
        <v> </v>
      </c>
      <c r="I1741" s="25" t="str">
        <f>IF(OR(E1741="",E1741="!!!",F1741="NEW"),"",INDEX(B1740:B$2,-1+SUMPRODUCT(MAX(ROW(E1740:E$2)*(E1741=E1740:E$2)))))</f>
        <v> </v>
      </c>
      <c r="J1741" s="25" t="str">
        <f>IF(OR(E1741="",E1741="!!!",F1741="NEW"),"",COUNTBLANK(OFFSET(A$1,,,SUMPRODUCT(MAX(ROW(E$2:E1741)*(E1741=E$2:E1741)))))-COUNTBLANK(OFFSET(A$1,,,SUMPRODUCT(MAX(ROW(E$1:E1740)*(E2=E$1:E1740))))))</f>
        <v> </v>
      </c>
      <c r="K1741" s="25" t="str">
        <f>IF(OR(E1741="",E1741="!!!",F1741="NEW"),"",INDEX(J$1:J1740,SUMPRODUCT(MAX(ROW(E$1:E1740)*(E1741=E$1:E1740)))))</f>
        <v> </v>
      </c>
      <c r="L1741" s="26"/>
    </row>
    <row r="1742" spans="1:12">
      <c r="A1742" s="20" t="s">
        <v>983</v>
      </c>
      <c r="E1742" s="21">
        <f>IF(D1742="?OLD","!!!","")</f>
        <v/>
      </c>
      <c r="F1742" s="22" t="str">
        <f>IF(OR(E1742="",E1742="!!!"),"",IF(NOT(ISNA(VLOOKUP(E1742,E$1:E1741,1,FALSE()))),"OLD",IF(AND(E1742&lt;&gt;"",E1742&lt;&gt;"!!!"),"NEW","")))</f>
        <v> </v>
      </c>
      <c r="G1742" s="23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4" t="str">
        <f>IF(J1742&lt;&gt;1,"",IF(I1742="SBJ","CB","?"))</f>
        <v> </v>
      </c>
      <c r="I1742" s="25" t="str">
        <f>IF(OR(E1742="",E1742="!!!",F1742="NEW"),"",INDEX(B1741:B$2,-1+SUMPRODUCT(MAX(ROW(E1741:E$2)*(E1742=E1741:E$2)))))</f>
        <v> </v>
      </c>
      <c r="J1742" s="25" t="str">
        <f>IF(OR(E1742="",E1742="!!!",F1742="NEW"),"",COUNTBLANK(OFFSET(A$1,,,SUMPRODUCT(MAX(ROW(E$2:E1742)*(E1742=E$2:E1742)))))-COUNTBLANK(OFFSET(A$1,,,SUMPRODUCT(MAX(ROW(E$1:E1741)*(E2=E$1:E1741))))))</f>
        <v> </v>
      </c>
      <c r="K1742" s="25" t="str">
        <f>IF(OR(E1742="",E1742="!!!",F1742="NEW"),"",INDEX(J$1:J1741,SUMPRODUCT(MAX(ROW(E$1:E1741)*(E1742=E$1:E1741)))))</f>
        <v> </v>
      </c>
      <c r="L1742" s="26"/>
    </row>
    <row r="1743" spans="1:12">
      <c r="A1743" s="20" t="s">
        <v>500</v>
      </c>
      <c r="E1743" s="21">
        <f>IF(D1743="?OLD","!!!","")</f>
        <v/>
      </c>
      <c r="F1743" s="22" t="str">
        <f>IF(OR(E1743="",E1743="!!!"),"",IF(NOT(ISNA(VLOOKUP(E1743,E$1:E1742,1,FALSE()))),"OLD",IF(AND(E1743&lt;&gt;"",E1743&lt;&gt;"!!!"),"NEW","")))</f>
        <v> </v>
      </c>
      <c r="G1743" s="23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4" t="str">
        <f>IF(J1743&lt;&gt;1,"",IF(I1743="SBJ","CB","?"))</f>
        <v> </v>
      </c>
      <c r="I1743" s="25" t="str">
        <f>IF(OR(E1743="",E1743="!!!",F1743="NEW"),"",INDEX(B1742:B$2,-1+SUMPRODUCT(MAX(ROW(E1742:E$2)*(E1743=E1742:E$2)))))</f>
        <v> </v>
      </c>
      <c r="J1743" s="25" t="str">
        <f>IF(OR(E1743="",E1743="!!!",F1743="NEW"),"",COUNTBLANK(OFFSET(A$1,,,SUMPRODUCT(MAX(ROW(E$2:E1743)*(E1743=E$2:E1743)))))-COUNTBLANK(OFFSET(A$1,,,SUMPRODUCT(MAX(ROW(E$1:E1742)*(E2=E$1:E1742))))))</f>
        <v> </v>
      </c>
      <c r="K1743" s="25" t="str">
        <f>IF(OR(E1743="",E1743="!!!",F1743="NEW"),"",INDEX(J$1:J1742,SUMPRODUCT(MAX(ROW(E$1:E1742)*(E1743=E$1:E1742)))))</f>
        <v> </v>
      </c>
      <c r="L1743" s="26"/>
    </row>
    <row r="1744" spans="1:12">
      <c r="A1744" s="20" t="s">
        <v>662</v>
      </c>
      <c r="B1744" s="27" t="s">
        <v>477</v>
      </c>
      <c r="C1744" s="27" t="s">
        <v>491</v>
      </c>
      <c r="D1744" s="27" t="s">
        <v>483</v>
      </c>
      <c r="E1744" s="21">
        <f>IF(D1744="?OLD","!!!","")</f>
        <v/>
      </c>
      <c r="F1744" s="22" t="str">
        <f>IF(OR(E1744="",E1744="!!!"),"",IF(NOT(ISNA(VLOOKUP(E1744,E$1:E1743,1,FALSE()))),"OLD",IF(AND(E1744&lt;&gt;"",E1744&lt;&gt;"!!!"),"NEW","")))</f>
        <v> </v>
      </c>
      <c r="G1744" s="23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4" t="str">
        <f>IF(J1744&lt;&gt;1,"",IF(I1744="SBJ","CB","?"))</f>
        <v> </v>
      </c>
      <c r="I1744" s="25" t="str">
        <f>IF(OR(E1744="",E1744="!!!",F1744="NEW"),"",INDEX(B1743:B$2,-1+SUMPRODUCT(MAX(ROW(E1743:E$2)*(E1744=E1743:E$2)))))</f>
        <v> </v>
      </c>
      <c r="J1744" s="25" t="str">
        <f>IF(OR(E1744="",E1744="!!!",F1744="NEW"),"",COUNTBLANK(OFFSET(A$1,,,SUMPRODUCT(MAX(ROW(E$2:E1744)*(E1744=E$2:E1744)))))-COUNTBLANK(OFFSET(A$1,,,SUMPRODUCT(MAX(ROW(E$1:E1743)*(E2=E$1:E1743))))))</f>
        <v> </v>
      </c>
      <c r="K1744" s="25" t="str">
        <f>IF(OR(E1744="",E1744="!!!",F1744="NEW"),"",INDEX(J$1:J1743,SUMPRODUCT(MAX(ROW(E$1:E1743)*(E1744=E$1:E1743)))))</f>
        <v> </v>
      </c>
      <c r="L1744" s="26"/>
    </row>
    <row r="1745" spans="1:12">
      <c r="A1745" s="20" t="s">
        <v>531</v>
      </c>
      <c r="E1745" s="21">
        <f>IF(D1745="?OLD","!!!","")</f>
        <v/>
      </c>
      <c r="F1745" s="22" t="str">
        <f>IF(OR(E1745="",E1745="!!!"),"",IF(NOT(ISNA(VLOOKUP(E1745,E$1:E1744,1,FALSE()))),"OLD",IF(AND(E1745&lt;&gt;"",E1745&lt;&gt;"!!!"),"NEW","")))</f>
        <v> </v>
      </c>
      <c r="G1745" s="23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4" t="str">
        <f>IF(J1745&lt;&gt;1,"",IF(I1745="SBJ","CB","?"))</f>
        <v> </v>
      </c>
      <c r="I1745" s="25" t="str">
        <f>IF(OR(E1745="",E1745="!!!",F1745="NEW"),"",INDEX(B1744:B$2,-1+SUMPRODUCT(MAX(ROW(E1744:E$2)*(E1745=E1744:E$2)))))</f>
        <v> </v>
      </c>
      <c r="J1745" s="25" t="str">
        <f>IF(OR(E1745="",E1745="!!!",F1745="NEW"),"",COUNTBLANK(OFFSET(A$1,,,SUMPRODUCT(MAX(ROW(E$2:E1745)*(E1745=E$2:E1745)))))-COUNTBLANK(OFFSET(A$1,,,SUMPRODUCT(MAX(ROW(E$1:E1744)*(E2=E$1:E1744))))))</f>
        <v> </v>
      </c>
      <c r="K1745" s="25" t="str">
        <f>IF(OR(E1745="",E1745="!!!",F1745="NEW"),"",INDEX(J$1:J1744,SUMPRODUCT(MAX(ROW(E$1:E1744)*(E1745=E$1:E1744)))))</f>
        <v> </v>
      </c>
      <c r="L1745" s="26"/>
    </row>
    <row r="1746" spans="1:12">
      <c r="A1746" s="20"/>
    </row>
    <row r="1747" spans="1:12">
      <c r="A1747" s="20" t="s">
        <v>606</v>
      </c>
      <c r="E1747" s="21">
        <f>IF(D1747="?OLD","!!!","")</f>
        <v/>
      </c>
      <c r="F1747" s="22" t="str">
        <f>IF(OR(E1747="",E1747="!!!"),"",IF(NOT(ISNA(VLOOKUP(E1747,E$1:E1746,1,FALSE()))),"OLD",IF(AND(E1747&lt;&gt;"",E1747&lt;&gt;"!!!"),"NEW","")))</f>
        <v> </v>
      </c>
      <c r="G1747" s="23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4" t="str">
        <f>IF(J1747&lt;&gt;1,"",IF(I1747="SBJ","CB","?"))</f>
        <v> </v>
      </c>
      <c r="I1747" s="25" t="str">
        <f>IF(OR(E1747="",E1747="!!!",F1747="NEW"),"",INDEX(B1746:B$2,-1+SUMPRODUCT(MAX(ROW(E1746:E$2)*(E1747=E1746:E$2)))))</f>
        <v> </v>
      </c>
      <c r="J1747" s="25" t="str">
        <f>IF(OR(E1747="",E1747="!!!",F1747="NEW"),"",COUNTBLANK(OFFSET(A$1,,,SUMPRODUCT(MAX(ROW(E$2:E1747)*(E1747=E$2:E1747)))))-COUNTBLANK(OFFSET(A$1,,,SUMPRODUCT(MAX(ROW(E$1:E1746)*(E2=E$1:E1746))))))</f>
        <v> </v>
      </c>
      <c r="K1747" s="25" t="str">
        <f>IF(OR(E1747="",E1747="!!!",F1747="NEW"),"",INDEX(J$1:J1746,SUMPRODUCT(MAX(ROW(E$1:E1746)*(E1747=E$1:E1746)))))</f>
        <v> </v>
      </c>
      <c r="L1747" s="26"/>
    </row>
    <row r="1748" spans="1:12">
      <c r="A1748" s="20" t="s">
        <v>1060</v>
      </c>
    </row>
    <row r="1749" spans="1:12">
      <c r="A1749" s="20" t="s">
        <v>1044</v>
      </c>
      <c r="E1749" s="21">
        <f>IF(D1749="?OLD","!!!","")</f>
        <v/>
      </c>
      <c r="F1749" s="22" t="str">
        <f>IF(OR(E1749="",E1749="!!!"),"",IF(NOT(ISNA(VLOOKUP(E1749,E$1:E1748,1,FALSE()))),"OLD",IF(AND(E1749&lt;&gt;"",E1749&lt;&gt;"!!!"),"NEW","")))</f>
        <v> </v>
      </c>
      <c r="G1749" s="23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4" t="str">
        <f>IF(J1749&lt;&gt;1,"",IF(I1749="SBJ","CB","?"))</f>
        <v> </v>
      </c>
      <c r="I1749" s="25" t="str">
        <f>IF(OR(E1749="",E1749="!!!",F1749="NEW"),"",INDEX(B1748:B$2,-1+SUMPRODUCT(MAX(ROW(E1748:E$2)*(E1749=E1748:E$2)))))</f>
        <v> </v>
      </c>
      <c r="J1749" s="25" t="str">
        <f>IF(OR(E1749="",E1749="!!!",F1749="NEW"),"",COUNTBLANK(OFFSET(A$1,,,SUMPRODUCT(MAX(ROW(E$2:E1749)*(E1749=E$2:E1749)))))-COUNTBLANK(OFFSET(A$1,,,SUMPRODUCT(MAX(ROW(E$1:E1748)*(E2=E$1:E1748))))))</f>
        <v> </v>
      </c>
      <c r="K1749" s="25" t="str">
        <f>IF(OR(E1749="",E1749="!!!",F1749="NEW"),"",INDEX(J$1:J1748,SUMPRODUCT(MAX(ROW(E$1:E1748)*(E1749=E$1:E1748)))))</f>
        <v> </v>
      </c>
      <c r="L1749" s="26"/>
    </row>
    <row r="1750" spans="1:12">
      <c r="A1750" s="20" t="s">
        <v>974</v>
      </c>
      <c r="B1750" s="27" t="s">
        <v>549</v>
      </c>
      <c r="C1750" s="27" t="s">
        <v>487</v>
      </c>
      <c r="D1750" s="27" t="s">
        <v>483</v>
      </c>
      <c r="E1750" s="21">
        <f>IF(D1750="?OLD","!!!","")</f>
        <v/>
      </c>
      <c r="F1750" s="22" t="str">
        <f>IF(OR(E1750="",E1750="!!!"),"",IF(NOT(ISNA(VLOOKUP(E1750,E$1:E1749,1,FALSE()))),"OLD",IF(AND(E1750&lt;&gt;"",E1750&lt;&gt;"!!!"),"NEW","")))</f>
        <v> </v>
      </c>
      <c r="G1750" s="23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4" t="str">
        <f>IF(J1750&lt;&gt;1,"",IF(I1750="SBJ","CB","?"))</f>
        <v> </v>
      </c>
      <c r="I1750" s="25" t="str">
        <f>IF(OR(E1750="",E1750="!!!",F1750="NEW"),"",INDEX(B1749:B$2,-1+SUMPRODUCT(MAX(ROW(E1749:E$2)*(E1750=E1749:E$2)))))</f>
        <v> </v>
      </c>
      <c r="J1750" s="25" t="str">
        <f>IF(OR(E1750="",E1750="!!!",F1750="NEW"),"",COUNTBLANK(OFFSET(A$1,,,SUMPRODUCT(MAX(ROW(E$2:E1750)*(E1750=E$2:E1750)))))-COUNTBLANK(OFFSET(A$1,,,SUMPRODUCT(MAX(ROW(E$1:E1749)*(E2=E$1:E1749))))))</f>
        <v> </v>
      </c>
      <c r="K1750" s="25" t="str">
        <f>IF(OR(E1750="",E1750="!!!",F1750="NEW"),"",INDEX(J$1:J1749,SUMPRODUCT(MAX(ROW(E$1:E1749)*(E1750=E$1:E1749)))))</f>
        <v> </v>
      </c>
      <c r="L1750" s="26"/>
    </row>
    <row r="1751" spans="1:12">
      <c r="A1751" s="20" t="s">
        <v>1045</v>
      </c>
      <c r="E1751" s="21">
        <f>IF(D1751="?OLD","!!!","")</f>
        <v/>
      </c>
      <c r="F1751" s="22" t="str">
        <f>IF(OR(E1751="",E1751="!!!"),"",IF(NOT(ISNA(VLOOKUP(E1751,E$1:E1750,1,FALSE()))),"OLD",IF(AND(E1751&lt;&gt;"",E1751&lt;&gt;"!!!"),"NEW","")))</f>
        <v> </v>
      </c>
      <c r="G1751" s="23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4" t="str">
        <f>IF(J1751&lt;&gt;1,"",IF(I1751="SBJ","CB","?"))</f>
        <v> </v>
      </c>
      <c r="I1751" s="25" t="str">
        <f>IF(OR(E1751="",E1751="!!!",F1751="NEW"),"",INDEX(B1750:B$2,-1+SUMPRODUCT(MAX(ROW(E1750:E$2)*(E1751=E1750:E$2)))))</f>
        <v> </v>
      </c>
      <c r="J1751" s="25" t="str">
        <f>IF(OR(E1751="",E1751="!!!",F1751="NEW"),"",COUNTBLANK(OFFSET(A$1,,,SUMPRODUCT(MAX(ROW(E$2:E1751)*(E1751=E$2:E1751)))))-COUNTBLANK(OFFSET(A$1,,,SUMPRODUCT(MAX(ROW(E$1:E1750)*(E2=E$1:E1750))))))</f>
        <v> </v>
      </c>
      <c r="K1751" s="25" t="str">
        <f>IF(OR(E1751="",E1751="!!!",F1751="NEW"),"",INDEX(J$1:J1750,SUMPRODUCT(MAX(ROW(E$1:E1750)*(E1751=E$1:E1750)))))</f>
        <v> </v>
      </c>
      <c r="L1751" s="26"/>
    </row>
    <row r="1752" spans="1:12">
      <c r="A1752" s="20" t="s">
        <v>1046</v>
      </c>
      <c r="E1752" s="21">
        <f>IF(D1752="?OLD","!!!","")</f>
        <v/>
      </c>
      <c r="F1752" s="22" t="str">
        <f>IF(OR(E1752="",E1752="!!!"),"",IF(NOT(ISNA(VLOOKUP(E1752,E$1:E1751,1,FALSE()))),"OLD",IF(AND(E1752&lt;&gt;"",E1752&lt;&gt;"!!!"),"NEW","")))</f>
        <v> </v>
      </c>
      <c r="G1752" s="23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4" t="str">
        <f>IF(J1752&lt;&gt;1,"",IF(I1752="SBJ","CB","?"))</f>
        <v> </v>
      </c>
      <c r="I1752" s="25" t="str">
        <f>IF(OR(E1752="",E1752="!!!",F1752="NEW"),"",INDEX(B1751:B$2,-1+SUMPRODUCT(MAX(ROW(E1751:E$2)*(E1752=E1751:E$2)))))</f>
        <v> </v>
      </c>
      <c r="J1752" s="25" t="str">
        <f>IF(OR(E1752="",E1752="!!!",F1752="NEW"),"",COUNTBLANK(OFFSET(A$1,,,SUMPRODUCT(MAX(ROW(E$2:E1752)*(E1752=E$2:E1752)))))-COUNTBLANK(OFFSET(A$1,,,SUMPRODUCT(MAX(ROW(E$1:E1751)*(E2=E$1:E1751))))))</f>
        <v> </v>
      </c>
      <c r="K1752" s="25" t="str">
        <f>IF(OR(E1752="",E1752="!!!",F1752="NEW"),"",INDEX(J$1:J1751,SUMPRODUCT(MAX(ROW(E$1:E1751)*(E1752=E$1:E1751)))))</f>
        <v> </v>
      </c>
      <c r="L1752" s="26"/>
    </row>
    <row r="1753" spans="1:12">
      <c r="A1753" s="20" t="s">
        <v>517</v>
      </c>
      <c r="E1753" s="21">
        <f>IF(D1753="?OLD","!!!","")</f>
        <v/>
      </c>
      <c r="F1753" s="22" t="str">
        <f>IF(OR(E1753="",E1753="!!!"),"",IF(NOT(ISNA(VLOOKUP(E1753,E$1:E1752,1,FALSE()))),"OLD",IF(AND(E1753&lt;&gt;"",E1753&lt;&gt;"!!!"),"NEW","")))</f>
        <v> </v>
      </c>
      <c r="G1753" s="23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4" t="str">
        <f>IF(J1753&lt;&gt;1,"",IF(I1753="SBJ","CB","?"))</f>
        <v> </v>
      </c>
      <c r="I1753" s="25" t="str">
        <f>IF(OR(E1753="",E1753="!!!",F1753="NEW"),"",INDEX(B1752:B$2,-1+SUMPRODUCT(MAX(ROW(E1752:E$2)*(E1753=E1752:E$2)))))</f>
        <v> </v>
      </c>
      <c r="J1753" s="25" t="str">
        <f>IF(OR(E1753="",E1753="!!!",F1753="NEW"),"",COUNTBLANK(OFFSET(A$1,,,SUMPRODUCT(MAX(ROW(E$2:E1753)*(E1753=E$2:E1753)))))-COUNTBLANK(OFFSET(A$1,,,SUMPRODUCT(MAX(ROW(E$1:E1752)*(E2=E$1:E1752))))))</f>
        <v> </v>
      </c>
      <c r="K1753" s="25" t="str">
        <f>IF(OR(E1753="",E1753="!!!",F1753="NEW"),"",INDEX(J$1:J1752,SUMPRODUCT(MAX(ROW(E$1:E1752)*(E1753=E$1:E1752)))))</f>
        <v> </v>
      </c>
      <c r="L1753" s="26"/>
    </row>
    <row r="1754" spans="1:12">
      <c r="A1754" s="20" t="s">
        <v>882</v>
      </c>
      <c r="B1754" s="27" t="s">
        <v>490</v>
      </c>
      <c r="C1754" s="27" t="s">
        <v>491</v>
      </c>
      <c r="D1754" s="27" t="s">
        <v>483</v>
      </c>
      <c r="E1754" s="21">
        <f>IF(D1754="?OLD","!!!","")</f>
        <v/>
      </c>
      <c r="F1754" s="22" t="str">
        <f>IF(OR(E1754="",E1754="!!!"),"",IF(NOT(ISNA(VLOOKUP(E1754,E$1:E1753,1,FALSE()))),"OLD",IF(AND(E1754&lt;&gt;"",E1754&lt;&gt;"!!!"),"NEW","")))</f>
        <v> </v>
      </c>
      <c r="G1754" s="23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4" t="str">
        <f>IF(J1754&lt;&gt;1,"",IF(I1754="SBJ","CB","?"))</f>
        <v> </v>
      </c>
      <c r="I1754" s="25" t="str">
        <f>IF(OR(E1754="",E1754="!!!",F1754="NEW"),"",INDEX(B1753:B$2,-1+SUMPRODUCT(MAX(ROW(E1753:E$2)*(E1754=E1753:E$2)))))</f>
        <v> </v>
      </c>
      <c r="J1754" s="25" t="str">
        <f>IF(OR(E1754="",E1754="!!!",F1754="NEW"),"",COUNTBLANK(OFFSET(A$1,,,SUMPRODUCT(MAX(ROW(E$2:E1754)*(E1754=E$2:E1754)))))-COUNTBLANK(OFFSET(A$1,,,SUMPRODUCT(MAX(ROW(E$1:E1753)*(E2=E$1:E1753))))))</f>
        <v> </v>
      </c>
      <c r="K1754" s="25" t="str">
        <f>IF(OR(E1754="",E1754="!!!",F1754="NEW"),"",INDEX(J$1:J1753,SUMPRODUCT(MAX(ROW(E$1:E1753)*(E1754=E$1:E1753)))))</f>
        <v> </v>
      </c>
      <c r="L1754" s="26"/>
    </row>
    <row r="1755" spans="1:12">
      <c r="A1755" s="20" t="s">
        <v>492</v>
      </c>
      <c r="B1755" s="27" t="s">
        <v>553</v>
      </c>
      <c r="E1755" s="21">
        <f>IF(D1755="?OLD","!!!","")</f>
        <v/>
      </c>
      <c r="F1755" s="22" t="str">
        <f>IF(OR(E1755="",E1755="!!!"),"",IF(NOT(ISNA(VLOOKUP(E1755,E$1:E1754,1,FALSE()))),"OLD",IF(AND(E1755&lt;&gt;"",E1755&lt;&gt;"!!!"),"NEW","")))</f>
        <v> </v>
      </c>
      <c r="G1755" s="23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4" t="str">
        <f>IF(J1755&lt;&gt;1,"",IF(I1755="SBJ","CB","?"))</f>
        <v> </v>
      </c>
      <c r="I1755" s="25" t="str">
        <f>IF(OR(E1755="",E1755="!!!",F1755="NEW"),"",INDEX(B1754:B$2,-1+SUMPRODUCT(MAX(ROW(E1754:E$2)*(E1755=E1754:E$2)))))</f>
        <v> </v>
      </c>
      <c r="J1755" s="25" t="str">
        <f>IF(OR(E1755="",E1755="!!!",F1755="NEW"),"",COUNTBLANK(OFFSET(A$1,,,SUMPRODUCT(MAX(ROW(E$2:E1755)*(E1755=E$2:E1755)))))-COUNTBLANK(OFFSET(A$1,,,SUMPRODUCT(MAX(ROW(E$1:E1754)*(E2=E$1:E1754))))))</f>
        <v> </v>
      </c>
      <c r="K1755" s="25" t="str">
        <f>IF(OR(E1755="",E1755="!!!",F1755="NEW"),"",INDEX(J$1:J1754,SUMPRODUCT(MAX(ROW(E$1:E1754)*(E1755=E$1:E1754)))))</f>
        <v> </v>
      </c>
      <c r="L1755" s="26"/>
    </row>
    <row r="1756" spans="1:12">
      <c r="A1756" s="20" t="s">
        <v>1061</v>
      </c>
      <c r="E1756" s="21">
        <f>IF(D1756="?OLD","!!!","")</f>
        <v/>
      </c>
      <c r="F1756" s="22" t="str">
        <f>IF(OR(E1756="",E1756="!!!"),"",IF(NOT(ISNA(VLOOKUP(E1756,E$1:E1755,1,FALSE()))),"OLD",IF(AND(E1756&lt;&gt;"",E1756&lt;&gt;"!!!"),"NEW","")))</f>
        <v> </v>
      </c>
      <c r="G1756" s="23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4" t="str">
        <f>IF(J1756&lt;&gt;1,"",IF(I1756="SBJ","CB","?"))</f>
        <v> </v>
      </c>
      <c r="I1756" s="25" t="str">
        <f>IF(OR(E1756="",E1756="!!!",F1756="NEW"),"",INDEX(B1755:B$2,-1+SUMPRODUCT(MAX(ROW(E1755:E$2)*(E1756=E1755:E$2)))))</f>
        <v> </v>
      </c>
      <c r="J1756" s="25" t="str">
        <f>IF(OR(E1756="",E1756="!!!",F1756="NEW"),"",COUNTBLANK(OFFSET(A$1,,,SUMPRODUCT(MAX(ROW(E$2:E1756)*(E1756=E$2:E1756)))))-COUNTBLANK(OFFSET(A$1,,,SUMPRODUCT(MAX(ROW(E$1:E1755)*(E2=E$1:E1755))))))</f>
        <v> </v>
      </c>
      <c r="K1756" s="25" t="str">
        <f>IF(OR(E1756="",E1756="!!!",F1756="NEW"),"",INDEX(J$1:J1755,SUMPRODUCT(MAX(ROW(E$1:E1755)*(E1756=E$1:E1755)))))</f>
        <v> </v>
      </c>
      <c r="L1756" s="26"/>
    </row>
    <row r="1757" spans="1:12">
      <c r="A1757" s="20" t="s">
        <v>652</v>
      </c>
      <c r="E1757" s="21">
        <f>IF(D1757="?OLD","!!!","")</f>
        <v/>
      </c>
      <c r="F1757" s="22" t="str">
        <f>IF(OR(E1757="",E1757="!!!"),"",IF(NOT(ISNA(VLOOKUP(E1757,E$1:E1756,1,FALSE()))),"OLD",IF(AND(E1757&lt;&gt;"",E1757&lt;&gt;"!!!"),"NEW","")))</f>
        <v> </v>
      </c>
      <c r="G1757" s="23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4" t="str">
        <f>IF(J1757&lt;&gt;1,"",IF(I1757="SBJ","CB","?"))</f>
        <v> </v>
      </c>
      <c r="I1757" s="25" t="str">
        <f>IF(OR(E1757="",E1757="!!!",F1757="NEW"),"",INDEX(B1756:B$2,-1+SUMPRODUCT(MAX(ROW(E1756:E$2)*(E1757=E1756:E$2)))))</f>
        <v> </v>
      </c>
      <c r="J1757" s="25" t="str">
        <f>IF(OR(E1757="",E1757="!!!",F1757="NEW"),"",COUNTBLANK(OFFSET(A$1,,,SUMPRODUCT(MAX(ROW(E$2:E1757)*(E1757=E$2:E1757)))))-COUNTBLANK(OFFSET(A$1,,,SUMPRODUCT(MAX(ROW(E$1:E1756)*(E2=E$1:E1756))))))</f>
        <v> </v>
      </c>
      <c r="K1757" s="25" t="str">
        <f>IF(OR(E1757="",E1757="!!!",F1757="NEW"),"",INDEX(J$1:J1756,SUMPRODUCT(MAX(ROW(E$1:E1756)*(E1757=E$1:E1756)))))</f>
        <v> </v>
      </c>
      <c r="L1757" s="26"/>
    </row>
    <row r="1758" spans="1:12">
      <c r="A1758" s="20" t="s">
        <v>1062</v>
      </c>
      <c r="B1758" s="27" t="s">
        <v>578</v>
      </c>
      <c r="C1758" s="27" t="s">
        <v>598</v>
      </c>
      <c r="D1758" s="27" t="s">
        <v>483</v>
      </c>
      <c r="E1758" s="21">
        <f>IF(D1758="?OLD","!!!","")</f>
        <v/>
      </c>
      <c r="F1758" s="22" t="str">
        <f>IF(OR(E1758="",E1758="!!!"),"",IF(NOT(ISNA(VLOOKUP(E1758,E$1:E1757,1,FALSE()))),"OLD",IF(AND(E1758&lt;&gt;"",E1758&lt;&gt;"!!!"),"NEW","")))</f>
        <v> </v>
      </c>
      <c r="G1758" s="23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4" t="str">
        <f>IF(J1758&lt;&gt;1,"",IF(I1758="SBJ","CB","?"))</f>
        <v> </v>
      </c>
      <c r="I1758" s="25" t="str">
        <f>IF(OR(E1758="",E1758="!!!",F1758="NEW"),"",INDEX(B1757:B$2,-1+SUMPRODUCT(MAX(ROW(E1757:E$2)*(E1758=E1757:E$2)))))</f>
        <v> </v>
      </c>
      <c r="J1758" s="25" t="str">
        <f>IF(OR(E1758="",E1758="!!!",F1758="NEW"),"",COUNTBLANK(OFFSET(A$1,,,SUMPRODUCT(MAX(ROW(E$2:E1758)*(E1758=E$2:E1758)))))-COUNTBLANK(OFFSET(A$1,,,SUMPRODUCT(MAX(ROW(E$1:E1757)*(E2=E$1:E1757))))))</f>
        <v> </v>
      </c>
      <c r="K1758" s="25" t="str">
        <f>IF(OR(E1758="",E1758="!!!",F1758="NEW"),"",INDEX(J$1:J1757,SUMPRODUCT(MAX(ROW(E$1:E1757)*(E1758=E$1:E1757)))))</f>
        <v> </v>
      </c>
      <c r="L1758" s="26"/>
    </row>
    <row r="1759" spans="1:12">
      <c r="A1759" s="20" t="s">
        <v>528</v>
      </c>
      <c r="E1759" s="21">
        <f>IF(D1759="?OLD","!!!","")</f>
        <v/>
      </c>
      <c r="F1759" s="22" t="str">
        <f>IF(OR(E1759="",E1759="!!!"),"",IF(NOT(ISNA(VLOOKUP(E1759,E$1:E1758,1,FALSE()))),"OLD",IF(AND(E1759&lt;&gt;"",E1759&lt;&gt;"!!!"),"NEW","")))</f>
        <v> </v>
      </c>
      <c r="G1759" s="23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4" t="str">
        <f>IF(J1759&lt;&gt;1,"",IF(I1759="SBJ","CB","?"))</f>
        <v> </v>
      </c>
      <c r="I1759" s="25" t="str">
        <f>IF(OR(E1759="",E1759="!!!",F1759="NEW"),"",INDEX(B1758:B$2,-1+SUMPRODUCT(MAX(ROW(E1758:E$2)*(E1759=E1758:E$2)))))</f>
        <v> </v>
      </c>
      <c r="J1759" s="25" t="str">
        <f>IF(OR(E1759="",E1759="!!!",F1759="NEW"),"",COUNTBLANK(OFFSET(A$1,,,SUMPRODUCT(MAX(ROW(E$2:E1759)*(E1759=E$2:E1759)))))-COUNTBLANK(OFFSET(A$1,,,SUMPRODUCT(MAX(ROW(E$1:E1758)*(E2=E$1:E1758))))))</f>
        <v> </v>
      </c>
      <c r="K1759" s="25" t="str">
        <f>IF(OR(E1759="",E1759="!!!",F1759="NEW"),"",INDEX(J$1:J1758,SUMPRODUCT(MAX(ROW(E$1:E1758)*(E1759=E$1:E1758)))))</f>
        <v> </v>
      </c>
      <c r="L1759" s="26"/>
    </row>
    <row r="1760" spans="1:12">
      <c r="A1760" s="20" t="s">
        <v>649</v>
      </c>
      <c r="E1760" s="21">
        <f>IF(D1760="?OLD","!!!","")</f>
        <v/>
      </c>
      <c r="F1760" s="22" t="str">
        <f>IF(OR(E1760="",E1760="!!!"),"",IF(NOT(ISNA(VLOOKUP(E1760,E$1:E1759,1,FALSE()))),"OLD",IF(AND(E1760&lt;&gt;"",E1760&lt;&gt;"!!!"),"NEW","")))</f>
        <v> </v>
      </c>
      <c r="G1760" s="23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4" t="str">
        <f>IF(J1760&lt;&gt;1,"",IF(I1760="SBJ","CB","?"))</f>
        <v> </v>
      </c>
      <c r="I1760" s="25" t="str">
        <f>IF(OR(E1760="",E1760="!!!",F1760="NEW"),"",INDEX(B1759:B$2,-1+SUMPRODUCT(MAX(ROW(E1759:E$2)*(E1760=E1759:E$2)))))</f>
        <v> </v>
      </c>
      <c r="J1760" s="25" t="str">
        <f>IF(OR(E1760="",E1760="!!!",F1760="NEW"),"",COUNTBLANK(OFFSET(A$1,,,SUMPRODUCT(MAX(ROW(E$2:E1760)*(E1760=E$2:E1760)))))-COUNTBLANK(OFFSET(A$1,,,SUMPRODUCT(MAX(ROW(E$1:E1759)*(E2=E$1:E1759))))))</f>
        <v> </v>
      </c>
      <c r="K1760" s="25" t="str">
        <f>IF(OR(E1760="",E1760="!!!",F1760="NEW"),"",INDEX(J$1:J1759,SUMPRODUCT(MAX(ROW(E$1:E1759)*(E1760=E$1:E1759)))))</f>
        <v> </v>
      </c>
      <c r="L1760" s="26"/>
    </row>
    <row r="1761" spans="1:12">
      <c r="A1761" s="20" t="s">
        <v>503</v>
      </c>
      <c r="E1761" s="21">
        <f>IF(D1761="?OLD","!!!","")</f>
        <v/>
      </c>
      <c r="F1761" s="22" t="str">
        <f>IF(OR(E1761="",E1761="!!!"),"",IF(NOT(ISNA(VLOOKUP(E1761,E$1:E1760,1,FALSE()))),"OLD",IF(AND(E1761&lt;&gt;"",E1761&lt;&gt;"!!!"),"NEW","")))</f>
        <v> </v>
      </c>
      <c r="G1761" s="23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4" t="str">
        <f>IF(J1761&lt;&gt;1,"",IF(I1761="SBJ","CB","?"))</f>
        <v> </v>
      </c>
      <c r="I1761" s="25" t="str">
        <f>IF(OR(E1761="",E1761="!!!",F1761="NEW"),"",INDEX(B1760:B$2,-1+SUMPRODUCT(MAX(ROW(E1760:E$2)*(E1761=E1760:E$2)))))</f>
        <v> </v>
      </c>
      <c r="J1761" s="25" t="str">
        <f>IF(OR(E1761="",E1761="!!!",F1761="NEW"),"",COUNTBLANK(OFFSET(A$1,,,SUMPRODUCT(MAX(ROW(E$2:E1761)*(E1761=E$2:E1761)))))-COUNTBLANK(OFFSET(A$1,,,SUMPRODUCT(MAX(ROW(E$1:E1760)*(E2=E$1:E1760))))))</f>
        <v> </v>
      </c>
      <c r="K1761" s="25" t="str">
        <f>IF(OR(E1761="",E1761="!!!",F1761="NEW"),"",INDEX(J$1:J1760,SUMPRODUCT(MAX(ROW(E$1:E1760)*(E1761=E$1:E1760)))))</f>
        <v> </v>
      </c>
      <c r="L1761" s="26"/>
    </row>
    <row r="1762" spans="1:12">
      <c r="A1762" s="20" t="s">
        <v>605</v>
      </c>
      <c r="B1762" s="27" t="s">
        <v>540</v>
      </c>
      <c r="C1762" s="27" t="s">
        <v>516</v>
      </c>
      <c r="E1762" s="21">
        <f>IF(D1762="?OLD","!!!","")</f>
        <v/>
      </c>
      <c r="F1762" s="22" t="str">
        <f>IF(OR(E1762="",E1762="!!!"),"",IF(NOT(ISNA(VLOOKUP(E1762,E$1:E1761,1,FALSE()))),"OLD",IF(AND(E1762&lt;&gt;"",E1762&lt;&gt;"!!!"),"NEW","")))</f>
        <v> </v>
      </c>
      <c r="G1762" s="23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4" t="str">
        <f>IF(J1762&lt;&gt;1,"",IF(I1762="SBJ","CB","?"))</f>
        <v> </v>
      </c>
      <c r="I1762" s="25" t="str">
        <f>IF(OR(E1762="",E1762="!!!",F1762="NEW"),"",INDEX(B1761:B$2,-1+SUMPRODUCT(MAX(ROW(E1761:E$2)*(E1762=E1761:E$2)))))</f>
        <v> </v>
      </c>
      <c r="J1762" s="25" t="str">
        <f>IF(OR(E1762="",E1762="!!!",F1762="NEW"),"",COUNTBLANK(OFFSET(A$1,,,SUMPRODUCT(MAX(ROW(E$2:E1762)*(E1762=E$2:E1762)))))-COUNTBLANK(OFFSET(A$1,,,SUMPRODUCT(MAX(ROW(E$1:E1761)*(E2=E$1:E1761))))))</f>
        <v> </v>
      </c>
      <c r="K1762" s="25" t="str">
        <f>IF(OR(E1762="",E1762="!!!",F1762="NEW"),"",INDEX(J$1:J1761,SUMPRODUCT(MAX(ROW(E$1:E1761)*(E1762=E$1:E1761)))))</f>
        <v> </v>
      </c>
      <c r="L1762" s="26"/>
    </row>
    <row r="1763" spans="1:12">
      <c r="A1763" s="20" t="s">
        <v>489</v>
      </c>
      <c r="E1763" s="21">
        <f>IF(D1763="?OLD","!!!","")</f>
        <v/>
      </c>
      <c r="F1763" s="22" t="str">
        <f>IF(OR(E1763="",E1763="!!!"),"",IF(NOT(ISNA(VLOOKUP(E1763,E$1:E1762,1,FALSE()))),"OLD",IF(AND(E1763&lt;&gt;"",E1763&lt;&gt;"!!!"),"NEW","")))</f>
        <v> </v>
      </c>
      <c r="G1763" s="23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4" t="str">
        <f>IF(J1763&lt;&gt;1,"",IF(I1763="SBJ","CB","?"))</f>
        <v> </v>
      </c>
      <c r="I1763" s="25" t="str">
        <f>IF(OR(E1763="",E1763="!!!",F1763="NEW"),"",INDEX(B1762:B$2,-1+SUMPRODUCT(MAX(ROW(E1762:E$2)*(E1763=E1762:E$2)))))</f>
        <v> </v>
      </c>
      <c r="J1763" s="25" t="str">
        <f>IF(OR(E1763="",E1763="!!!",F1763="NEW"),"",COUNTBLANK(OFFSET(A$1,,,SUMPRODUCT(MAX(ROW(E$2:E1763)*(E1763=E$2:E1763)))))-COUNTBLANK(OFFSET(A$1,,,SUMPRODUCT(MAX(ROW(E$1:E1762)*(E2=E$1:E1762))))))</f>
        <v> </v>
      </c>
      <c r="K1763" s="25" t="str">
        <f>IF(OR(E1763="",E1763="!!!",F1763="NEW"),"",INDEX(J$1:J1762,SUMPRODUCT(MAX(ROW(E$1:E1762)*(E1763=E$1:E1762)))))</f>
        <v> </v>
      </c>
      <c r="L1763" s="26"/>
    </row>
    <row r="1764" spans="1:12">
      <c r="A1764" s="20" t="s">
        <v>1063</v>
      </c>
      <c r="E1764" s="21">
        <f>IF(D1764="?OLD","!!!","")</f>
        <v/>
      </c>
      <c r="F1764" s="22" t="str">
        <f>IF(OR(E1764="",E1764="!!!"),"",IF(NOT(ISNA(VLOOKUP(E1764,E$1:E1763,1,FALSE()))),"OLD",IF(AND(E1764&lt;&gt;"",E1764&lt;&gt;"!!!"),"NEW","")))</f>
        <v> </v>
      </c>
      <c r="G1764" s="23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4" t="str">
        <f>IF(J1764&lt;&gt;1,"",IF(I1764="SBJ","CB","?"))</f>
        <v> </v>
      </c>
      <c r="I1764" s="25" t="str">
        <f>IF(OR(E1764="",E1764="!!!",F1764="NEW"),"",INDEX(B1763:B$2,-1+SUMPRODUCT(MAX(ROW(E1763:E$2)*(E1764=E1763:E$2)))))</f>
        <v> </v>
      </c>
      <c r="J1764" s="25" t="str">
        <f>IF(OR(E1764="",E1764="!!!",F1764="NEW"),"",COUNTBLANK(OFFSET(A$1,,,SUMPRODUCT(MAX(ROW(E$2:E1764)*(E1764=E$2:E1764)))))-COUNTBLANK(OFFSET(A$1,,,SUMPRODUCT(MAX(ROW(E$1:E1763)*(E2=E$1:E1763))))))</f>
        <v> </v>
      </c>
      <c r="K1764" s="25" t="str">
        <f>IF(OR(E1764="",E1764="!!!",F1764="NEW"),"",INDEX(J$1:J1763,SUMPRODUCT(MAX(ROW(E$1:E1763)*(E1764=E$1:E1763)))))</f>
        <v> </v>
      </c>
      <c r="L1764" s="26"/>
    </row>
    <row r="1765" spans="1:12">
      <c r="A1765" s="20" t="s">
        <v>124</v>
      </c>
      <c r="E1765" s="21">
        <f>IF(D1765="?OLD","!!!","")</f>
        <v/>
      </c>
      <c r="F1765" s="22" t="str">
        <f>IF(OR(E1765="",E1765="!!!"),"",IF(NOT(ISNA(VLOOKUP(E1765,E$1:E1764,1,FALSE()))),"OLD",IF(AND(E1765&lt;&gt;"",E1765&lt;&gt;"!!!"),"NEW","")))</f>
        <v> </v>
      </c>
      <c r="G1765" s="23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4" t="str">
        <f>IF(J1765&lt;&gt;1,"",IF(I1765="SBJ","CB","?"))</f>
        <v> </v>
      </c>
      <c r="I1765" s="25" t="str">
        <f>IF(OR(E1765="",E1765="!!!",F1765="NEW"),"",INDEX(B1764:B$2,-1+SUMPRODUCT(MAX(ROW(E1764:E$2)*(E1765=E1764:E$2)))))</f>
        <v> </v>
      </c>
      <c r="J1765" s="25" t="str">
        <f>IF(OR(E1765="",E1765="!!!",F1765="NEW"),"",COUNTBLANK(OFFSET(A$1,,,SUMPRODUCT(MAX(ROW(E$2:E1765)*(E1765=E$2:E1765)))))-COUNTBLANK(OFFSET(A$1,,,SUMPRODUCT(MAX(ROW(E$1:E1764)*(E2=E$1:E1764))))))</f>
        <v> </v>
      </c>
      <c r="K1765" s="25" t="str">
        <f>IF(OR(E1765="",E1765="!!!",F1765="NEW"),"",INDEX(J$1:J1764,SUMPRODUCT(MAX(ROW(E$1:E1764)*(E1765=E$1:E1764)))))</f>
        <v> </v>
      </c>
      <c r="L1765" s="26"/>
    </row>
    <row r="1766" spans="1:12">
      <c r="A1766" s="20" t="s">
        <v>917</v>
      </c>
      <c r="E1766" s="21">
        <f>IF(D1766="?OLD","!!!","")</f>
        <v/>
      </c>
      <c r="F1766" s="22" t="str">
        <f>IF(OR(E1766="",E1766="!!!"),"",IF(NOT(ISNA(VLOOKUP(E1766,E$1:E1765,1,FALSE()))),"OLD",IF(AND(E1766&lt;&gt;"",E1766&lt;&gt;"!!!"),"NEW","")))</f>
        <v> </v>
      </c>
      <c r="G1766" s="23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4" t="str">
        <f>IF(J1766&lt;&gt;1,"",IF(I1766="SBJ","CB","?"))</f>
        <v> </v>
      </c>
      <c r="I1766" s="25" t="str">
        <f>IF(OR(E1766="",E1766="!!!",F1766="NEW"),"",INDEX(B1765:B$2,-1+SUMPRODUCT(MAX(ROW(E1765:E$2)*(E1766=E1765:E$2)))))</f>
        <v> </v>
      </c>
      <c r="J1766" s="25" t="str">
        <f>IF(OR(E1766="",E1766="!!!",F1766="NEW"),"",COUNTBLANK(OFFSET(A$1,,,SUMPRODUCT(MAX(ROW(E$2:E1766)*(E1766=E$2:E1766)))))-COUNTBLANK(OFFSET(A$1,,,SUMPRODUCT(MAX(ROW(E$1:E1765)*(E2=E$1:E1765))))))</f>
        <v> </v>
      </c>
      <c r="K1766" s="25" t="str">
        <f>IF(OR(E1766="",E1766="!!!",F1766="NEW"),"",INDEX(J$1:J1765,SUMPRODUCT(MAX(ROW(E$1:E1765)*(E1766=E$1:E1765)))))</f>
        <v> </v>
      </c>
      <c r="L1766" s="26"/>
    </row>
    <row r="1767" spans="1:12">
      <c r="A1767" s="20" t="s">
        <v>610</v>
      </c>
      <c r="E1767" s="21">
        <f>IF(D1767="?OLD","!!!","")</f>
        <v/>
      </c>
      <c r="F1767" s="22" t="str">
        <f>IF(OR(E1767="",E1767="!!!"),"",IF(NOT(ISNA(VLOOKUP(E1767,E$1:E1766,1,FALSE()))),"OLD",IF(AND(E1767&lt;&gt;"",E1767&lt;&gt;"!!!"),"NEW","")))</f>
        <v> </v>
      </c>
      <c r="G1767" s="23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4" t="str">
        <f>IF(J1767&lt;&gt;1,"",IF(I1767="SBJ","CB","?"))</f>
        <v> </v>
      </c>
      <c r="I1767" s="25" t="str">
        <f>IF(OR(E1767="",E1767="!!!",F1767="NEW"),"",INDEX(B1766:B$2,-1+SUMPRODUCT(MAX(ROW(E1766:E$2)*(E1767=E1766:E$2)))))</f>
        <v> </v>
      </c>
      <c r="J1767" s="25" t="str">
        <f>IF(OR(E1767="",E1767="!!!",F1767="NEW"),"",COUNTBLANK(OFFSET(A$1,,,SUMPRODUCT(MAX(ROW(E$2:E1767)*(E1767=E$2:E1767)))))-COUNTBLANK(OFFSET(A$1,,,SUMPRODUCT(MAX(ROW(E$1:E1766)*(E2=E$1:E1766))))))</f>
        <v> </v>
      </c>
      <c r="K1767" s="25" t="str">
        <f>IF(OR(E1767="",E1767="!!!",F1767="NEW"),"",INDEX(J$1:J1766,SUMPRODUCT(MAX(ROW(E$1:E1766)*(E1767=E$1:E1766)))))</f>
        <v> </v>
      </c>
      <c r="L1767" s="26"/>
    </row>
    <row r="1768" spans="1:12">
      <c r="A1768" s="20" t="s">
        <v>1023</v>
      </c>
      <c r="E1768" s="21">
        <f>IF(D1768="?OLD","!!!","")</f>
        <v/>
      </c>
      <c r="F1768" s="22" t="str">
        <f>IF(OR(E1768="",E1768="!!!"),"",IF(NOT(ISNA(VLOOKUP(E1768,E$1:E1767,1,FALSE()))),"OLD",IF(AND(E1768&lt;&gt;"",E1768&lt;&gt;"!!!"),"NEW","")))</f>
        <v> </v>
      </c>
      <c r="G1768" s="23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4" t="str">
        <f>IF(J1768&lt;&gt;1,"",IF(I1768="SBJ","CB","?"))</f>
        <v> </v>
      </c>
      <c r="I1768" s="25" t="str">
        <f>IF(OR(E1768="",E1768="!!!",F1768="NEW"),"",INDEX(B1767:B$2,-1+SUMPRODUCT(MAX(ROW(E1767:E$2)*(E1768=E1767:E$2)))))</f>
        <v> </v>
      </c>
      <c r="J1768" s="25" t="str">
        <f>IF(OR(E1768="",E1768="!!!",F1768="NEW"),"",COUNTBLANK(OFFSET(A$1,,,SUMPRODUCT(MAX(ROW(E$2:E1768)*(E1768=E$2:E1768)))))-COUNTBLANK(OFFSET(A$1,,,SUMPRODUCT(MAX(ROW(E$1:E1767)*(E2=E$1:E1767))))))</f>
        <v> </v>
      </c>
      <c r="K1768" s="25" t="str">
        <f>IF(OR(E1768="",E1768="!!!",F1768="NEW"),"",INDEX(J$1:J1767,SUMPRODUCT(MAX(ROW(E$1:E1767)*(E1768=E$1:E1767)))))</f>
        <v> </v>
      </c>
      <c r="L1768" s="26"/>
    </row>
    <row r="1769" spans="1:12">
      <c r="A1769" s="20" t="s">
        <v>489</v>
      </c>
      <c r="E1769" s="21">
        <f>IF(D1769="?OLD","!!!","")</f>
        <v/>
      </c>
      <c r="F1769" s="22" t="str">
        <f>IF(OR(E1769="",E1769="!!!"),"",IF(NOT(ISNA(VLOOKUP(E1769,E$1:E1768,1,FALSE()))),"OLD",IF(AND(E1769&lt;&gt;"",E1769&lt;&gt;"!!!"),"NEW","")))</f>
        <v> </v>
      </c>
      <c r="G1769" s="23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4" t="str">
        <f>IF(J1769&lt;&gt;1,"",IF(I1769="SBJ","CB","?"))</f>
        <v> </v>
      </c>
      <c r="I1769" s="25" t="str">
        <f>IF(OR(E1769="",E1769="!!!",F1769="NEW"),"",INDEX(B1768:B$2,-1+SUMPRODUCT(MAX(ROW(E1768:E$2)*(E1769=E1768:E$2)))))</f>
        <v> </v>
      </c>
      <c r="J1769" s="25" t="str">
        <f>IF(OR(E1769="",E1769="!!!",F1769="NEW"),"",COUNTBLANK(OFFSET(A$1,,,SUMPRODUCT(MAX(ROW(E$2:E1769)*(E1769=E$2:E1769)))))-COUNTBLANK(OFFSET(A$1,,,SUMPRODUCT(MAX(ROW(E$1:E1768)*(E2=E$1:E1768))))))</f>
        <v> </v>
      </c>
      <c r="K1769" s="25" t="str">
        <f>IF(OR(E1769="",E1769="!!!",F1769="NEW"),"",INDEX(J$1:J1768,SUMPRODUCT(MAX(ROW(E$1:E1768)*(E1769=E$1:E1768)))))</f>
        <v> </v>
      </c>
      <c r="L1769" s="26"/>
    </row>
    <row r="1770" spans="1:12">
      <c r="A1770" s="20" t="s">
        <v>1048</v>
      </c>
      <c r="B1770" s="27" t="s">
        <v>537</v>
      </c>
      <c r="C1770" s="27" t="s">
        <v>491</v>
      </c>
      <c r="D1770" s="27" t="s">
        <v>483</v>
      </c>
      <c r="E1770" s="21">
        <f>IF(D1770="?OLD","!!!","")</f>
        <v/>
      </c>
      <c r="F1770" s="22" t="str">
        <f>IF(OR(E1770="",E1770="!!!"),"",IF(NOT(ISNA(VLOOKUP(E1770,E$1:E1769,1,FALSE()))),"OLD",IF(AND(E1770&lt;&gt;"",E1770&lt;&gt;"!!!"),"NEW","")))</f>
        <v> </v>
      </c>
      <c r="G1770" s="23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4" t="str">
        <f>IF(J1770&lt;&gt;1,"",IF(I1770="SBJ","CB","?"))</f>
        <v> </v>
      </c>
      <c r="I1770" s="25" t="str">
        <f>IF(OR(E1770="",E1770="!!!",F1770="NEW"),"",INDEX(B1769:B$2,-1+SUMPRODUCT(MAX(ROW(E1769:E$2)*(E1770=E1769:E$2)))))</f>
        <v> </v>
      </c>
      <c r="J1770" s="25" t="str">
        <f>IF(OR(E1770="",E1770="!!!",F1770="NEW"),"",COUNTBLANK(OFFSET(A$1,,,SUMPRODUCT(MAX(ROW(E$2:E1770)*(E1770=E$2:E1770)))))-COUNTBLANK(OFFSET(A$1,,,SUMPRODUCT(MAX(ROW(E$1:E1769)*(E2=E$1:E1769))))))</f>
        <v> </v>
      </c>
      <c r="K1770" s="25" t="str">
        <f>IF(OR(E1770="",E1770="!!!",F1770="NEW"),"",INDEX(J$1:J1769,SUMPRODUCT(MAX(ROW(E$1:E1769)*(E1770=E$1:E1769)))))</f>
        <v> </v>
      </c>
      <c r="L1770" s="26"/>
    </row>
    <row r="1771" spans="1:12">
      <c r="A1771" s="20" t="s">
        <v>1039</v>
      </c>
      <c r="E1771" s="21">
        <f>IF(D1771="?OLD","!!!","")</f>
        <v/>
      </c>
      <c r="F1771" s="22" t="str">
        <f>IF(OR(E1771="",E1771="!!!"),"",IF(NOT(ISNA(VLOOKUP(E1771,E$1:E1770,1,FALSE()))),"OLD",IF(AND(E1771&lt;&gt;"",E1771&lt;&gt;"!!!"),"NEW","")))</f>
        <v> </v>
      </c>
      <c r="G1771" s="23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4" t="str">
        <f>IF(J1771&lt;&gt;1,"",IF(I1771="SBJ","CB","?"))</f>
        <v> </v>
      </c>
      <c r="I1771" s="25" t="str">
        <f>IF(OR(E1771="",E1771="!!!",F1771="NEW"),"",INDEX(B1770:B$2,-1+SUMPRODUCT(MAX(ROW(E1770:E$2)*(E1771=E1770:E$2)))))</f>
        <v> </v>
      </c>
      <c r="J1771" s="25" t="str">
        <f>IF(OR(E1771="",E1771="!!!",F1771="NEW"),"",COUNTBLANK(OFFSET(A$1,,,SUMPRODUCT(MAX(ROW(E$2:E1771)*(E1771=E$2:E1771)))))-COUNTBLANK(OFFSET(A$1,,,SUMPRODUCT(MAX(ROW(E$1:E1770)*(E2=E$1:E1770))))))</f>
        <v> </v>
      </c>
      <c r="K1771" s="25" t="str">
        <f>IF(OR(E1771="",E1771="!!!",F1771="NEW"),"",INDEX(J$1:J1770,SUMPRODUCT(MAX(ROW(E$1:E1770)*(E1771=E$1:E1770)))))</f>
        <v> </v>
      </c>
      <c r="L1771" s="26"/>
    </row>
    <row r="1772" spans="1:12">
      <c r="A1772" s="20" t="s">
        <v>530</v>
      </c>
      <c r="E1772" s="21">
        <f>IF(D1772="?OLD","!!!","")</f>
        <v/>
      </c>
      <c r="F1772" s="22" t="str">
        <f>IF(OR(E1772="",E1772="!!!"),"",IF(NOT(ISNA(VLOOKUP(E1772,E$1:E1771,1,FALSE()))),"OLD",IF(AND(E1772&lt;&gt;"",E1772&lt;&gt;"!!!"),"NEW","")))</f>
        <v> </v>
      </c>
      <c r="G1772" s="23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4" t="str">
        <f>IF(J1772&lt;&gt;1,"",IF(I1772="SBJ","CB","?"))</f>
        <v> </v>
      </c>
      <c r="I1772" s="25" t="str">
        <f>IF(OR(E1772="",E1772="!!!",F1772="NEW"),"",INDEX(B1771:B$2,-1+SUMPRODUCT(MAX(ROW(E1771:E$2)*(E1772=E1771:E$2)))))</f>
        <v> </v>
      </c>
      <c r="J1772" s="25" t="str">
        <f>IF(OR(E1772="",E1772="!!!",F1772="NEW"),"",COUNTBLANK(OFFSET(A$1,,,SUMPRODUCT(MAX(ROW(E$2:E1772)*(E1772=E$2:E1772)))))-COUNTBLANK(OFFSET(A$1,,,SUMPRODUCT(MAX(ROW(E$1:E1771)*(E2=E$1:E1771))))))</f>
        <v> </v>
      </c>
      <c r="K1772" s="25" t="str">
        <f>IF(OR(E1772="",E1772="!!!",F1772="NEW"),"",INDEX(J$1:J1771,SUMPRODUCT(MAX(ROW(E$1:E1771)*(E1772=E$1:E1771)))))</f>
        <v> </v>
      </c>
      <c r="L1772" s="26"/>
    </row>
    <row r="1773" spans="1:12">
      <c r="A1773" s="20" t="s">
        <v>489</v>
      </c>
      <c r="E1773" s="21">
        <f>IF(D1773="?OLD","!!!","")</f>
        <v/>
      </c>
      <c r="F1773" s="22" t="str">
        <f>IF(OR(E1773="",E1773="!!!"),"",IF(NOT(ISNA(VLOOKUP(E1773,E$1:E1772,1,FALSE()))),"OLD",IF(AND(E1773&lt;&gt;"",E1773&lt;&gt;"!!!"),"NEW","")))</f>
        <v> </v>
      </c>
      <c r="G1773" s="23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4" t="str">
        <f>IF(J1773&lt;&gt;1,"",IF(I1773="SBJ","CB","?"))</f>
        <v> </v>
      </c>
      <c r="I1773" s="25" t="str">
        <f>IF(OR(E1773="",E1773="!!!",F1773="NEW"),"",INDEX(B1772:B$2,-1+SUMPRODUCT(MAX(ROW(E1772:E$2)*(E1773=E1772:E$2)))))</f>
        <v> </v>
      </c>
      <c r="J1773" s="25" t="str">
        <f>IF(OR(E1773="",E1773="!!!",F1773="NEW"),"",COUNTBLANK(OFFSET(A$1,,,SUMPRODUCT(MAX(ROW(E$2:E1773)*(E1773=E$2:E1773)))))-COUNTBLANK(OFFSET(A$1,,,SUMPRODUCT(MAX(ROW(E$1:E1772)*(E2=E$1:E1772))))))</f>
        <v> </v>
      </c>
      <c r="K1773" s="25" t="str">
        <f>IF(OR(E1773="",E1773="!!!",F1773="NEW"),"",INDEX(J$1:J1772,SUMPRODUCT(MAX(ROW(E$1:E1772)*(E1773=E$1:E1772)))))</f>
        <v> </v>
      </c>
      <c r="L1773" s="26"/>
    </row>
    <row r="1774" spans="1:12">
      <c r="A1774" s="20" t="s">
        <v>783</v>
      </c>
      <c r="E1774" s="21">
        <f>IF(D1774="?OLD","!!!","")</f>
        <v/>
      </c>
      <c r="F1774" s="22" t="str">
        <f>IF(OR(E1774="",E1774="!!!"),"",IF(NOT(ISNA(VLOOKUP(E1774,E$1:E1773,1,FALSE()))),"OLD",IF(AND(E1774&lt;&gt;"",E1774&lt;&gt;"!!!"),"NEW","")))</f>
        <v> </v>
      </c>
      <c r="G1774" s="23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4" t="str">
        <f>IF(J1774&lt;&gt;1,"",IF(I1774="SBJ","CB","?"))</f>
        <v> </v>
      </c>
      <c r="I1774" s="25" t="str">
        <f>IF(OR(E1774="",E1774="!!!",F1774="NEW"),"",INDEX(B1773:B$2,-1+SUMPRODUCT(MAX(ROW(E1773:E$2)*(E1774=E1773:E$2)))))</f>
        <v> </v>
      </c>
      <c r="J1774" s="25" t="str">
        <f>IF(OR(E1774="",E1774="!!!",F1774="NEW"),"",COUNTBLANK(OFFSET(A$1,,,SUMPRODUCT(MAX(ROW(E$2:E1774)*(E1774=E$2:E1774)))))-COUNTBLANK(OFFSET(A$1,,,SUMPRODUCT(MAX(ROW(E$1:E1773)*(E2=E$1:E1773))))))</f>
        <v> </v>
      </c>
      <c r="K1774" s="25" t="str">
        <f>IF(OR(E1774="",E1774="!!!",F1774="NEW"),"",INDEX(J$1:J1773,SUMPRODUCT(MAX(ROW(E$1:E1773)*(E1774=E$1:E1773)))))</f>
        <v> </v>
      </c>
      <c r="L1774" s="26"/>
    </row>
    <row r="1775" spans="1:12">
      <c r="A1775" s="20" t="s">
        <v>577</v>
      </c>
      <c r="E1775" s="21">
        <f>IF(D1775="?OLD","!!!","")</f>
        <v/>
      </c>
      <c r="F1775" s="22" t="str">
        <f>IF(OR(E1775="",E1775="!!!"),"",IF(NOT(ISNA(VLOOKUP(E1775,E$1:E1774,1,FALSE()))),"OLD",IF(AND(E1775&lt;&gt;"",E1775&lt;&gt;"!!!"),"NEW","")))</f>
        <v> </v>
      </c>
      <c r="G1775" s="23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4" t="str">
        <f>IF(J1775&lt;&gt;1,"",IF(I1775="SBJ","CB","?"))</f>
        <v> </v>
      </c>
      <c r="I1775" s="25" t="str">
        <f>IF(OR(E1775="",E1775="!!!",F1775="NEW"),"",INDEX(B1774:B$2,-1+SUMPRODUCT(MAX(ROW(E1774:E$2)*(E1775=E1774:E$2)))))</f>
        <v> </v>
      </c>
      <c r="J1775" s="25" t="str">
        <f>IF(OR(E1775="",E1775="!!!",F1775="NEW"),"",COUNTBLANK(OFFSET(A$1,,,SUMPRODUCT(MAX(ROW(E$2:E1775)*(E1775=E$2:E1775)))))-COUNTBLANK(OFFSET(A$1,,,SUMPRODUCT(MAX(ROW(E$1:E1774)*(E2=E$1:E1774))))))</f>
        <v> </v>
      </c>
      <c r="K1775" s="25" t="str">
        <f>IF(OR(E1775="",E1775="!!!",F1775="NEW"),"",INDEX(J$1:J1774,SUMPRODUCT(MAX(ROW(E$1:E1774)*(E1775=E$1:E1774)))))</f>
        <v> </v>
      </c>
      <c r="L1775" s="26"/>
    </row>
    <row r="1776" spans="1:12">
      <c r="A1776" s="20" t="s">
        <v>492</v>
      </c>
      <c r="E1776" s="21">
        <f>IF(D1776="?OLD","!!!","")</f>
        <v/>
      </c>
      <c r="F1776" s="22" t="str">
        <f>IF(OR(E1776="",E1776="!!!"),"",IF(NOT(ISNA(VLOOKUP(E1776,E$1:E1775,1,FALSE()))),"OLD",IF(AND(E1776&lt;&gt;"",E1776&lt;&gt;"!!!"),"NEW","")))</f>
        <v> </v>
      </c>
      <c r="G1776" s="23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4" t="str">
        <f>IF(J1776&lt;&gt;1,"",IF(I1776="SBJ","CB","?"))</f>
        <v> </v>
      </c>
      <c r="I1776" s="25" t="str">
        <f>IF(OR(E1776="",E1776="!!!",F1776="NEW"),"",INDEX(B1775:B$2,-1+SUMPRODUCT(MAX(ROW(E1775:E$2)*(E1776=E1775:E$2)))))</f>
        <v> </v>
      </c>
      <c r="J1776" s="25" t="str">
        <f>IF(OR(E1776="",E1776="!!!",F1776="NEW"),"",COUNTBLANK(OFFSET(A$1,,,SUMPRODUCT(MAX(ROW(E$2:E1776)*(E1776=E$2:E1776)))))-COUNTBLANK(OFFSET(A$1,,,SUMPRODUCT(MAX(ROW(E$1:E1775)*(E2=E$1:E1775))))))</f>
        <v> </v>
      </c>
      <c r="K1776" s="25" t="str">
        <f>IF(OR(E1776="",E1776="!!!",F1776="NEW"),"",INDEX(J$1:J1775,SUMPRODUCT(MAX(ROW(E$1:E1775)*(E1776=E$1:E1775)))))</f>
        <v> </v>
      </c>
      <c r="L1776" s="26"/>
    </row>
    <row r="1777" spans="1:12">
      <c r="A1777" s="20" t="s">
        <v>23</v>
      </c>
      <c r="E1777" s="21">
        <f>IF(D1777="?OLD","!!!","")</f>
        <v/>
      </c>
      <c r="F1777" s="22" t="str">
        <f>IF(OR(E1777="",E1777="!!!"),"",IF(NOT(ISNA(VLOOKUP(E1777,E$1:E1776,1,FALSE()))),"OLD",IF(AND(E1777&lt;&gt;"",E1777&lt;&gt;"!!!"),"NEW","")))</f>
        <v> </v>
      </c>
      <c r="G1777" s="23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4" t="str">
        <f>IF(J1777&lt;&gt;1,"",IF(I1777="SBJ","CB","?"))</f>
        <v> </v>
      </c>
      <c r="I1777" s="25" t="str">
        <f>IF(OR(E1777="",E1777="!!!",F1777="NEW"),"",INDEX(B1776:B$2,-1+SUMPRODUCT(MAX(ROW(E1776:E$2)*(E1777=E1776:E$2)))))</f>
        <v> </v>
      </c>
      <c r="J1777" s="25" t="str">
        <f>IF(OR(E1777="",E1777="!!!",F1777="NEW"),"",COUNTBLANK(OFFSET(A$1,,,SUMPRODUCT(MAX(ROW(E$2:E1777)*(E1777=E$2:E1777)))))-COUNTBLANK(OFFSET(A$1,,,SUMPRODUCT(MAX(ROW(E$1:E1776)*(E2=E$1:E1776))))))</f>
        <v> </v>
      </c>
      <c r="K1777" s="25" t="str">
        <f>IF(OR(E1777="",E1777="!!!",F1777="NEW"),"",INDEX(J$1:J1776,SUMPRODUCT(MAX(ROW(E$1:E1776)*(E1777=E$1:E1776)))))</f>
        <v> </v>
      </c>
      <c r="L1777" s="26"/>
    </row>
    <row r="1778" spans="1:12">
      <c r="A1778" s="20" t="s">
        <v>847</v>
      </c>
      <c r="E1778" s="21">
        <f>IF(D1778="?OLD","!!!","")</f>
        <v/>
      </c>
      <c r="F1778" s="22" t="str">
        <f>IF(OR(E1778="",E1778="!!!"),"",IF(NOT(ISNA(VLOOKUP(E1778,E$1:E1777,1,FALSE()))),"OLD",IF(AND(E1778&lt;&gt;"",E1778&lt;&gt;"!!!"),"NEW","")))</f>
        <v> </v>
      </c>
      <c r="G1778" s="23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4" t="str">
        <f>IF(J1778&lt;&gt;1,"",IF(I1778="SBJ","CB","?"))</f>
        <v> </v>
      </c>
      <c r="I1778" s="25" t="str">
        <f>IF(OR(E1778="",E1778="!!!",F1778="NEW"),"",INDEX(B1777:B$2,-1+SUMPRODUCT(MAX(ROW(E1777:E$2)*(E1778=E1777:E$2)))))</f>
        <v> </v>
      </c>
      <c r="J1778" s="25" t="str">
        <f>IF(OR(E1778="",E1778="!!!",F1778="NEW"),"",COUNTBLANK(OFFSET(A$1,,,SUMPRODUCT(MAX(ROW(E$2:E1778)*(E1778=E$2:E1778)))))-COUNTBLANK(OFFSET(A$1,,,SUMPRODUCT(MAX(ROW(E$1:E1777)*(E2=E$1:E1777))))))</f>
        <v> </v>
      </c>
      <c r="K1778" s="25" t="str">
        <f>IF(OR(E1778="",E1778="!!!",F1778="NEW"),"",INDEX(J$1:J1777,SUMPRODUCT(MAX(ROW(E$1:E1777)*(E1778=E$1:E1777)))))</f>
        <v> </v>
      </c>
      <c r="L1778" s="26"/>
    </row>
    <row r="1779" spans="1:12">
      <c r="A1779" s="20" t="s">
        <v>486</v>
      </c>
      <c r="B1779" s="27" t="s">
        <v>556</v>
      </c>
      <c r="C1779" s="27" t="s">
        <v>478</v>
      </c>
      <c r="E1779" s="21">
        <f>IF(D1779="?OLD","!!!","")</f>
        <v/>
      </c>
      <c r="F1779" s="22" t="str">
        <f>IF(OR(E1779="",E1779="!!!"),"",IF(NOT(ISNA(VLOOKUP(E1779,E$1:E1778,1,FALSE()))),"OLD",IF(AND(E1779&lt;&gt;"",E1779&lt;&gt;"!!!"),"NEW","")))</f>
        <v> </v>
      </c>
      <c r="G1779" s="23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4" t="str">
        <f>IF(J1779&lt;&gt;1,"",IF(I1779="SBJ","CB","?"))</f>
        <v> </v>
      </c>
      <c r="I1779" s="25" t="str">
        <f>IF(OR(E1779="",E1779="!!!",F1779="NEW"),"",INDEX(B1778:B$2,-1+SUMPRODUCT(MAX(ROW(E1778:E$2)*(E1779=E1778:E$2)))))</f>
        <v> </v>
      </c>
      <c r="J1779" s="25" t="str">
        <f>IF(OR(E1779="",E1779="!!!",F1779="NEW"),"",COUNTBLANK(OFFSET(A$1,,,SUMPRODUCT(MAX(ROW(E$2:E1779)*(E1779=E$2:E1779)))))-COUNTBLANK(OFFSET(A$1,,,SUMPRODUCT(MAX(ROW(E$1:E1778)*(E2=E$1:E1778))))))</f>
        <v> </v>
      </c>
      <c r="K1779" s="25" t="str">
        <f>IF(OR(E1779="",E1779="!!!",F1779="NEW"),"",INDEX(J$1:J1778,SUMPRODUCT(MAX(ROW(E$1:E1778)*(E1779=E$1:E1778)))))</f>
        <v> </v>
      </c>
      <c r="L1779" s="26"/>
    </row>
    <row r="1780" spans="1:12">
      <c r="A1780" s="20" t="s">
        <v>531</v>
      </c>
      <c r="E1780" s="21">
        <f>IF(D1780="?OLD","!!!","")</f>
        <v/>
      </c>
      <c r="F1780" s="22" t="str">
        <f>IF(OR(E1780="",E1780="!!!"),"",IF(NOT(ISNA(VLOOKUP(E1780,E$1:E1779,1,FALSE()))),"OLD",IF(AND(E1780&lt;&gt;"",E1780&lt;&gt;"!!!"),"NEW","")))</f>
        <v> </v>
      </c>
      <c r="G1780" s="23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4" t="str">
        <f>IF(J1780&lt;&gt;1,"",IF(I1780="SBJ","CB","?"))</f>
        <v> </v>
      </c>
      <c r="I1780" s="25" t="str">
        <f>IF(OR(E1780="",E1780="!!!",F1780="NEW"),"",INDEX(B1779:B$2,-1+SUMPRODUCT(MAX(ROW(E1779:E$2)*(E1780=E1779:E$2)))))</f>
        <v> </v>
      </c>
      <c r="J1780" s="25" t="str">
        <f>IF(OR(E1780="",E1780="!!!",F1780="NEW"),"",COUNTBLANK(OFFSET(A$1,,,SUMPRODUCT(MAX(ROW(E$2:E1780)*(E1780=E$2:E1780)))))-COUNTBLANK(OFFSET(A$1,,,SUMPRODUCT(MAX(ROW(E$1:E1779)*(E2=E$1:E1779))))))</f>
        <v> </v>
      </c>
      <c r="K1780" s="25" t="str">
        <f>IF(OR(E1780="",E1780="!!!",F1780="NEW"),"",INDEX(J$1:J1779,SUMPRODUCT(MAX(ROW(E$1:E1779)*(E1780=E$1:E1779)))))</f>
        <v> </v>
      </c>
      <c r="L1780" s="26"/>
    </row>
    <row r="1781" spans="1:12">
      <c r="A1781" s="20"/>
    </row>
    <row r="1782" spans="1:12">
      <c r="A1782" s="20" t="s">
        <v>606</v>
      </c>
      <c r="E1782" s="21">
        <f>IF(D1782="?OLD","!!!","")</f>
        <v/>
      </c>
      <c r="F1782" s="22" t="str">
        <f>IF(OR(E1782="",E1782="!!!"),"",IF(NOT(ISNA(VLOOKUP(E1782,E$1:E1781,1,FALSE()))),"OLD",IF(AND(E1782&lt;&gt;"",E1782&lt;&gt;"!!!"),"NEW","")))</f>
        <v> </v>
      </c>
      <c r="G1782" s="23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4" t="str">
        <f>IF(J1782&lt;&gt;1,"",IF(I1782="SBJ","CB","?"))</f>
        <v> </v>
      </c>
      <c r="I1782" s="25" t="str">
        <f>IF(OR(E1782="",E1782="!!!",F1782="NEW"),"",INDEX(B1781:B$2,-1+SUMPRODUCT(MAX(ROW(E1781:E$2)*(E1782=E1781:E$2)))))</f>
        <v> </v>
      </c>
      <c r="J1782" s="25" t="str">
        <f>IF(OR(E1782="",E1782="!!!",F1782="NEW"),"",COUNTBLANK(OFFSET(A$1,,,SUMPRODUCT(MAX(ROW(E$2:E1782)*(E1782=E$2:E1782)))))-COUNTBLANK(OFFSET(A$1,,,SUMPRODUCT(MAX(ROW(E$1:E1781)*(E2=E$1:E1781))))))</f>
        <v> </v>
      </c>
      <c r="K1782" s="25" t="str">
        <f>IF(OR(E1782="",E1782="!!!",F1782="NEW"),"",INDEX(J$1:J1781,SUMPRODUCT(MAX(ROW(E$1:E1781)*(E1782=E$1:E1781)))))</f>
        <v> </v>
      </c>
      <c r="L1782" s="26"/>
    </row>
    <row r="1783" spans="1:12">
      <c r="A1783" s="20" t="s">
        <v>1064</v>
      </c>
    </row>
    <row r="1784" spans="1:12">
      <c r="A1784" s="20" t="s">
        <v>610</v>
      </c>
      <c r="E1784" s="21">
        <f>IF(D1784="?OLD","!!!","")</f>
        <v/>
      </c>
      <c r="F1784" s="22" t="str">
        <f>IF(OR(E1784="",E1784="!!!"),"",IF(NOT(ISNA(VLOOKUP(E1784,E$1:E1783,1,FALSE()))),"OLD",IF(AND(E1784&lt;&gt;"",E1784&lt;&gt;"!!!"),"NEW","")))</f>
        <v> </v>
      </c>
      <c r="G1784" s="23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4" t="str">
        <f>IF(J1784&lt;&gt;1,"",IF(I1784="SBJ","CB","?"))</f>
        <v> </v>
      </c>
      <c r="I1784" s="25" t="str">
        <f>IF(OR(E1784="",E1784="!!!",F1784="NEW"),"",INDEX(B1783:B$2,-1+SUMPRODUCT(MAX(ROW(E1783:E$2)*(E1784=E1783:E$2)))))</f>
        <v> </v>
      </c>
      <c r="J1784" s="25" t="str">
        <f>IF(OR(E1784="",E1784="!!!",F1784="NEW"),"",COUNTBLANK(OFFSET(A$1,,,SUMPRODUCT(MAX(ROW(E$2:E1784)*(E1784=E$2:E1784)))))-COUNTBLANK(OFFSET(A$1,,,SUMPRODUCT(MAX(ROW(E$1:E1783)*(E2=E$1:E1783))))))</f>
        <v> </v>
      </c>
      <c r="K1784" s="25" t="str">
        <f>IF(OR(E1784="",E1784="!!!",F1784="NEW"),"",INDEX(J$1:J1783,SUMPRODUCT(MAX(ROW(E$1:E1783)*(E1784=E$1:E1783)))))</f>
        <v> </v>
      </c>
      <c r="L1784" s="26"/>
    </row>
    <row r="1785" spans="1:12">
      <c r="A1785" s="20" t="s">
        <v>566</v>
      </c>
      <c r="E1785" s="21">
        <f>IF(D1785="?OLD","!!!","")</f>
        <v/>
      </c>
      <c r="F1785" s="22" t="str">
        <f>IF(OR(E1785="",E1785="!!!"),"",IF(NOT(ISNA(VLOOKUP(E1785,E$1:E1784,1,FALSE()))),"OLD",IF(AND(E1785&lt;&gt;"",E1785&lt;&gt;"!!!"),"NEW","")))</f>
        <v> </v>
      </c>
      <c r="G1785" s="23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4" t="str">
        <f>IF(J1785&lt;&gt;1,"",IF(I1785="SBJ","CB","?"))</f>
        <v> </v>
      </c>
      <c r="I1785" s="25" t="str">
        <f>IF(OR(E1785="",E1785="!!!",F1785="NEW"),"",INDEX(B1784:B$2,-1+SUMPRODUCT(MAX(ROW(E1784:E$2)*(E1785=E1784:E$2)))))</f>
        <v> </v>
      </c>
      <c r="J1785" s="25" t="str">
        <f>IF(OR(E1785="",E1785="!!!",F1785="NEW"),"",COUNTBLANK(OFFSET(A$1,,,SUMPRODUCT(MAX(ROW(E$2:E1785)*(E1785=E$2:E1785)))))-COUNTBLANK(OFFSET(A$1,,,SUMPRODUCT(MAX(ROW(E$1:E1784)*(E2=E$1:E1784))))))</f>
        <v> </v>
      </c>
      <c r="K1785" s="25" t="str">
        <f>IF(OR(E1785="",E1785="!!!",F1785="NEW"),"",INDEX(J$1:J1784,SUMPRODUCT(MAX(ROW(E$1:E1784)*(E1785=E$1:E1784)))))</f>
        <v> </v>
      </c>
      <c r="L1785" s="26"/>
    </row>
    <row r="1786" spans="1:12">
      <c r="A1786" s="20" t="s">
        <v>1065</v>
      </c>
      <c r="E1786" s="21">
        <f>IF(D1786="?OLD","!!!","")</f>
        <v/>
      </c>
      <c r="F1786" s="22" t="str">
        <f>IF(OR(E1786="",E1786="!!!"),"",IF(NOT(ISNA(VLOOKUP(E1786,E$1:E1785,1,FALSE()))),"OLD",IF(AND(E1786&lt;&gt;"",E1786&lt;&gt;"!!!"),"NEW","")))</f>
        <v> </v>
      </c>
      <c r="G1786" s="23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4" t="str">
        <f>IF(J1786&lt;&gt;1,"",IF(I1786="SBJ","CB","?"))</f>
        <v> </v>
      </c>
      <c r="I1786" s="25" t="str">
        <f>IF(OR(E1786="",E1786="!!!",F1786="NEW"),"",INDEX(B1785:B$2,-1+SUMPRODUCT(MAX(ROW(E1785:E$2)*(E1786=E1785:E$2)))))</f>
        <v> </v>
      </c>
      <c r="J1786" s="25" t="str">
        <f>IF(OR(E1786="",E1786="!!!",F1786="NEW"),"",COUNTBLANK(OFFSET(A$1,,,SUMPRODUCT(MAX(ROW(E$2:E1786)*(E1786=E$2:E1786)))))-COUNTBLANK(OFFSET(A$1,,,SUMPRODUCT(MAX(ROW(E$1:E1785)*(E2=E$1:E1785))))))</f>
        <v> </v>
      </c>
      <c r="K1786" s="25" t="str">
        <f>IF(OR(E1786="",E1786="!!!",F1786="NEW"),"",INDEX(J$1:J1785,SUMPRODUCT(MAX(ROW(E$1:E1785)*(E1786=E$1:E1785)))))</f>
        <v> </v>
      </c>
      <c r="L1786" s="26"/>
    </row>
    <row r="1787" spans="1:12">
      <c r="A1787" s="20" t="s">
        <v>530</v>
      </c>
      <c r="E1787" s="21">
        <f>IF(D1787="?OLD","!!!","")</f>
        <v/>
      </c>
      <c r="F1787" s="22" t="str">
        <f>IF(OR(E1787="",E1787="!!!"),"",IF(NOT(ISNA(VLOOKUP(E1787,E$1:E1786,1,FALSE()))),"OLD",IF(AND(E1787&lt;&gt;"",E1787&lt;&gt;"!!!"),"NEW","")))</f>
        <v> </v>
      </c>
      <c r="G1787" s="23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4" t="str">
        <f>IF(J1787&lt;&gt;1,"",IF(I1787="SBJ","CB","?"))</f>
        <v> </v>
      </c>
      <c r="I1787" s="25" t="str">
        <f>IF(OR(E1787="",E1787="!!!",F1787="NEW"),"",INDEX(B1786:B$2,-1+SUMPRODUCT(MAX(ROW(E1786:E$2)*(E1787=E1786:E$2)))))</f>
        <v> </v>
      </c>
      <c r="J1787" s="25" t="str">
        <f>IF(OR(E1787="",E1787="!!!",F1787="NEW"),"",COUNTBLANK(OFFSET(A$1,,,SUMPRODUCT(MAX(ROW(E$2:E1787)*(E1787=E$2:E1787)))))-COUNTBLANK(OFFSET(A$1,,,SUMPRODUCT(MAX(ROW(E$1:E1786)*(E2=E$1:E1786))))))</f>
        <v> </v>
      </c>
      <c r="K1787" s="25" t="str">
        <f>IF(OR(E1787="",E1787="!!!",F1787="NEW"),"",INDEX(J$1:J1786,SUMPRODUCT(MAX(ROW(E$1:E1786)*(E1787=E$1:E1786)))))</f>
        <v> </v>
      </c>
      <c r="L1787" s="26"/>
    </row>
    <row r="1788" spans="1:12">
      <c r="A1788" s="20" t="s">
        <v>1029</v>
      </c>
      <c r="B1788" s="27" t="s">
        <v>549</v>
      </c>
      <c r="C1788" s="27" t="s">
        <v>482</v>
      </c>
      <c r="D1788" s="27" t="s">
        <v>483</v>
      </c>
      <c r="E1788" s="21">
        <f>IF(D1788="?OLD","!!!","")</f>
        <v/>
      </c>
      <c r="F1788" s="22" t="str">
        <f>IF(OR(E1788="",E1788="!!!"),"",IF(NOT(ISNA(VLOOKUP(E1788,E$1:E1787,1,FALSE()))),"OLD",IF(AND(E1788&lt;&gt;"",E1788&lt;&gt;"!!!"),"NEW","")))</f>
        <v> </v>
      </c>
      <c r="G1788" s="23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4" t="str">
        <f>IF(J1788&lt;&gt;1,"",IF(I1788="SBJ","CB","?"))</f>
        <v> </v>
      </c>
      <c r="I1788" s="25" t="str">
        <f>IF(OR(E1788="",E1788="!!!",F1788="NEW"),"",INDEX(B1787:B$2,-1+SUMPRODUCT(MAX(ROW(E1787:E$2)*(E1788=E1787:E$2)))))</f>
        <v> </v>
      </c>
      <c r="J1788" s="25" t="str">
        <f>IF(OR(E1788="",E1788="!!!",F1788="NEW"),"",COUNTBLANK(OFFSET(A$1,,,SUMPRODUCT(MAX(ROW(E$2:E1788)*(E1788=E$2:E1788)))))-COUNTBLANK(OFFSET(A$1,,,SUMPRODUCT(MAX(ROW(E$1:E1787)*(E2=E$1:E1787))))))</f>
        <v> </v>
      </c>
      <c r="K1788" s="25" t="str">
        <f>IF(OR(E1788="",E1788="!!!",F1788="NEW"),"",INDEX(J$1:J1787,SUMPRODUCT(MAX(ROW(E$1:E1787)*(E1788=E$1:E1787)))))</f>
        <v> </v>
      </c>
      <c r="L1788" s="26"/>
    </row>
    <row r="1789" spans="1:12">
      <c r="A1789" s="20" t="s">
        <v>1066</v>
      </c>
      <c r="E1789" s="21">
        <f>IF(D1789="?OLD","!!!","")</f>
        <v/>
      </c>
      <c r="F1789" s="22" t="str">
        <f>IF(OR(E1789="",E1789="!!!"),"",IF(NOT(ISNA(VLOOKUP(E1789,E$1:E1788,1,FALSE()))),"OLD",IF(AND(E1789&lt;&gt;"",E1789&lt;&gt;"!!!"),"NEW","")))</f>
        <v> </v>
      </c>
      <c r="G1789" s="23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4" t="str">
        <f>IF(J1789&lt;&gt;1,"",IF(I1789="SBJ","CB","?"))</f>
        <v> </v>
      </c>
      <c r="I1789" s="25" t="str">
        <f>IF(OR(E1789="",E1789="!!!",F1789="NEW"),"",INDEX(B1788:B$2,-1+SUMPRODUCT(MAX(ROW(E1788:E$2)*(E1789=E1788:E$2)))))</f>
        <v> </v>
      </c>
      <c r="J1789" s="25" t="str">
        <f>IF(OR(E1789="",E1789="!!!",F1789="NEW"),"",COUNTBLANK(OFFSET(A$1,,,SUMPRODUCT(MAX(ROW(E$2:E1789)*(E1789=E$2:E1789)))))-COUNTBLANK(OFFSET(A$1,,,SUMPRODUCT(MAX(ROW(E$1:E1788)*(E2=E$1:E1788))))))</f>
        <v> </v>
      </c>
      <c r="K1789" s="25" t="str">
        <f>IF(OR(E1789="",E1789="!!!",F1789="NEW"),"",INDEX(J$1:J1788,SUMPRODUCT(MAX(ROW(E$1:E1788)*(E1789=E$1:E1788)))))</f>
        <v> </v>
      </c>
      <c r="L1789" s="26"/>
    </row>
    <row r="1790" spans="1:12">
      <c r="A1790" s="20" t="s">
        <v>561</v>
      </c>
      <c r="E1790" s="21">
        <f>IF(D1790="?OLD","!!!","")</f>
        <v/>
      </c>
      <c r="F1790" s="22" t="str">
        <f>IF(OR(E1790="",E1790="!!!"),"",IF(NOT(ISNA(VLOOKUP(E1790,E$1:E1789,1,FALSE()))),"OLD",IF(AND(E1790&lt;&gt;"",E1790&lt;&gt;"!!!"),"NEW","")))</f>
        <v> </v>
      </c>
      <c r="G1790" s="23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4" t="str">
        <f>IF(J1790&lt;&gt;1,"",IF(I1790="SBJ","CB","?"))</f>
        <v> </v>
      </c>
      <c r="I1790" s="25" t="str">
        <f>IF(OR(E1790="",E1790="!!!",F1790="NEW"),"",INDEX(B1789:B$2,-1+SUMPRODUCT(MAX(ROW(E1789:E$2)*(E1790=E1789:E$2)))))</f>
        <v> </v>
      </c>
      <c r="J1790" s="25" t="str">
        <f>IF(OR(E1790="",E1790="!!!",F1790="NEW"),"",COUNTBLANK(OFFSET(A$1,,,SUMPRODUCT(MAX(ROW(E$2:E1790)*(E1790=E$2:E1790)))))-COUNTBLANK(OFFSET(A$1,,,SUMPRODUCT(MAX(ROW(E$1:E1789)*(E2=E$1:E1789))))))</f>
        <v> </v>
      </c>
      <c r="K1790" s="25" t="str">
        <f>IF(OR(E1790="",E1790="!!!",F1790="NEW"),"",INDEX(J$1:J1789,SUMPRODUCT(MAX(ROW(E$1:E1789)*(E1790=E$1:E1789)))))</f>
        <v> </v>
      </c>
      <c r="L1790" s="26"/>
    </row>
    <row r="1791" spans="1:12">
      <c r="A1791" s="20" t="s">
        <v>610</v>
      </c>
      <c r="E1791" s="21">
        <f>IF(D1791="?OLD","!!!","")</f>
        <v/>
      </c>
      <c r="F1791" s="22" t="str">
        <f>IF(OR(E1791="",E1791="!!!"),"",IF(NOT(ISNA(VLOOKUP(E1791,E$1:E1790,1,FALSE()))),"OLD",IF(AND(E1791&lt;&gt;"",E1791&lt;&gt;"!!!"),"NEW","")))</f>
        <v> </v>
      </c>
      <c r="G1791" s="23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4" t="str">
        <f>IF(J1791&lt;&gt;1,"",IF(I1791="SBJ","CB","?"))</f>
        <v> </v>
      </c>
      <c r="I1791" s="25" t="str">
        <f>IF(OR(E1791="",E1791="!!!",F1791="NEW"),"",INDEX(B1790:B$2,-1+SUMPRODUCT(MAX(ROW(E1790:E$2)*(E1791=E1790:E$2)))))</f>
        <v> </v>
      </c>
      <c r="J1791" s="25" t="str">
        <f>IF(OR(E1791="",E1791="!!!",F1791="NEW"),"",COUNTBLANK(OFFSET(A$1,,,SUMPRODUCT(MAX(ROW(E$2:E1791)*(E1791=E$2:E1791)))))-COUNTBLANK(OFFSET(A$1,,,SUMPRODUCT(MAX(ROW(E$1:E1790)*(E2=E$1:E1790))))))</f>
        <v> </v>
      </c>
      <c r="K1791" s="25" t="str">
        <f>IF(OR(E1791="",E1791="!!!",F1791="NEW"),"",INDEX(J$1:J1790,SUMPRODUCT(MAX(ROW(E$1:E1790)*(E1791=E$1:E1790)))))</f>
        <v> </v>
      </c>
      <c r="L1791" s="26"/>
    </row>
    <row r="1792" spans="1:12">
      <c r="A1792" s="20" t="s">
        <v>548</v>
      </c>
      <c r="E1792" s="21">
        <f>IF(D1792="?OLD","!!!","")</f>
        <v/>
      </c>
      <c r="F1792" s="22" t="str">
        <f>IF(OR(E1792="",E1792="!!!"),"",IF(NOT(ISNA(VLOOKUP(E1792,E$1:E1791,1,FALSE()))),"OLD",IF(AND(E1792&lt;&gt;"",E1792&lt;&gt;"!!!"),"NEW","")))</f>
        <v> </v>
      </c>
      <c r="G1792" s="23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4" t="str">
        <f>IF(J1792&lt;&gt;1,"",IF(I1792="SBJ","CB","?"))</f>
        <v> </v>
      </c>
      <c r="I1792" s="25" t="str">
        <f>IF(OR(E1792="",E1792="!!!",F1792="NEW"),"",INDEX(B1791:B$2,-1+SUMPRODUCT(MAX(ROW(E1791:E$2)*(E1792=E1791:E$2)))))</f>
        <v> </v>
      </c>
      <c r="J1792" s="25" t="str">
        <f>IF(OR(E1792="",E1792="!!!",F1792="NEW"),"",COUNTBLANK(OFFSET(A$1,,,SUMPRODUCT(MAX(ROW(E$2:E1792)*(E1792=E$2:E1792)))))-COUNTBLANK(OFFSET(A$1,,,SUMPRODUCT(MAX(ROW(E$1:E1791)*(E2=E$1:E1791))))))</f>
        <v> </v>
      </c>
      <c r="K1792" s="25" t="str">
        <f>IF(OR(E1792="",E1792="!!!",F1792="NEW"),"",INDEX(J$1:J1791,SUMPRODUCT(MAX(ROW(E$1:E1791)*(E1792=E$1:E1791)))))</f>
        <v> </v>
      </c>
      <c r="L1792" s="26"/>
    </row>
    <row r="1793" spans="1:12">
      <c r="A1793" s="20" t="s">
        <v>570</v>
      </c>
      <c r="E1793" s="21">
        <f>IF(D1793="?OLD","!!!","")</f>
        <v/>
      </c>
      <c r="F1793" s="22" t="str">
        <f>IF(OR(E1793="",E1793="!!!"),"",IF(NOT(ISNA(VLOOKUP(E1793,E$1:E1792,1,FALSE()))),"OLD",IF(AND(E1793&lt;&gt;"",E1793&lt;&gt;"!!!"),"NEW","")))</f>
        <v> </v>
      </c>
      <c r="G1793" s="23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4" t="str">
        <f>IF(J1793&lt;&gt;1,"",IF(I1793="SBJ","CB","?"))</f>
        <v> </v>
      </c>
      <c r="I1793" s="25" t="str">
        <f>IF(OR(E1793="",E1793="!!!",F1793="NEW"),"",INDEX(B1792:B$2,-1+SUMPRODUCT(MAX(ROW(E1792:E$2)*(E1793=E1792:E$2)))))</f>
        <v> </v>
      </c>
      <c r="J1793" s="25" t="str">
        <f>IF(OR(E1793="",E1793="!!!",F1793="NEW"),"",COUNTBLANK(OFFSET(A$1,,,SUMPRODUCT(MAX(ROW(E$2:E1793)*(E1793=E$2:E1793)))))-COUNTBLANK(OFFSET(A$1,,,SUMPRODUCT(MAX(ROW(E$1:E1792)*(E2=E$1:E1792))))))</f>
        <v> </v>
      </c>
      <c r="K1793" s="25" t="str">
        <f>IF(OR(E1793="",E1793="!!!",F1793="NEW"),"",INDEX(J$1:J1792,SUMPRODUCT(MAX(ROW(E$1:E1792)*(E1793=E$1:E1792)))))</f>
        <v> </v>
      </c>
      <c r="L1793" s="26"/>
    </row>
    <row r="1794" spans="1:12">
      <c r="A1794" s="20" t="s">
        <v>380</v>
      </c>
      <c r="E1794" s="21">
        <f>IF(D1794="?OLD","!!!","")</f>
        <v/>
      </c>
      <c r="F1794" s="22" t="str">
        <f>IF(OR(E1794="",E1794="!!!"),"",IF(NOT(ISNA(VLOOKUP(E1794,E$1:E1793,1,FALSE()))),"OLD",IF(AND(E1794&lt;&gt;"",E1794&lt;&gt;"!!!"),"NEW","")))</f>
        <v> </v>
      </c>
      <c r="G1794" s="23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4" t="str">
        <f>IF(J1794&lt;&gt;1,"",IF(I1794="SBJ","CB","?"))</f>
        <v> </v>
      </c>
      <c r="I1794" s="25" t="str">
        <f>IF(OR(E1794="",E1794="!!!",F1794="NEW"),"",INDEX(B1793:B$2,-1+SUMPRODUCT(MAX(ROW(E1793:E$2)*(E1794=E1793:E$2)))))</f>
        <v> </v>
      </c>
      <c r="J1794" s="25" t="str">
        <f>IF(OR(E1794="",E1794="!!!",F1794="NEW"),"",COUNTBLANK(OFFSET(A$1,,,SUMPRODUCT(MAX(ROW(E$2:E1794)*(E1794=E$2:E1794)))))-COUNTBLANK(OFFSET(A$1,,,SUMPRODUCT(MAX(ROW(E$1:E1793)*(E2=E$1:E1793))))))</f>
        <v> </v>
      </c>
      <c r="K1794" s="25" t="str">
        <f>IF(OR(E1794="",E1794="!!!",F1794="NEW"),"",INDEX(J$1:J1793,SUMPRODUCT(MAX(ROW(E$1:E1793)*(E1794=E$1:E1793)))))</f>
        <v> </v>
      </c>
      <c r="L1794" s="26"/>
    </row>
    <row r="1795" spans="1:12">
      <c r="A1795" s="20" t="s">
        <v>1067</v>
      </c>
      <c r="B1795" s="27" t="s">
        <v>542</v>
      </c>
      <c r="C1795" s="27" t="s">
        <v>498</v>
      </c>
      <c r="E1795" s="21">
        <f>IF(D1795="?OLD","!!!","")</f>
        <v/>
      </c>
      <c r="F1795" s="22" t="str">
        <f>IF(OR(E1795="",E1795="!!!"),"",IF(NOT(ISNA(VLOOKUP(E1795,E$1:E1794,1,FALSE()))),"OLD",IF(AND(E1795&lt;&gt;"",E1795&lt;&gt;"!!!"),"NEW","")))</f>
        <v> </v>
      </c>
      <c r="G1795" s="23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4" t="str">
        <f>IF(J1795&lt;&gt;1,"",IF(I1795="SBJ","CB","?"))</f>
        <v> </v>
      </c>
      <c r="I1795" s="25" t="str">
        <f>IF(OR(E1795="",E1795="!!!",F1795="NEW"),"",INDEX(B1794:B$2,-1+SUMPRODUCT(MAX(ROW(E1794:E$2)*(E1795=E1794:E$2)))))</f>
        <v> </v>
      </c>
      <c r="J1795" s="25" t="str">
        <f>IF(OR(E1795="",E1795="!!!",F1795="NEW"),"",COUNTBLANK(OFFSET(A$1,,,SUMPRODUCT(MAX(ROW(E$2:E1795)*(E1795=E$2:E1795)))))-COUNTBLANK(OFFSET(A$1,,,SUMPRODUCT(MAX(ROW(E$1:E1794)*(E2=E$1:E1794))))))</f>
        <v> </v>
      </c>
      <c r="K1795" s="25" t="str">
        <f>IF(OR(E1795="",E1795="!!!",F1795="NEW"),"",INDEX(J$1:J1794,SUMPRODUCT(MAX(ROW(E$1:E1794)*(E1795=E$1:E1794)))))</f>
        <v> </v>
      </c>
      <c r="L1795" s="26"/>
    </row>
    <row r="1796" spans="1:12">
      <c r="A1796" s="20" t="s">
        <v>649</v>
      </c>
      <c r="E1796" s="21">
        <f>IF(D1796="?OLD","!!!","")</f>
        <v/>
      </c>
      <c r="F1796" s="22" t="str">
        <f>IF(OR(E1796="",E1796="!!!"),"",IF(NOT(ISNA(VLOOKUP(E1796,E$1:E1795,1,FALSE()))),"OLD",IF(AND(E1796&lt;&gt;"",E1796&lt;&gt;"!!!"),"NEW","")))</f>
        <v> </v>
      </c>
      <c r="G1796" s="23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4" t="str">
        <f>IF(J1796&lt;&gt;1,"",IF(I1796="SBJ","CB","?"))</f>
        <v> </v>
      </c>
      <c r="I1796" s="25" t="str">
        <f>IF(OR(E1796="",E1796="!!!",F1796="NEW"),"",INDEX(B1795:B$2,-1+SUMPRODUCT(MAX(ROW(E1795:E$2)*(E1796=E1795:E$2)))))</f>
        <v> </v>
      </c>
      <c r="J1796" s="25" t="str">
        <f>IF(OR(E1796="",E1796="!!!",F1796="NEW"),"",COUNTBLANK(OFFSET(A$1,,,SUMPRODUCT(MAX(ROW(E$2:E1796)*(E1796=E$2:E1796)))))-COUNTBLANK(OFFSET(A$1,,,SUMPRODUCT(MAX(ROW(E$1:E1795)*(E2=E$1:E1795))))))</f>
        <v> </v>
      </c>
      <c r="K1796" s="25" t="str">
        <f>IF(OR(E1796="",E1796="!!!",F1796="NEW"),"",INDEX(J$1:J1795,SUMPRODUCT(MAX(ROW(E$1:E1795)*(E1796=E$1:E1795)))))</f>
        <v> </v>
      </c>
      <c r="L1796" s="26"/>
    </row>
    <row r="1797" spans="1:12">
      <c r="A1797" s="20" t="s">
        <v>592</v>
      </c>
      <c r="E1797" s="21">
        <f>IF(D1797="?OLD","!!!","")</f>
        <v/>
      </c>
      <c r="F1797" s="22" t="str">
        <f>IF(OR(E1797="",E1797="!!!"),"",IF(NOT(ISNA(VLOOKUP(E1797,E$1:E1796,1,FALSE()))),"OLD",IF(AND(E1797&lt;&gt;"",E1797&lt;&gt;"!!!"),"NEW","")))</f>
        <v> </v>
      </c>
      <c r="G1797" s="23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4" t="str">
        <f>IF(J1797&lt;&gt;1,"",IF(I1797="SBJ","CB","?"))</f>
        <v> </v>
      </c>
      <c r="I1797" s="25" t="str">
        <f>IF(OR(E1797="",E1797="!!!",F1797="NEW"),"",INDEX(B1796:B$2,-1+SUMPRODUCT(MAX(ROW(E1796:E$2)*(E1797=E1796:E$2)))))</f>
        <v> </v>
      </c>
      <c r="J1797" s="25" t="str">
        <f>IF(OR(E1797="",E1797="!!!",F1797="NEW"),"",COUNTBLANK(OFFSET(A$1,,,SUMPRODUCT(MAX(ROW(E$2:E1797)*(E1797=E$2:E1797)))))-COUNTBLANK(OFFSET(A$1,,,SUMPRODUCT(MAX(ROW(E$1:E1796)*(E2=E$1:E1796))))))</f>
        <v> </v>
      </c>
      <c r="K1797" s="25" t="str">
        <f>IF(OR(E1797="",E1797="!!!",F1797="NEW"),"",INDEX(J$1:J1796,SUMPRODUCT(MAX(ROW(E$1:E1796)*(E1797=E$1:E1796)))))</f>
        <v> </v>
      </c>
      <c r="L1797" s="26"/>
    </row>
    <row r="1798" spans="1:12">
      <c r="A1798" s="20" t="s">
        <v>380</v>
      </c>
      <c r="E1798" s="21">
        <f>IF(D1798="?OLD","!!!","")</f>
        <v/>
      </c>
      <c r="F1798" s="22" t="str">
        <f>IF(OR(E1798="",E1798="!!!"),"",IF(NOT(ISNA(VLOOKUP(E1798,E$1:E1797,1,FALSE()))),"OLD",IF(AND(E1798&lt;&gt;"",E1798&lt;&gt;"!!!"),"NEW","")))</f>
        <v> </v>
      </c>
      <c r="G1798" s="23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4" t="str">
        <f>IF(J1798&lt;&gt;1,"",IF(I1798="SBJ","CB","?"))</f>
        <v> </v>
      </c>
      <c r="I1798" s="25" t="str">
        <f>IF(OR(E1798="",E1798="!!!",F1798="NEW"),"",INDEX(B1797:B$2,-1+SUMPRODUCT(MAX(ROW(E1797:E$2)*(E1798=E1797:E$2)))))</f>
        <v> </v>
      </c>
      <c r="J1798" s="25" t="str">
        <f>IF(OR(E1798="",E1798="!!!",F1798="NEW"),"",COUNTBLANK(OFFSET(A$1,,,SUMPRODUCT(MAX(ROW(E$2:E1798)*(E1798=E$2:E1798)))))-COUNTBLANK(OFFSET(A$1,,,SUMPRODUCT(MAX(ROW(E$1:E1797)*(E2=E$1:E1797))))))</f>
        <v> </v>
      </c>
      <c r="K1798" s="25" t="str">
        <f>IF(OR(E1798="",E1798="!!!",F1798="NEW"),"",INDEX(J$1:J1797,SUMPRODUCT(MAX(ROW(E$1:E1797)*(E1798=E$1:E1797)))))</f>
        <v> </v>
      </c>
      <c r="L1798" s="26"/>
    </row>
    <row r="1799" spans="1:12">
      <c r="A1799" s="20" t="s">
        <v>1067</v>
      </c>
      <c r="B1799" s="27" t="s">
        <v>540</v>
      </c>
      <c r="C1799" s="27" t="s">
        <v>498</v>
      </c>
      <c r="E1799" s="21">
        <f>IF(D1799="?OLD","!!!","")</f>
        <v/>
      </c>
      <c r="F1799" s="22" t="str">
        <f>IF(OR(E1799="",E1799="!!!"),"",IF(NOT(ISNA(VLOOKUP(E1799,E$1:E1798,1,FALSE()))),"OLD",IF(AND(E1799&lt;&gt;"",E1799&lt;&gt;"!!!"),"NEW","")))</f>
        <v> </v>
      </c>
      <c r="G1799" s="23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4" t="str">
        <f>IF(J1799&lt;&gt;1,"",IF(I1799="SBJ","CB","?"))</f>
        <v> </v>
      </c>
      <c r="I1799" s="25" t="str">
        <f>IF(OR(E1799="",E1799="!!!",F1799="NEW"),"",INDEX(B1798:B$2,-1+SUMPRODUCT(MAX(ROW(E1798:E$2)*(E1799=E1798:E$2)))))</f>
        <v> </v>
      </c>
      <c r="J1799" s="25" t="str">
        <f>IF(OR(E1799="",E1799="!!!",F1799="NEW"),"",COUNTBLANK(OFFSET(A$1,,,SUMPRODUCT(MAX(ROW(E$2:E1799)*(E1799=E$2:E1799)))))-COUNTBLANK(OFFSET(A$1,,,SUMPRODUCT(MAX(ROW(E$1:E1798)*(E2=E$1:E1798))))))</f>
        <v> </v>
      </c>
      <c r="K1799" s="25" t="str">
        <f>IF(OR(E1799="",E1799="!!!",F1799="NEW"),"",INDEX(J$1:J1798,SUMPRODUCT(MAX(ROW(E$1:E1798)*(E1799=E$1:E1798)))))</f>
        <v> </v>
      </c>
      <c r="L1799" s="26"/>
    </row>
    <row r="1800" spans="1:12">
      <c r="A1800" s="20" t="s">
        <v>1068</v>
      </c>
      <c r="E1800" s="21">
        <f>IF(D1800="?OLD","!!!","")</f>
        <v/>
      </c>
      <c r="F1800" s="22" t="str">
        <f>IF(OR(E1800="",E1800="!!!"),"",IF(NOT(ISNA(VLOOKUP(E1800,E$1:E1799,1,FALSE()))),"OLD",IF(AND(E1800&lt;&gt;"",E1800&lt;&gt;"!!!"),"NEW","")))</f>
        <v> </v>
      </c>
      <c r="G1800" s="23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4" t="str">
        <f>IF(J1800&lt;&gt;1,"",IF(I1800="SBJ","CB","?"))</f>
        <v> </v>
      </c>
      <c r="I1800" s="25" t="str">
        <f>IF(OR(E1800="",E1800="!!!",F1800="NEW"),"",INDEX(B1799:B$2,-1+SUMPRODUCT(MAX(ROW(E1799:E$2)*(E1800=E1799:E$2)))))</f>
        <v> </v>
      </c>
      <c r="J1800" s="25" t="str">
        <f>IF(OR(E1800="",E1800="!!!",F1800="NEW"),"",COUNTBLANK(OFFSET(A$1,,,SUMPRODUCT(MAX(ROW(E$2:E1800)*(E1800=E$2:E1800)))))-COUNTBLANK(OFFSET(A$1,,,SUMPRODUCT(MAX(ROW(E$1:E1799)*(E2=E$1:E1799))))))</f>
        <v> </v>
      </c>
      <c r="K1800" s="25" t="str">
        <f>IF(OR(E1800="",E1800="!!!",F1800="NEW"),"",INDEX(J$1:J1799,SUMPRODUCT(MAX(ROW(E$1:E1799)*(E1800=E$1:E1799)))))</f>
        <v> </v>
      </c>
      <c r="L1800" s="26"/>
    </row>
    <row r="1801" spans="1:12">
      <c r="A1801" s="20" t="s">
        <v>548</v>
      </c>
      <c r="E1801" s="21">
        <f>IF(D1801="?OLD","!!!","")</f>
        <v/>
      </c>
      <c r="F1801" s="22" t="str">
        <f>IF(OR(E1801="",E1801="!!!"),"",IF(NOT(ISNA(VLOOKUP(E1801,E$1:E1800,1,FALSE()))),"OLD",IF(AND(E1801&lt;&gt;"",E1801&lt;&gt;"!!!"),"NEW","")))</f>
        <v> </v>
      </c>
      <c r="G1801" s="23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4" t="str">
        <f>IF(J1801&lt;&gt;1,"",IF(I1801="SBJ","CB","?"))</f>
        <v> </v>
      </c>
      <c r="I1801" s="25" t="str">
        <f>IF(OR(E1801="",E1801="!!!",F1801="NEW"),"",INDEX(B1800:B$2,-1+SUMPRODUCT(MAX(ROW(E1800:E$2)*(E1801=E1800:E$2)))))</f>
        <v> </v>
      </c>
      <c r="J1801" s="25" t="str">
        <f>IF(OR(E1801="",E1801="!!!",F1801="NEW"),"",COUNTBLANK(OFFSET(A$1,,,SUMPRODUCT(MAX(ROW(E$2:E1801)*(E1801=E$2:E1801)))))-COUNTBLANK(OFFSET(A$1,,,SUMPRODUCT(MAX(ROW(E$1:E1800)*(E2=E$1:E1800))))))</f>
        <v> </v>
      </c>
      <c r="K1801" s="25" t="str">
        <f>IF(OR(E1801="",E1801="!!!",F1801="NEW"),"",INDEX(J$1:J1800,SUMPRODUCT(MAX(ROW(E$1:E1800)*(E1801=E$1:E1800)))))</f>
        <v> </v>
      </c>
      <c r="L1801" s="26"/>
    </row>
    <row r="1802" spans="1:12">
      <c r="A1802" s="20" t="s">
        <v>529</v>
      </c>
      <c r="E1802" s="21">
        <f>IF(D1802="?OLD","!!!","")</f>
        <v/>
      </c>
      <c r="F1802" s="22" t="str">
        <f>IF(OR(E1802="",E1802="!!!"),"",IF(NOT(ISNA(VLOOKUP(E1802,E$1:E1801,1,FALSE()))),"OLD",IF(AND(E1802&lt;&gt;"",E1802&lt;&gt;"!!!"),"NEW","")))</f>
        <v> </v>
      </c>
      <c r="G1802" s="23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4" t="str">
        <f>IF(J1802&lt;&gt;1,"",IF(I1802="SBJ","CB","?"))</f>
        <v> </v>
      </c>
      <c r="I1802" s="25" t="str">
        <f>IF(OR(E1802="",E1802="!!!",F1802="NEW"),"",INDEX(B1801:B$2,-1+SUMPRODUCT(MAX(ROW(E1801:E$2)*(E1802=E1801:E$2)))))</f>
        <v> </v>
      </c>
      <c r="J1802" s="25" t="str">
        <f>IF(OR(E1802="",E1802="!!!",F1802="NEW"),"",COUNTBLANK(OFFSET(A$1,,,SUMPRODUCT(MAX(ROW(E$2:E1802)*(E1802=E$2:E1802)))))-COUNTBLANK(OFFSET(A$1,,,SUMPRODUCT(MAX(ROW(E$1:E1801)*(E2=E$1:E1801))))))</f>
        <v> </v>
      </c>
      <c r="K1802" s="25" t="str">
        <f>IF(OR(E1802="",E1802="!!!",F1802="NEW"),"",INDEX(J$1:J1801,SUMPRODUCT(MAX(ROW(E$1:E1801)*(E1802=E$1:E1801)))))</f>
        <v> </v>
      </c>
      <c r="L1802" s="26"/>
    </row>
    <row r="1803" spans="1:12">
      <c r="A1803" s="20" t="s">
        <v>1065</v>
      </c>
      <c r="E1803" s="21">
        <f>IF(D1803="?OLD","!!!","")</f>
        <v/>
      </c>
      <c r="F1803" s="22" t="str">
        <f>IF(OR(E1803="",E1803="!!!"),"",IF(NOT(ISNA(VLOOKUP(E1803,E$1:E1802,1,FALSE()))),"OLD",IF(AND(E1803&lt;&gt;"",E1803&lt;&gt;"!!!"),"NEW","")))</f>
        <v> </v>
      </c>
      <c r="G1803" s="23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4" t="str">
        <f>IF(J1803&lt;&gt;1,"",IF(I1803="SBJ","CB","?"))</f>
        <v> </v>
      </c>
      <c r="I1803" s="25" t="str">
        <f>IF(OR(E1803="",E1803="!!!",F1803="NEW"),"",INDEX(B1802:B$2,-1+SUMPRODUCT(MAX(ROW(E1802:E$2)*(E1803=E1802:E$2)))))</f>
        <v> </v>
      </c>
      <c r="J1803" s="25" t="str">
        <f>IF(OR(E1803="",E1803="!!!",F1803="NEW"),"",COUNTBLANK(OFFSET(A$1,,,SUMPRODUCT(MAX(ROW(E$2:E1803)*(E1803=E$2:E1803)))))-COUNTBLANK(OFFSET(A$1,,,SUMPRODUCT(MAX(ROW(E$1:E1802)*(E2=E$1:E1802))))))</f>
        <v> </v>
      </c>
      <c r="K1803" s="25" t="str">
        <f>IF(OR(E1803="",E1803="!!!",F1803="NEW"),"",INDEX(J$1:J1802,SUMPRODUCT(MAX(ROW(E$1:E1802)*(E1803=E$1:E1802)))))</f>
        <v> </v>
      </c>
      <c r="L1803" s="26"/>
    </row>
    <row r="1804" spans="1:12">
      <c r="A1804" s="20" t="s">
        <v>530</v>
      </c>
      <c r="E1804" s="21">
        <f>IF(D1804="?OLD","!!!","")</f>
        <v/>
      </c>
      <c r="F1804" s="22" t="str">
        <f>IF(OR(E1804="",E1804="!!!"),"",IF(NOT(ISNA(VLOOKUP(E1804,E$1:E1803,1,FALSE()))),"OLD",IF(AND(E1804&lt;&gt;"",E1804&lt;&gt;"!!!"),"NEW","")))</f>
        <v> </v>
      </c>
      <c r="G1804" s="23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4" t="str">
        <f>IF(J1804&lt;&gt;1,"",IF(I1804="SBJ","CB","?"))</f>
        <v> </v>
      </c>
      <c r="I1804" s="25" t="str">
        <f>IF(OR(E1804="",E1804="!!!",F1804="NEW"),"",INDEX(B1803:B$2,-1+SUMPRODUCT(MAX(ROW(E1803:E$2)*(E1804=E1803:E$2)))))</f>
        <v> </v>
      </c>
      <c r="J1804" s="25" t="str">
        <f>IF(OR(E1804="",E1804="!!!",F1804="NEW"),"",COUNTBLANK(OFFSET(A$1,,,SUMPRODUCT(MAX(ROW(E$2:E1804)*(E1804=E$2:E1804)))))-COUNTBLANK(OFFSET(A$1,,,SUMPRODUCT(MAX(ROW(E$1:E1803)*(E2=E$1:E1803))))))</f>
        <v> </v>
      </c>
      <c r="K1804" s="25" t="str">
        <f>IF(OR(E1804="",E1804="!!!",F1804="NEW"),"",INDEX(J$1:J1803,SUMPRODUCT(MAX(ROW(E$1:E1803)*(E1804=E$1:E1803)))))</f>
        <v> </v>
      </c>
      <c r="L1804" s="26"/>
    </row>
    <row r="1805" spans="1:12">
      <c r="A1805" s="20" t="s">
        <v>489</v>
      </c>
      <c r="E1805" s="21">
        <f>IF(D1805="?OLD","!!!","")</f>
        <v/>
      </c>
      <c r="F1805" s="22" t="str">
        <f>IF(OR(E1805="",E1805="!!!"),"",IF(NOT(ISNA(VLOOKUP(E1805,E$1:E1804,1,FALSE()))),"OLD",IF(AND(E1805&lt;&gt;"",E1805&lt;&gt;"!!!"),"NEW","")))</f>
        <v> </v>
      </c>
      <c r="G1805" s="23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4" t="str">
        <f>IF(J1805&lt;&gt;1,"",IF(I1805="SBJ","CB","?"))</f>
        <v> </v>
      </c>
      <c r="I1805" s="25" t="str">
        <f>IF(OR(E1805="",E1805="!!!",F1805="NEW"),"",INDEX(B1804:B$2,-1+SUMPRODUCT(MAX(ROW(E1804:E$2)*(E1805=E1804:E$2)))))</f>
        <v> </v>
      </c>
      <c r="J1805" s="25" t="str">
        <f>IF(OR(E1805="",E1805="!!!",F1805="NEW"),"",COUNTBLANK(OFFSET(A$1,,,SUMPRODUCT(MAX(ROW(E$2:E1805)*(E1805=E$2:E1805)))))-COUNTBLANK(OFFSET(A$1,,,SUMPRODUCT(MAX(ROW(E$1:E1804)*(E2=E$1:E1804))))))</f>
        <v> </v>
      </c>
      <c r="K1805" s="25" t="str">
        <f>IF(OR(E1805="",E1805="!!!",F1805="NEW"),"",INDEX(J$1:J1804,SUMPRODUCT(MAX(ROW(E$1:E1804)*(E1805=E$1:E1804)))))</f>
        <v> </v>
      </c>
      <c r="L1805" s="26"/>
    </row>
    <row r="1806" spans="1:12">
      <c r="A1806" s="20" t="s">
        <v>1029</v>
      </c>
      <c r="B1806" s="27" t="s">
        <v>493</v>
      </c>
      <c r="C1806" s="27" t="s">
        <v>482</v>
      </c>
      <c r="D1806" s="27" t="s">
        <v>483</v>
      </c>
      <c r="E1806" s="21">
        <f>IF(D1806="?OLD","!!!","")</f>
        <v/>
      </c>
      <c r="F1806" s="22" t="str">
        <f>IF(OR(E1806="",E1806="!!!"),"",IF(NOT(ISNA(VLOOKUP(E1806,E$1:E1805,1,FALSE()))),"OLD",IF(AND(E1806&lt;&gt;"",E1806&lt;&gt;"!!!"),"NEW","")))</f>
        <v> </v>
      </c>
      <c r="G1806" s="23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4" t="str">
        <f>IF(J1806&lt;&gt;1,"",IF(I1806="SBJ","CB","?"))</f>
        <v> </v>
      </c>
      <c r="I1806" s="25" t="str">
        <f>IF(OR(E1806="",E1806="!!!",F1806="NEW"),"",INDEX(B1805:B$2,-1+SUMPRODUCT(MAX(ROW(E1805:E$2)*(E1806=E1805:E$2)))))</f>
        <v> </v>
      </c>
      <c r="J1806" s="25" t="str">
        <f>IF(OR(E1806="",E1806="!!!",F1806="NEW"),"",COUNTBLANK(OFFSET(A$1,,,SUMPRODUCT(MAX(ROW(E$2:E1806)*(E1806=E$2:E1806)))))-COUNTBLANK(OFFSET(A$1,,,SUMPRODUCT(MAX(ROW(E$1:E1805)*(E2=E$1:E1805))))))</f>
        <v> </v>
      </c>
      <c r="K1806" s="25" t="str">
        <f>IF(OR(E1806="",E1806="!!!",F1806="NEW"),"",INDEX(J$1:J1805,SUMPRODUCT(MAX(ROW(E$1:E1805)*(E1806=E$1:E1805)))))</f>
        <v> </v>
      </c>
      <c r="L1806" s="26"/>
    </row>
    <row r="1807" spans="1:12">
      <c r="A1807" s="20" t="s">
        <v>1066</v>
      </c>
      <c r="E1807" s="21">
        <f>IF(D1807="?OLD","!!!","")</f>
        <v/>
      </c>
      <c r="F1807" s="22" t="str">
        <f>IF(OR(E1807="",E1807="!!!"),"",IF(NOT(ISNA(VLOOKUP(E1807,E$1:E1806,1,FALSE()))),"OLD",IF(AND(E1807&lt;&gt;"",E1807&lt;&gt;"!!!"),"NEW","")))</f>
        <v> </v>
      </c>
      <c r="G1807" s="23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4" t="str">
        <f>IF(J1807&lt;&gt;1,"",IF(I1807="SBJ","CB","?"))</f>
        <v> </v>
      </c>
      <c r="I1807" s="25" t="str">
        <f>IF(OR(E1807="",E1807="!!!",F1807="NEW"),"",INDEX(B1806:B$2,-1+SUMPRODUCT(MAX(ROW(E1806:E$2)*(E1807=E1806:E$2)))))</f>
        <v> </v>
      </c>
      <c r="J1807" s="25" t="str">
        <f>IF(OR(E1807="",E1807="!!!",F1807="NEW"),"",COUNTBLANK(OFFSET(A$1,,,SUMPRODUCT(MAX(ROW(E$2:E1807)*(E1807=E$2:E1807)))))-COUNTBLANK(OFFSET(A$1,,,SUMPRODUCT(MAX(ROW(E$1:E1806)*(E2=E$1:E1806))))))</f>
        <v> </v>
      </c>
      <c r="K1807" s="25" t="str">
        <f>IF(OR(E1807="",E1807="!!!",F1807="NEW"),"",INDEX(J$1:J1806,SUMPRODUCT(MAX(ROW(E$1:E1806)*(E1807=E$1:E1806)))))</f>
        <v> </v>
      </c>
      <c r="L1807" s="26"/>
    </row>
    <row r="1808" spans="1:12">
      <c r="A1808" s="20" t="s">
        <v>503</v>
      </c>
      <c r="E1808" s="21">
        <f>IF(D1808="?OLD","!!!","")</f>
        <v/>
      </c>
      <c r="F1808" s="22" t="str">
        <f>IF(OR(E1808="",E1808="!!!"),"",IF(NOT(ISNA(VLOOKUP(E1808,E$1:E1807,1,FALSE()))),"OLD",IF(AND(E1808&lt;&gt;"",E1808&lt;&gt;"!!!"),"NEW","")))</f>
        <v> </v>
      </c>
      <c r="G1808" s="23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4" t="str">
        <f>IF(J1808&lt;&gt;1,"",IF(I1808="SBJ","CB","?"))</f>
        <v> </v>
      </c>
      <c r="I1808" s="25" t="str">
        <f>IF(OR(E1808="",E1808="!!!",F1808="NEW"),"",INDEX(B1807:B$2,-1+SUMPRODUCT(MAX(ROW(E1807:E$2)*(E1808=E1807:E$2)))))</f>
        <v> </v>
      </c>
      <c r="J1808" s="25" t="str">
        <f>IF(OR(E1808="",E1808="!!!",F1808="NEW"),"",COUNTBLANK(OFFSET(A$1,,,SUMPRODUCT(MAX(ROW(E$2:E1808)*(E1808=E$2:E1808)))))-COUNTBLANK(OFFSET(A$1,,,SUMPRODUCT(MAX(ROW(E$1:E1807)*(E2=E$1:E1807))))))</f>
        <v> </v>
      </c>
      <c r="K1808" s="25" t="str">
        <f>IF(OR(E1808="",E1808="!!!",F1808="NEW"),"",INDEX(J$1:J1807,SUMPRODUCT(MAX(ROW(E$1:E1807)*(E1808=E$1:E1807)))))</f>
        <v> </v>
      </c>
      <c r="L1808" s="26"/>
    </row>
    <row r="1809" spans="1:12">
      <c r="A1809" s="20" t="s">
        <v>1069</v>
      </c>
      <c r="E1809" s="21">
        <f>IF(D1809="?OLD","!!!","")</f>
        <v/>
      </c>
      <c r="F1809" s="22" t="str">
        <f>IF(OR(E1809="",E1809="!!!"),"",IF(NOT(ISNA(VLOOKUP(E1809,E$1:E1808,1,FALSE()))),"OLD",IF(AND(E1809&lt;&gt;"",E1809&lt;&gt;"!!!"),"NEW","")))</f>
        <v> </v>
      </c>
      <c r="G1809" s="23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4" t="str">
        <f>IF(J1809&lt;&gt;1,"",IF(I1809="SBJ","CB","?"))</f>
        <v> </v>
      </c>
      <c r="I1809" s="25" t="str">
        <f>IF(OR(E1809="",E1809="!!!",F1809="NEW"),"",INDEX(B1808:B$2,-1+SUMPRODUCT(MAX(ROW(E1808:E$2)*(E1809=E1808:E$2)))))</f>
        <v> </v>
      </c>
      <c r="J1809" s="25" t="str">
        <f>IF(OR(E1809="",E1809="!!!",F1809="NEW"),"",COUNTBLANK(OFFSET(A$1,,,SUMPRODUCT(MAX(ROW(E$2:E1809)*(E1809=E$2:E1809)))))-COUNTBLANK(OFFSET(A$1,,,SUMPRODUCT(MAX(ROW(E$1:E1808)*(E2=E$1:E1808))))))</f>
        <v> </v>
      </c>
      <c r="K1809" s="25" t="str">
        <f>IF(OR(E1809="",E1809="!!!",F1809="NEW"),"",INDEX(J$1:J1808,SUMPRODUCT(MAX(ROW(E$1:E1808)*(E1809=E$1:E1808)))))</f>
        <v> </v>
      </c>
      <c r="L1809" s="26"/>
    </row>
    <row r="1810" spans="1:12">
      <c r="A1810" s="20" t="s">
        <v>531</v>
      </c>
      <c r="E1810" s="21">
        <f>IF(D1810="?OLD","!!!","")</f>
        <v/>
      </c>
      <c r="F1810" s="22" t="str">
        <f>IF(OR(E1810="",E1810="!!!"),"",IF(NOT(ISNA(VLOOKUP(E1810,E$1:E1809,1,FALSE()))),"OLD",IF(AND(E1810&lt;&gt;"",E1810&lt;&gt;"!!!"),"NEW","")))</f>
        <v> </v>
      </c>
      <c r="G1810" s="23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4" t="str">
        <f>IF(J1810&lt;&gt;1,"",IF(I1810="SBJ","CB","?"))</f>
        <v> </v>
      </c>
      <c r="I1810" s="25" t="str">
        <f>IF(OR(E1810="",E1810="!!!",F1810="NEW"),"",INDEX(B1809:B$2,-1+SUMPRODUCT(MAX(ROW(E1809:E$2)*(E1810=E1809:E$2)))))</f>
        <v> </v>
      </c>
      <c r="J1810" s="25" t="str">
        <f>IF(OR(E1810="",E1810="!!!",F1810="NEW"),"",COUNTBLANK(OFFSET(A$1,,,SUMPRODUCT(MAX(ROW(E$2:E1810)*(E1810=E$2:E1810)))))-COUNTBLANK(OFFSET(A$1,,,SUMPRODUCT(MAX(ROW(E$1:E1809)*(E2=E$1:E1809))))))</f>
        <v> </v>
      </c>
      <c r="K1810" s="25" t="str">
        <f>IF(OR(E1810="",E1810="!!!",F1810="NEW"),"",INDEX(J$1:J1809,SUMPRODUCT(MAX(ROW(E$1:E1809)*(E1810=E$1:E1809)))))</f>
        <v> </v>
      </c>
      <c r="L1810" s="26"/>
    </row>
    <row r="1811" spans="1:12">
      <c r="A1811" s="20"/>
    </row>
    <row r="1812" spans="1:12">
      <c r="A1812" s="20" t="s">
        <v>1070</v>
      </c>
    </row>
    <row r="1813" spans="1:12">
      <c r="A1813" s="20" t="s">
        <v>1071</v>
      </c>
      <c r="B1813" s="27" t="s">
        <v>549</v>
      </c>
      <c r="C1813" s="27" t="s">
        <v>612</v>
      </c>
      <c r="D1813" s="27" t="s">
        <v>483</v>
      </c>
      <c r="E1813" s="21">
        <f>IF(D1813="?OLD","!!!","")</f>
        <v/>
      </c>
      <c r="F1813" s="22" t="str">
        <f>IF(OR(E1813="",E1813="!!!"),"",IF(NOT(ISNA(VLOOKUP(E1813,E$1:E1812,1,FALSE()))),"OLD",IF(AND(E1813&lt;&gt;"",E1813&lt;&gt;"!!!"),"NEW","")))</f>
        <v> </v>
      </c>
      <c r="G1813" s="23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4" t="str">
        <f>IF(J1813&lt;&gt;1,"",IF(I1813="SBJ","CB","?"))</f>
        <v> </v>
      </c>
      <c r="I1813" s="25" t="str">
        <f>IF(OR(E1813="",E1813="!!!",F1813="NEW"),"",INDEX(B1812:B$2,-1+SUMPRODUCT(MAX(ROW(E1812:E$2)*(E1813=E1812:E$2)))))</f>
        <v> </v>
      </c>
      <c r="J1813" s="25" t="str">
        <f>IF(OR(E1813="",E1813="!!!",F1813="NEW"),"",COUNTBLANK(OFFSET(A$1,,,SUMPRODUCT(MAX(ROW(E$2:E1813)*(E1813=E$2:E1813)))))-COUNTBLANK(OFFSET(A$1,,,SUMPRODUCT(MAX(ROW(E$1:E1812)*(E2=E$1:E1812))))))</f>
        <v> </v>
      </c>
      <c r="K1813" s="25" t="str">
        <f>IF(OR(E1813="",E1813="!!!",F1813="NEW"),"",INDEX(J$1:J1812,SUMPRODUCT(MAX(ROW(E$1:E1812)*(E1813=E$1:E1812)))))</f>
        <v> </v>
      </c>
      <c r="L1813" s="26"/>
    </row>
    <row r="1814" spans="1:12">
      <c r="A1814" s="20" t="s">
        <v>489</v>
      </c>
      <c r="E1814" s="21">
        <f>IF(D1814="?OLD","!!!","")</f>
        <v/>
      </c>
      <c r="F1814" s="22" t="str">
        <f>IF(OR(E1814="",E1814="!!!"),"",IF(NOT(ISNA(VLOOKUP(E1814,E$1:E1813,1,FALSE()))),"OLD",IF(AND(E1814&lt;&gt;"",E1814&lt;&gt;"!!!"),"NEW","")))</f>
        <v> </v>
      </c>
      <c r="G1814" s="23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4" t="str">
        <f>IF(J1814&lt;&gt;1,"",IF(I1814="SBJ","CB","?"))</f>
        <v> </v>
      </c>
      <c r="I1814" s="25" t="str">
        <f>IF(OR(E1814="",E1814="!!!",F1814="NEW"),"",INDEX(B1813:B$2,-1+SUMPRODUCT(MAX(ROW(E1813:E$2)*(E1814=E1813:E$2)))))</f>
        <v> </v>
      </c>
      <c r="J1814" s="25" t="str">
        <f>IF(OR(E1814="",E1814="!!!",F1814="NEW"),"",COUNTBLANK(OFFSET(A$1,,,SUMPRODUCT(MAX(ROW(E$2:E1814)*(E1814=E$2:E1814)))))-COUNTBLANK(OFFSET(A$1,,,SUMPRODUCT(MAX(ROW(E$1:E1813)*(E2=E$1:E1813))))))</f>
        <v> </v>
      </c>
      <c r="K1814" s="25" t="str">
        <f>IF(OR(E1814="",E1814="!!!",F1814="NEW"),"",INDEX(J$1:J1813,SUMPRODUCT(MAX(ROW(E$1:E1813)*(E1814=E$1:E1813)))))</f>
        <v> </v>
      </c>
      <c r="L1814" s="26"/>
    </row>
    <row r="1815" spans="1:12">
      <c r="A1815" s="20" t="s">
        <v>593</v>
      </c>
      <c r="E1815" s="21">
        <f>IF(D1815="?OLD","!!!","")</f>
        <v/>
      </c>
      <c r="F1815" s="22" t="str">
        <f>IF(OR(E1815="",E1815="!!!"),"",IF(NOT(ISNA(VLOOKUP(E1815,E$1:E1814,1,FALSE()))),"OLD",IF(AND(E1815&lt;&gt;"",E1815&lt;&gt;"!!!"),"NEW","")))</f>
        <v> </v>
      </c>
      <c r="G1815" s="23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4" t="str">
        <f>IF(J1815&lt;&gt;1,"",IF(I1815="SBJ","CB","?"))</f>
        <v> </v>
      </c>
      <c r="I1815" s="25" t="str">
        <f>IF(OR(E1815="",E1815="!!!",F1815="NEW"),"",INDEX(B1814:B$2,-1+SUMPRODUCT(MAX(ROW(E1814:E$2)*(E1815=E1814:E$2)))))</f>
        <v> </v>
      </c>
      <c r="J1815" s="25" t="str">
        <f>IF(OR(E1815="",E1815="!!!",F1815="NEW"),"",COUNTBLANK(OFFSET(A$1,,,SUMPRODUCT(MAX(ROW(E$2:E1815)*(E1815=E$2:E1815)))))-COUNTBLANK(OFFSET(A$1,,,SUMPRODUCT(MAX(ROW(E$1:E1814)*(E2=E$1:E1814))))))</f>
        <v> </v>
      </c>
      <c r="K1815" s="25" t="str">
        <f>IF(OR(E1815="",E1815="!!!",F1815="NEW"),"",INDEX(J$1:J1814,SUMPRODUCT(MAX(ROW(E$1:E1814)*(E1815=E$1:E1814)))))</f>
        <v> </v>
      </c>
      <c r="L1815" s="26"/>
    </row>
    <row r="1816" spans="1:12">
      <c r="A1816" s="20" t="s">
        <v>435</v>
      </c>
      <c r="E1816" s="21">
        <f>IF(D1816="?OLD","!!!","")</f>
        <v/>
      </c>
      <c r="F1816" s="22" t="str">
        <f>IF(OR(E1816="",E1816="!!!"),"",IF(NOT(ISNA(VLOOKUP(E1816,E$1:E1815,1,FALSE()))),"OLD",IF(AND(E1816&lt;&gt;"",E1816&lt;&gt;"!!!"),"NEW","")))</f>
        <v> </v>
      </c>
      <c r="G1816" s="23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4" t="str">
        <f>IF(J1816&lt;&gt;1,"",IF(I1816="SBJ","CB","?"))</f>
        <v> </v>
      </c>
      <c r="I1816" s="25" t="str">
        <f>IF(OR(E1816="",E1816="!!!",F1816="NEW"),"",INDEX(B1815:B$2,-1+SUMPRODUCT(MAX(ROW(E1815:E$2)*(E1816=E1815:E$2)))))</f>
        <v> </v>
      </c>
      <c r="J1816" s="25" t="str">
        <f>IF(OR(E1816="",E1816="!!!",F1816="NEW"),"",COUNTBLANK(OFFSET(A$1,,,SUMPRODUCT(MAX(ROW(E$2:E1816)*(E1816=E$2:E1816)))))-COUNTBLANK(OFFSET(A$1,,,SUMPRODUCT(MAX(ROW(E$1:E1815)*(E2=E$1:E1815))))))</f>
        <v> </v>
      </c>
      <c r="K1816" s="25" t="str">
        <f>IF(OR(E1816="",E1816="!!!",F1816="NEW"),"",INDEX(J$1:J1815,SUMPRODUCT(MAX(ROW(E$1:E1815)*(E1816=E$1:E1815)))))</f>
        <v> </v>
      </c>
      <c r="L1816" s="26"/>
    </row>
    <row r="1817" spans="1:12">
      <c r="A1817" s="20" t="s">
        <v>380</v>
      </c>
      <c r="E1817" s="21">
        <f>IF(D1817="?OLD","!!!","")</f>
        <v/>
      </c>
      <c r="F1817" s="22" t="str">
        <f>IF(OR(E1817="",E1817="!!!"),"",IF(NOT(ISNA(VLOOKUP(E1817,E$1:E1816,1,FALSE()))),"OLD",IF(AND(E1817&lt;&gt;"",E1817&lt;&gt;"!!!"),"NEW","")))</f>
        <v> </v>
      </c>
      <c r="G1817" s="23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4" t="str">
        <f>IF(J1817&lt;&gt;1,"",IF(I1817="SBJ","CB","?"))</f>
        <v> </v>
      </c>
      <c r="I1817" s="25" t="str">
        <f>IF(OR(E1817="",E1817="!!!",F1817="NEW"),"",INDEX(B1816:B$2,-1+SUMPRODUCT(MAX(ROW(E1816:E$2)*(E1817=E1816:E$2)))))</f>
        <v> </v>
      </c>
      <c r="J1817" s="25" t="str">
        <f>IF(OR(E1817="",E1817="!!!",F1817="NEW"),"",COUNTBLANK(OFFSET(A$1,,,SUMPRODUCT(MAX(ROW(E$2:E1817)*(E1817=E$2:E1817)))))-COUNTBLANK(OFFSET(A$1,,,SUMPRODUCT(MAX(ROW(E$1:E1816)*(E2=E$1:E1816))))))</f>
        <v> </v>
      </c>
      <c r="K1817" s="25" t="str">
        <f>IF(OR(E1817="",E1817="!!!",F1817="NEW"),"",INDEX(J$1:J1816,SUMPRODUCT(MAX(ROW(E$1:E1816)*(E1817=E$1:E1816)))))</f>
        <v> </v>
      </c>
      <c r="L1817" s="26"/>
    </row>
    <row r="1818" spans="1:12">
      <c r="A1818" s="20" t="s">
        <v>1072</v>
      </c>
      <c r="B1818" s="27" t="s">
        <v>481</v>
      </c>
      <c r="C1818" s="27" t="s">
        <v>538</v>
      </c>
      <c r="D1818" s="27" t="s">
        <v>483</v>
      </c>
      <c r="E1818" s="21">
        <f>IF(D1818="?OLD","!!!","")</f>
        <v/>
      </c>
      <c r="F1818" s="22" t="str">
        <f>IF(OR(E1818="",E1818="!!!"),"",IF(NOT(ISNA(VLOOKUP(E1818,E$1:E1817,1,FALSE()))),"OLD",IF(AND(E1818&lt;&gt;"",E1818&lt;&gt;"!!!"),"NEW","")))</f>
        <v> </v>
      </c>
      <c r="G1818" s="23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4" t="str">
        <f>IF(J1818&lt;&gt;1,"",IF(I1818="SBJ","CB","?"))</f>
        <v> </v>
      </c>
      <c r="I1818" s="25" t="str">
        <f>IF(OR(E1818="",E1818="!!!",F1818="NEW"),"",INDEX(B1817:B$2,-1+SUMPRODUCT(MAX(ROW(E1817:E$2)*(E1818=E1817:E$2)))))</f>
        <v> </v>
      </c>
      <c r="J1818" s="25" t="str">
        <f>IF(OR(E1818="",E1818="!!!",F1818="NEW"),"",COUNTBLANK(OFFSET(A$1,,,SUMPRODUCT(MAX(ROW(E$2:E1818)*(E1818=E$2:E1818)))))-COUNTBLANK(OFFSET(A$1,,,SUMPRODUCT(MAX(ROW(E$1:E1817)*(E2=E$1:E1817))))))</f>
        <v> </v>
      </c>
      <c r="K1818" s="25" t="str">
        <f>IF(OR(E1818="",E1818="!!!",F1818="NEW"),"",INDEX(J$1:J1817,SUMPRODUCT(MAX(ROW(E$1:E1817)*(E1818=E$1:E1817)))))</f>
        <v> </v>
      </c>
      <c r="L1818" s="26"/>
    </row>
    <row r="1819" spans="1:12">
      <c r="A1819" s="20" t="s">
        <v>528</v>
      </c>
      <c r="E1819" s="21">
        <f>IF(D1819="?OLD","!!!","")</f>
        <v/>
      </c>
      <c r="F1819" s="22" t="str">
        <f>IF(OR(E1819="",E1819="!!!"),"",IF(NOT(ISNA(VLOOKUP(E1819,E$1:E1818,1,FALSE()))),"OLD",IF(AND(E1819&lt;&gt;"",E1819&lt;&gt;"!!!"),"NEW","")))</f>
        <v> </v>
      </c>
      <c r="G1819" s="23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4" t="str">
        <f>IF(J1819&lt;&gt;1,"",IF(I1819="SBJ","CB","?"))</f>
        <v> </v>
      </c>
      <c r="I1819" s="25" t="str">
        <f>IF(OR(E1819="",E1819="!!!",F1819="NEW"),"",INDEX(B1818:B$2,-1+SUMPRODUCT(MAX(ROW(E1818:E$2)*(E1819=E1818:E$2)))))</f>
        <v> </v>
      </c>
      <c r="J1819" s="25" t="str">
        <f>IF(OR(E1819="",E1819="!!!",F1819="NEW"),"",COUNTBLANK(OFFSET(A$1,,,SUMPRODUCT(MAX(ROW(E$2:E1819)*(E1819=E$2:E1819)))))-COUNTBLANK(OFFSET(A$1,,,SUMPRODUCT(MAX(ROW(E$1:E1818)*(E2=E$1:E1818))))))</f>
        <v> </v>
      </c>
      <c r="K1819" s="25" t="str">
        <f>IF(OR(E1819="",E1819="!!!",F1819="NEW"),"",INDEX(J$1:J1818,SUMPRODUCT(MAX(ROW(E$1:E1818)*(E1819=E$1:E1818)))))</f>
        <v> </v>
      </c>
      <c r="L1819" s="26"/>
    </row>
    <row r="1820" spans="1:12">
      <c r="A1820" s="20" t="s">
        <v>1073</v>
      </c>
      <c r="B1820" s="27" t="s">
        <v>490</v>
      </c>
      <c r="C1820" s="27" t="s">
        <v>516</v>
      </c>
      <c r="E1820" s="21">
        <f>IF(D1820="?OLD","!!!","")</f>
        <v/>
      </c>
      <c r="F1820" s="22" t="str">
        <f>IF(OR(E1820="",E1820="!!!"),"",IF(NOT(ISNA(VLOOKUP(E1820,E$1:E1819,1,FALSE()))),"OLD",IF(AND(E1820&lt;&gt;"",E1820&lt;&gt;"!!!"),"NEW","")))</f>
        <v> </v>
      </c>
      <c r="G1820" s="23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4" t="str">
        <f>IF(J1820&lt;&gt;1,"",IF(I1820="SBJ","CB","?"))</f>
        <v> </v>
      </c>
      <c r="I1820" s="25" t="str">
        <f>IF(OR(E1820="",E1820="!!!",F1820="NEW"),"",INDEX(B1819:B$2,-1+SUMPRODUCT(MAX(ROW(E1819:E$2)*(E1820=E1819:E$2)))))</f>
        <v> </v>
      </c>
      <c r="J1820" s="25" t="str">
        <f>IF(OR(E1820="",E1820="!!!",F1820="NEW"),"",COUNTBLANK(OFFSET(A$1,,,SUMPRODUCT(MAX(ROW(E$2:E1820)*(E1820=E$2:E1820)))))-COUNTBLANK(OFFSET(A$1,,,SUMPRODUCT(MAX(ROW(E$1:E1819)*(E2=E$1:E1819))))))</f>
        <v> </v>
      </c>
      <c r="K1820" s="25" t="str">
        <f>IF(OR(E1820="",E1820="!!!",F1820="NEW"),"",INDEX(J$1:J1819,SUMPRODUCT(MAX(ROW(E$1:E1819)*(E1820=E$1:E1819)))))</f>
        <v> </v>
      </c>
      <c r="L1820" s="26"/>
    </row>
    <row r="1821" spans="1:12">
      <c r="A1821" s="20" t="s">
        <v>531</v>
      </c>
      <c r="E1821" s="21">
        <f>IF(D1821="?OLD","!!!","")</f>
        <v/>
      </c>
      <c r="F1821" s="22" t="str">
        <f>IF(OR(E1821="",E1821="!!!"),"",IF(NOT(ISNA(VLOOKUP(E1821,E$1:E1820,1,FALSE()))),"OLD",IF(AND(E1821&lt;&gt;"",E1821&lt;&gt;"!!!"),"NEW","")))</f>
        <v> </v>
      </c>
      <c r="G1821" s="23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4" t="str">
        <f>IF(J1821&lt;&gt;1,"",IF(I1821="SBJ","CB","?"))</f>
        <v> </v>
      </c>
      <c r="I1821" s="25" t="str">
        <f>IF(OR(E1821="",E1821="!!!",F1821="NEW"),"",INDEX(B1820:B$2,-1+SUMPRODUCT(MAX(ROW(E1820:E$2)*(E1821=E1820:E$2)))))</f>
        <v> </v>
      </c>
      <c r="J1821" s="25" t="str">
        <f>IF(OR(E1821="",E1821="!!!",F1821="NEW"),"",COUNTBLANK(OFFSET(A$1,,,SUMPRODUCT(MAX(ROW(E$2:E1821)*(E1821=E$2:E1821)))))-COUNTBLANK(OFFSET(A$1,,,SUMPRODUCT(MAX(ROW(E$1:E1820)*(E2=E$1:E1820))))))</f>
        <v> </v>
      </c>
      <c r="K1821" s="25" t="str">
        <f>IF(OR(E1821="",E1821="!!!",F1821="NEW"),"",INDEX(J$1:J1820,SUMPRODUCT(MAX(ROW(E$1:E1820)*(E1821=E$1:E1820)))))</f>
        <v> </v>
      </c>
      <c r="L1821" s="26"/>
    </row>
    <row r="1822" spans="1:12">
      <c r="A1822" s="20"/>
    </row>
    <row r="1823" spans="1:12">
      <c r="A1823" s="20" t="s">
        <v>1074</v>
      </c>
    </row>
    <row r="1824" spans="1:12">
      <c r="A1824" s="20" t="s">
        <v>1023</v>
      </c>
      <c r="E1824" s="21">
        <f>IF(D1824="?OLD","!!!","")</f>
        <v/>
      </c>
      <c r="F1824" s="22" t="str">
        <f>IF(OR(E1824="",E1824="!!!"),"",IF(NOT(ISNA(VLOOKUP(E1824,E$1:E1823,1,FALSE()))),"OLD",IF(AND(E1824&lt;&gt;"",E1824&lt;&gt;"!!!"),"NEW","")))</f>
        <v> </v>
      </c>
      <c r="G1824" s="23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4" t="str">
        <f>IF(J1824&lt;&gt;1,"",IF(I1824="SBJ","CB","?"))</f>
        <v> </v>
      </c>
      <c r="I1824" s="25" t="str">
        <f>IF(OR(E1824="",E1824="!!!",F1824="NEW"),"",INDEX(B1823:B$2,-1+SUMPRODUCT(MAX(ROW(E1823:E$2)*(E1824=E1823:E$2)))))</f>
        <v> </v>
      </c>
      <c r="J1824" s="25" t="str">
        <f>IF(OR(E1824="",E1824="!!!",F1824="NEW"),"",COUNTBLANK(OFFSET(A$1,,,SUMPRODUCT(MAX(ROW(E$2:E1824)*(E1824=E$2:E1824)))))-COUNTBLANK(OFFSET(A$1,,,SUMPRODUCT(MAX(ROW(E$1:E1823)*(E2=E$1:E1823))))))</f>
        <v> </v>
      </c>
      <c r="K1824" s="25" t="str">
        <f>IF(OR(E1824="",E1824="!!!",F1824="NEW"),"",INDEX(J$1:J1823,SUMPRODUCT(MAX(ROW(E$1:E1823)*(E1824=E$1:E1823)))))</f>
        <v> </v>
      </c>
      <c r="L1824" s="26"/>
    </row>
    <row r="1825" spans="1:12">
      <c r="A1825" s="20" t="s">
        <v>489</v>
      </c>
      <c r="E1825" s="21">
        <f>IF(D1825="?OLD","!!!","")</f>
        <v/>
      </c>
      <c r="F1825" s="22" t="str">
        <f>IF(OR(E1825="",E1825="!!!"),"",IF(NOT(ISNA(VLOOKUP(E1825,E$1:E1824,1,FALSE()))),"OLD",IF(AND(E1825&lt;&gt;"",E1825&lt;&gt;"!!!"),"NEW","")))</f>
        <v> </v>
      </c>
      <c r="G1825" s="23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4" t="str">
        <f>IF(J1825&lt;&gt;1,"",IF(I1825="SBJ","CB","?"))</f>
        <v> </v>
      </c>
      <c r="I1825" s="25" t="str">
        <f>IF(OR(E1825="",E1825="!!!",F1825="NEW"),"",INDEX(B1824:B$2,-1+SUMPRODUCT(MAX(ROW(E1824:E$2)*(E1825=E1824:E$2)))))</f>
        <v> </v>
      </c>
      <c r="J1825" s="25" t="str">
        <f>IF(OR(E1825="",E1825="!!!",F1825="NEW"),"",COUNTBLANK(OFFSET(A$1,,,SUMPRODUCT(MAX(ROW(E$2:E1825)*(E1825=E$2:E1825)))))-COUNTBLANK(OFFSET(A$1,,,SUMPRODUCT(MAX(ROW(E$1:E1824)*(E2=E$1:E1824))))))</f>
        <v> </v>
      </c>
      <c r="K1825" s="25" t="str">
        <f>IF(OR(E1825="",E1825="!!!",F1825="NEW"),"",INDEX(J$1:J1824,SUMPRODUCT(MAX(ROW(E$1:E1824)*(E1825=E$1:E1824)))))</f>
        <v> </v>
      </c>
      <c r="L1825" s="26"/>
    </row>
    <row r="1826" spans="1:12">
      <c r="A1826" s="20" t="s">
        <v>1075</v>
      </c>
      <c r="E1826" s="21">
        <f>IF(D1826="?OLD","!!!","")</f>
        <v/>
      </c>
      <c r="F1826" s="22" t="str">
        <f>IF(OR(E1826="",E1826="!!!"),"",IF(NOT(ISNA(VLOOKUP(E1826,E$1:E1825,1,FALSE()))),"OLD",IF(AND(E1826&lt;&gt;"",E1826&lt;&gt;"!!!"),"NEW","")))</f>
        <v> </v>
      </c>
      <c r="G1826" s="23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4" t="str">
        <f>IF(J1826&lt;&gt;1,"",IF(I1826="SBJ","CB","?"))</f>
        <v> </v>
      </c>
      <c r="I1826" s="25" t="str">
        <f>IF(OR(E1826="",E1826="!!!",F1826="NEW"),"",INDEX(B1825:B$2,-1+SUMPRODUCT(MAX(ROW(E1825:E$2)*(E1826=E1825:E$2)))))</f>
        <v> </v>
      </c>
      <c r="J1826" s="25" t="str">
        <f>IF(OR(E1826="",E1826="!!!",F1826="NEW"),"",COUNTBLANK(OFFSET(A$1,,,SUMPRODUCT(MAX(ROW(E$2:E1826)*(E1826=E$2:E1826)))))-COUNTBLANK(OFFSET(A$1,,,SUMPRODUCT(MAX(ROW(E$1:E1825)*(E2=E$1:E1825))))))</f>
        <v> </v>
      </c>
      <c r="K1826" s="25" t="str">
        <f>IF(OR(E1826="",E1826="!!!",F1826="NEW"),"",INDEX(J$1:J1825,SUMPRODUCT(MAX(ROW(E$1:E1825)*(E1826=E$1:E1825)))))</f>
        <v> </v>
      </c>
      <c r="L1826" s="26"/>
    </row>
    <row r="1827" spans="1:12">
      <c r="A1827" s="20" t="s">
        <v>557</v>
      </c>
      <c r="E1827" s="21">
        <f>IF(D1827="?OLD","!!!","")</f>
        <v/>
      </c>
      <c r="F1827" s="22" t="str">
        <f>IF(OR(E1827="",E1827="!!!"),"",IF(NOT(ISNA(VLOOKUP(E1827,E$1:E1826,1,FALSE()))),"OLD",IF(AND(E1827&lt;&gt;"",E1827&lt;&gt;"!!!"),"NEW","")))</f>
        <v> </v>
      </c>
      <c r="G1827" s="23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4" t="str">
        <f>IF(J1827&lt;&gt;1,"",IF(I1827="SBJ","CB","?"))</f>
        <v> </v>
      </c>
      <c r="I1827" s="25" t="str">
        <f>IF(OR(E1827="",E1827="!!!",F1827="NEW"),"",INDEX(B1826:B$2,-1+SUMPRODUCT(MAX(ROW(E1826:E$2)*(E1827=E1826:E$2)))))</f>
        <v> </v>
      </c>
      <c r="J1827" s="25" t="str">
        <f>IF(OR(E1827="",E1827="!!!",F1827="NEW"),"",COUNTBLANK(OFFSET(A$1,,,SUMPRODUCT(MAX(ROW(E$2:E1827)*(E1827=E$2:E1827)))))-COUNTBLANK(OFFSET(A$1,,,SUMPRODUCT(MAX(ROW(E$1:E1826)*(E2=E$1:E1826))))))</f>
        <v> </v>
      </c>
      <c r="K1827" s="25" t="str">
        <f>IF(OR(E1827="",E1827="!!!",F1827="NEW"),"",INDEX(J$1:J1826,SUMPRODUCT(MAX(ROW(E$1:E1826)*(E1827=E$1:E1826)))))</f>
        <v> </v>
      </c>
      <c r="L1827" s="26"/>
    </row>
    <row r="1828" spans="1:12">
      <c r="A1828" s="20" t="s">
        <v>1029</v>
      </c>
      <c r="B1828" s="27" t="s">
        <v>477</v>
      </c>
      <c r="C1828" s="27" t="s">
        <v>482</v>
      </c>
      <c r="D1828" s="27" t="s">
        <v>483</v>
      </c>
      <c r="E1828" s="21">
        <f>IF(D1828="?OLD","!!!","")</f>
        <v/>
      </c>
      <c r="F1828" s="22" t="str">
        <f>IF(OR(E1828="",E1828="!!!"),"",IF(NOT(ISNA(VLOOKUP(E1828,E$1:E1827,1,FALSE()))),"OLD",IF(AND(E1828&lt;&gt;"",E1828&lt;&gt;"!!!"),"NEW","")))</f>
        <v> </v>
      </c>
      <c r="G1828" s="23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4" t="str">
        <f>IF(J1828&lt;&gt;1,"",IF(I1828="SBJ","CB","?"))</f>
        <v> </v>
      </c>
      <c r="I1828" s="25" t="str">
        <f>IF(OR(E1828="",E1828="!!!",F1828="NEW"),"",INDEX(B1827:B$2,-1+SUMPRODUCT(MAX(ROW(E1827:E$2)*(E1828=E1827:E$2)))))</f>
        <v> </v>
      </c>
      <c r="J1828" s="25" t="str">
        <f>IF(OR(E1828="",E1828="!!!",F1828="NEW"),"",COUNTBLANK(OFFSET(A$1,,,SUMPRODUCT(MAX(ROW(E$2:E1828)*(E1828=E$2:E1828)))))-COUNTBLANK(OFFSET(A$1,,,SUMPRODUCT(MAX(ROW(E$1:E1827)*(E2=E$1:E1827))))))</f>
        <v> </v>
      </c>
      <c r="K1828" s="25" t="str">
        <f>IF(OR(E1828="",E1828="!!!",F1828="NEW"),"",INDEX(J$1:J1827,SUMPRODUCT(MAX(ROW(E$1:E1827)*(E1828=E$1:E1827)))))</f>
        <v> </v>
      </c>
      <c r="L1828" s="26"/>
    </row>
    <row r="1829" spans="1:12">
      <c r="A1829" s="20" t="s">
        <v>531</v>
      </c>
      <c r="E1829" s="21">
        <f>IF(D1829="?OLD","!!!","")</f>
        <v/>
      </c>
      <c r="F1829" s="22" t="str">
        <f>IF(OR(E1829="",E1829="!!!"),"",IF(NOT(ISNA(VLOOKUP(E1829,E$1:E1828,1,FALSE()))),"OLD",IF(AND(E1829&lt;&gt;"",E1829&lt;&gt;"!!!"),"NEW","")))</f>
        <v> </v>
      </c>
      <c r="G1829" s="23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4" t="str">
        <f>IF(J1829&lt;&gt;1,"",IF(I1829="SBJ","CB","?"))</f>
        <v> </v>
      </c>
      <c r="I1829" s="25" t="str">
        <f>IF(OR(E1829="",E1829="!!!",F1829="NEW"),"",INDEX(B1828:B$2,-1+SUMPRODUCT(MAX(ROW(E1828:E$2)*(E1829=E1828:E$2)))))</f>
        <v> </v>
      </c>
      <c r="J1829" s="25" t="str">
        <f>IF(OR(E1829="",E1829="!!!",F1829="NEW"),"",COUNTBLANK(OFFSET(A$1,,,SUMPRODUCT(MAX(ROW(E$2:E1829)*(E1829=E$2:E1829)))))-COUNTBLANK(OFFSET(A$1,,,SUMPRODUCT(MAX(ROW(E$1:E1828)*(E2=E$1:E1828))))))</f>
        <v> </v>
      </c>
      <c r="K1829" s="25" t="str">
        <f>IF(OR(E1829="",E1829="!!!",F1829="NEW"),"",INDEX(J$1:J1828,SUMPRODUCT(MAX(ROW(E$1:E1828)*(E1829=E$1:E1828)))))</f>
        <v> </v>
      </c>
      <c r="L1829" s="26"/>
    </row>
    <row r="1830" spans="1:12">
      <c r="A1830" s="20"/>
    </row>
    <row r="1831" spans="1:12">
      <c r="A1831" s="20" t="s">
        <v>1076</v>
      </c>
    </row>
    <row r="1832" spans="1:12">
      <c r="A1832" s="20" t="s">
        <v>1077</v>
      </c>
      <c r="E1832" s="21">
        <f>IF(D1832="?OLD","!!!","")</f>
        <v/>
      </c>
      <c r="F1832" s="22" t="str">
        <f>IF(OR(E1832="",E1832="!!!"),"",IF(NOT(ISNA(VLOOKUP(E1832,E$1:E1831,1,FALSE()))),"OLD",IF(AND(E1832&lt;&gt;"",E1832&lt;&gt;"!!!"),"NEW","")))</f>
        <v> </v>
      </c>
      <c r="G1832" s="23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4" t="str">
        <f>IF(J1832&lt;&gt;1,"",IF(I1832="SBJ","CB","?"))</f>
        <v> </v>
      </c>
      <c r="I1832" s="25" t="str">
        <f>IF(OR(E1832="",E1832="!!!",F1832="NEW"),"",INDEX(B1831:B$2,-1+SUMPRODUCT(MAX(ROW(E1831:E$2)*(E1832=E1831:E$2)))))</f>
        <v> </v>
      </c>
      <c r="J1832" s="25" t="str">
        <f>IF(OR(E1832="",E1832="!!!",F1832="NEW"),"",COUNTBLANK(OFFSET(A$1,,,SUMPRODUCT(MAX(ROW(E$2:E1832)*(E1832=E$2:E1832)))))-COUNTBLANK(OFFSET(A$1,,,SUMPRODUCT(MAX(ROW(E$1:E1831)*(E2=E$1:E1831))))))</f>
        <v> </v>
      </c>
      <c r="K1832" s="25" t="str">
        <f>IF(OR(E1832="",E1832="!!!",F1832="NEW"),"",INDEX(J$1:J1831,SUMPRODUCT(MAX(ROW(E$1:E1831)*(E1832=E$1:E1831)))))</f>
        <v> </v>
      </c>
      <c r="L1832" s="26"/>
    </row>
    <row r="1833" spans="1:12">
      <c r="A1833" s="20" t="s">
        <v>489</v>
      </c>
      <c r="E1833" s="21">
        <f>IF(D1833="?OLD","!!!","")</f>
        <v/>
      </c>
      <c r="F1833" s="22" t="str">
        <f>IF(OR(E1833="",E1833="!!!"),"",IF(NOT(ISNA(VLOOKUP(E1833,E$1:E1832,1,FALSE()))),"OLD",IF(AND(E1833&lt;&gt;"",E1833&lt;&gt;"!!!"),"NEW","")))</f>
        <v> </v>
      </c>
      <c r="G1833" s="23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4" t="str">
        <f>IF(J1833&lt;&gt;1,"",IF(I1833="SBJ","CB","?"))</f>
        <v> </v>
      </c>
      <c r="I1833" s="25" t="str">
        <f>IF(OR(E1833="",E1833="!!!",F1833="NEW"),"",INDEX(B1832:B$2,-1+SUMPRODUCT(MAX(ROW(E1832:E$2)*(E1833=E1832:E$2)))))</f>
        <v> </v>
      </c>
      <c r="J1833" s="25" t="str">
        <f>IF(OR(E1833="",E1833="!!!",F1833="NEW"),"",COUNTBLANK(OFFSET(A$1,,,SUMPRODUCT(MAX(ROW(E$2:E1833)*(E1833=E$2:E1833)))))-COUNTBLANK(OFFSET(A$1,,,SUMPRODUCT(MAX(ROW(E$1:E1832)*(E2=E$1:E1832))))))</f>
        <v> </v>
      </c>
      <c r="K1833" s="25" t="str">
        <f>IF(OR(E1833="",E1833="!!!",F1833="NEW"),"",INDEX(J$1:J1832,SUMPRODUCT(MAX(ROW(E$1:E1832)*(E1833=E$1:E1832)))))</f>
        <v> </v>
      </c>
      <c r="L1833" s="26"/>
    </row>
    <row r="1834" spans="1:12">
      <c r="A1834" s="20" t="s">
        <v>507</v>
      </c>
      <c r="E1834" s="21">
        <f>IF(D1834="?OLD","!!!","")</f>
        <v/>
      </c>
      <c r="F1834" s="22" t="str">
        <f>IF(OR(E1834="",E1834="!!!"),"",IF(NOT(ISNA(VLOOKUP(E1834,E$1:E1833,1,FALSE()))),"OLD",IF(AND(E1834&lt;&gt;"",E1834&lt;&gt;"!!!"),"NEW","")))</f>
        <v> </v>
      </c>
      <c r="G1834" s="23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4" t="str">
        <f>IF(J1834&lt;&gt;1,"",IF(I1834="SBJ","CB","?"))</f>
        <v> </v>
      </c>
      <c r="I1834" s="25" t="str">
        <f>IF(OR(E1834="",E1834="!!!",F1834="NEW"),"",INDEX(B1833:B$2,-1+SUMPRODUCT(MAX(ROW(E1833:E$2)*(E1834=E1833:E$2)))))</f>
        <v> </v>
      </c>
      <c r="J1834" s="25" t="str">
        <f>IF(OR(E1834="",E1834="!!!",F1834="NEW"),"",COUNTBLANK(OFFSET(A$1,,,SUMPRODUCT(MAX(ROW(E$2:E1834)*(E1834=E$2:E1834)))))-COUNTBLANK(OFFSET(A$1,,,SUMPRODUCT(MAX(ROW(E$1:E1833)*(E2=E$1:E1833))))))</f>
        <v> </v>
      </c>
      <c r="K1834" s="25" t="str">
        <f>IF(OR(E1834="",E1834="!!!",F1834="NEW"),"",INDEX(J$1:J1833,SUMPRODUCT(MAX(ROW(E$1:E1833)*(E1834=E$1:E1833)))))</f>
        <v> </v>
      </c>
      <c r="L1834" s="26"/>
    </row>
    <row r="1835" spans="1:12">
      <c r="A1835" s="20" t="s">
        <v>769</v>
      </c>
      <c r="E1835" s="21">
        <f>IF(D1835="?OLD","!!!","")</f>
        <v/>
      </c>
      <c r="F1835" s="22" t="str">
        <f>IF(OR(E1835="",E1835="!!!"),"",IF(NOT(ISNA(VLOOKUP(E1835,E$1:E1834,1,FALSE()))),"OLD",IF(AND(E1835&lt;&gt;"",E1835&lt;&gt;"!!!"),"NEW","")))</f>
        <v> </v>
      </c>
      <c r="G1835" s="23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4" t="str">
        <f>IF(J1835&lt;&gt;1,"",IF(I1835="SBJ","CB","?"))</f>
        <v> </v>
      </c>
      <c r="I1835" s="25" t="str">
        <f>IF(OR(E1835="",E1835="!!!",F1835="NEW"),"",INDEX(B1834:B$2,-1+SUMPRODUCT(MAX(ROW(E1834:E$2)*(E1835=E1834:E$2)))))</f>
        <v> </v>
      </c>
      <c r="J1835" s="25" t="str">
        <f>IF(OR(E1835="",E1835="!!!",F1835="NEW"),"",COUNTBLANK(OFFSET(A$1,,,SUMPRODUCT(MAX(ROW(E$2:E1835)*(E1835=E$2:E1835)))))-COUNTBLANK(OFFSET(A$1,,,SUMPRODUCT(MAX(ROW(E$1:E1834)*(E2=E$1:E1834))))))</f>
        <v> </v>
      </c>
      <c r="K1835" s="25" t="str">
        <f>IF(OR(E1835="",E1835="!!!",F1835="NEW"),"",INDEX(J$1:J1834,SUMPRODUCT(MAX(ROW(E$1:E1834)*(E1835=E$1:E1834)))))</f>
        <v> </v>
      </c>
      <c r="L1835" s="26"/>
    </row>
    <row r="1836" spans="1:12">
      <c r="A1836" s="20" t="s">
        <v>913</v>
      </c>
      <c r="B1836" s="27" t="s">
        <v>477</v>
      </c>
      <c r="C1836" s="27" t="s">
        <v>598</v>
      </c>
      <c r="D1836" s="27" t="s">
        <v>483</v>
      </c>
      <c r="E1836" s="21">
        <f>IF(D1836="?OLD","!!!","")</f>
        <v/>
      </c>
      <c r="F1836" s="22" t="str">
        <f>IF(OR(E1836="",E1836="!!!"),"",IF(NOT(ISNA(VLOOKUP(E1836,E$1:E1835,1,FALSE()))),"OLD",IF(AND(E1836&lt;&gt;"",E1836&lt;&gt;"!!!"),"NEW","")))</f>
        <v> </v>
      </c>
      <c r="G1836" s="23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4" t="str">
        <f>IF(J1836&lt;&gt;1,"",IF(I1836="SBJ","CB","?"))</f>
        <v> </v>
      </c>
      <c r="I1836" s="25" t="str">
        <f>IF(OR(E1836="",E1836="!!!",F1836="NEW"),"",INDEX(B1835:B$2,-1+SUMPRODUCT(MAX(ROW(E1835:E$2)*(E1836=E1835:E$2)))))</f>
        <v> </v>
      </c>
      <c r="J1836" s="25" t="str">
        <f>IF(OR(E1836="",E1836="!!!",F1836="NEW"),"",COUNTBLANK(OFFSET(A$1,,,SUMPRODUCT(MAX(ROW(E$2:E1836)*(E1836=E$2:E1836)))))-COUNTBLANK(OFFSET(A$1,,,SUMPRODUCT(MAX(ROW(E$1:E1835)*(E2=E$1:E1835))))))</f>
        <v> </v>
      </c>
      <c r="K1836" s="25" t="str">
        <f>IF(OR(E1836="",E1836="!!!",F1836="NEW"),"",INDEX(J$1:J1835,SUMPRODUCT(MAX(ROW(E$1:E1835)*(E1836=E$1:E1835)))))</f>
        <v> </v>
      </c>
      <c r="L1836" s="26"/>
    </row>
    <row r="1837" spans="1:12">
      <c r="A1837" s="20" t="s">
        <v>489</v>
      </c>
      <c r="E1837" s="21">
        <f>IF(D1837="?OLD","!!!","")</f>
        <v/>
      </c>
      <c r="F1837" s="22" t="str">
        <f>IF(OR(E1837="",E1837="!!!"),"",IF(NOT(ISNA(VLOOKUP(E1837,E$1:E1836,1,FALSE()))),"OLD",IF(AND(E1837&lt;&gt;"",E1837&lt;&gt;"!!!"),"NEW","")))</f>
        <v> </v>
      </c>
      <c r="G1837" s="23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4" t="str">
        <f>IF(J1837&lt;&gt;1,"",IF(I1837="SBJ","CB","?"))</f>
        <v> </v>
      </c>
      <c r="I1837" s="25" t="str">
        <f>IF(OR(E1837="",E1837="!!!",F1837="NEW"),"",INDEX(B1836:B$2,-1+SUMPRODUCT(MAX(ROW(E1836:E$2)*(E1837=E1836:E$2)))))</f>
        <v> </v>
      </c>
      <c r="J1837" s="25" t="str">
        <f>IF(OR(E1837="",E1837="!!!",F1837="NEW"),"",COUNTBLANK(OFFSET(A$1,,,SUMPRODUCT(MAX(ROW(E$2:E1837)*(E1837=E$2:E1837)))))-COUNTBLANK(OFFSET(A$1,,,SUMPRODUCT(MAX(ROW(E$1:E1836)*(E2=E$1:E1836))))))</f>
        <v> </v>
      </c>
      <c r="K1837" s="25" t="str">
        <f>IF(OR(E1837="",E1837="!!!",F1837="NEW"),"",INDEX(J$1:J1836,SUMPRODUCT(MAX(ROW(E$1:E1836)*(E1837=E$1:E1836)))))</f>
        <v> </v>
      </c>
      <c r="L1837" s="26"/>
    </row>
    <row r="1838" spans="1:12">
      <c r="A1838" s="20" t="s">
        <v>1078</v>
      </c>
      <c r="B1838" s="27" t="s">
        <v>490</v>
      </c>
      <c r="C1838" s="27" t="s">
        <v>538</v>
      </c>
      <c r="D1838" s="27" t="s">
        <v>483</v>
      </c>
      <c r="E1838" s="21">
        <f>IF(D1838="?OLD","!!!","")</f>
        <v/>
      </c>
      <c r="F1838" s="22" t="str">
        <f>IF(OR(E1838="",E1838="!!!"),"",IF(NOT(ISNA(VLOOKUP(E1838,E$1:E1837,1,FALSE()))),"OLD",IF(AND(E1838&lt;&gt;"",E1838&lt;&gt;"!!!"),"NEW","")))</f>
        <v> </v>
      </c>
      <c r="G1838" s="23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4" t="str">
        <f>IF(J1838&lt;&gt;1,"",IF(I1838="SBJ","CB","?"))</f>
        <v> </v>
      </c>
      <c r="I1838" s="25" t="str">
        <f>IF(OR(E1838="",E1838="!!!",F1838="NEW"),"",INDEX(B1837:B$2,-1+SUMPRODUCT(MAX(ROW(E1837:E$2)*(E1838=E1837:E$2)))))</f>
        <v> </v>
      </c>
      <c r="J1838" s="25" t="str">
        <f>IF(OR(E1838="",E1838="!!!",F1838="NEW"),"",COUNTBLANK(OFFSET(A$1,,,SUMPRODUCT(MAX(ROW(E$2:E1838)*(E1838=E$2:E1838)))))-COUNTBLANK(OFFSET(A$1,,,SUMPRODUCT(MAX(ROW(E$1:E1837)*(E2=E$1:E1837))))))</f>
        <v> </v>
      </c>
      <c r="K1838" s="25" t="str">
        <f>IF(OR(E1838="",E1838="!!!",F1838="NEW"),"",INDEX(J$1:J1837,SUMPRODUCT(MAX(ROW(E$1:E1837)*(E1838=E$1:E1837)))))</f>
        <v> </v>
      </c>
      <c r="L1838" s="26"/>
    </row>
    <row r="1839" spans="1:12">
      <c r="A1839" s="20" t="s">
        <v>503</v>
      </c>
      <c r="E1839" s="21">
        <f>IF(D1839="?OLD","!!!","")</f>
        <v/>
      </c>
      <c r="F1839" s="22" t="str">
        <f>IF(OR(E1839="",E1839="!!!"),"",IF(NOT(ISNA(VLOOKUP(E1839,E$1:E1838,1,FALSE()))),"OLD",IF(AND(E1839&lt;&gt;"",E1839&lt;&gt;"!!!"),"NEW","")))</f>
        <v> </v>
      </c>
      <c r="G1839" s="23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4" t="str">
        <f>IF(J1839&lt;&gt;1,"",IF(I1839="SBJ","CB","?"))</f>
        <v> </v>
      </c>
      <c r="I1839" s="25" t="str">
        <f>IF(OR(E1839="",E1839="!!!",F1839="NEW"),"",INDEX(B1838:B$2,-1+SUMPRODUCT(MAX(ROW(E1838:E$2)*(E1839=E1838:E$2)))))</f>
        <v> </v>
      </c>
      <c r="J1839" s="25" t="str">
        <f>IF(OR(E1839="",E1839="!!!",F1839="NEW"),"",COUNTBLANK(OFFSET(A$1,,,SUMPRODUCT(MAX(ROW(E$2:E1839)*(E1839=E$2:E1839)))))-COUNTBLANK(OFFSET(A$1,,,SUMPRODUCT(MAX(ROW(E$1:E1838)*(E2=E$1:E1838))))))</f>
        <v> </v>
      </c>
      <c r="K1839" s="25" t="str">
        <f>IF(OR(E1839="",E1839="!!!",F1839="NEW"),"",INDEX(J$1:J1838,SUMPRODUCT(MAX(ROW(E$1:E1838)*(E1839=E$1:E1838)))))</f>
        <v> </v>
      </c>
      <c r="L1839" s="26"/>
    </row>
    <row r="1840" spans="1:12">
      <c r="A1840" s="20" t="s">
        <v>267</v>
      </c>
      <c r="B1840" s="27" t="s">
        <v>540</v>
      </c>
      <c r="C1840" s="27" t="s">
        <v>516</v>
      </c>
      <c r="E1840" s="21">
        <f>IF(D1840="?OLD","!!!","")</f>
        <v/>
      </c>
      <c r="F1840" s="22" t="str">
        <f>IF(OR(E1840="",E1840="!!!"),"",IF(NOT(ISNA(VLOOKUP(E1840,E$1:E1839,1,FALSE()))),"OLD",IF(AND(E1840&lt;&gt;"",E1840&lt;&gt;"!!!"),"NEW","")))</f>
        <v> </v>
      </c>
      <c r="G1840" s="23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4" t="str">
        <f>IF(J1840&lt;&gt;1,"",IF(I1840="SBJ","CB","?"))</f>
        <v> </v>
      </c>
      <c r="I1840" s="25" t="str">
        <f>IF(OR(E1840="",E1840="!!!",F1840="NEW"),"",INDEX(B1839:B$2,-1+SUMPRODUCT(MAX(ROW(E1839:E$2)*(E1840=E1839:E$2)))))</f>
        <v> </v>
      </c>
      <c r="J1840" s="25" t="str">
        <f>IF(OR(E1840="",E1840="!!!",F1840="NEW"),"",COUNTBLANK(OFFSET(A$1,,,SUMPRODUCT(MAX(ROW(E$2:E1840)*(E1840=E$2:E1840)))))-COUNTBLANK(OFFSET(A$1,,,SUMPRODUCT(MAX(ROW(E$1:E1839)*(E2=E$1:E1839))))))</f>
        <v> </v>
      </c>
      <c r="K1840" s="25" t="str">
        <f>IF(OR(E1840="",E1840="!!!",F1840="NEW"),"",INDEX(J$1:J1839,SUMPRODUCT(MAX(ROW(E$1:E1839)*(E1840=E$1:E1839)))))</f>
        <v> </v>
      </c>
      <c r="L1840" s="26"/>
    </row>
    <row r="1841" spans="1:12">
      <c r="A1841" s="20" t="s">
        <v>489</v>
      </c>
      <c r="E1841" s="21">
        <f>IF(D1841="?OLD","!!!","")</f>
        <v/>
      </c>
      <c r="F1841" s="22" t="str">
        <f>IF(OR(E1841="",E1841="!!!"),"",IF(NOT(ISNA(VLOOKUP(E1841,E$1:E1840,1,FALSE()))),"OLD",IF(AND(E1841&lt;&gt;"",E1841&lt;&gt;"!!!"),"NEW","")))</f>
        <v> </v>
      </c>
      <c r="G1841" s="23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4" t="str">
        <f>IF(J1841&lt;&gt;1,"",IF(I1841="SBJ","CB","?"))</f>
        <v> </v>
      </c>
      <c r="I1841" s="25" t="str">
        <f>IF(OR(E1841="",E1841="!!!",F1841="NEW"),"",INDEX(B1840:B$2,-1+SUMPRODUCT(MAX(ROW(E1840:E$2)*(E1841=E1840:E$2)))))</f>
        <v> </v>
      </c>
      <c r="J1841" s="25" t="str">
        <f>IF(OR(E1841="",E1841="!!!",F1841="NEW"),"",COUNTBLANK(OFFSET(A$1,,,SUMPRODUCT(MAX(ROW(E$2:E1841)*(E1841=E$2:E1841)))))-COUNTBLANK(OFFSET(A$1,,,SUMPRODUCT(MAX(ROW(E$1:E1840)*(E2=E$1:E1840))))))</f>
        <v> </v>
      </c>
      <c r="K1841" s="25" t="str">
        <f>IF(OR(E1841="",E1841="!!!",F1841="NEW"),"",INDEX(J$1:J1840,SUMPRODUCT(MAX(ROW(E$1:E1840)*(E1841=E$1:E1840)))))</f>
        <v> </v>
      </c>
      <c r="L1841" s="26"/>
    </row>
    <row r="1842" spans="1:12">
      <c r="A1842" s="20" t="s">
        <v>1079</v>
      </c>
      <c r="E1842" s="21">
        <f>IF(D1842="?OLD","!!!","")</f>
        <v/>
      </c>
      <c r="F1842" s="22" t="str">
        <f>IF(OR(E1842="",E1842="!!!"),"",IF(NOT(ISNA(VLOOKUP(E1842,E$1:E1841,1,FALSE()))),"OLD",IF(AND(E1842&lt;&gt;"",E1842&lt;&gt;"!!!"),"NEW","")))</f>
        <v> </v>
      </c>
      <c r="G1842" s="23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4" t="str">
        <f>IF(J1842&lt;&gt;1,"",IF(I1842="SBJ","CB","?"))</f>
        <v> </v>
      </c>
      <c r="I1842" s="25" t="str">
        <f>IF(OR(E1842="",E1842="!!!",F1842="NEW"),"",INDEX(B1841:B$2,-1+SUMPRODUCT(MAX(ROW(E1841:E$2)*(E1842=E1841:E$2)))))</f>
        <v> </v>
      </c>
      <c r="J1842" s="25" t="str">
        <f>IF(OR(E1842="",E1842="!!!",F1842="NEW"),"",COUNTBLANK(OFFSET(A$1,,,SUMPRODUCT(MAX(ROW(E$2:E1842)*(E1842=E$2:E1842)))))-COUNTBLANK(OFFSET(A$1,,,SUMPRODUCT(MAX(ROW(E$1:E1841)*(E2=E$1:E1841))))))</f>
        <v> </v>
      </c>
      <c r="K1842" s="25" t="str">
        <f>IF(OR(E1842="",E1842="!!!",F1842="NEW"),"",INDEX(J$1:J1841,SUMPRODUCT(MAX(ROW(E$1:E1841)*(E1842=E$1:E1841)))))</f>
        <v> </v>
      </c>
      <c r="L1842" s="26"/>
    </row>
    <row r="1843" spans="1:12">
      <c r="A1843" s="20" t="s">
        <v>485</v>
      </c>
      <c r="E1843" s="21">
        <f>IF(D1843="?OLD","!!!","")</f>
        <v/>
      </c>
      <c r="F1843" s="22" t="str">
        <f>IF(OR(E1843="",E1843="!!!"),"",IF(NOT(ISNA(VLOOKUP(E1843,E$1:E1842,1,FALSE()))),"OLD",IF(AND(E1843&lt;&gt;"",E1843&lt;&gt;"!!!"),"NEW","")))</f>
        <v> </v>
      </c>
      <c r="G1843" s="23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4" t="str">
        <f>IF(J1843&lt;&gt;1,"",IF(I1843="SBJ","CB","?"))</f>
        <v> </v>
      </c>
      <c r="I1843" s="25" t="str">
        <f>IF(OR(E1843="",E1843="!!!",F1843="NEW"),"",INDEX(B1842:B$2,-1+SUMPRODUCT(MAX(ROW(E1842:E$2)*(E1843=E1842:E$2)))))</f>
        <v> </v>
      </c>
      <c r="J1843" s="25" t="str">
        <f>IF(OR(E1843="",E1843="!!!",F1843="NEW"),"",COUNTBLANK(OFFSET(A$1,,,SUMPRODUCT(MAX(ROW(E$2:E1843)*(E1843=E$2:E1843)))))-COUNTBLANK(OFFSET(A$1,,,SUMPRODUCT(MAX(ROW(E$1:E1842)*(E2=E$1:E1842))))))</f>
        <v> </v>
      </c>
      <c r="K1843" s="25" t="str">
        <f>IF(OR(E1843="",E1843="!!!",F1843="NEW"),"",INDEX(J$1:J1842,SUMPRODUCT(MAX(ROW(E$1:E1842)*(E1843=E$1:E1842)))))</f>
        <v> </v>
      </c>
      <c r="L1843" s="26"/>
    </row>
    <row r="1844" spans="1:12">
      <c r="A1844" s="20" t="s">
        <v>997</v>
      </c>
      <c r="B1844" s="27" t="s">
        <v>556</v>
      </c>
      <c r="C1844" s="27" t="s">
        <v>487</v>
      </c>
      <c r="D1844" s="27" t="s">
        <v>483</v>
      </c>
      <c r="E1844" s="21">
        <f>IF(D1844="?OLD","!!!","")</f>
        <v/>
      </c>
      <c r="F1844" s="22" t="str">
        <f>IF(OR(E1844="",E1844="!!!"),"",IF(NOT(ISNA(VLOOKUP(E1844,E$1:E1843,1,FALSE()))),"OLD",IF(AND(E1844&lt;&gt;"",E1844&lt;&gt;"!!!"),"NEW","")))</f>
        <v> </v>
      </c>
      <c r="G1844" s="23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4" t="str">
        <f>IF(J1844&lt;&gt;1,"",IF(I1844="SBJ","CB","?"))</f>
        <v> </v>
      </c>
      <c r="I1844" s="25" t="str">
        <f>IF(OR(E1844="",E1844="!!!",F1844="NEW"),"",INDEX(B1843:B$2,-1+SUMPRODUCT(MAX(ROW(E1843:E$2)*(E1844=E1843:E$2)))))</f>
        <v> </v>
      </c>
      <c r="J1844" s="25" t="str">
        <f>IF(OR(E1844="",E1844="!!!",F1844="NEW"),"",COUNTBLANK(OFFSET(A$1,,,SUMPRODUCT(MAX(ROW(E$2:E1844)*(E1844=E$2:E1844)))))-COUNTBLANK(OFFSET(A$1,,,SUMPRODUCT(MAX(ROW(E$1:E1843)*(E2=E$1:E1843))))))</f>
        <v> </v>
      </c>
      <c r="K1844" s="25" t="str">
        <f>IF(OR(E1844="",E1844="!!!",F1844="NEW"),"",INDEX(J$1:J1843,SUMPRODUCT(MAX(ROW(E$1:E1843)*(E1844=E$1:E1843)))))</f>
        <v> </v>
      </c>
      <c r="L1844" s="26"/>
    </row>
    <row r="1845" spans="1:12">
      <c r="A1845" s="20" t="s">
        <v>592</v>
      </c>
      <c r="E1845" s="21">
        <f>IF(D1845="?OLD","!!!","")</f>
        <v/>
      </c>
      <c r="F1845" s="22" t="str">
        <f>IF(OR(E1845="",E1845="!!!"),"",IF(NOT(ISNA(VLOOKUP(E1845,E$1:E1844,1,FALSE()))),"OLD",IF(AND(E1845&lt;&gt;"",E1845&lt;&gt;"!!!"),"NEW","")))</f>
        <v> </v>
      </c>
      <c r="G1845" s="23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4" t="str">
        <f>IF(J1845&lt;&gt;1,"",IF(I1845="SBJ","CB","?"))</f>
        <v> </v>
      </c>
      <c r="I1845" s="25" t="str">
        <f>IF(OR(E1845="",E1845="!!!",F1845="NEW"),"",INDEX(B1844:B$2,-1+SUMPRODUCT(MAX(ROW(E1844:E$2)*(E1845=E1844:E$2)))))</f>
        <v> </v>
      </c>
      <c r="J1845" s="25" t="str">
        <f>IF(OR(E1845="",E1845="!!!",F1845="NEW"),"",COUNTBLANK(OFFSET(A$1,,,SUMPRODUCT(MAX(ROW(E$2:E1845)*(E1845=E$2:E1845)))))-COUNTBLANK(OFFSET(A$1,,,SUMPRODUCT(MAX(ROW(E$1:E1844)*(E2=E$1:E1844))))))</f>
        <v> </v>
      </c>
      <c r="K1845" s="25" t="str">
        <f>IF(OR(E1845="",E1845="!!!",F1845="NEW"),"",INDEX(J$1:J1844,SUMPRODUCT(MAX(ROW(E$1:E1844)*(E1845=E$1:E1844)))))</f>
        <v> </v>
      </c>
      <c r="L1845" s="26"/>
    </row>
    <row r="1846" spans="1:12">
      <c r="A1846" s="20" t="s">
        <v>912</v>
      </c>
      <c r="B1846" s="27" t="s">
        <v>659</v>
      </c>
      <c r="C1846" s="27" t="s">
        <v>516</v>
      </c>
      <c r="E1846" s="21">
        <f>IF(D1846="?OLD","!!!","")</f>
        <v/>
      </c>
      <c r="F1846" s="22" t="str">
        <f>IF(OR(E1846="",E1846="!!!"),"",IF(NOT(ISNA(VLOOKUP(E1846,E$1:E1845,1,FALSE()))),"OLD",IF(AND(E1846&lt;&gt;"",E1846&lt;&gt;"!!!"),"NEW","")))</f>
        <v> </v>
      </c>
      <c r="G1846" s="23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4" t="str">
        <f>IF(J1846&lt;&gt;1,"",IF(I1846="SBJ","CB","?"))</f>
        <v> </v>
      </c>
      <c r="I1846" s="25" t="str">
        <f>IF(OR(E1846="",E1846="!!!",F1846="NEW"),"",INDEX(B1845:B$2,-1+SUMPRODUCT(MAX(ROW(E1845:E$2)*(E1846=E1845:E$2)))))</f>
        <v> </v>
      </c>
      <c r="J1846" s="25" t="str">
        <f>IF(OR(E1846="",E1846="!!!",F1846="NEW"),"",COUNTBLANK(OFFSET(A$1,,,SUMPRODUCT(MAX(ROW(E$2:E1846)*(E1846=E$2:E1846)))))-COUNTBLANK(OFFSET(A$1,,,SUMPRODUCT(MAX(ROW(E$1:E1845)*(E2=E$1:E1845))))))</f>
        <v> </v>
      </c>
      <c r="K1846" s="25" t="str">
        <f>IF(OR(E1846="",E1846="!!!",F1846="NEW"),"",INDEX(J$1:J1845,SUMPRODUCT(MAX(ROW(E$1:E1845)*(E1846=E$1:E1845)))))</f>
        <v> </v>
      </c>
      <c r="L1846" s="26"/>
    </row>
    <row r="1847" spans="1:12">
      <c r="A1847" s="20" t="s">
        <v>492</v>
      </c>
      <c r="E1847" s="21">
        <f>IF(D1847="?OLD","!!!","")</f>
        <v/>
      </c>
      <c r="F1847" s="22" t="str">
        <f>IF(OR(E1847="",E1847="!!!"),"",IF(NOT(ISNA(VLOOKUP(E1847,E$1:E1846,1,FALSE()))),"OLD",IF(AND(E1847&lt;&gt;"",E1847&lt;&gt;"!!!"),"NEW","")))</f>
        <v> </v>
      </c>
      <c r="G1847" s="23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4" t="str">
        <f>IF(J1847&lt;&gt;1,"",IF(I1847="SBJ","CB","?"))</f>
        <v> </v>
      </c>
      <c r="I1847" s="25" t="str">
        <f>IF(OR(E1847="",E1847="!!!",F1847="NEW"),"",INDEX(B1846:B$2,-1+SUMPRODUCT(MAX(ROW(E1846:E$2)*(E1847=E1846:E$2)))))</f>
        <v> </v>
      </c>
      <c r="J1847" s="25" t="str">
        <f>IF(OR(E1847="",E1847="!!!",F1847="NEW"),"",COUNTBLANK(OFFSET(A$1,,,SUMPRODUCT(MAX(ROW(E$2:E1847)*(E1847=E$2:E1847)))))-COUNTBLANK(OFFSET(A$1,,,SUMPRODUCT(MAX(ROW(E$1:E1846)*(E2=E$1:E1846))))))</f>
        <v> </v>
      </c>
      <c r="K1847" s="25" t="str">
        <f>IF(OR(E1847="",E1847="!!!",F1847="NEW"),"",INDEX(J$1:J1846,SUMPRODUCT(MAX(ROW(E$1:E1846)*(E1847=E$1:E1846)))))</f>
        <v> </v>
      </c>
      <c r="L1847" s="26"/>
    </row>
    <row r="1848" spans="1:12">
      <c r="A1848" s="20" t="s">
        <v>680</v>
      </c>
      <c r="E1848" s="21">
        <f>IF(D1848="?OLD","!!!","")</f>
        <v/>
      </c>
      <c r="F1848" s="22" t="str">
        <f>IF(OR(E1848="",E1848="!!!"),"",IF(NOT(ISNA(VLOOKUP(E1848,E$1:E1847,1,FALSE()))),"OLD",IF(AND(E1848&lt;&gt;"",E1848&lt;&gt;"!!!"),"NEW","")))</f>
        <v> </v>
      </c>
      <c r="G1848" s="23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4" t="str">
        <f>IF(J1848&lt;&gt;1,"",IF(I1848="SBJ","CB","?"))</f>
        <v> </v>
      </c>
      <c r="I1848" s="25" t="str">
        <f>IF(OR(E1848="",E1848="!!!",F1848="NEW"),"",INDEX(B1847:B$2,-1+SUMPRODUCT(MAX(ROW(E1847:E$2)*(E1848=E1847:E$2)))))</f>
        <v> </v>
      </c>
      <c r="J1848" s="25" t="str">
        <f>IF(OR(E1848="",E1848="!!!",F1848="NEW"),"",COUNTBLANK(OFFSET(A$1,,,SUMPRODUCT(MAX(ROW(E$2:E1848)*(E1848=E$2:E1848)))))-COUNTBLANK(OFFSET(A$1,,,SUMPRODUCT(MAX(ROW(E$1:E1847)*(E2=E$1:E1847))))))</f>
        <v> </v>
      </c>
      <c r="K1848" s="25" t="str">
        <f>IF(OR(E1848="",E1848="!!!",F1848="NEW"),"",INDEX(J$1:J1847,SUMPRODUCT(MAX(ROW(E$1:E1847)*(E1848=E$1:E1847)))))</f>
        <v> </v>
      </c>
      <c r="L1848" s="26"/>
    </row>
    <row r="1849" spans="1:12">
      <c r="A1849" s="20" t="s">
        <v>570</v>
      </c>
      <c r="E1849" s="21">
        <f>IF(D1849="?OLD","!!!","")</f>
        <v/>
      </c>
      <c r="F1849" s="22" t="str">
        <f>IF(OR(E1849="",E1849="!!!"),"",IF(NOT(ISNA(VLOOKUP(E1849,E$1:E1848,1,FALSE()))),"OLD",IF(AND(E1849&lt;&gt;"",E1849&lt;&gt;"!!!"),"NEW","")))</f>
        <v> </v>
      </c>
      <c r="G1849" s="23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4" t="str">
        <f>IF(J1849&lt;&gt;1,"",IF(I1849="SBJ","CB","?"))</f>
        <v> </v>
      </c>
      <c r="I1849" s="25" t="str">
        <f>IF(OR(E1849="",E1849="!!!",F1849="NEW"),"",INDEX(B1848:B$2,-1+SUMPRODUCT(MAX(ROW(E1848:E$2)*(E1849=E1848:E$2)))))</f>
        <v> </v>
      </c>
      <c r="J1849" s="25" t="str">
        <f>IF(OR(E1849="",E1849="!!!",F1849="NEW"),"",COUNTBLANK(OFFSET(A$1,,,SUMPRODUCT(MAX(ROW(E$2:E1849)*(E1849=E$2:E1849)))))-COUNTBLANK(OFFSET(A$1,,,SUMPRODUCT(MAX(ROW(E$1:E1848)*(E2=E$1:E1848))))))</f>
        <v> </v>
      </c>
      <c r="K1849" s="25" t="str">
        <f>IF(OR(E1849="",E1849="!!!",F1849="NEW"),"",INDEX(J$1:J1848,SUMPRODUCT(MAX(ROW(E$1:E1848)*(E1849=E$1:E1848)))))</f>
        <v> </v>
      </c>
      <c r="L1849" s="26"/>
    </row>
    <row r="1850" spans="1:12">
      <c r="A1850" s="20" t="s">
        <v>1080</v>
      </c>
      <c r="B1850" s="27" t="s">
        <v>505</v>
      </c>
      <c r="C1850" s="27" t="s">
        <v>516</v>
      </c>
      <c r="E1850" s="21">
        <f>IF(D1850="?OLD","!!!","")</f>
        <v/>
      </c>
      <c r="F1850" s="22" t="str">
        <f>IF(OR(E1850="",E1850="!!!"),"",IF(NOT(ISNA(VLOOKUP(E1850,E$1:E1849,1,FALSE()))),"OLD",IF(AND(E1850&lt;&gt;"",E1850&lt;&gt;"!!!"),"NEW","")))</f>
        <v> </v>
      </c>
      <c r="G1850" s="23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4" t="str">
        <f>IF(J1850&lt;&gt;1,"",IF(I1850="SBJ","CB","?"))</f>
        <v> </v>
      </c>
      <c r="I1850" s="25" t="str">
        <f>IF(OR(E1850="",E1850="!!!",F1850="NEW"),"",INDEX(B1849:B$2,-1+SUMPRODUCT(MAX(ROW(E1849:E$2)*(E1850=E1849:E$2)))))</f>
        <v> </v>
      </c>
      <c r="J1850" s="25" t="str">
        <f>IF(OR(E1850="",E1850="!!!",F1850="NEW"),"",COUNTBLANK(OFFSET(A$1,,,SUMPRODUCT(MAX(ROW(E$2:E1850)*(E1850=E$2:E1850)))))-COUNTBLANK(OFFSET(A$1,,,SUMPRODUCT(MAX(ROW(E$1:E1849)*(E2=E$1:E1849))))))</f>
        <v> </v>
      </c>
      <c r="K1850" s="25" t="str">
        <f>IF(OR(E1850="",E1850="!!!",F1850="NEW"),"",INDEX(J$1:J1849,SUMPRODUCT(MAX(ROW(E$1:E1849)*(E1850=E$1:E1849)))))</f>
        <v> </v>
      </c>
      <c r="L1850" s="26"/>
    </row>
    <row r="1851" spans="1:12">
      <c r="A1851" s="20" t="s">
        <v>531</v>
      </c>
      <c r="E1851" s="21">
        <f>IF(D1851="?OLD","!!!","")</f>
        <v/>
      </c>
      <c r="F1851" s="22" t="str">
        <f>IF(OR(E1851="",E1851="!!!"),"",IF(NOT(ISNA(VLOOKUP(E1851,E$1:E1850,1,FALSE()))),"OLD",IF(AND(E1851&lt;&gt;"",E1851&lt;&gt;"!!!"),"NEW","")))</f>
        <v> </v>
      </c>
      <c r="G1851" s="23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4" t="str">
        <f>IF(J1851&lt;&gt;1,"",IF(I1851="SBJ","CB","?"))</f>
        <v> </v>
      </c>
      <c r="I1851" s="25" t="str">
        <f>IF(OR(E1851="",E1851="!!!",F1851="NEW"),"",INDEX(B1850:B$2,-1+SUMPRODUCT(MAX(ROW(E1850:E$2)*(E1851=E1850:E$2)))))</f>
        <v> </v>
      </c>
      <c r="J1851" s="25" t="str">
        <f>IF(OR(E1851="",E1851="!!!",F1851="NEW"),"",COUNTBLANK(OFFSET(A$1,,,SUMPRODUCT(MAX(ROW(E$2:E1851)*(E1851=E$2:E1851)))))-COUNTBLANK(OFFSET(A$1,,,SUMPRODUCT(MAX(ROW(E$1:E1850)*(E2=E$1:E1850))))))</f>
        <v> </v>
      </c>
      <c r="K1851" s="25" t="str">
        <f>IF(OR(E1851="",E1851="!!!",F1851="NEW"),"",INDEX(J$1:J1850,SUMPRODUCT(MAX(ROW(E$1:E1850)*(E1851=E$1:E1850)))))</f>
        <v> </v>
      </c>
      <c r="L1851" s="26"/>
    </row>
    <row r="1852" spans="1:12">
      <c r="A1852" s="20"/>
    </row>
    <row r="1853" spans="1:12">
      <c r="A1853" s="20" t="s">
        <v>1081</v>
      </c>
    </row>
    <row r="1854" spans="1:12">
      <c r="A1854" s="20" t="s">
        <v>776</v>
      </c>
      <c r="E1854" s="21">
        <f>IF(D1854="?OLD","!!!","")</f>
        <v/>
      </c>
      <c r="F1854" s="22" t="str">
        <f>IF(OR(E1854="",E1854="!!!"),"",IF(NOT(ISNA(VLOOKUP(E1854,E$1:E1853,1,FALSE()))),"OLD",IF(AND(E1854&lt;&gt;"",E1854&lt;&gt;"!!!"),"NEW","")))</f>
        <v> </v>
      </c>
      <c r="G1854" s="23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4" t="str">
        <f>IF(J1854&lt;&gt;1,"",IF(I1854="SBJ","CB","?"))</f>
        <v> </v>
      </c>
      <c r="I1854" s="25" t="str">
        <f>IF(OR(E1854="",E1854="!!!",F1854="NEW"),"",INDEX(B1853:B$2,-1+SUMPRODUCT(MAX(ROW(E1853:E$2)*(E1854=E1853:E$2)))))</f>
        <v> </v>
      </c>
      <c r="J1854" s="25" t="str">
        <f>IF(OR(E1854="",E1854="!!!",F1854="NEW"),"",COUNTBLANK(OFFSET(A$1,,,SUMPRODUCT(MAX(ROW(E$2:E1854)*(E1854=E$2:E1854)))))-COUNTBLANK(OFFSET(A$1,,,SUMPRODUCT(MAX(ROW(E$1:E1853)*(E2=E$1:E1853))))))</f>
        <v> </v>
      </c>
      <c r="K1854" s="25" t="str">
        <f>IF(OR(E1854="",E1854="!!!",F1854="NEW"),"",INDEX(J$1:J1853,SUMPRODUCT(MAX(ROW(E$1:E1853)*(E1854=E$1:E1853)))))</f>
        <v> </v>
      </c>
      <c r="L1854" s="26"/>
    </row>
    <row r="1855" spans="1:12">
      <c r="A1855" s="20" t="s">
        <v>1082</v>
      </c>
      <c r="E1855" s="21">
        <f>IF(D1855="?OLD","!!!","")</f>
        <v/>
      </c>
      <c r="F1855" s="22" t="str">
        <f>IF(OR(E1855="",E1855="!!!"),"",IF(NOT(ISNA(VLOOKUP(E1855,E$1:E1854,1,FALSE()))),"OLD",IF(AND(E1855&lt;&gt;"",E1855&lt;&gt;"!!!"),"NEW","")))</f>
        <v> </v>
      </c>
      <c r="G1855" s="23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4" t="str">
        <f>IF(J1855&lt;&gt;1,"",IF(I1855="SBJ","CB","?"))</f>
        <v> </v>
      </c>
      <c r="I1855" s="25" t="str">
        <f>IF(OR(E1855="",E1855="!!!",F1855="NEW"),"",INDEX(B1854:B$2,-1+SUMPRODUCT(MAX(ROW(E1854:E$2)*(E1855=E1854:E$2)))))</f>
        <v> </v>
      </c>
      <c r="J1855" s="25" t="str">
        <f>IF(OR(E1855="",E1855="!!!",F1855="NEW"),"",COUNTBLANK(OFFSET(A$1,,,SUMPRODUCT(MAX(ROW(E$2:E1855)*(E1855=E$2:E1855)))))-COUNTBLANK(OFFSET(A$1,,,SUMPRODUCT(MAX(ROW(E$1:E1854)*(E2=E$1:E1854))))))</f>
        <v> </v>
      </c>
      <c r="K1855" s="25" t="str">
        <f>IF(OR(E1855="",E1855="!!!",F1855="NEW"),"",INDEX(J$1:J1854,SUMPRODUCT(MAX(ROW(E$1:E1854)*(E1855=E$1:E1854)))))</f>
        <v> </v>
      </c>
      <c r="L1855" s="26"/>
    </row>
    <row r="1856" spans="1:12">
      <c r="A1856" s="20" t="s">
        <v>492</v>
      </c>
      <c r="E1856" s="21">
        <f>IF(D1856="?OLD","!!!","")</f>
        <v/>
      </c>
      <c r="F1856" s="22" t="str">
        <f>IF(OR(E1856="",E1856="!!!"),"",IF(NOT(ISNA(VLOOKUP(E1856,E$1:E1855,1,FALSE()))),"OLD",IF(AND(E1856&lt;&gt;"",E1856&lt;&gt;"!!!"),"NEW","")))</f>
        <v> </v>
      </c>
      <c r="G1856" s="23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4" t="str">
        <f>IF(J1856&lt;&gt;1,"",IF(I1856="SBJ","CB","?"))</f>
        <v> </v>
      </c>
      <c r="I1856" s="25" t="str">
        <f>IF(OR(E1856="",E1856="!!!",F1856="NEW"),"",INDEX(B1855:B$2,-1+SUMPRODUCT(MAX(ROW(E1855:E$2)*(E1856=E1855:E$2)))))</f>
        <v> </v>
      </c>
      <c r="J1856" s="25" t="str">
        <f>IF(OR(E1856="",E1856="!!!",F1856="NEW"),"",COUNTBLANK(OFFSET(A$1,,,SUMPRODUCT(MAX(ROW(E$2:E1856)*(E1856=E$2:E1856)))))-COUNTBLANK(OFFSET(A$1,,,SUMPRODUCT(MAX(ROW(E$1:E1855)*(E2=E$1:E1855))))))</f>
        <v> </v>
      </c>
      <c r="K1856" s="25" t="str">
        <f>IF(OR(E1856="",E1856="!!!",F1856="NEW"),"",INDEX(J$1:J1855,SUMPRODUCT(MAX(ROW(E$1:E1855)*(E1856=E$1:E1855)))))</f>
        <v> </v>
      </c>
      <c r="L1856" s="26"/>
    </row>
    <row r="1857" spans="1:12">
      <c r="A1857" s="20" t="s">
        <v>489</v>
      </c>
      <c r="E1857" s="21">
        <f>IF(D1857="?OLD","!!!","")</f>
        <v/>
      </c>
      <c r="F1857" s="22" t="str">
        <f>IF(OR(E1857="",E1857="!!!"),"",IF(NOT(ISNA(VLOOKUP(E1857,E$1:E1856,1,FALSE()))),"OLD",IF(AND(E1857&lt;&gt;"",E1857&lt;&gt;"!!!"),"NEW","")))</f>
        <v> </v>
      </c>
      <c r="G1857" s="23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4" t="str">
        <f>IF(J1857&lt;&gt;1,"",IF(I1857="SBJ","CB","?"))</f>
        <v> </v>
      </c>
      <c r="I1857" s="25" t="str">
        <f>IF(OR(E1857="",E1857="!!!",F1857="NEW"),"",INDEX(B1856:B$2,-1+SUMPRODUCT(MAX(ROW(E1856:E$2)*(E1857=E1856:E$2)))))</f>
        <v> </v>
      </c>
      <c r="J1857" s="25" t="str">
        <f>IF(OR(E1857="",E1857="!!!",F1857="NEW"),"",COUNTBLANK(OFFSET(A$1,,,SUMPRODUCT(MAX(ROW(E$2:E1857)*(E1857=E$2:E1857)))))-COUNTBLANK(OFFSET(A$1,,,SUMPRODUCT(MAX(ROW(E$1:E1856)*(E2=E$1:E1856))))))</f>
        <v> </v>
      </c>
      <c r="K1857" s="25" t="str">
        <f>IF(OR(E1857="",E1857="!!!",F1857="NEW"),"",INDEX(J$1:J1856,SUMPRODUCT(MAX(ROW(E$1:E1856)*(E1857=E$1:E1856)))))</f>
        <v> </v>
      </c>
      <c r="L1857" s="26"/>
    </row>
    <row r="1858" spans="1:12">
      <c r="A1858" s="20" t="s">
        <v>507</v>
      </c>
      <c r="E1858" s="21">
        <f>IF(D1858="?OLD","!!!","")</f>
        <v/>
      </c>
      <c r="F1858" s="22" t="str">
        <f>IF(OR(E1858="",E1858="!!!"),"",IF(NOT(ISNA(VLOOKUP(E1858,E$1:E1857,1,FALSE()))),"OLD",IF(AND(E1858&lt;&gt;"",E1858&lt;&gt;"!!!"),"NEW","")))</f>
        <v> </v>
      </c>
      <c r="G1858" s="23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4" t="str">
        <f>IF(J1858&lt;&gt;1,"",IF(I1858="SBJ","CB","?"))</f>
        <v> </v>
      </c>
      <c r="I1858" s="25" t="str">
        <f>IF(OR(E1858="",E1858="!!!",F1858="NEW"),"",INDEX(B1857:B$2,-1+SUMPRODUCT(MAX(ROW(E1857:E$2)*(E1858=E1857:E$2)))))</f>
        <v> </v>
      </c>
      <c r="J1858" s="25" t="str">
        <f>IF(OR(E1858="",E1858="!!!",F1858="NEW"),"",COUNTBLANK(OFFSET(A$1,,,SUMPRODUCT(MAX(ROW(E$2:E1858)*(E1858=E$2:E1858)))))-COUNTBLANK(OFFSET(A$1,,,SUMPRODUCT(MAX(ROW(E$1:E1857)*(E2=E$1:E1857))))))</f>
        <v> </v>
      </c>
      <c r="K1858" s="25" t="str">
        <f>IF(OR(E1858="",E1858="!!!",F1858="NEW"),"",INDEX(J$1:J1857,SUMPRODUCT(MAX(ROW(E$1:E1857)*(E1858=E$1:E1857)))))</f>
        <v> </v>
      </c>
      <c r="L1858" s="26"/>
    </row>
    <row r="1859" spans="1:12">
      <c r="A1859" s="20" t="s">
        <v>652</v>
      </c>
      <c r="E1859" s="21">
        <f>IF(D1859="?OLD","!!!","")</f>
        <v/>
      </c>
      <c r="F1859" s="22" t="str">
        <f>IF(OR(E1859="",E1859="!!!"),"",IF(NOT(ISNA(VLOOKUP(E1859,E$1:E1858,1,FALSE()))),"OLD",IF(AND(E1859&lt;&gt;"",E1859&lt;&gt;"!!!"),"NEW","")))</f>
        <v> </v>
      </c>
      <c r="G1859" s="23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4" t="str">
        <f>IF(J1859&lt;&gt;1,"",IF(I1859="SBJ","CB","?"))</f>
        <v> </v>
      </c>
      <c r="I1859" s="25" t="str">
        <f>IF(OR(E1859="",E1859="!!!",F1859="NEW"),"",INDEX(B1858:B$2,-1+SUMPRODUCT(MAX(ROW(E1858:E$2)*(E1859=E1858:E$2)))))</f>
        <v> </v>
      </c>
      <c r="J1859" s="25" t="str">
        <f>IF(OR(E1859="",E1859="!!!",F1859="NEW"),"",COUNTBLANK(OFFSET(A$1,,,SUMPRODUCT(MAX(ROW(E$2:E1859)*(E1859=E$2:E1859)))))-COUNTBLANK(OFFSET(A$1,,,SUMPRODUCT(MAX(ROW(E$1:E1858)*(E2=E$1:E1858))))))</f>
        <v> </v>
      </c>
      <c r="K1859" s="25" t="str">
        <f>IF(OR(E1859="",E1859="!!!",F1859="NEW"),"",INDEX(J$1:J1858,SUMPRODUCT(MAX(ROW(E$1:E1858)*(E1859=E$1:E1858)))))</f>
        <v> </v>
      </c>
      <c r="L1859" s="26"/>
    </row>
    <row r="1860" spans="1:12">
      <c r="A1860" s="20" t="s">
        <v>1083</v>
      </c>
      <c r="B1860" s="27" t="s">
        <v>490</v>
      </c>
      <c r="C1860" s="27" t="s">
        <v>598</v>
      </c>
      <c r="D1860" s="27" t="s">
        <v>483</v>
      </c>
      <c r="E1860" s="21">
        <f>IF(D1860="?OLD","!!!","")</f>
        <v/>
      </c>
      <c r="F1860" s="22" t="str">
        <f>IF(OR(E1860="",E1860="!!!"),"",IF(NOT(ISNA(VLOOKUP(E1860,E$1:E1859,1,FALSE()))),"OLD",IF(AND(E1860&lt;&gt;"",E1860&lt;&gt;"!!!"),"NEW","")))</f>
        <v> </v>
      </c>
      <c r="G1860" s="23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4" t="str">
        <f>IF(J1860&lt;&gt;1,"",IF(I1860="SBJ","CB","?"))</f>
        <v> </v>
      </c>
      <c r="I1860" s="25" t="str">
        <f>IF(OR(E1860="",E1860="!!!",F1860="NEW"),"",INDEX(B1859:B$2,-1+SUMPRODUCT(MAX(ROW(E1859:E$2)*(E1860=E1859:E$2)))))</f>
        <v> </v>
      </c>
      <c r="J1860" s="25" t="str">
        <f>IF(OR(E1860="",E1860="!!!",F1860="NEW"),"",COUNTBLANK(OFFSET(A$1,,,SUMPRODUCT(MAX(ROW(E$2:E1860)*(E1860=E$2:E1860)))))-COUNTBLANK(OFFSET(A$1,,,SUMPRODUCT(MAX(ROW(E$1:E1859)*(E2=E$1:E1859))))))</f>
        <v> </v>
      </c>
      <c r="K1860" s="25" t="str">
        <f>IF(OR(E1860="",E1860="!!!",F1860="NEW"),"",INDEX(J$1:J1859,SUMPRODUCT(MAX(ROW(E$1:E1859)*(E1860=E$1:E1859)))))</f>
        <v> </v>
      </c>
      <c r="L1860" s="26"/>
    </row>
    <row r="1861" spans="1:12">
      <c r="A1861" s="20" t="s">
        <v>489</v>
      </c>
      <c r="E1861" s="21">
        <f>IF(D1861="?OLD","!!!","")</f>
        <v/>
      </c>
      <c r="F1861" s="22" t="str">
        <f>IF(OR(E1861="",E1861="!!!"),"",IF(NOT(ISNA(VLOOKUP(E1861,E$1:E1860,1,FALSE()))),"OLD",IF(AND(E1861&lt;&gt;"",E1861&lt;&gt;"!!!"),"NEW","")))</f>
        <v> </v>
      </c>
      <c r="G1861" s="23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4" t="str">
        <f>IF(J1861&lt;&gt;1,"",IF(I1861="SBJ","CB","?"))</f>
        <v> </v>
      </c>
      <c r="I1861" s="25" t="str">
        <f>IF(OR(E1861="",E1861="!!!",F1861="NEW"),"",INDEX(B1860:B$2,-1+SUMPRODUCT(MAX(ROW(E1860:E$2)*(E1861=E1860:E$2)))))</f>
        <v> </v>
      </c>
      <c r="J1861" s="25" t="str">
        <f>IF(OR(E1861="",E1861="!!!",F1861="NEW"),"",COUNTBLANK(OFFSET(A$1,,,SUMPRODUCT(MAX(ROW(E$2:E1861)*(E1861=E$2:E1861)))))-COUNTBLANK(OFFSET(A$1,,,SUMPRODUCT(MAX(ROW(E$1:E1860)*(E2=E$1:E1860))))))</f>
        <v> </v>
      </c>
      <c r="K1861" s="25" t="str">
        <f>IF(OR(E1861="",E1861="!!!",F1861="NEW"),"",INDEX(J$1:J1860,SUMPRODUCT(MAX(ROW(E$1:E1860)*(E1861=E$1:E1860)))))</f>
        <v> </v>
      </c>
      <c r="L1861" s="26"/>
    </row>
    <row r="1862" spans="1:12">
      <c r="A1862" s="20" t="s">
        <v>805</v>
      </c>
      <c r="E1862" s="21">
        <f>IF(D1862="?OLD","!!!","")</f>
        <v/>
      </c>
      <c r="F1862" s="22" t="str">
        <f>IF(OR(E1862="",E1862="!!!"),"",IF(NOT(ISNA(VLOOKUP(E1862,E$1:E1861,1,FALSE()))),"OLD",IF(AND(E1862&lt;&gt;"",E1862&lt;&gt;"!!!"),"NEW","")))</f>
        <v> </v>
      </c>
      <c r="G1862" s="23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4" t="str">
        <f>IF(J1862&lt;&gt;1,"",IF(I1862="SBJ","CB","?"))</f>
        <v> </v>
      </c>
      <c r="I1862" s="25" t="str">
        <f>IF(OR(E1862="",E1862="!!!",F1862="NEW"),"",INDEX(B1861:B$2,-1+SUMPRODUCT(MAX(ROW(E1861:E$2)*(E1862=E1861:E$2)))))</f>
        <v> </v>
      </c>
      <c r="J1862" s="25" t="str">
        <f>IF(OR(E1862="",E1862="!!!",F1862="NEW"),"",COUNTBLANK(OFFSET(A$1,,,SUMPRODUCT(MAX(ROW(E$2:E1862)*(E1862=E$2:E1862)))))-COUNTBLANK(OFFSET(A$1,,,SUMPRODUCT(MAX(ROW(E$1:E1861)*(E2=E$1:E1861))))))</f>
        <v> </v>
      </c>
      <c r="K1862" s="25" t="str">
        <f>IF(OR(E1862="",E1862="!!!",F1862="NEW"),"",INDEX(J$1:J1861,SUMPRODUCT(MAX(ROW(E$1:E1861)*(E1862=E$1:E1861)))))</f>
        <v> </v>
      </c>
      <c r="L1862" s="26"/>
    </row>
    <row r="1863" spans="1:12">
      <c r="A1863" s="20" t="s">
        <v>503</v>
      </c>
      <c r="E1863" s="21">
        <f>IF(D1863="?OLD","!!!","")</f>
        <v/>
      </c>
      <c r="F1863" s="22" t="str">
        <f>IF(OR(E1863="",E1863="!!!"),"",IF(NOT(ISNA(VLOOKUP(E1863,E$1:E1862,1,FALSE()))),"OLD",IF(AND(E1863&lt;&gt;"",E1863&lt;&gt;"!!!"),"NEW","")))</f>
        <v> </v>
      </c>
      <c r="G1863" s="23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4" t="str">
        <f>IF(J1863&lt;&gt;1,"",IF(I1863="SBJ","CB","?"))</f>
        <v> </v>
      </c>
      <c r="I1863" s="25" t="str">
        <f>IF(OR(E1863="",E1863="!!!",F1863="NEW"),"",INDEX(B1862:B$2,-1+SUMPRODUCT(MAX(ROW(E1862:E$2)*(E1863=E1862:E$2)))))</f>
        <v> </v>
      </c>
      <c r="J1863" s="25" t="str">
        <f>IF(OR(E1863="",E1863="!!!",F1863="NEW"),"",COUNTBLANK(OFFSET(A$1,,,SUMPRODUCT(MAX(ROW(E$2:E1863)*(E1863=E$2:E1863)))))-COUNTBLANK(OFFSET(A$1,,,SUMPRODUCT(MAX(ROW(E$1:E1862)*(E2=E$1:E1862))))))</f>
        <v> </v>
      </c>
      <c r="K1863" s="25" t="str">
        <f>IF(OR(E1863="",E1863="!!!",F1863="NEW"),"",INDEX(J$1:J1862,SUMPRODUCT(MAX(ROW(E$1:E1862)*(E1863=E$1:E1862)))))</f>
        <v> </v>
      </c>
      <c r="L1863" s="26"/>
    </row>
    <row r="1864" spans="1:12">
      <c r="A1864" s="20" t="s">
        <v>930</v>
      </c>
      <c r="B1864" s="27" t="s">
        <v>540</v>
      </c>
      <c r="C1864" s="27" t="s">
        <v>487</v>
      </c>
      <c r="D1864" s="27" t="s">
        <v>483</v>
      </c>
      <c r="E1864" s="21">
        <f>IF(D1864="?OLD","!!!","")</f>
        <v/>
      </c>
      <c r="F1864" s="22" t="str">
        <f>IF(OR(E1864="",E1864="!!!"),"",IF(NOT(ISNA(VLOOKUP(E1864,E$1:E1863,1,FALSE()))),"OLD",IF(AND(E1864&lt;&gt;"",E1864&lt;&gt;"!!!"),"NEW","")))</f>
        <v> </v>
      </c>
      <c r="G1864" s="23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4" t="str">
        <f>IF(J1864&lt;&gt;1,"",IF(I1864="SBJ","CB","?"))</f>
        <v> </v>
      </c>
      <c r="I1864" s="25" t="str">
        <f>IF(OR(E1864="",E1864="!!!",F1864="NEW"),"",INDEX(B1863:B$2,-1+SUMPRODUCT(MAX(ROW(E1863:E$2)*(E1864=E1863:E$2)))))</f>
        <v> </v>
      </c>
      <c r="J1864" s="25" t="str">
        <f>IF(OR(E1864="",E1864="!!!",F1864="NEW"),"",COUNTBLANK(OFFSET(A$1,,,SUMPRODUCT(MAX(ROW(E$2:E1864)*(E1864=E$2:E1864)))))-COUNTBLANK(OFFSET(A$1,,,SUMPRODUCT(MAX(ROW(E$1:E1863)*(E2=E$1:E1863))))))</f>
        <v> </v>
      </c>
      <c r="K1864" s="25" t="str">
        <f>IF(OR(E1864="",E1864="!!!",F1864="NEW"),"",INDEX(J$1:J1863,SUMPRODUCT(MAX(ROW(E$1:E1863)*(E1864=E$1:E1863)))))</f>
        <v> </v>
      </c>
      <c r="L1864" s="26"/>
    </row>
    <row r="1865" spans="1:12">
      <c r="A1865" s="20" t="s">
        <v>528</v>
      </c>
      <c r="E1865" s="21">
        <f>IF(D1865="?OLD","!!!","")</f>
        <v/>
      </c>
      <c r="F1865" s="22" t="str">
        <f>IF(OR(E1865="",E1865="!!!"),"",IF(NOT(ISNA(VLOOKUP(E1865,E$1:E1864,1,FALSE()))),"OLD",IF(AND(E1865&lt;&gt;"",E1865&lt;&gt;"!!!"),"NEW","")))</f>
        <v> </v>
      </c>
      <c r="G1865" s="23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4" t="str">
        <f>IF(J1865&lt;&gt;1,"",IF(I1865="SBJ","CB","?"))</f>
        <v> </v>
      </c>
      <c r="I1865" s="25" t="str">
        <f>IF(OR(E1865="",E1865="!!!",F1865="NEW"),"",INDEX(B1864:B$2,-1+SUMPRODUCT(MAX(ROW(E1864:E$2)*(E1865=E1864:E$2)))))</f>
        <v> </v>
      </c>
      <c r="J1865" s="25" t="str">
        <f>IF(OR(E1865="",E1865="!!!",F1865="NEW"),"",COUNTBLANK(OFFSET(A$1,,,SUMPRODUCT(MAX(ROW(E$2:E1865)*(E1865=E$2:E1865)))))-COUNTBLANK(OFFSET(A$1,,,SUMPRODUCT(MAX(ROW(E$1:E1864)*(E2=E$1:E1864))))))</f>
        <v> </v>
      </c>
      <c r="K1865" s="25" t="str">
        <f>IF(OR(E1865="",E1865="!!!",F1865="NEW"),"",INDEX(J$1:J1864,SUMPRODUCT(MAX(ROW(E$1:E1864)*(E1865=E$1:E1864)))))</f>
        <v> </v>
      </c>
      <c r="L1865" s="26"/>
    </row>
    <row r="1866" spans="1:12">
      <c r="A1866" s="20" t="s">
        <v>894</v>
      </c>
      <c r="E1866" s="21">
        <f>IF(D1866="?OLD","!!!","")</f>
        <v/>
      </c>
      <c r="F1866" s="22" t="str">
        <f>IF(OR(E1866="",E1866="!!!"),"",IF(NOT(ISNA(VLOOKUP(E1866,E$1:E1865,1,FALSE()))),"OLD",IF(AND(E1866&lt;&gt;"",E1866&lt;&gt;"!!!"),"NEW","")))</f>
        <v> </v>
      </c>
      <c r="G1866" s="23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4" t="str">
        <f>IF(J1866&lt;&gt;1,"",IF(I1866="SBJ","CB","?"))</f>
        <v> </v>
      </c>
      <c r="I1866" s="25" t="str">
        <f>IF(OR(E1866="",E1866="!!!",F1866="NEW"),"",INDEX(B1865:B$2,-1+SUMPRODUCT(MAX(ROW(E1865:E$2)*(E1866=E1865:E$2)))))</f>
        <v> </v>
      </c>
      <c r="J1866" s="25" t="str">
        <f>IF(OR(E1866="",E1866="!!!",F1866="NEW"),"",COUNTBLANK(OFFSET(A$1,,,SUMPRODUCT(MAX(ROW(E$2:E1866)*(E1866=E$2:E1866)))))-COUNTBLANK(OFFSET(A$1,,,SUMPRODUCT(MAX(ROW(E$1:E1865)*(E2=E$1:E1865))))))</f>
        <v> </v>
      </c>
      <c r="K1866" s="25" t="str">
        <f>IF(OR(E1866="",E1866="!!!",F1866="NEW"),"",INDEX(J$1:J1865,SUMPRODUCT(MAX(ROW(E$1:E1865)*(E1866=E$1:E1865)))))</f>
        <v> </v>
      </c>
      <c r="L1866" s="26"/>
    </row>
    <row r="1867" spans="1:12">
      <c r="A1867" s="20" t="s">
        <v>507</v>
      </c>
      <c r="E1867" s="21">
        <f>IF(D1867="?OLD","!!!","")</f>
        <v/>
      </c>
      <c r="F1867" s="22" t="str">
        <f>IF(OR(E1867="",E1867="!!!"),"",IF(NOT(ISNA(VLOOKUP(E1867,E$1:E1866,1,FALSE()))),"OLD",IF(AND(E1867&lt;&gt;"",E1867&lt;&gt;"!!!"),"NEW","")))</f>
        <v> </v>
      </c>
      <c r="G1867" s="23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4" t="str">
        <f>IF(J1867&lt;&gt;1,"",IF(I1867="SBJ","CB","?"))</f>
        <v> </v>
      </c>
      <c r="I1867" s="25" t="str">
        <f>IF(OR(E1867="",E1867="!!!",F1867="NEW"),"",INDEX(B1866:B$2,-1+SUMPRODUCT(MAX(ROW(E1866:E$2)*(E1867=E1866:E$2)))))</f>
        <v> </v>
      </c>
      <c r="J1867" s="25" t="str">
        <f>IF(OR(E1867="",E1867="!!!",F1867="NEW"),"",COUNTBLANK(OFFSET(A$1,,,SUMPRODUCT(MAX(ROW(E$2:E1867)*(E1867=E$2:E1867)))))-COUNTBLANK(OFFSET(A$1,,,SUMPRODUCT(MAX(ROW(E$1:E1866)*(E2=E$1:E1866))))))</f>
        <v> </v>
      </c>
      <c r="K1867" s="25" t="str">
        <f>IF(OR(E1867="",E1867="!!!",F1867="NEW"),"",INDEX(J$1:J1866,SUMPRODUCT(MAX(ROW(E$1:E1866)*(E1867=E$1:E1866)))))</f>
        <v> </v>
      </c>
      <c r="L1867" s="26"/>
    </row>
    <row r="1868" spans="1:12">
      <c r="A1868" s="20" t="s">
        <v>495</v>
      </c>
      <c r="E1868" s="21">
        <f>IF(D1868="?OLD","!!!","")</f>
        <v/>
      </c>
      <c r="F1868" s="22" t="str">
        <f>IF(OR(E1868="",E1868="!!!"),"",IF(NOT(ISNA(VLOOKUP(E1868,E$1:E1867,1,FALSE()))),"OLD",IF(AND(E1868&lt;&gt;"",E1868&lt;&gt;"!!!"),"NEW","")))</f>
        <v> </v>
      </c>
      <c r="G1868" s="23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4" t="str">
        <f>IF(J1868&lt;&gt;1,"",IF(I1868="SBJ","CB","?"))</f>
        <v> </v>
      </c>
      <c r="I1868" s="25" t="str">
        <f>IF(OR(E1868="",E1868="!!!",F1868="NEW"),"",INDEX(B1867:B$2,-1+SUMPRODUCT(MAX(ROW(E1867:E$2)*(E1868=E1867:E$2)))))</f>
        <v> </v>
      </c>
      <c r="J1868" s="25" t="str">
        <f>IF(OR(E1868="",E1868="!!!",F1868="NEW"),"",COUNTBLANK(OFFSET(A$1,,,SUMPRODUCT(MAX(ROW(E$2:E1868)*(E1868=E$2:E1868)))))-COUNTBLANK(OFFSET(A$1,,,SUMPRODUCT(MAX(ROW(E$1:E1867)*(E2=E$1:E1867))))))</f>
        <v> </v>
      </c>
      <c r="K1868" s="25" t="str">
        <f>IF(OR(E1868="",E1868="!!!",F1868="NEW"),"",INDEX(J$1:J1867,SUMPRODUCT(MAX(ROW(E$1:E1867)*(E1868=E$1:E1867)))))</f>
        <v> </v>
      </c>
      <c r="L1868" s="26"/>
    </row>
    <row r="1869" spans="1:12">
      <c r="A1869" s="20" t="s">
        <v>496</v>
      </c>
      <c r="B1869" s="27" t="s">
        <v>659</v>
      </c>
      <c r="C1869" s="27" t="s">
        <v>498</v>
      </c>
      <c r="E1869" s="21">
        <f>IF(D1869="?OLD","!!!","")</f>
        <v/>
      </c>
      <c r="F1869" s="22" t="str">
        <f>IF(OR(E1869="",E1869="!!!"),"",IF(NOT(ISNA(VLOOKUP(E1869,E$1:E1868,1,FALSE()))),"OLD",IF(AND(E1869&lt;&gt;"",E1869&lt;&gt;"!!!"),"NEW","")))</f>
        <v> </v>
      </c>
      <c r="G1869" s="23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4" t="str">
        <f>IF(J1869&lt;&gt;1,"",IF(I1869="SBJ","CB","?"))</f>
        <v> </v>
      </c>
      <c r="I1869" s="25" t="str">
        <f>IF(OR(E1869="",E1869="!!!",F1869="NEW"),"",INDEX(B1868:B$2,-1+SUMPRODUCT(MAX(ROW(E1868:E$2)*(E1869=E1868:E$2)))))</f>
        <v> </v>
      </c>
      <c r="J1869" s="25" t="str">
        <f>IF(OR(E1869="",E1869="!!!",F1869="NEW"),"",COUNTBLANK(OFFSET(A$1,,,SUMPRODUCT(MAX(ROW(E$2:E1869)*(E1869=E$2:E1869)))))-COUNTBLANK(OFFSET(A$1,,,SUMPRODUCT(MAX(ROW(E$1:E1868)*(E2=E$1:E1868))))))</f>
        <v> </v>
      </c>
      <c r="K1869" s="25" t="str">
        <f>IF(OR(E1869="",E1869="!!!",F1869="NEW"),"",INDEX(J$1:J1868,SUMPRODUCT(MAX(ROW(E$1:E1868)*(E1869=E$1:E1868)))))</f>
        <v> </v>
      </c>
      <c r="L1869" s="26"/>
    </row>
    <row r="1870" spans="1:12">
      <c r="A1870" s="20" t="s">
        <v>520</v>
      </c>
      <c r="E1870" s="21">
        <f>IF(D1870="?OLD","!!!","")</f>
        <v/>
      </c>
      <c r="F1870" s="22" t="str">
        <f>IF(OR(E1870="",E1870="!!!"),"",IF(NOT(ISNA(VLOOKUP(E1870,E$1:E1869,1,FALSE()))),"OLD",IF(AND(E1870&lt;&gt;"",E1870&lt;&gt;"!!!"),"NEW","")))</f>
        <v> </v>
      </c>
      <c r="G1870" s="23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4" t="str">
        <f>IF(J1870&lt;&gt;1,"",IF(I1870="SBJ","CB","?"))</f>
        <v> </v>
      </c>
      <c r="I1870" s="25" t="str">
        <f>IF(OR(E1870="",E1870="!!!",F1870="NEW"),"",INDEX(B1869:B$2,-1+SUMPRODUCT(MAX(ROW(E1869:E$2)*(E1870=E1869:E$2)))))</f>
        <v> </v>
      </c>
      <c r="J1870" s="25" t="str">
        <f>IF(OR(E1870="",E1870="!!!",F1870="NEW"),"",COUNTBLANK(OFFSET(A$1,,,SUMPRODUCT(MAX(ROW(E$2:E1870)*(E1870=E$2:E1870)))))-COUNTBLANK(OFFSET(A$1,,,SUMPRODUCT(MAX(ROW(E$1:E1869)*(E2=E$1:E1869))))))</f>
        <v> </v>
      </c>
      <c r="K1870" s="25" t="str">
        <f>IF(OR(E1870="",E1870="!!!",F1870="NEW"),"",INDEX(J$1:J1869,SUMPRODUCT(MAX(ROW(E$1:E1869)*(E1870=E$1:E1869)))))</f>
        <v> </v>
      </c>
      <c r="L1870" s="26"/>
    </row>
    <row r="1871" spans="1:12">
      <c r="A1871" s="20" t="s">
        <v>592</v>
      </c>
      <c r="E1871" s="21">
        <f>IF(D1871="?OLD","!!!","")</f>
        <v/>
      </c>
      <c r="F1871" s="22" t="str">
        <f>IF(OR(E1871="",E1871="!!!"),"",IF(NOT(ISNA(VLOOKUP(E1871,E$1:E1870,1,FALSE()))),"OLD",IF(AND(E1871&lt;&gt;"",E1871&lt;&gt;"!!!"),"NEW","")))</f>
        <v> </v>
      </c>
      <c r="G1871" s="23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4" t="str">
        <f>IF(J1871&lt;&gt;1,"",IF(I1871="SBJ","CB","?"))</f>
        <v> </v>
      </c>
      <c r="I1871" s="25" t="str">
        <f>IF(OR(E1871="",E1871="!!!",F1871="NEW"),"",INDEX(B1870:B$2,-1+SUMPRODUCT(MAX(ROW(E1870:E$2)*(E1871=E1870:E$2)))))</f>
        <v> </v>
      </c>
      <c r="J1871" s="25" t="str">
        <f>IF(OR(E1871="",E1871="!!!",F1871="NEW"),"",COUNTBLANK(OFFSET(A$1,,,SUMPRODUCT(MAX(ROW(E$2:E1871)*(E1871=E$2:E1871)))))-COUNTBLANK(OFFSET(A$1,,,SUMPRODUCT(MAX(ROW(E$1:E1870)*(E2=E$1:E1870))))))</f>
        <v> </v>
      </c>
      <c r="K1871" s="25" t="str">
        <f>IF(OR(E1871="",E1871="!!!",F1871="NEW"),"",INDEX(J$1:J1870,SUMPRODUCT(MAX(ROW(E$1:E1870)*(E1871=E$1:E1870)))))</f>
        <v> </v>
      </c>
      <c r="L1871" s="26"/>
    </row>
    <row r="1872" spans="1:12">
      <c r="A1872" s="20" t="s">
        <v>1084</v>
      </c>
      <c r="E1872" s="21">
        <f>IF(D1872="?OLD","!!!","")</f>
        <v/>
      </c>
      <c r="F1872" s="22" t="str">
        <f>IF(OR(E1872="",E1872="!!!"),"",IF(NOT(ISNA(VLOOKUP(E1872,E$1:E1871,1,FALSE()))),"OLD",IF(AND(E1872&lt;&gt;"",E1872&lt;&gt;"!!!"),"NEW","")))</f>
        <v> </v>
      </c>
      <c r="G1872" s="23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4" t="str">
        <f>IF(J1872&lt;&gt;1,"",IF(I1872="SBJ","CB","?"))</f>
        <v> </v>
      </c>
      <c r="I1872" s="25" t="str">
        <f>IF(OR(E1872="",E1872="!!!",F1872="NEW"),"",INDEX(B1871:B$2,-1+SUMPRODUCT(MAX(ROW(E1871:E$2)*(E1872=E1871:E$2)))))</f>
        <v> </v>
      </c>
      <c r="J1872" s="25" t="str">
        <f>IF(OR(E1872="",E1872="!!!",F1872="NEW"),"",COUNTBLANK(OFFSET(A$1,,,SUMPRODUCT(MAX(ROW(E$2:E1872)*(E1872=E$2:E1872)))))-COUNTBLANK(OFFSET(A$1,,,SUMPRODUCT(MAX(ROW(E$1:E1871)*(E2=E$1:E1871))))))</f>
        <v> </v>
      </c>
      <c r="K1872" s="25" t="str">
        <f>IF(OR(E1872="",E1872="!!!",F1872="NEW"),"",INDEX(J$1:J1871,SUMPRODUCT(MAX(ROW(E$1:E1871)*(E1872=E$1:E1871)))))</f>
        <v> </v>
      </c>
      <c r="L1872" s="26"/>
    </row>
    <row r="1873" spans="1:12">
      <c r="A1873" s="20" t="s">
        <v>679</v>
      </c>
      <c r="B1873" s="27" t="s">
        <v>502</v>
      </c>
      <c r="C1873" s="27" t="s">
        <v>482</v>
      </c>
      <c r="D1873" s="27" t="s">
        <v>483</v>
      </c>
      <c r="E1873" s="21">
        <f>IF(D1873="?OLD","!!!","")</f>
        <v/>
      </c>
      <c r="F1873" s="22" t="str">
        <f>IF(OR(E1873="",E1873="!!!"),"",IF(NOT(ISNA(VLOOKUP(E1873,E$1:E1872,1,FALSE()))),"OLD",IF(AND(E1873&lt;&gt;"",E1873&lt;&gt;"!!!"),"NEW","")))</f>
        <v> </v>
      </c>
      <c r="G1873" s="23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4" t="str">
        <f>IF(J1873&lt;&gt;1,"",IF(I1873="SBJ","CB","?"))</f>
        <v> </v>
      </c>
      <c r="I1873" s="25" t="str">
        <f>IF(OR(E1873="",E1873="!!!",F1873="NEW"),"",INDEX(B1872:B$2,-1+SUMPRODUCT(MAX(ROW(E1872:E$2)*(E1873=E1872:E$2)))))</f>
        <v> </v>
      </c>
      <c r="J1873" s="25" t="str">
        <f>IF(OR(E1873="",E1873="!!!",F1873="NEW"),"",COUNTBLANK(OFFSET(A$1,,,SUMPRODUCT(MAX(ROW(E$2:E1873)*(E1873=E$2:E1873)))))-COUNTBLANK(OFFSET(A$1,,,SUMPRODUCT(MAX(ROW(E$1:E1872)*(E2=E$1:E1872))))))</f>
        <v> </v>
      </c>
      <c r="K1873" s="25" t="str">
        <f>IF(OR(E1873="",E1873="!!!",F1873="NEW"),"",INDEX(J$1:J1872,SUMPRODUCT(MAX(ROW(E$1:E1872)*(E1873=E$1:E1872)))))</f>
        <v> </v>
      </c>
      <c r="L1873" s="26"/>
    </row>
    <row r="1874" spans="1:12">
      <c r="A1874" s="20" t="s">
        <v>530</v>
      </c>
      <c r="E1874" s="21">
        <f>IF(D1874="?OLD","!!!","")</f>
        <v/>
      </c>
      <c r="F1874" s="22" t="str">
        <f>IF(OR(E1874="",E1874="!!!"),"",IF(NOT(ISNA(VLOOKUP(E1874,E$1:E1873,1,FALSE()))),"OLD",IF(AND(E1874&lt;&gt;"",E1874&lt;&gt;"!!!"),"NEW","")))</f>
        <v> </v>
      </c>
      <c r="G1874" s="23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4" t="str">
        <f>IF(J1874&lt;&gt;1,"",IF(I1874="SBJ","CB","?"))</f>
        <v> </v>
      </c>
      <c r="I1874" s="25" t="str">
        <f>IF(OR(E1874="",E1874="!!!",F1874="NEW"),"",INDEX(B1873:B$2,-1+SUMPRODUCT(MAX(ROW(E1873:E$2)*(E1874=E1873:E$2)))))</f>
        <v> </v>
      </c>
      <c r="J1874" s="25" t="str">
        <f>IF(OR(E1874="",E1874="!!!",F1874="NEW"),"",COUNTBLANK(OFFSET(A$1,,,SUMPRODUCT(MAX(ROW(E$2:E1874)*(E1874=E$2:E1874)))))-COUNTBLANK(OFFSET(A$1,,,SUMPRODUCT(MAX(ROW(E$1:E1873)*(E2=E$1:E1873))))))</f>
        <v> </v>
      </c>
      <c r="K1874" s="25" t="str">
        <f>IF(OR(E1874="",E1874="!!!",F1874="NEW"),"",INDEX(J$1:J1873,SUMPRODUCT(MAX(ROW(E$1:E1873)*(E1874=E$1:E1873)))))</f>
        <v> </v>
      </c>
      <c r="L1874" s="26"/>
    </row>
    <row r="1875" spans="1:12">
      <c r="A1875" s="20" t="s">
        <v>489</v>
      </c>
      <c r="E1875" s="21">
        <f>IF(D1875="?OLD","!!!","")</f>
        <v/>
      </c>
      <c r="F1875" s="22" t="str">
        <f>IF(OR(E1875="",E1875="!!!"),"",IF(NOT(ISNA(VLOOKUP(E1875,E$1:E1874,1,FALSE()))),"OLD",IF(AND(E1875&lt;&gt;"",E1875&lt;&gt;"!!!"),"NEW","")))</f>
        <v> </v>
      </c>
      <c r="G1875" s="23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4" t="str">
        <f>IF(J1875&lt;&gt;1,"",IF(I1875="SBJ","CB","?"))</f>
        <v> </v>
      </c>
      <c r="I1875" s="25" t="str">
        <f>IF(OR(E1875="",E1875="!!!",F1875="NEW"),"",INDEX(B1874:B$2,-1+SUMPRODUCT(MAX(ROW(E1874:E$2)*(E1875=E1874:E$2)))))</f>
        <v> </v>
      </c>
      <c r="J1875" s="25" t="str">
        <f>IF(OR(E1875="",E1875="!!!",F1875="NEW"),"",COUNTBLANK(OFFSET(A$1,,,SUMPRODUCT(MAX(ROW(E$2:E1875)*(E1875=E$2:E1875)))))-COUNTBLANK(OFFSET(A$1,,,SUMPRODUCT(MAX(ROW(E$1:E1874)*(E2=E$1:E1874))))))</f>
        <v> </v>
      </c>
      <c r="K1875" s="25" t="str">
        <f>IF(OR(E1875="",E1875="!!!",F1875="NEW"),"",INDEX(J$1:J1874,SUMPRODUCT(MAX(ROW(E$1:E1874)*(E1875=E$1:E1874)))))</f>
        <v> </v>
      </c>
      <c r="L1875" s="26"/>
    </row>
    <row r="1876" spans="1:12">
      <c r="A1876" s="20" t="s">
        <v>593</v>
      </c>
      <c r="E1876" s="21">
        <f>IF(D1876="?OLD","!!!","")</f>
        <v/>
      </c>
      <c r="F1876" s="22" t="str">
        <f>IF(OR(E1876="",E1876="!!!"),"",IF(NOT(ISNA(VLOOKUP(E1876,E$1:E1875,1,FALSE()))),"OLD",IF(AND(E1876&lt;&gt;"",E1876&lt;&gt;"!!!"),"NEW","")))</f>
        <v> </v>
      </c>
      <c r="G1876" s="23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4" t="str">
        <f>IF(J1876&lt;&gt;1,"",IF(I1876="SBJ","CB","?"))</f>
        <v> </v>
      </c>
      <c r="I1876" s="25" t="str">
        <f>IF(OR(E1876="",E1876="!!!",F1876="NEW"),"",INDEX(B1875:B$2,-1+SUMPRODUCT(MAX(ROW(E1875:E$2)*(E1876=E1875:E$2)))))</f>
        <v> </v>
      </c>
      <c r="J1876" s="25" t="str">
        <f>IF(OR(E1876="",E1876="!!!",F1876="NEW"),"",COUNTBLANK(OFFSET(A$1,,,SUMPRODUCT(MAX(ROW(E$2:E1876)*(E1876=E$2:E1876)))))-COUNTBLANK(OFFSET(A$1,,,SUMPRODUCT(MAX(ROW(E$1:E1875)*(E2=E$1:E1875))))))</f>
        <v> </v>
      </c>
      <c r="K1876" s="25" t="str">
        <f>IF(OR(E1876="",E1876="!!!",F1876="NEW"),"",INDEX(J$1:J1875,SUMPRODUCT(MAX(ROW(E$1:E1875)*(E1876=E$1:E1875)))))</f>
        <v> </v>
      </c>
      <c r="L1876" s="26"/>
    </row>
    <row r="1877" spans="1:12">
      <c r="A1877" s="20" t="s">
        <v>1085</v>
      </c>
      <c r="E1877" s="21">
        <f>IF(D1877="?OLD","!!!","")</f>
        <v/>
      </c>
      <c r="F1877" s="22" t="str">
        <f>IF(OR(E1877="",E1877="!!!"),"",IF(NOT(ISNA(VLOOKUP(E1877,E$1:E1876,1,FALSE()))),"OLD",IF(AND(E1877&lt;&gt;"",E1877&lt;&gt;"!!!"),"NEW","")))</f>
        <v> </v>
      </c>
      <c r="G1877" s="23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4" t="str">
        <f>IF(J1877&lt;&gt;1,"",IF(I1877="SBJ","CB","?"))</f>
        <v> </v>
      </c>
      <c r="I1877" s="25" t="str">
        <f>IF(OR(E1877="",E1877="!!!",F1877="NEW"),"",INDEX(B1876:B$2,-1+SUMPRODUCT(MAX(ROW(E1876:E$2)*(E1877=E1876:E$2)))))</f>
        <v> </v>
      </c>
      <c r="J1877" s="25" t="str">
        <f>IF(OR(E1877="",E1877="!!!",F1877="NEW"),"",COUNTBLANK(OFFSET(A$1,,,SUMPRODUCT(MAX(ROW(E$2:E1877)*(E1877=E$2:E1877)))))-COUNTBLANK(OFFSET(A$1,,,SUMPRODUCT(MAX(ROW(E$1:E1876)*(E2=E$1:E1876))))))</f>
        <v> </v>
      </c>
      <c r="K1877" s="25" t="str">
        <f>IF(OR(E1877="",E1877="!!!",F1877="NEW"),"",INDEX(J$1:J1876,SUMPRODUCT(MAX(ROW(E$1:E1876)*(E1877=E$1:E1876)))))</f>
        <v> </v>
      </c>
      <c r="L1877" s="26"/>
    </row>
    <row r="1878" spans="1:12">
      <c r="A1878" s="20" t="s">
        <v>484</v>
      </c>
      <c r="E1878" s="21">
        <f>IF(D1878="?OLD","!!!","")</f>
        <v/>
      </c>
      <c r="F1878" s="22" t="str">
        <f>IF(OR(E1878="",E1878="!!!"),"",IF(NOT(ISNA(VLOOKUP(E1878,E$1:E1877,1,FALSE()))),"OLD",IF(AND(E1878&lt;&gt;"",E1878&lt;&gt;"!!!"),"NEW","")))</f>
        <v> </v>
      </c>
      <c r="G1878" s="23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4" t="str">
        <f>IF(J1878&lt;&gt;1,"",IF(I1878="SBJ","CB","?"))</f>
        <v> </v>
      </c>
      <c r="I1878" s="25" t="str">
        <f>IF(OR(E1878="",E1878="!!!",F1878="NEW"),"",INDEX(B1877:B$2,-1+SUMPRODUCT(MAX(ROW(E1877:E$2)*(E1878=E1877:E$2)))))</f>
        <v> </v>
      </c>
      <c r="J1878" s="25" t="str">
        <f>IF(OR(E1878="",E1878="!!!",F1878="NEW"),"",COUNTBLANK(OFFSET(A$1,,,SUMPRODUCT(MAX(ROW(E$2:E1878)*(E1878=E$2:E1878)))))-COUNTBLANK(OFFSET(A$1,,,SUMPRODUCT(MAX(ROW(E$1:E1877)*(E2=E$1:E1877))))))</f>
        <v> </v>
      </c>
      <c r="K1878" s="25" t="str">
        <f>IF(OR(E1878="",E1878="!!!",F1878="NEW"),"",INDEX(J$1:J1877,SUMPRODUCT(MAX(ROW(E$1:E1877)*(E1878=E$1:E1877)))))</f>
        <v> </v>
      </c>
      <c r="L1878" s="26"/>
    </row>
    <row r="1879" spans="1:12">
      <c r="A1879" s="20" t="s">
        <v>649</v>
      </c>
      <c r="E1879" s="21">
        <f>IF(D1879="?OLD","!!!","")</f>
        <v/>
      </c>
      <c r="F1879" s="22" t="str">
        <f>IF(OR(E1879="",E1879="!!!"),"",IF(NOT(ISNA(VLOOKUP(E1879,E$1:E1878,1,FALSE()))),"OLD",IF(AND(E1879&lt;&gt;"",E1879&lt;&gt;"!!!"),"NEW","")))</f>
        <v> </v>
      </c>
      <c r="G1879" s="23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4" t="str">
        <f>IF(J1879&lt;&gt;1,"",IF(I1879="SBJ","CB","?"))</f>
        <v> </v>
      </c>
      <c r="I1879" s="25" t="str">
        <f>IF(OR(E1879="",E1879="!!!",F1879="NEW"),"",INDEX(B1878:B$2,-1+SUMPRODUCT(MAX(ROW(E1878:E$2)*(E1879=E1878:E$2)))))</f>
        <v> </v>
      </c>
      <c r="J1879" s="25" t="str">
        <f>IF(OR(E1879="",E1879="!!!",F1879="NEW"),"",COUNTBLANK(OFFSET(A$1,,,SUMPRODUCT(MAX(ROW(E$2:E1879)*(E1879=E$2:E1879)))))-COUNTBLANK(OFFSET(A$1,,,SUMPRODUCT(MAX(ROW(E$1:E1878)*(E2=E$1:E1878))))))</f>
        <v> </v>
      </c>
      <c r="K1879" s="25" t="str">
        <f>IF(OR(E1879="",E1879="!!!",F1879="NEW"),"",INDEX(J$1:J1878,SUMPRODUCT(MAX(ROW(E$1:E1878)*(E1879=E$1:E1878)))))</f>
        <v> </v>
      </c>
      <c r="L1879" s="26"/>
    </row>
    <row r="1880" spans="1:12">
      <c r="A1880" s="20" t="s">
        <v>489</v>
      </c>
      <c r="E1880" s="21">
        <f>IF(D1880="?OLD","!!!","")</f>
        <v/>
      </c>
      <c r="F1880" s="22" t="str">
        <f>IF(OR(E1880="",E1880="!!!"),"",IF(NOT(ISNA(VLOOKUP(E1880,E$1:E1879,1,FALSE()))),"OLD",IF(AND(E1880&lt;&gt;"",E1880&lt;&gt;"!!!"),"NEW","")))</f>
        <v> </v>
      </c>
      <c r="G1880" s="23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4" t="str">
        <f>IF(J1880&lt;&gt;1,"",IF(I1880="SBJ","CB","?"))</f>
        <v> </v>
      </c>
      <c r="I1880" s="25" t="str">
        <f>IF(OR(E1880="",E1880="!!!",F1880="NEW"),"",INDEX(B1879:B$2,-1+SUMPRODUCT(MAX(ROW(E1879:E$2)*(E1880=E1879:E$2)))))</f>
        <v> </v>
      </c>
      <c r="J1880" s="25" t="str">
        <f>IF(OR(E1880="",E1880="!!!",F1880="NEW"),"",COUNTBLANK(OFFSET(A$1,,,SUMPRODUCT(MAX(ROW(E$2:E1880)*(E1880=E$2:E1880)))))-COUNTBLANK(OFFSET(A$1,,,SUMPRODUCT(MAX(ROW(E$1:E1879)*(E2=E$1:E1879))))))</f>
        <v> </v>
      </c>
      <c r="K1880" s="25" t="str">
        <f>IF(OR(E1880="",E1880="!!!",F1880="NEW"),"",INDEX(J$1:J1879,SUMPRODUCT(MAX(ROW(E$1:E1879)*(E1880=E$1:E1879)))))</f>
        <v> </v>
      </c>
      <c r="L1880" s="26"/>
    </row>
    <row r="1881" spans="1:12">
      <c r="A1881" s="20" t="s">
        <v>592</v>
      </c>
      <c r="E1881" s="21">
        <f>IF(D1881="?OLD","!!!","")</f>
        <v/>
      </c>
      <c r="F1881" s="22" t="str">
        <f>IF(OR(E1881="",E1881="!!!"),"",IF(NOT(ISNA(VLOOKUP(E1881,E$1:E1880,1,FALSE()))),"OLD",IF(AND(E1881&lt;&gt;"",E1881&lt;&gt;"!!!"),"NEW","")))</f>
        <v> </v>
      </c>
      <c r="G1881" s="23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4" t="str">
        <f>IF(J1881&lt;&gt;1,"",IF(I1881="SBJ","CB","?"))</f>
        <v> </v>
      </c>
      <c r="I1881" s="25" t="str">
        <f>IF(OR(E1881="",E1881="!!!",F1881="NEW"),"",INDEX(B1880:B$2,-1+SUMPRODUCT(MAX(ROW(E1880:E$2)*(E1881=E1880:E$2)))))</f>
        <v> </v>
      </c>
      <c r="J1881" s="25" t="str">
        <f>IF(OR(E1881="",E1881="!!!",F1881="NEW"),"",COUNTBLANK(OFFSET(A$1,,,SUMPRODUCT(MAX(ROW(E$2:E1881)*(E1881=E$2:E1881)))))-COUNTBLANK(OFFSET(A$1,,,SUMPRODUCT(MAX(ROW(E$1:E1880)*(E2=E$1:E1880))))))</f>
        <v> </v>
      </c>
      <c r="K1881" s="25" t="str">
        <f>IF(OR(E1881="",E1881="!!!",F1881="NEW"),"",INDEX(J$1:J1880,SUMPRODUCT(MAX(ROW(E$1:E1880)*(E1881=E$1:E1880)))))</f>
        <v> </v>
      </c>
      <c r="L1881" s="26"/>
    </row>
    <row r="1882" spans="1:12">
      <c r="A1882" s="20" t="s">
        <v>361</v>
      </c>
      <c r="E1882" s="21">
        <f>IF(D1882="?OLD","!!!","")</f>
        <v/>
      </c>
      <c r="F1882" s="22" t="str">
        <f>IF(OR(E1882="",E1882="!!!"),"",IF(NOT(ISNA(VLOOKUP(E1882,E$1:E1881,1,FALSE()))),"OLD",IF(AND(E1882&lt;&gt;"",E1882&lt;&gt;"!!!"),"NEW","")))</f>
        <v> </v>
      </c>
      <c r="G1882" s="23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4" t="str">
        <f>IF(J1882&lt;&gt;1,"",IF(I1882="SBJ","CB","?"))</f>
        <v> </v>
      </c>
      <c r="I1882" s="25" t="str">
        <f>IF(OR(E1882="",E1882="!!!",F1882="NEW"),"",INDEX(B1881:B$2,-1+SUMPRODUCT(MAX(ROW(E1881:E$2)*(E1882=E1881:E$2)))))</f>
        <v> </v>
      </c>
      <c r="J1882" s="25" t="str">
        <f>IF(OR(E1882="",E1882="!!!",F1882="NEW"),"",COUNTBLANK(OFFSET(A$1,,,SUMPRODUCT(MAX(ROW(E$2:E1882)*(E1882=E$2:E1882)))))-COUNTBLANK(OFFSET(A$1,,,SUMPRODUCT(MAX(ROW(E$1:E1881)*(E2=E$1:E1881))))))</f>
        <v> </v>
      </c>
      <c r="K1882" s="25" t="str">
        <f>IF(OR(E1882="",E1882="!!!",F1882="NEW"),"",INDEX(J$1:J1881,SUMPRODUCT(MAX(ROW(E$1:E1881)*(E1882=E$1:E1881)))))</f>
        <v> </v>
      </c>
      <c r="L1882" s="26"/>
    </row>
    <row r="1883" spans="1:12">
      <c r="A1883" s="20" t="s">
        <v>528</v>
      </c>
      <c r="E1883" s="21">
        <f>IF(D1883="?OLD","!!!","")</f>
        <v/>
      </c>
      <c r="F1883" s="22" t="str">
        <f>IF(OR(E1883="",E1883="!!!"),"",IF(NOT(ISNA(VLOOKUP(E1883,E$1:E1882,1,FALSE()))),"OLD",IF(AND(E1883&lt;&gt;"",E1883&lt;&gt;"!!!"),"NEW","")))</f>
        <v> </v>
      </c>
      <c r="G1883" s="23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4" t="str">
        <f>IF(J1883&lt;&gt;1,"",IF(I1883="SBJ","CB","?"))</f>
        <v> </v>
      </c>
      <c r="I1883" s="25" t="str">
        <f>IF(OR(E1883="",E1883="!!!",F1883="NEW"),"",INDEX(B1882:B$2,-1+SUMPRODUCT(MAX(ROW(E1882:E$2)*(E1883=E1882:E$2)))))</f>
        <v> </v>
      </c>
      <c r="J1883" s="25" t="str">
        <f>IF(OR(E1883="",E1883="!!!",F1883="NEW"),"",COUNTBLANK(OFFSET(A$1,,,SUMPRODUCT(MAX(ROW(E$2:E1883)*(E1883=E$2:E1883)))))-COUNTBLANK(OFFSET(A$1,,,SUMPRODUCT(MAX(ROW(E$1:E1882)*(E2=E$1:E1882))))))</f>
        <v> </v>
      </c>
      <c r="K1883" s="25" t="str">
        <f>IF(OR(E1883="",E1883="!!!",F1883="NEW"),"",INDEX(J$1:J1882,SUMPRODUCT(MAX(ROW(E$1:E1882)*(E1883=E$1:E1882)))))</f>
        <v> </v>
      </c>
      <c r="L1883" s="26"/>
    </row>
    <row r="1884" spans="1:12">
      <c r="A1884" s="20" t="s">
        <v>485</v>
      </c>
      <c r="E1884" s="21">
        <f>IF(D1884="?OLD","!!!","")</f>
        <v/>
      </c>
      <c r="F1884" s="22" t="str">
        <f>IF(OR(E1884="",E1884="!!!"),"",IF(NOT(ISNA(VLOOKUP(E1884,E$1:E1883,1,FALSE()))),"OLD",IF(AND(E1884&lt;&gt;"",E1884&lt;&gt;"!!!"),"NEW","")))</f>
        <v> </v>
      </c>
      <c r="G1884" s="23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4" t="str">
        <f>IF(J1884&lt;&gt;1,"",IF(I1884="SBJ","CB","?"))</f>
        <v> </v>
      </c>
      <c r="I1884" s="25" t="str">
        <f>IF(OR(E1884="",E1884="!!!",F1884="NEW"),"",INDEX(B1883:B$2,-1+SUMPRODUCT(MAX(ROW(E1883:E$2)*(E1884=E1883:E$2)))))</f>
        <v> </v>
      </c>
      <c r="J1884" s="25" t="str">
        <f>IF(OR(E1884="",E1884="!!!",F1884="NEW"),"",COUNTBLANK(OFFSET(A$1,,,SUMPRODUCT(MAX(ROW(E$2:E1884)*(E1884=E$2:E1884)))))-COUNTBLANK(OFFSET(A$1,,,SUMPRODUCT(MAX(ROW(E$1:E1883)*(E2=E$1:E1883))))))</f>
        <v> </v>
      </c>
      <c r="K1884" s="25" t="str">
        <f>IF(OR(E1884="",E1884="!!!",F1884="NEW"),"",INDEX(J$1:J1883,SUMPRODUCT(MAX(ROW(E$1:E1883)*(E1884=E$1:E1883)))))</f>
        <v> </v>
      </c>
      <c r="L1884" s="26"/>
    </row>
    <row r="1885" spans="1:12">
      <c r="A1885" s="20" t="s">
        <v>1086</v>
      </c>
      <c r="B1885" s="27" t="s">
        <v>542</v>
      </c>
      <c r="C1885" s="27" t="s">
        <v>487</v>
      </c>
      <c r="D1885" s="27" t="s">
        <v>483</v>
      </c>
      <c r="E1885" s="21">
        <f>IF(D1885="?OLD","!!!","")</f>
        <v/>
      </c>
      <c r="F1885" s="22" t="str">
        <f>IF(OR(E1885="",E1885="!!!"),"",IF(NOT(ISNA(VLOOKUP(E1885,E$1:E1884,1,FALSE()))),"OLD",IF(AND(E1885&lt;&gt;"",E1885&lt;&gt;"!!!"),"NEW","")))</f>
        <v> </v>
      </c>
      <c r="G1885" s="23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4" t="str">
        <f>IF(J1885&lt;&gt;1,"",IF(I1885="SBJ","CB","?"))</f>
        <v> </v>
      </c>
      <c r="I1885" s="25" t="str">
        <f>IF(OR(E1885="",E1885="!!!",F1885="NEW"),"",INDEX(B1884:B$2,-1+SUMPRODUCT(MAX(ROW(E1884:E$2)*(E1885=E1884:E$2)))))</f>
        <v> </v>
      </c>
      <c r="J1885" s="25" t="str">
        <f>IF(OR(E1885="",E1885="!!!",F1885="NEW"),"",COUNTBLANK(OFFSET(A$1,,,SUMPRODUCT(MAX(ROW(E$2:E1885)*(E1885=E$2:E1885)))))-COUNTBLANK(OFFSET(A$1,,,SUMPRODUCT(MAX(ROW(E$1:E1884)*(E2=E$1:E1884))))))</f>
        <v> </v>
      </c>
      <c r="K1885" s="25" t="str">
        <f>IF(OR(E1885="",E1885="!!!",F1885="NEW"),"",INDEX(J$1:J1884,SUMPRODUCT(MAX(ROW(E$1:E1884)*(E1885=E$1:E1884)))))</f>
        <v> </v>
      </c>
      <c r="L1885" s="26"/>
    </row>
    <row r="1886" spans="1:12">
      <c r="A1886" s="20" t="s">
        <v>531</v>
      </c>
      <c r="E1886" s="21">
        <f>IF(D1886="?OLD","!!!","")</f>
        <v/>
      </c>
      <c r="F1886" s="22" t="str">
        <f>IF(OR(E1886="",E1886="!!!"),"",IF(NOT(ISNA(VLOOKUP(E1886,E$1:E1885,1,FALSE()))),"OLD",IF(AND(E1886&lt;&gt;"",E1886&lt;&gt;"!!!"),"NEW","")))</f>
        <v> </v>
      </c>
      <c r="G1886" s="23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4" t="str">
        <f>IF(J1886&lt;&gt;1,"",IF(I1886="SBJ","CB","?"))</f>
        <v> </v>
      </c>
      <c r="I1886" s="25" t="str">
        <f>IF(OR(E1886="",E1886="!!!",F1886="NEW"),"",INDEX(B1885:B$2,-1+SUMPRODUCT(MAX(ROW(E1885:E$2)*(E1886=E1885:E$2)))))</f>
        <v> </v>
      </c>
      <c r="J1886" s="25" t="str">
        <f>IF(OR(E1886="",E1886="!!!",F1886="NEW"),"",COUNTBLANK(OFFSET(A$1,,,SUMPRODUCT(MAX(ROW(E$2:E1886)*(E1886=E$2:E1886)))))-COUNTBLANK(OFFSET(A$1,,,SUMPRODUCT(MAX(ROW(E$1:E1885)*(E2=E$1:E1885))))))</f>
        <v> </v>
      </c>
      <c r="K1886" s="25" t="str">
        <f>IF(OR(E1886="",E1886="!!!",F1886="NEW"),"",INDEX(J$1:J1885,SUMPRODUCT(MAX(ROW(E$1:E1885)*(E1886=E$1:E1885)))))</f>
        <v> </v>
      </c>
      <c r="L1886" s="26"/>
    </row>
    <row r="1887" spans="1:12">
      <c r="A1887" s="20"/>
    </row>
    <row r="1888" spans="1:12">
      <c r="A1888" s="20" t="s">
        <v>1087</v>
      </c>
    </row>
    <row r="1889" spans="1:12">
      <c r="A1889" s="20" t="s">
        <v>617</v>
      </c>
      <c r="E1889" s="21">
        <f>IF(D1889="?OLD","!!!","")</f>
        <v/>
      </c>
      <c r="F1889" s="22" t="str">
        <f>IF(OR(E1889="",E1889="!!!"),"",IF(NOT(ISNA(VLOOKUP(E1889,E$1:E1888,1,FALSE()))),"OLD",IF(AND(E1889&lt;&gt;"",E1889&lt;&gt;"!!!"),"NEW","")))</f>
        <v> </v>
      </c>
      <c r="G1889" s="23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4" t="str">
        <f>IF(J1889&lt;&gt;1,"",IF(I1889="SBJ","CB","?"))</f>
        <v> </v>
      </c>
      <c r="I1889" s="25" t="str">
        <f>IF(OR(E1889="",E1889="!!!",F1889="NEW"),"",INDEX(B1888:B$2,-1+SUMPRODUCT(MAX(ROW(E1888:E$2)*(E1889=E1888:E$2)))))</f>
        <v> </v>
      </c>
      <c r="J1889" s="25" t="str">
        <f>IF(OR(E1889="",E1889="!!!",F1889="NEW"),"",COUNTBLANK(OFFSET(A$1,,,SUMPRODUCT(MAX(ROW(E$2:E1889)*(E1889=E$2:E1889)))))-COUNTBLANK(OFFSET(A$1,,,SUMPRODUCT(MAX(ROW(E$1:E1888)*(E2=E$1:E1888))))))</f>
        <v> </v>
      </c>
      <c r="K1889" s="25" t="str">
        <f>IF(OR(E1889="",E1889="!!!",F1889="NEW"),"",INDEX(J$1:J1888,SUMPRODUCT(MAX(ROW(E$1:E1888)*(E1889=E$1:E1888)))))</f>
        <v> </v>
      </c>
      <c r="L1889" s="26"/>
    </row>
    <row r="1890" spans="1:12">
      <c r="A1890" s="20" t="s">
        <v>72</v>
      </c>
      <c r="E1890" s="21">
        <f>IF(D1890="?OLD","!!!","")</f>
        <v/>
      </c>
      <c r="F1890" s="22" t="str">
        <f>IF(OR(E1890="",E1890="!!!"),"",IF(NOT(ISNA(VLOOKUP(E1890,E$1:E1889,1,FALSE()))),"OLD",IF(AND(E1890&lt;&gt;"",E1890&lt;&gt;"!!!"),"NEW","")))</f>
        <v> </v>
      </c>
      <c r="G1890" s="23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4" t="str">
        <f>IF(J1890&lt;&gt;1,"",IF(I1890="SBJ","CB","?"))</f>
        <v> </v>
      </c>
      <c r="I1890" s="25" t="str">
        <f>IF(OR(E1890="",E1890="!!!",F1890="NEW"),"",INDEX(B1889:B$2,-1+SUMPRODUCT(MAX(ROW(E1889:E$2)*(E1890=E1889:E$2)))))</f>
        <v> </v>
      </c>
      <c r="J1890" s="25" t="str">
        <f>IF(OR(E1890="",E1890="!!!",F1890="NEW"),"",COUNTBLANK(OFFSET(A$1,,,SUMPRODUCT(MAX(ROW(E$2:E1890)*(E1890=E$2:E1890)))))-COUNTBLANK(OFFSET(A$1,,,SUMPRODUCT(MAX(ROW(E$1:E1889)*(E2=E$1:E1889))))))</f>
        <v> </v>
      </c>
      <c r="K1890" s="25" t="str">
        <f>IF(OR(E1890="",E1890="!!!",F1890="NEW"),"",INDEX(J$1:J1889,SUMPRODUCT(MAX(ROW(E$1:E1889)*(E1890=E$1:E1889)))))</f>
        <v> </v>
      </c>
      <c r="L1890" s="26"/>
    </row>
    <row r="1891" spans="1:12">
      <c r="A1891" s="20" t="s">
        <v>585</v>
      </c>
      <c r="B1891" s="27" t="s">
        <v>542</v>
      </c>
      <c r="C1891" s="27" t="s">
        <v>482</v>
      </c>
      <c r="D1891" s="27" t="s">
        <v>483</v>
      </c>
      <c r="E1891" s="21">
        <f>IF(D1891="?OLD","!!!","")</f>
        <v/>
      </c>
      <c r="F1891" s="22" t="str">
        <f>IF(OR(E1891="",E1891="!!!"),"",IF(NOT(ISNA(VLOOKUP(E1891,E$1:E1890,1,FALSE()))),"OLD",IF(AND(E1891&lt;&gt;"",E1891&lt;&gt;"!!!"),"NEW","")))</f>
        <v> </v>
      </c>
      <c r="G1891" s="23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4" t="str">
        <f>IF(J1891&lt;&gt;1,"",IF(I1891="SBJ","CB","?"))</f>
        <v> </v>
      </c>
      <c r="I1891" s="25" t="str">
        <f>IF(OR(E1891="",E1891="!!!",F1891="NEW"),"",INDEX(B1890:B$2,-1+SUMPRODUCT(MAX(ROW(E1890:E$2)*(E1891=E1890:E$2)))))</f>
        <v> </v>
      </c>
      <c r="J1891" s="25" t="str">
        <f>IF(OR(E1891="",E1891="!!!",F1891="NEW"),"",COUNTBLANK(OFFSET(A$1,,,SUMPRODUCT(MAX(ROW(E$2:E1891)*(E1891=E$2:E1891)))))-COUNTBLANK(OFFSET(A$1,,,SUMPRODUCT(MAX(ROW(E$1:E1890)*(E2=E$1:E1890))))))</f>
        <v> </v>
      </c>
      <c r="K1891" s="25" t="str">
        <f>IF(OR(E1891="",E1891="!!!",F1891="NEW"),"",INDEX(J$1:J1890,SUMPRODUCT(MAX(ROW(E$1:E1890)*(E1891=E$1:E1890)))))</f>
        <v> </v>
      </c>
      <c r="L1891" s="26"/>
    </row>
    <row r="1892" spans="1:12">
      <c r="A1892" s="20" t="s">
        <v>1088</v>
      </c>
      <c r="E1892" s="21">
        <f>IF(D1892="?OLD","!!!","")</f>
        <v/>
      </c>
      <c r="F1892" s="22" t="str">
        <f>IF(OR(E1892="",E1892="!!!"),"",IF(NOT(ISNA(VLOOKUP(E1892,E$1:E1891,1,FALSE()))),"OLD",IF(AND(E1892&lt;&gt;"",E1892&lt;&gt;"!!!"),"NEW","")))</f>
        <v> </v>
      </c>
      <c r="G1892" s="23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4" t="str">
        <f>IF(J1892&lt;&gt;1,"",IF(I1892="SBJ","CB","?"))</f>
        <v> </v>
      </c>
      <c r="I1892" s="25" t="str">
        <f>IF(OR(E1892="",E1892="!!!",F1892="NEW"),"",INDEX(B1891:B$2,-1+SUMPRODUCT(MAX(ROW(E1891:E$2)*(E1892=E1891:E$2)))))</f>
        <v> </v>
      </c>
      <c r="J1892" s="25" t="str">
        <f>IF(OR(E1892="",E1892="!!!",F1892="NEW"),"",COUNTBLANK(OFFSET(A$1,,,SUMPRODUCT(MAX(ROW(E$2:E1892)*(E1892=E$2:E1892)))))-COUNTBLANK(OFFSET(A$1,,,SUMPRODUCT(MAX(ROW(E$1:E1891)*(E2=E$1:E1891))))))</f>
        <v> </v>
      </c>
      <c r="K1892" s="25" t="str">
        <f>IF(OR(E1892="",E1892="!!!",F1892="NEW"),"",INDEX(J$1:J1891,SUMPRODUCT(MAX(ROW(E$1:E1891)*(E1892=E$1:E1891)))))</f>
        <v> </v>
      </c>
      <c r="L1892" s="26"/>
    </row>
    <row r="1893" spans="1:12">
      <c r="A1893" s="20" t="s">
        <v>877</v>
      </c>
      <c r="B1893" s="27" t="s">
        <v>542</v>
      </c>
      <c r="C1893" s="27" t="s">
        <v>478</v>
      </c>
      <c r="E1893" s="21">
        <f>IF(D1893="?OLD","!!!","")</f>
        <v/>
      </c>
      <c r="F1893" s="22" t="str">
        <f>IF(OR(E1893="",E1893="!!!"),"",IF(NOT(ISNA(VLOOKUP(E1893,E$1:E1892,1,FALSE()))),"OLD",IF(AND(E1893&lt;&gt;"",E1893&lt;&gt;"!!!"),"NEW","")))</f>
        <v> </v>
      </c>
      <c r="G1893" s="23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4" t="str">
        <f>IF(J1893&lt;&gt;1,"",IF(I1893="SBJ","CB","?"))</f>
        <v> </v>
      </c>
      <c r="I1893" s="25" t="str">
        <f>IF(OR(E1893="",E1893="!!!",F1893="NEW"),"",INDEX(B1892:B$2,-1+SUMPRODUCT(MAX(ROW(E1892:E$2)*(E1893=E1892:E$2)))))</f>
        <v> </v>
      </c>
      <c r="J1893" s="25" t="str">
        <f>IF(OR(E1893="",E1893="!!!",F1893="NEW"),"",COUNTBLANK(OFFSET(A$1,,,SUMPRODUCT(MAX(ROW(E$2:E1893)*(E1893=E$2:E1893)))))-COUNTBLANK(OFFSET(A$1,,,SUMPRODUCT(MAX(ROW(E$1:E1892)*(E2=E$1:E1892))))))</f>
        <v> </v>
      </c>
      <c r="K1893" s="25" t="str">
        <f>IF(OR(E1893="",E1893="!!!",F1893="NEW"),"",INDEX(J$1:J1892,SUMPRODUCT(MAX(ROW(E$1:E1892)*(E1893=E$1:E1892)))))</f>
        <v> </v>
      </c>
      <c r="L1893" s="26"/>
    </row>
    <row r="1894" spans="1:12">
      <c r="A1894" s="20" t="s">
        <v>507</v>
      </c>
      <c r="E1894" s="21">
        <f>IF(D1894="?OLD","!!!","")</f>
        <v/>
      </c>
      <c r="F1894" s="22" t="str">
        <f>IF(OR(E1894="",E1894="!!!"),"",IF(NOT(ISNA(VLOOKUP(E1894,E$1:E1893,1,FALSE()))),"OLD",IF(AND(E1894&lt;&gt;"",E1894&lt;&gt;"!!!"),"NEW","")))</f>
        <v> </v>
      </c>
      <c r="G1894" s="23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4" t="str">
        <f>IF(J1894&lt;&gt;1,"",IF(I1894="SBJ","CB","?"))</f>
        <v> </v>
      </c>
      <c r="I1894" s="25" t="str">
        <f>IF(OR(E1894="",E1894="!!!",F1894="NEW"),"",INDEX(B1893:B$2,-1+SUMPRODUCT(MAX(ROW(E1893:E$2)*(E1894=E1893:E$2)))))</f>
        <v> </v>
      </c>
      <c r="J1894" s="25" t="str">
        <f>IF(OR(E1894="",E1894="!!!",F1894="NEW"),"",COUNTBLANK(OFFSET(A$1,,,SUMPRODUCT(MAX(ROW(E$2:E1894)*(E1894=E$2:E1894)))))-COUNTBLANK(OFFSET(A$1,,,SUMPRODUCT(MAX(ROW(E$1:E1893)*(E2=E$1:E1893))))))</f>
        <v> </v>
      </c>
      <c r="K1894" s="25" t="str">
        <f>IF(OR(E1894="",E1894="!!!",F1894="NEW"),"",INDEX(J$1:J1893,SUMPRODUCT(MAX(ROW(E$1:E1893)*(E1894=E$1:E1893)))))</f>
        <v> </v>
      </c>
      <c r="L1894" s="26"/>
    </row>
    <row r="1895" spans="1:12">
      <c r="A1895" s="20" t="s">
        <v>508</v>
      </c>
      <c r="E1895" s="21">
        <f>IF(D1895="?OLD","!!!","")</f>
        <v/>
      </c>
      <c r="F1895" s="22" t="str">
        <f>IF(OR(E1895="",E1895="!!!"),"",IF(NOT(ISNA(VLOOKUP(E1895,E$1:E1894,1,FALSE()))),"OLD",IF(AND(E1895&lt;&gt;"",E1895&lt;&gt;"!!!"),"NEW","")))</f>
        <v> </v>
      </c>
      <c r="G1895" s="23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4" t="str">
        <f>IF(J1895&lt;&gt;1,"",IF(I1895="SBJ","CB","?"))</f>
        <v> </v>
      </c>
      <c r="I1895" s="25" t="str">
        <f>IF(OR(E1895="",E1895="!!!",F1895="NEW"),"",INDEX(B1894:B$2,-1+SUMPRODUCT(MAX(ROW(E1894:E$2)*(E1895=E1894:E$2)))))</f>
        <v> </v>
      </c>
      <c r="J1895" s="25" t="str">
        <f>IF(OR(E1895="",E1895="!!!",F1895="NEW"),"",COUNTBLANK(OFFSET(A$1,,,SUMPRODUCT(MAX(ROW(E$2:E1895)*(E1895=E$2:E1895)))))-COUNTBLANK(OFFSET(A$1,,,SUMPRODUCT(MAX(ROW(E$1:E1894)*(E2=E$1:E1894))))))</f>
        <v> </v>
      </c>
      <c r="K1895" s="25" t="str">
        <f>IF(OR(E1895="",E1895="!!!",F1895="NEW"),"",INDEX(J$1:J1894,SUMPRODUCT(MAX(ROW(E$1:E1894)*(E1895=E$1:E1894)))))</f>
        <v> </v>
      </c>
      <c r="L1895" s="26"/>
    </row>
    <row r="1896" spans="1:12">
      <c r="A1896" s="20" t="s">
        <v>985</v>
      </c>
      <c r="E1896" s="21">
        <f>IF(D1896="?OLD","!!!","")</f>
        <v/>
      </c>
      <c r="F1896" s="22" t="str">
        <f>IF(OR(E1896="",E1896="!!!"),"",IF(NOT(ISNA(VLOOKUP(E1896,E$1:E1895,1,FALSE()))),"OLD",IF(AND(E1896&lt;&gt;"",E1896&lt;&gt;"!!!"),"NEW","")))</f>
        <v> </v>
      </c>
      <c r="G1896" s="23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4" t="str">
        <f>IF(J1896&lt;&gt;1,"",IF(I1896="SBJ","CB","?"))</f>
        <v> </v>
      </c>
      <c r="I1896" s="25" t="str">
        <f>IF(OR(E1896="",E1896="!!!",F1896="NEW"),"",INDEX(B1895:B$2,-1+SUMPRODUCT(MAX(ROW(E1895:E$2)*(E1896=E1895:E$2)))))</f>
        <v> </v>
      </c>
      <c r="J1896" s="25" t="str">
        <f>IF(OR(E1896="",E1896="!!!",F1896="NEW"),"",COUNTBLANK(OFFSET(A$1,,,SUMPRODUCT(MAX(ROW(E$2:E1896)*(E1896=E$2:E1896)))))-COUNTBLANK(OFFSET(A$1,,,SUMPRODUCT(MAX(ROW(E$1:E1895)*(E2=E$1:E1895))))))</f>
        <v> </v>
      </c>
      <c r="K1896" s="25" t="str">
        <f>IF(OR(E1896="",E1896="!!!",F1896="NEW"),"",INDEX(J$1:J1895,SUMPRODUCT(MAX(ROW(E$1:E1895)*(E1896=E$1:E1895)))))</f>
        <v> </v>
      </c>
      <c r="L1896" s="26"/>
    </row>
    <row r="1897" spans="1:12">
      <c r="A1897" s="20" t="s">
        <v>1089</v>
      </c>
      <c r="B1897" s="27" t="s">
        <v>490</v>
      </c>
      <c r="C1897" s="27" t="s">
        <v>487</v>
      </c>
      <c r="D1897" s="27" t="s">
        <v>483</v>
      </c>
      <c r="E1897" s="21">
        <f>IF(D1897="?OLD","!!!","")</f>
        <v/>
      </c>
      <c r="F1897" s="22" t="str">
        <f>IF(OR(E1897="",E1897="!!!"),"",IF(NOT(ISNA(VLOOKUP(E1897,E$1:E1896,1,FALSE()))),"OLD",IF(AND(E1897&lt;&gt;"",E1897&lt;&gt;"!!!"),"NEW","")))</f>
        <v> </v>
      </c>
      <c r="G1897" s="23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4" t="str">
        <f>IF(J1897&lt;&gt;1,"",IF(I1897="SBJ","CB","?"))</f>
        <v> </v>
      </c>
      <c r="I1897" s="25" t="str">
        <f>IF(OR(E1897="",E1897="!!!",F1897="NEW"),"",INDEX(B1896:B$2,-1+SUMPRODUCT(MAX(ROW(E1896:E$2)*(E1897=E1896:E$2)))))</f>
        <v> </v>
      </c>
      <c r="J1897" s="25" t="str">
        <f>IF(OR(E1897="",E1897="!!!",F1897="NEW"),"",COUNTBLANK(OFFSET(A$1,,,SUMPRODUCT(MAX(ROW(E$2:E1897)*(E1897=E$2:E1897)))))-COUNTBLANK(OFFSET(A$1,,,SUMPRODUCT(MAX(ROW(E$1:E1896)*(E2=E$1:E1896))))))</f>
        <v> </v>
      </c>
      <c r="K1897" s="25" t="str">
        <f>IF(OR(E1897="",E1897="!!!",F1897="NEW"),"",INDEX(J$1:J1896,SUMPRODUCT(MAX(ROW(E$1:E1896)*(E1897=E$1:E1896)))))</f>
        <v> </v>
      </c>
      <c r="L1897" s="26"/>
    </row>
    <row r="1898" spans="1:12">
      <c r="A1898" s="20" t="s">
        <v>531</v>
      </c>
      <c r="E1898" s="21">
        <f>IF(D1898="?OLD","!!!","")</f>
        <v/>
      </c>
      <c r="F1898" s="22" t="str">
        <f>IF(OR(E1898="",E1898="!!!"),"",IF(NOT(ISNA(VLOOKUP(E1898,E$1:E1897,1,FALSE()))),"OLD",IF(AND(E1898&lt;&gt;"",E1898&lt;&gt;"!!!"),"NEW","")))</f>
        <v> </v>
      </c>
      <c r="G1898" s="23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4" t="str">
        <f>IF(J1898&lt;&gt;1,"",IF(I1898="SBJ","CB","?"))</f>
        <v> </v>
      </c>
      <c r="I1898" s="25" t="str">
        <f>IF(OR(E1898="",E1898="!!!",F1898="NEW"),"",INDEX(B1897:B$2,-1+SUMPRODUCT(MAX(ROW(E1897:E$2)*(E1898=E1897:E$2)))))</f>
        <v> </v>
      </c>
      <c r="J1898" s="25" t="str">
        <f>IF(OR(E1898="",E1898="!!!",F1898="NEW"),"",COUNTBLANK(OFFSET(A$1,,,SUMPRODUCT(MAX(ROW(E$2:E1898)*(E1898=E$2:E1898)))))-COUNTBLANK(OFFSET(A$1,,,SUMPRODUCT(MAX(ROW(E$1:E1897)*(E2=E$1:E1897))))))</f>
        <v> </v>
      </c>
      <c r="K1898" s="25" t="str">
        <f>IF(OR(E1898="",E1898="!!!",F1898="NEW"),"",INDEX(J$1:J1897,SUMPRODUCT(MAX(ROW(E$1:E1897)*(E1898=E$1:E1897)))))</f>
        <v> </v>
      </c>
      <c r="L1898" s="26"/>
    </row>
    <row r="1899" spans="1:12">
      <c r="A1899" s="20"/>
    </row>
    <row r="1900" spans="1:12">
      <c r="A1900" s="20" t="s">
        <v>1090</v>
      </c>
    </row>
    <row r="1901" spans="1:12">
      <c r="A1901" s="20" t="s">
        <v>1091</v>
      </c>
      <c r="E1901" s="21">
        <f>IF(D1901="?OLD","!!!","")</f>
        <v/>
      </c>
      <c r="F1901" s="22" t="str">
        <f>IF(OR(E1901="",E1901="!!!"),"",IF(NOT(ISNA(VLOOKUP(E1901,E$1:E1900,1,FALSE()))),"OLD",IF(AND(E1901&lt;&gt;"",E1901&lt;&gt;"!!!"),"NEW","")))</f>
        <v> </v>
      </c>
      <c r="G1901" s="23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4" t="str">
        <f>IF(J1901&lt;&gt;1,"",IF(I1901="SBJ","CB","?"))</f>
        <v> </v>
      </c>
      <c r="I1901" s="25" t="str">
        <f>IF(OR(E1901="",E1901="!!!",F1901="NEW"),"",INDEX(B1900:B$2,-1+SUMPRODUCT(MAX(ROW(E1900:E$2)*(E1901=E1900:E$2)))))</f>
        <v> </v>
      </c>
      <c r="J1901" s="25" t="str">
        <f>IF(OR(E1901="",E1901="!!!",F1901="NEW"),"",COUNTBLANK(OFFSET(A$1,,,SUMPRODUCT(MAX(ROW(E$2:E1901)*(E1901=E$2:E1901)))))-COUNTBLANK(OFFSET(A$1,,,SUMPRODUCT(MAX(ROW(E$1:E1900)*(E2=E$1:E1900))))))</f>
        <v> </v>
      </c>
      <c r="K1901" s="25" t="str">
        <f>IF(OR(E1901="",E1901="!!!",F1901="NEW"),"",INDEX(J$1:J1900,SUMPRODUCT(MAX(ROW(E$1:E1900)*(E1901=E$1:E1900)))))</f>
        <v> </v>
      </c>
      <c r="L1901" s="26"/>
    </row>
    <row r="1902" spans="1:12">
      <c r="A1902" s="20" t="s">
        <v>492</v>
      </c>
      <c r="E1902" s="21">
        <f>IF(D1902="?OLD","!!!","")</f>
        <v/>
      </c>
      <c r="F1902" s="22" t="str">
        <f>IF(OR(E1902="",E1902="!!!"),"",IF(NOT(ISNA(VLOOKUP(E1902,E$1:E1901,1,FALSE()))),"OLD",IF(AND(E1902&lt;&gt;"",E1902&lt;&gt;"!!!"),"NEW","")))</f>
        <v> </v>
      </c>
      <c r="G1902" s="23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4" t="str">
        <f>IF(J1902&lt;&gt;1,"",IF(I1902="SBJ","CB","?"))</f>
        <v> </v>
      </c>
      <c r="I1902" s="25" t="str">
        <f>IF(OR(E1902="",E1902="!!!",F1902="NEW"),"",INDEX(B1901:B$2,-1+SUMPRODUCT(MAX(ROW(E1901:E$2)*(E1902=E1901:E$2)))))</f>
        <v> </v>
      </c>
      <c r="J1902" s="25" t="str">
        <f>IF(OR(E1902="",E1902="!!!",F1902="NEW"),"",COUNTBLANK(OFFSET(A$1,,,SUMPRODUCT(MAX(ROW(E$2:E1902)*(E1902=E$2:E1902)))))-COUNTBLANK(OFFSET(A$1,,,SUMPRODUCT(MAX(ROW(E$1:E1901)*(E2=E$1:E1901))))))</f>
        <v> </v>
      </c>
      <c r="K1902" s="25" t="str">
        <f>IF(OR(E1902="",E1902="!!!",F1902="NEW"),"",INDEX(J$1:J1901,SUMPRODUCT(MAX(ROW(E$1:E1901)*(E1902=E$1:E1901)))))</f>
        <v> </v>
      </c>
      <c r="L1902" s="26"/>
    </row>
    <row r="1903" spans="1:12">
      <c r="A1903" s="20" t="s">
        <v>1092</v>
      </c>
      <c r="E1903" s="21">
        <f>IF(D1903="?OLD","!!!","")</f>
        <v/>
      </c>
      <c r="F1903" s="22" t="str">
        <f>IF(OR(E1903="",E1903="!!!"),"",IF(NOT(ISNA(VLOOKUP(E1903,E$1:E1902,1,FALSE()))),"OLD",IF(AND(E1903&lt;&gt;"",E1903&lt;&gt;"!!!"),"NEW","")))</f>
        <v> </v>
      </c>
      <c r="G1903" s="23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4" t="str">
        <f>IF(J1903&lt;&gt;1,"",IF(I1903="SBJ","CB","?"))</f>
        <v> </v>
      </c>
      <c r="I1903" s="25" t="str">
        <f>IF(OR(E1903="",E1903="!!!",F1903="NEW"),"",INDEX(B1902:B$2,-1+SUMPRODUCT(MAX(ROW(E1902:E$2)*(E1903=E1902:E$2)))))</f>
        <v> </v>
      </c>
      <c r="J1903" s="25" t="str">
        <f>IF(OR(E1903="",E1903="!!!",F1903="NEW"),"",COUNTBLANK(OFFSET(A$1,,,SUMPRODUCT(MAX(ROW(E$2:E1903)*(E1903=E$2:E1903)))))-COUNTBLANK(OFFSET(A$1,,,SUMPRODUCT(MAX(ROW(E$1:E1902)*(E2=E$1:E1902))))))</f>
        <v> </v>
      </c>
      <c r="K1903" s="25" t="str">
        <f>IF(OR(E1903="",E1903="!!!",F1903="NEW"),"",INDEX(J$1:J1902,SUMPRODUCT(MAX(ROW(E$1:E1902)*(E1903=E$1:E1902)))))</f>
        <v> </v>
      </c>
      <c r="L1903" s="26"/>
    </row>
    <row r="1904" spans="1:12">
      <c r="A1904" s="20" t="s">
        <v>1093</v>
      </c>
      <c r="E1904" s="21">
        <f>IF(D1904="?OLD","!!!","")</f>
        <v/>
      </c>
      <c r="F1904" s="22" t="str">
        <f>IF(OR(E1904="",E1904="!!!"),"",IF(NOT(ISNA(VLOOKUP(E1904,E$1:E1903,1,FALSE()))),"OLD",IF(AND(E1904&lt;&gt;"",E1904&lt;&gt;"!!!"),"NEW","")))</f>
        <v> </v>
      </c>
      <c r="G1904" s="23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4" t="str">
        <f>IF(J1904&lt;&gt;1,"",IF(I1904="SBJ","CB","?"))</f>
        <v> </v>
      </c>
      <c r="I1904" s="25" t="str">
        <f>IF(OR(E1904="",E1904="!!!",F1904="NEW"),"",INDEX(B1903:B$2,-1+SUMPRODUCT(MAX(ROW(E1903:E$2)*(E1904=E1903:E$2)))))</f>
        <v> </v>
      </c>
      <c r="J1904" s="25" t="str">
        <f>IF(OR(E1904="",E1904="!!!",F1904="NEW"),"",COUNTBLANK(OFFSET(A$1,,,SUMPRODUCT(MAX(ROW(E$2:E1904)*(E1904=E$2:E1904)))))-COUNTBLANK(OFFSET(A$1,,,SUMPRODUCT(MAX(ROW(E$1:E1903)*(E2=E$1:E1903))))))</f>
        <v> </v>
      </c>
      <c r="K1904" s="25" t="str">
        <f>IF(OR(E1904="",E1904="!!!",F1904="NEW"),"",INDEX(J$1:J1903,SUMPRODUCT(MAX(ROW(E$1:E1903)*(E1904=E$1:E1903)))))</f>
        <v> </v>
      </c>
      <c r="L1904" s="26"/>
    </row>
    <row r="1905" spans="1:12">
      <c r="A1905" s="20" t="s">
        <v>492</v>
      </c>
      <c r="E1905" s="21">
        <f>IF(D1905="?OLD","!!!","")</f>
        <v/>
      </c>
      <c r="F1905" s="22" t="str">
        <f>IF(OR(E1905="",E1905="!!!"),"",IF(NOT(ISNA(VLOOKUP(E1905,E$1:E1904,1,FALSE()))),"OLD",IF(AND(E1905&lt;&gt;"",E1905&lt;&gt;"!!!"),"NEW","")))</f>
        <v> </v>
      </c>
      <c r="G1905" s="23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4" t="str">
        <f>IF(J1905&lt;&gt;1,"",IF(I1905="SBJ","CB","?"))</f>
        <v> </v>
      </c>
      <c r="I1905" s="25" t="str">
        <f>IF(OR(E1905="",E1905="!!!",F1905="NEW"),"",INDEX(B1904:B$2,-1+SUMPRODUCT(MAX(ROW(E1904:E$2)*(E1905=E1904:E$2)))))</f>
        <v> </v>
      </c>
      <c r="J1905" s="25" t="str">
        <f>IF(OR(E1905="",E1905="!!!",F1905="NEW"),"",COUNTBLANK(OFFSET(A$1,,,SUMPRODUCT(MAX(ROW(E$2:E1905)*(E1905=E$2:E1905)))))-COUNTBLANK(OFFSET(A$1,,,SUMPRODUCT(MAX(ROW(E$1:E1904)*(E2=E$1:E1904))))))</f>
        <v> </v>
      </c>
      <c r="K1905" s="25" t="str">
        <f>IF(OR(E1905="",E1905="!!!",F1905="NEW"),"",INDEX(J$1:J1904,SUMPRODUCT(MAX(ROW(E$1:E1904)*(E1905=E$1:E1904)))))</f>
        <v> </v>
      </c>
      <c r="L1905" s="26"/>
    </row>
    <row r="1906" spans="1:12">
      <c r="A1906" s="20" t="s">
        <v>569</v>
      </c>
      <c r="B1906" s="27" t="s">
        <v>553</v>
      </c>
      <c r="C1906" s="27" t="s">
        <v>491</v>
      </c>
      <c r="D1906" s="27" t="s">
        <v>483</v>
      </c>
      <c r="E1906" s="21">
        <f>IF(D1906="?OLD","!!!","")</f>
        <v/>
      </c>
      <c r="F1906" s="22" t="str">
        <f>IF(OR(E1906="",E1906="!!!"),"",IF(NOT(ISNA(VLOOKUP(E1906,E$1:E1905,1,FALSE()))),"OLD",IF(AND(E1906&lt;&gt;"",E1906&lt;&gt;"!!!"),"NEW","")))</f>
        <v> </v>
      </c>
      <c r="G1906" s="23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4" t="str">
        <f>IF(J1906&lt;&gt;1,"",IF(I1906="SBJ","CB","?"))</f>
        <v> </v>
      </c>
      <c r="I1906" s="25" t="str">
        <f>IF(OR(E1906="",E1906="!!!",F1906="NEW"),"",INDEX(B1905:B$2,-1+SUMPRODUCT(MAX(ROW(E1905:E$2)*(E1906=E1905:E$2)))))</f>
        <v> </v>
      </c>
      <c r="J1906" s="25" t="str">
        <f>IF(OR(E1906="",E1906="!!!",F1906="NEW"),"",COUNTBLANK(OFFSET(A$1,,,SUMPRODUCT(MAX(ROW(E$2:E1906)*(E1906=E$2:E1906)))))-COUNTBLANK(OFFSET(A$1,,,SUMPRODUCT(MAX(ROW(E$1:E1905)*(E2=E$1:E1905))))))</f>
        <v> </v>
      </c>
      <c r="K1906" s="25" t="str">
        <f>IF(OR(E1906="",E1906="!!!",F1906="NEW"),"",INDEX(J$1:J1905,SUMPRODUCT(MAX(ROW(E$1:E1905)*(E1906=E$1:E1905)))))</f>
        <v> </v>
      </c>
      <c r="L1906" s="26"/>
    </row>
    <row r="1907" spans="1:12">
      <c r="A1907" s="20" t="s">
        <v>1094</v>
      </c>
      <c r="E1907" s="21">
        <f>IF(D1907="?OLD","!!!","")</f>
        <v/>
      </c>
      <c r="F1907" s="22" t="str">
        <f>IF(OR(E1907="",E1907="!!!"),"",IF(NOT(ISNA(VLOOKUP(E1907,E$1:E1906,1,FALSE()))),"OLD",IF(AND(E1907&lt;&gt;"",E1907&lt;&gt;"!!!"),"NEW","")))</f>
        <v> </v>
      </c>
      <c r="G1907" s="23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4" t="str">
        <f>IF(J1907&lt;&gt;1,"",IF(I1907="SBJ","CB","?"))</f>
        <v> </v>
      </c>
      <c r="I1907" s="25" t="str">
        <f>IF(OR(E1907="",E1907="!!!",F1907="NEW"),"",INDEX(B1906:B$2,-1+SUMPRODUCT(MAX(ROW(E1906:E$2)*(E1907=E1906:E$2)))))</f>
        <v> </v>
      </c>
      <c r="J1907" s="25" t="str">
        <f>IF(OR(E1907="",E1907="!!!",F1907="NEW"),"",COUNTBLANK(OFFSET(A$1,,,SUMPRODUCT(MAX(ROW(E$2:E1907)*(E1907=E$2:E1907)))))-COUNTBLANK(OFFSET(A$1,,,SUMPRODUCT(MAX(ROW(E$1:E1906)*(E2=E$1:E1906))))))</f>
        <v> </v>
      </c>
      <c r="K1907" s="25" t="str">
        <f>IF(OR(E1907="",E1907="!!!",F1907="NEW"),"",INDEX(J$1:J1906,SUMPRODUCT(MAX(ROW(E$1:E1906)*(E1907=E$1:E1906)))))</f>
        <v> </v>
      </c>
      <c r="L1907" s="26"/>
    </row>
    <row r="1908" spans="1:12">
      <c r="A1908" s="20" t="s">
        <v>531</v>
      </c>
      <c r="E1908" s="21">
        <f>IF(D1908="?OLD","!!!","")</f>
        <v/>
      </c>
      <c r="F1908" s="22" t="str">
        <f>IF(OR(E1908="",E1908="!!!"),"",IF(NOT(ISNA(VLOOKUP(E1908,E$1:E1907,1,FALSE()))),"OLD",IF(AND(E1908&lt;&gt;"",E1908&lt;&gt;"!!!"),"NEW","")))</f>
        <v> </v>
      </c>
      <c r="G1908" s="23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4" t="str">
        <f>IF(J1908&lt;&gt;1,"",IF(I1908="SBJ","CB","?"))</f>
        <v> </v>
      </c>
      <c r="I1908" s="25" t="str">
        <f>IF(OR(E1908="",E1908="!!!",F1908="NEW"),"",INDEX(B1907:B$2,-1+SUMPRODUCT(MAX(ROW(E1907:E$2)*(E1908=E1907:E$2)))))</f>
        <v> </v>
      </c>
      <c r="J1908" s="25" t="str">
        <f>IF(OR(E1908="",E1908="!!!",F1908="NEW"),"",COUNTBLANK(OFFSET(A$1,,,SUMPRODUCT(MAX(ROW(E$2:E1908)*(E1908=E$2:E1908)))))-COUNTBLANK(OFFSET(A$1,,,SUMPRODUCT(MAX(ROW(E$1:E1907)*(E2=E$1:E1907))))))</f>
        <v> </v>
      </c>
      <c r="K1908" s="25" t="str">
        <f>IF(OR(E1908="",E1908="!!!",F1908="NEW"),"",INDEX(J$1:J1907,SUMPRODUCT(MAX(ROW(E$1:E1907)*(E1908=E$1:E1907)))))</f>
        <v> </v>
      </c>
      <c r="L1908" s="26"/>
    </row>
    <row r="1909" spans="1:12">
      <c r="A1909" s="20"/>
    </row>
    <row r="1910" spans="1:12">
      <c r="A1910" s="20" t="s">
        <v>1095</v>
      </c>
    </row>
    <row r="1911" spans="1:12">
      <c r="A1911" s="20" t="s">
        <v>1096</v>
      </c>
      <c r="E1911" s="21">
        <f>IF(D1911="?OLD","!!!","")</f>
        <v/>
      </c>
      <c r="F1911" s="22" t="str">
        <f>IF(OR(E1911="",E1911="!!!"),"",IF(NOT(ISNA(VLOOKUP(E1911,E$1:E1910,1,FALSE()))),"OLD",IF(AND(E1911&lt;&gt;"",E1911&lt;&gt;"!!!"),"NEW","")))</f>
        <v> </v>
      </c>
      <c r="G1911" s="23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4" t="str">
        <f>IF(J1911&lt;&gt;1,"",IF(I1911="SBJ","CB","?"))</f>
        <v> </v>
      </c>
      <c r="I1911" s="25" t="str">
        <f>IF(OR(E1911="",E1911="!!!",F1911="NEW"),"",INDEX(B1910:B$2,-1+SUMPRODUCT(MAX(ROW(E1910:E$2)*(E1911=E1910:E$2)))))</f>
        <v> </v>
      </c>
      <c r="J1911" s="25" t="str">
        <f>IF(OR(E1911="",E1911="!!!",F1911="NEW"),"",COUNTBLANK(OFFSET(A$1,,,SUMPRODUCT(MAX(ROW(E$2:E1911)*(E1911=E$2:E1911)))))-COUNTBLANK(OFFSET(A$1,,,SUMPRODUCT(MAX(ROW(E$1:E1910)*(E2=E$1:E1910))))))</f>
        <v> </v>
      </c>
      <c r="K1911" s="25" t="str">
        <f>IF(OR(E1911="",E1911="!!!",F1911="NEW"),"",INDEX(J$1:J1910,SUMPRODUCT(MAX(ROW(E$1:E1910)*(E1911=E$1:E1910)))))</f>
        <v> </v>
      </c>
      <c r="L1911" s="26"/>
    </row>
    <row r="1912" spans="1:12">
      <c r="A1912" s="20" t="s">
        <v>459</v>
      </c>
      <c r="E1912" s="21">
        <f>IF(D1912="?OLD","!!!","")</f>
        <v/>
      </c>
      <c r="F1912" s="22" t="str">
        <f>IF(OR(E1912="",E1912="!!!"),"",IF(NOT(ISNA(VLOOKUP(E1912,E$1:E1911,1,FALSE()))),"OLD",IF(AND(E1912&lt;&gt;"",E1912&lt;&gt;"!!!"),"NEW","")))</f>
        <v> </v>
      </c>
      <c r="G1912" s="23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4" t="str">
        <f>IF(J1912&lt;&gt;1,"",IF(I1912="SBJ","CB","?"))</f>
        <v> </v>
      </c>
      <c r="I1912" s="25" t="str">
        <f>IF(OR(E1912="",E1912="!!!",F1912="NEW"),"",INDEX(B1911:B$2,-1+SUMPRODUCT(MAX(ROW(E1911:E$2)*(E1912=E1911:E$2)))))</f>
        <v> </v>
      </c>
      <c r="J1912" s="25" t="str">
        <f>IF(OR(E1912="",E1912="!!!",F1912="NEW"),"",COUNTBLANK(OFFSET(A$1,,,SUMPRODUCT(MAX(ROW(E$2:E1912)*(E1912=E$2:E1912)))))-COUNTBLANK(OFFSET(A$1,,,SUMPRODUCT(MAX(ROW(E$1:E1911)*(E2=E$1:E1911))))))</f>
        <v> </v>
      </c>
      <c r="K1912" s="25" t="str">
        <f>IF(OR(E1912="",E1912="!!!",F1912="NEW"),"",INDEX(J$1:J1911,SUMPRODUCT(MAX(ROW(E$1:E1911)*(E1912=E$1:E1911)))))</f>
        <v> </v>
      </c>
      <c r="L1912" s="26"/>
    </row>
    <row r="1913" spans="1:12">
      <c r="A1913" s="20" t="s">
        <v>531</v>
      </c>
      <c r="E1913" s="21">
        <f>IF(D1913="?OLD","!!!","")</f>
        <v/>
      </c>
      <c r="F1913" s="22" t="str">
        <f>IF(OR(E1913="",E1913="!!!"),"",IF(NOT(ISNA(VLOOKUP(E1913,E$1:E1912,1,FALSE()))),"OLD",IF(AND(E1913&lt;&gt;"",E1913&lt;&gt;"!!!"),"NEW","")))</f>
        <v> </v>
      </c>
      <c r="G1913" s="23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4" t="str">
        <f>IF(J1913&lt;&gt;1,"",IF(I1913="SBJ","CB","?"))</f>
        <v> </v>
      </c>
      <c r="I1913" s="25" t="str">
        <f>IF(OR(E1913="",E1913="!!!",F1913="NEW"),"",INDEX(B1912:B$2,-1+SUMPRODUCT(MAX(ROW(E1912:E$2)*(E1913=E1912:E$2)))))</f>
        <v> </v>
      </c>
      <c r="J1913" s="25" t="str">
        <f>IF(OR(E1913="",E1913="!!!",F1913="NEW"),"",COUNTBLANK(OFFSET(A$1,,,SUMPRODUCT(MAX(ROW(E$2:E1913)*(E1913=E$2:E1913)))))-COUNTBLANK(OFFSET(A$1,,,SUMPRODUCT(MAX(ROW(E$1:E1912)*(E2=E$1:E1912))))))</f>
        <v> </v>
      </c>
      <c r="K1913" s="25" t="str">
        <f>IF(OR(E1913="",E1913="!!!",F1913="NEW"),"",INDEX(J$1:J1912,SUMPRODUCT(MAX(ROW(E$1:E1912)*(E1913=E$1:E1912)))))</f>
        <v> </v>
      </c>
      <c r="L1913" s="26"/>
    </row>
    <row r="1914" spans="1:12">
      <c r="A1914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2025-07-10T18:08:23Z</dcterms:created>
  <dcterms:modified xsi:type="dcterms:W3CDTF">2025-07-10T18:08:23Z</dcterms:modified>
</cp:coreProperties>
</file>