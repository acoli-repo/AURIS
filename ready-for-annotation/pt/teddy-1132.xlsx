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<sst xmlns="http://schemas.openxmlformats.org/spreadsheetml/2006/main" count="3816" uniqueCount="1097">
  <si>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</si>
  <si>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</si>
  <si>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</si>
  <si>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</si>
  <si>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</si>
  <si>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</si>
  <si>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</si>
  <si>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</si>
  <si>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</si>
  <si>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</si>
  <si>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</si>
  <si>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4</t>
  </si>
  <si>
    <t>_</t>
  </si>
  <si>
    <t>interessar</t>
  </si>
  <si>
    <t>Durante algum tempo interessei-me interessei me pelo por o efeito placebo , o que pode parecer uma coisa estranha para interessar um mágico , a menos que a vejam nos em os termos que eu vejo , ou seja , uma coisa falsa em que alguém acredita o suficiente ao a o ponto de se tornar real .</t>
  </si>
  <si>
    <t>file://conllu/pt/teddy-1132.conllu#s1_0</t>
  </si>
  <si>
    <t>2</t>
  </si>
  <si>
    <t>34</t>
  </si>
  <si>
    <t>ser (ser tratamento)</t>
  </si>
  <si>
    <t>Por outras palavras , os comprimidos de açúcar têm um efeito mensurável em certo tipo de estudos — o efeito placebo — apenas porque a pessoa pensa que o lhe está a acontecer é um tratamento farmacêutico ou algum tipo de ... para o alívio da de a dor , por exemplo .</t>
  </si>
  <si>
    <t>file://conllu/pt/teddy-1132.conllu#s2_0</t>
  </si>
  <si>
    <t>3</t>
  </si>
  <si>
    <t>7</t>
  </si>
  <si>
    <t>haver</t>
  </si>
  <si>
    <t>Se acreditarem mesmo nisso em isso , há um efeito mensurável chamado efeito placebo .</t>
  </si>
  <si>
    <t>file://conllu/pt/teddy-1132.conllu#s3_0</t>
  </si>
  <si>
    <t>tornar</t>
  </si>
  <si>
    <t>Uma coisa falsa torna-se torna se numa em uma coisa real .</t>
  </si>
  <si>
    <t>file://conllu/pt/teddy-1132.conllu#s4_0</t>
  </si>
  <si>
    <t>5</t>
  </si>
  <si>
    <t>devido</t>
  </si>
  <si>
    <t>devido à a a perceção que se tem disso de isso .</t>
  </si>
  <si>
    <t>file://conllu/pt/teddy-1132.conllu#s5_0</t>
  </si>
  <si>
    <t>6</t>
  </si>
  <si>
    <t>querer</t>
  </si>
  <si>
    <t>Para nos em os entendermos melhor quero começar por mostrar-vos mostrar vos um truque de magia elementar .</t>
  </si>
  <si>
    <t>file://conllu/pt/teddy-1132.conllu#s6_0</t>
  </si>
  <si>
    <t>simples</t>
  </si>
  <si>
    <t>muito simples .</t>
  </si>
  <si>
    <t>file://conllu/pt/teddy-1132.conllu#s7_0</t>
  </si>
  <si>
    <t>8</t>
  </si>
  <si>
    <t>mostrar</t>
  </si>
  <si>
    <t>e vou mostrar-vos mostrar vos como é que funciona .</t>
  </si>
  <si>
    <t>file://conllu/pt/teddy-1132.conllu#s8_0</t>
  </si>
  <si>
    <t>9</t>
  </si>
  <si>
    <t>aparecer</t>
  </si>
  <si>
    <t>Este truque aparece em todos os livros de magia ara crianças , pelo por o menos desde os anos 50 .</t>
  </si>
  <si>
    <t>file://conllu/pt/teddy-1132.conllu#s9_0</t>
  </si>
  <si>
    <t>10</t>
  </si>
  <si>
    <t>aprender</t>
  </si>
  <si>
    <t>Eu aprendi-o aprendi o no em o &amp;quot; Cub Scout Magic &amp;quot; nos em os anos 70 .</t>
  </si>
  <si>
    <t>file://conllu/pt/teddy-1132.conllu#s10_0</t>
  </si>
  <si>
    <t>11</t>
  </si>
  <si>
    <t>ir</t>
  </si>
  <si>
    <t>Vou fazê-lo fazê lo agora , depois vou explicá-lo explicá lo , e a seguir vou explicar porque é que expliquei .</t>
  </si>
  <si>
    <t>file://conllu/pt/teddy-1132.conllu#s11_0</t>
  </si>
  <si>
    <t>12</t>
  </si>
  <si>
    <t>ser</t>
  </si>
  <si>
    <t>Então , é assim .</t>
  </si>
  <si>
    <t>file://conllu/pt/teddy-1132.conllu#s12_0</t>
  </si>
  <si>
    <t>13</t>
  </si>
  <si>
    <t>faca</t>
  </si>
  <si>
    <t>Uma faca , que podem verificar .</t>
  </si>
  <si>
    <t>file://conllu/pt/teddy-1132.conllu#s13_0</t>
  </si>
  <si>
    <t>14</t>
  </si>
  <si>
    <t>mão</t>
  </si>
  <si>
    <t>A minha mão , que podem verificar .</t>
  </si>
  <si>
    <t>file://conllu/pt/teddy-1132.conllu#s14_0</t>
  </si>
  <si>
    <t>15</t>
  </si>
  <si>
    <t>Vou só segurar a faca assim na em a minha mão .</t>
  </si>
  <si>
    <t>file://conllu/pt/teddy-1132.conllu#s15_0</t>
  </si>
  <si>
    <t>16</t>
  </si>
  <si>
    <t>ver</t>
  </si>
  <si>
    <t>Vou puxar a manga para cima .</t>
  </si>
  <si>
    <t>file://conllu/pt/teddy-1132.conllu#s16_0</t>
  </si>
  <si>
    <t>17</t>
  </si>
  <si>
    <t>apertar</t>
  </si>
  <si>
    <t>Para assegurar que nada sobe nem desce pela por a manga vou apertar o pulso aqui .</t>
  </si>
  <si>
    <t>file://conllu/pt/teddy-1132.conllu#s17_0</t>
  </si>
  <si>
    <t>19</t>
  </si>
  <si>
    <t>estiver</t>
  </si>
  <si>
    <t>Enquanto eu estiver a apertar aqui nada pode subir ou descer pela por a minha manga .</t>
  </si>
  <si>
    <t>file://conllu/pt/teddy-1132.conllu#s19_0</t>
  </si>
  <si>
    <t>20</t>
  </si>
  <si>
    <t>ser (ser simples)</t>
  </si>
  <si>
    <t>objetivo disto de isto é muito simples .</t>
  </si>
  <si>
    <t>file://conllu/pt/teddy-1132.conllu#s20_0</t>
  </si>
  <si>
    <t>21</t>
  </si>
  <si>
    <t>segurar (segurar abrir ver)</t>
  </si>
  <si>
    <t>Vou abrir a mão , e , espero , se tudo correr bem , o meu puro magnetismo animal vai segurar a faca .</t>
  </si>
  <si>
    <t>file://conllu/pt/teddy-1132.conllu#s21_0</t>
  </si>
  <si>
    <t>22</t>
  </si>
  <si>
    <t>estar (estar seguro)</t>
  </si>
  <si>
    <t>De facto , está tão bem segura que posso sacudi-la sacudi la , e a faca não sai .</t>
  </si>
  <si>
    <t>file://conllu/pt/teddy-1132.conllu#s22_0</t>
  </si>
  <si>
    <t>23</t>
  </si>
  <si>
    <t>subir</t>
  </si>
  <si>
    <t>Nada sobe ou desce pela por a minha manga , nada de truques .</t>
  </si>
  <si>
    <t>file://conllu/pt/teddy-1132.conllu#s23_0</t>
  </si>
  <si>
    <t>24</t>
  </si>
  <si>
    <t>poder</t>
  </si>
  <si>
    <t>E podem verificar tudo .</t>
  </si>
  <si>
    <t>file://conllu/pt/teddy-1132.conllu#s24_0</t>
  </si>
  <si>
    <t>25</t>
  </si>
  <si>
    <t>Tchar</t>
  </si>
  <si>
    <t>Tcharam ! ( Aplausos )</t>
  </si>
  <si>
    <t>file://conllu/pt/teddy-1132.conllu#s25_0</t>
  </si>
  <si>
    <t>26</t>
  </si>
  <si>
    <t>ser (ser truque)</t>
  </si>
  <si>
    <t>Este é um truque que costumo ensinar a crianças pequenas que estão interessadas em magia , porque é possível aprender bastante sobre ilusão ao a o estudar um truque , mesmo que seja muito simples .</t>
  </si>
  <si>
    <t>file://conllu/pt/teddy-1132.conllu#s26_0</t>
  </si>
  <si>
    <t>27</t>
  </si>
  <si>
    <t>conhecer</t>
  </si>
  <si>
    <t>Provavelmente muita gente aqui conhece este truque .</t>
  </si>
  <si>
    <t>file://conllu/pt/teddy-1132.conllu#s27_0</t>
  </si>
  <si>
    <t>28</t>
  </si>
  <si>
    <t>ser (ser isto)</t>
  </si>
  <si>
    <t>que acontece é isto .</t>
  </si>
  <si>
    <t>file://conllu/pt/teddy-1132.conllu#s28_0</t>
  </si>
  <si>
    <t>29</t>
  </si>
  <si>
    <t>segurar</t>
  </si>
  <si>
    <t>Eu seguro a faca na em a minha mão .</t>
  </si>
  <si>
    <t>file://conllu/pt/teddy-1132.conllu#s29_0</t>
  </si>
  <si>
    <t>30</t>
  </si>
  <si>
    <t>dizer</t>
  </si>
  <si>
    <t>Digo que vou agarrar o meu pulso para vos assegurar que nada sobe nem desce pela por a manga , o que é uma mentira .</t>
  </si>
  <si>
    <t>file://conllu/pt/teddy-1132.conllu#s30_0</t>
  </si>
  <si>
    <t>31</t>
  </si>
  <si>
    <t>estar</t>
  </si>
  <si>
    <t>Eu estou a agarrar no em o pulso porque , na em a verdade , é esse o segredo da de a ilusão .</t>
  </si>
  <si>
    <t>file://conllu/pt/teddy-1132.conllu#s31_0</t>
  </si>
  <si>
    <t>32</t>
  </si>
  <si>
    <t>deixar</t>
  </si>
  <si>
    <t>Quando a minha mão deixa de estar voltada para vocês e fica virada para trás , este dedo aqui , o meu dedo indicador muda do de o sítio onde está , para uma posição a apontar para fora assim .</t>
  </si>
  <si>
    <t>file://conllu/pt/teddy-1132.conllu#s32_0</t>
  </si>
  <si>
    <t>33</t>
  </si>
  <si>
    <t>ser (ser bom)</t>
  </si>
  <si>
    <t>Essa é boa .</t>
  </si>
  <si>
    <t>file://conllu/pt/teddy-1132.conllu#s33_0</t>
  </si>
  <si>
    <t>Há por aí alguém que não teve infância .</t>
  </si>
  <si>
    <t>file://conllu/pt/teddy-1132.conllu#s34_0</t>
  </si>
  <si>
    <t>35</t>
  </si>
  <si>
    <t>riso</t>
  </si>
  <si>
    <t>( Risos )</t>
  </si>
  <si>
    <t>file://conllu/pt/teddy-1132.conllu#s35_0</t>
  </si>
  <si>
    <t>36</t>
  </si>
  <si>
    <t>Então , é assim que acontece , daqui de aqui , certo ?</t>
  </si>
  <si>
    <t>file://conllu/pt/teddy-1132.conllu#s36_0</t>
  </si>
  <si>
    <t>37</t>
  </si>
  <si>
    <t>mover</t>
  </si>
  <si>
    <t>E quando eu me viro , o meu dedo move-se move se .</t>
  </si>
  <si>
    <t>file://conllu/pt/teddy-1132.conllu#s37_0</t>
  </si>
  <si>
    <t>38</t>
  </si>
  <si>
    <t>ser (ser enganador)</t>
  </si>
  <si>
    <t>Por que razão isto é enganador ?</t>
  </si>
  <si>
    <t>file://conllu/pt/teddy-1132.conllu#s38_0</t>
  </si>
  <si>
    <t>39</t>
  </si>
  <si>
    <t>Porque é que?</t>
  </si>
  <si>
    <t>reparar</t>
  </si>
  <si>
    <t>Porque é que não reparam que só há três dedos aqui em baixo ?</t>
  </si>
  <si>
    <t>file://conllu/pt/teddy-1132.conllu#s39_0</t>
  </si>
  <si>
    <t>40</t>
  </si>
  <si>
    <t>agrupo</t>
  </si>
  <si>
    <t>Porque a mente , e a maneira como esta processa a informação , não conta , um , dois , três — a mente agrupa-os agrupa os .</t>
  </si>
  <si>
    <t>file://conllu/pt/teddy-1132.conllu#s40_0</t>
  </si>
  <si>
    <t>41</t>
  </si>
  <si>
    <t>ser (ser isso)</t>
  </si>
  <si>
    <t>Mas não é isso que interessa .</t>
  </si>
  <si>
    <t>file://conllu/pt/teddy-1132.conllu#s41_0</t>
  </si>
  <si>
    <t>42</t>
  </si>
  <si>
    <t>abrar</t>
  </si>
  <si>
    <t>Depois abro a mão .</t>
  </si>
  <si>
    <t>file://conllu/pt/teddy-1132.conllu#s42_0</t>
  </si>
  <si>
    <t>43</t>
  </si>
  <si>
    <t>Obviamente que a faca está segura , não por magnetismo animal , mas através de uma manha , o meu dedo indicador está aqui .</t>
  </si>
  <si>
    <t>file://conllu/pt/teddy-1132.conllu#s43_0</t>
  </si>
  <si>
    <t>44</t>
  </si>
  <si>
    <t>fechar</t>
  </si>
  <si>
    <t>E quando fecho o meu dedo , a mesma coisa .</t>
  </si>
  <si>
    <t>file://conllu/pt/teddy-1132.conllu#s44_0</t>
  </si>
  <si>
    <t>45</t>
  </si>
  <si>
    <t>encobre</t>
  </si>
  <si>
    <t>Quanto me viro outra vez , este movimento encobre o meu dedo a encolher-se encolher se .</t>
  </si>
  <si>
    <t>file://conllu/pt/teddy-1132.conllu#s45_0</t>
  </si>
  <si>
    <t>46</t>
  </si>
  <si>
    <t>tirar</t>
  </si>
  <si>
    <t>Tiro esta mão .</t>
  </si>
  <si>
    <t>file://conllu/pt/teddy-1132.conllu#s46_0</t>
  </si>
  <si>
    <t>47</t>
  </si>
  <si>
    <t>Mostro</t>
  </si>
  <si>
    <t>Mostro a faca .</t>
  </si>
  <si>
    <t>file://conllu/pt/teddy-1132.conllu#s47_0</t>
  </si>
  <si>
    <t>48</t>
  </si>
  <si>
    <t>Este é um truque que podem fazer para os vossos amigos e vizinhos .</t>
  </si>
  <si>
    <t>file://conllu/pt/teddy-1132.conllu#s48_0</t>
  </si>
  <si>
    <t>49</t>
  </si>
  <si>
    <t>obrigar</t>
  </si>
  <si>
    <t>Obrigado .</t>
  </si>
  <si>
    <t>file://conllu/pt/teddy-1132.conllu#s49_0</t>
  </si>
  <si>
    <t>50</t>
  </si>
  <si>
    <t>ter</t>
  </si>
  <si>
    <t>que é que isto tem a ver com o efeito placebo ?</t>
  </si>
  <si>
    <t>file://conllu/pt/teddy-1132.conllu#s50_0</t>
  </si>
  <si>
    <t>51</t>
  </si>
  <si>
    <t>ler</t>
  </si>
  <si>
    <t>Li um estudo , há mais ou menos um ano , que me abriu os horizontes .</t>
  </si>
  <si>
    <t>file://conllu/pt/teddy-1132.conllu#s51_0</t>
  </si>
  <si>
    <t>52</t>
  </si>
  <si>
    <t>ser (ser médico)</t>
  </si>
  <si>
    <t>Não sou médico nem investigador , por isso , para mim , foi uma coisa surpreendente .</t>
  </si>
  <si>
    <t>file://conllu/pt/teddy-1132.conllu#s52_0</t>
  </si>
  <si>
    <t>53</t>
  </si>
  <si>
    <t>acontecer</t>
  </si>
  <si>
    <t>Acontece que , se se administrar um placebo na em a forma de um comprimido branco , parecido com uma aspirina , apenas um comprimido branco redondo , tem um certo efeito mensurável .</t>
  </si>
  <si>
    <t>file://conllu/pt/teddy-1132.conllu#s53_0</t>
  </si>
  <si>
    <t>54</t>
  </si>
  <si>
    <t>Mas , se mudarmos a forma que damos ao a o placebo , por exemplo , se usarmos um comprimido mais pequeno , de cor azul , com uma letra estampada em cima , é incomensuravelmente mais eficaz .</t>
  </si>
  <si>
    <t>file://conllu/pt/teddy-1132.conllu#s54_0</t>
  </si>
  <si>
    <t>56</t>
  </si>
  <si>
    <t>comprimir</t>
  </si>
  <si>
    <t>São comprimidos de açúcar .</t>
  </si>
  <si>
    <t>file://conllu/pt/teddy-1132.conllu#s56_0</t>
  </si>
  <si>
    <t>57</t>
  </si>
  <si>
    <t>Mas um comprimido branco não é tão bom como um comprimido azul .</t>
  </si>
  <si>
    <t>file://conllu/pt/teddy-1132.conllu#s57_0</t>
  </si>
  <si>
    <t>58</t>
  </si>
  <si>
    <t>quê</t>
  </si>
  <si>
    <t>quê ?</t>
  </si>
  <si>
    <t>file://conllu/pt/teddy-1132.conllu#s58_0</t>
  </si>
  <si>
    <t>59</t>
  </si>
  <si>
    <t>ficar</t>
  </si>
  <si>
    <t>Fiquei completamente admirado .</t>
  </si>
  <si>
    <t>file://conllu/pt/teddy-1132.conllu#s59_0</t>
  </si>
  <si>
    <t>60</t>
  </si>
  <si>
    <t>acabar</t>
  </si>
  <si>
    <t>Mas a coisa não acaba aqui .</t>
  </si>
  <si>
    <t>file://conllu/pt/teddy-1132.conllu#s60_0</t>
  </si>
  <si>
    <t>61</t>
  </si>
  <si>
    <t>ser (ser eficaz)</t>
  </si>
  <si>
    <t>Se forem cápsulas , são mais eficazes que comprimidos de qualquer formato .</t>
  </si>
  <si>
    <t>file://conllu/pt/teddy-1132.conllu#s61_0</t>
  </si>
  <si>
    <t>62</t>
  </si>
  <si>
    <t>ser (ser melhor)</t>
  </si>
  <si>
    <t>Uma cápsula colorida , amarela numa em uma ponta e vermelha na em a outra é melhor do de o que uma cápsula branca .</t>
  </si>
  <si>
    <t>file://conllu/pt/teddy-1132.conllu#s62_0</t>
  </si>
  <si>
    <t>63</t>
  </si>
  <si>
    <t>estar (estar relacionado)</t>
  </si>
  <si>
    <t>A dosagem está relacionada com isto .</t>
  </si>
  <si>
    <t>file://conllu/pt/teddy-1132.conllu#s63_0</t>
  </si>
  <si>
    <t>64</t>
  </si>
  <si>
    <t>Um comprimido , duas vezes ao a o dia não é tão bom quanto três comprimidos ...</t>
  </si>
  <si>
    <t>file://conllu/pt/teddy-1132.conllu#s64_0</t>
  </si>
  <si>
    <t>65</t>
  </si>
  <si>
    <t>Desculpem</t>
  </si>
  <si>
    <t>Desculpem , mas agora , não me lembro das de as estatísticas .</t>
  </si>
  <si>
    <t>file://conllu/pt/teddy-1132.conllu#s65_0</t>
  </si>
  <si>
    <t>66</t>
  </si>
  <si>
    <t>A questão é que as dosagens estão relacionadas com isso .</t>
  </si>
  <si>
    <t>file://conllu/pt/teddy-1132.conllu#s66_0</t>
  </si>
  <si>
    <t>67</t>
  </si>
  <si>
    <t>formato</t>
  </si>
  <si>
    <t>E o formato também .</t>
  </si>
  <si>
    <t>file://conllu/pt/teddy-1132.conllu#s67_0</t>
  </si>
  <si>
    <t>68</t>
  </si>
  <si>
    <t>Se quisermos o máximo do de o efeito placebo temos de pegar na em a agulha .</t>
  </si>
  <si>
    <t>file://conllu/pt/teddy-1132.conllu#s68_0</t>
  </si>
  <si>
    <t>69</t>
  </si>
  <si>
    <t>seringa</t>
  </si>
  <si>
    <t>Uma seringa com algum inerte ... uns centímetros cúbicos de algum inerte ... e injetamos isso num em um doente ...</t>
  </si>
  <si>
    <t>file://conllu/pt/teddy-1132.conllu#s69_0</t>
  </si>
  <si>
    <t>70</t>
  </si>
  <si>
    <t>ser (ser imagem)</t>
  </si>
  <si>
    <t>Isso é uma imagem muito poderosa no em o espírito deles de eles , É muito mais forte do de o que um comprimido branco .</t>
  </si>
  <si>
    <t>file://conllu/pt/teddy-1132.conllu#s70_0</t>
  </si>
  <si>
    <t>71</t>
  </si>
  <si>
    <t>gráfico</t>
  </si>
  <si>
    <t>Este gráfico ... bem , mostro-vos mostro vos noutra em outra altura , quando tivermos slides .</t>
  </si>
  <si>
    <t>file://conllu/pt/teddy-1132.conllu#s71_0</t>
  </si>
  <si>
    <t>72</t>
  </si>
  <si>
    <t>A questão é : o comprimido branco não é tão bom como o comprimido azul que não é tão bom como a cápsula , que não é tão boa como a agulha .</t>
  </si>
  <si>
    <t>file://conllu/pt/teddy-1132.conllu#s72_0</t>
  </si>
  <si>
    <t>73</t>
  </si>
  <si>
    <t>Mas nenhum deles de eles tem qualquer qualidade farmacêutica .</t>
  </si>
  <si>
    <t>file://conllu/pt/teddy-1132.conllu#s73_0</t>
  </si>
  <si>
    <t>74</t>
  </si>
  <si>
    <t>ser (ser crença)</t>
  </si>
  <si>
    <t>É apenas a nossa crença que o torna real no em o nosso corpo e tem um efeito mais forte .</t>
  </si>
  <si>
    <t>file://conllu/pt/teddy-1132.conllu#s74_0</t>
  </si>
  <si>
    <t>75</t>
  </si>
  <si>
    <t>ver (ver querer)</t>
  </si>
  <si>
    <t>Eu quis ver se podia pegar nesta em esta ideia e aplicá-la aplicá la num em um truque de magia .</t>
  </si>
  <si>
    <t>file://conllu/pt/teddy-1132.conllu#s75_0</t>
  </si>
  <si>
    <t>76</t>
  </si>
  <si>
    <t>Agarrar</t>
  </si>
  <si>
    <t>Agarrar numa em uma coisa que é obviamente é um truque falso e fazê-la fazê la parecer real .</t>
  </si>
  <si>
    <t>file://conllu/pt/teddy-1132.conllu#s76_0</t>
  </si>
  <si>
    <t>77</t>
  </si>
  <si>
    <t>saber</t>
  </si>
  <si>
    <t>Sabemos , a partir desse de esse estudo , que , quando queremos realidade , pegamos na em a agulha .</t>
  </si>
  <si>
    <t>file://conllu/pt/teddy-1132.conllu#s77_0</t>
  </si>
  <si>
    <t>78</t>
  </si>
  <si>
    <t>ser (ser alfinete)</t>
  </si>
  <si>
    <t>Isto é um alfinete de 17 centímetros .</t>
  </si>
  <si>
    <t>file://conllu/pt/teddy-1132.conllu#s78_0</t>
  </si>
  <si>
    <t>79</t>
  </si>
  <si>
    <t>ser (ser aguçado)</t>
  </si>
  <si>
    <t>É muito aguçado .</t>
  </si>
  <si>
    <t>file://conllu/pt/teddy-1132.conllu#s79_0</t>
  </si>
  <si>
    <t>80</t>
  </si>
  <si>
    <t>Vou esterilizá-lo esterilizá lo um bocadinho .</t>
  </si>
  <si>
    <t>file://conllu/pt/teddy-1132.conllu#s80_0</t>
  </si>
  <si>
    <t>81</t>
  </si>
  <si>
    <t>Isto é mesmo a minha carne .</t>
  </si>
  <si>
    <t>file://conllu/pt/teddy-1132.conllu#s81_0</t>
  </si>
  <si>
    <t>82</t>
  </si>
  <si>
    <t>ser (ser carne)</t>
  </si>
  <si>
    <t>Não é a carne especial do de o Damian .</t>
  </si>
  <si>
    <t>file://conllu/pt/teddy-1132.conllu#s82_0</t>
  </si>
  <si>
    <t>83</t>
  </si>
  <si>
    <t>Isto é a minha pele .</t>
  </si>
  <si>
    <t>file://conllu/pt/teddy-1132.conllu#s83_0</t>
  </si>
  <si>
    <t>84</t>
  </si>
  <si>
    <t>ser (ser efeito)</t>
  </si>
  <si>
    <t>Não é um efeito especial de Hollywood .</t>
  </si>
  <si>
    <t>file://conllu/pt/teddy-1132.conllu#s84_0</t>
  </si>
  <si>
    <t>85</t>
  </si>
  <si>
    <t>Vou furar a minha pele e espetar esta agulha até ao a o outro lado .</t>
  </si>
  <si>
    <t>file://conllu/pt/teddy-1132.conllu#s85_0</t>
  </si>
  <si>
    <t>86</t>
  </si>
  <si>
    <t>ser (ser sensível)</t>
  </si>
  <si>
    <t>Se forem sensíveis ou desmaiarem facilmente ...</t>
  </si>
  <si>
    <t>file://conllu/pt/teddy-1132.conllu#s86_0</t>
  </si>
  <si>
    <t>87</t>
  </si>
  <si>
    <t>fazer</t>
  </si>
  <si>
    <t>Eu fiz isto no em o quarto do de o hotel , para alguns amigos e para algumas pessoas que eu não conhecia , e uma mulher quase desmaiou .</t>
  </si>
  <si>
    <t>file://conllu/pt/teddy-1132.conllu#s87_0</t>
  </si>
  <si>
    <t>88</t>
  </si>
  <si>
    <t>sugiro</t>
  </si>
  <si>
    <t>Portanto , se ficam tontos facilmente , sugiro que olhem para o lado durante os próximos 30 ...</t>
  </si>
  <si>
    <t>file://conllu/pt/teddy-1132.conllu#s88_0</t>
  </si>
  <si>
    <t>89</t>
  </si>
  <si>
    <t>ser (ser fazer)</t>
  </si>
  <si>
    <t>melhor é fazer a parte má às a as escondidas .</t>
  </si>
  <si>
    <t>file://conllu/pt/teddy-1132.conllu#s89_0</t>
  </si>
  <si>
    <t>90</t>
  </si>
  <si>
    <t>tu</t>
  </si>
  <si>
    <t>Tu consegues ver , podes olhar para o lado , se quiseres .</t>
  </si>
  <si>
    <t>file://conllu/pt/teddy-1132.conllu#s90_0</t>
  </si>
  <si>
    <t>91</t>
  </si>
  <si>
    <t>ser (ser o)</t>
  </si>
  <si>
    <t>Isto é o que acontece , aqui , o início da de a minha carne na em a parte de baixo do de o meu braço , faço um pequeno furo .</t>
  </si>
  <si>
    <t>file://conllu/pt/teddy-1132.conllu#s91_0</t>
  </si>
  <si>
    <t>92</t>
  </si>
  <si>
    <t>desculpa</t>
  </si>
  <si>
    <t>Desculpa .</t>
  </si>
  <si>
    <t>file://conllu/pt/teddy-1132.conllu#s92_0</t>
  </si>
  <si>
    <t>93</t>
  </si>
  <si>
    <t>assustar</t>
  </si>
  <si>
    <t>Estou a assustar-te assustar te ?</t>
  </si>
  <si>
    <t>file://conllu/pt/teddy-1132.conllu#s93_0</t>
  </si>
  <si>
    <t>94</t>
  </si>
  <si>
    <t>sair</t>
  </si>
  <si>
    <t>Depois , um bocadinho através da de a minha pele , e sai do de o outro lado , assim .</t>
  </si>
  <si>
    <t>file://conllu/pt/teddy-1132.conllu#s94_0</t>
  </si>
  <si>
    <t>95</t>
  </si>
  <si>
    <t>estar (estar posição)</t>
  </si>
  <si>
    <t>Ora bem , estamos na em a mesma posição em que estávamos com o truque da de a faca .</t>
  </si>
  <si>
    <t>file://conllu/pt/teddy-1132.conllu#s95_0</t>
  </si>
  <si>
    <t>96</t>
  </si>
  <si>
    <t>mais</t>
  </si>
  <si>
    <t>Mais ou menos .</t>
  </si>
  <si>
    <t>file://conllu/pt/teddy-1132.conllu#s96_0</t>
  </si>
  <si>
    <t>97</t>
  </si>
  <si>
    <t>conseguir</t>
  </si>
  <si>
    <t>Mas agora conseguem contar os meus dedos , não conseguem ?</t>
  </si>
  <si>
    <t>file://conllu/pt/teddy-1132.conllu#s97_0</t>
  </si>
  <si>
    <t>98</t>
  </si>
  <si>
    <t>Então , vou mostrá-los mostrá los .</t>
  </si>
  <si>
    <t>file://conllu/pt/teddy-1132.conllu#s98_0</t>
  </si>
  <si>
    <t>99</t>
  </si>
  <si>
    <t>um</t>
  </si>
  <si>
    <t>Um , dois , três , quatro , cinco .</t>
  </si>
  <si>
    <t>file://conllu/pt/teddy-1132.conllu#s99_0</t>
  </si>
  <si>
    <t>100</t>
  </si>
  <si>
    <t>bem</t>
  </si>
  <si>
    <t>Sim , bem ...</t>
  </si>
  <si>
    <t>file://conllu/pt/teddy-1132.conllu#s100_0</t>
  </si>
  <si>
    <t>101</t>
  </si>
  <si>
    <t>Eu sei o que as pessoas pensam quando veem isto : &amp;quot; De certeza que ele não é tão parvo &amp;quot; para espetar a própria pele para nos em os entreter por alguns minutos . &amp;quot; Então , deem uma olhadela .</t>
  </si>
  <si>
    <t>file://conllu/pt/teddy-1132.conllu#s101_0</t>
  </si>
  <si>
    <t>102</t>
  </si>
  <si>
    <t>parecer</t>
  </si>
  <si>
    <t>Que tal vos parece ?</t>
  </si>
  <si>
    <t>file://conllu/pt/teddy-1132.conllu#s102_0</t>
  </si>
  <si>
    <t>103</t>
  </si>
  <si>
    <t>bom</t>
  </si>
  <si>
    <t>Bom ?</t>
  </si>
  <si>
    <t>file://conllu/pt/teddy-1132.conllu#s103_0</t>
  </si>
  <si>
    <t>104</t>
  </si>
  <si>
    <t>Sim , eu sei .</t>
  </si>
  <si>
    <t>file://conllu/pt/teddy-1132.conllu#s104_0</t>
  </si>
  <si>
    <t>105</t>
  </si>
  <si>
    <t>As pessoas lá atrás estão a dizer : &amp;quot; Eu não cheguei a ver aquilo . &amp;quot;</t>
  </si>
  <si>
    <t>file://conllu/pt/teddy-1132.conllu#s105_0</t>
  </si>
  <si>
    <t>106</t>
  </si>
  <si>
    <t>satélite</t>
  </si>
  <si>
    <t>As pessoas na em a sala satélite estão a começar a entrar agora .</t>
  </si>
  <si>
    <t>file://conllu/pt/teddy-1132.conllu#s106_0</t>
  </si>
  <si>
    <t>107</t>
  </si>
  <si>
    <t>Vou deixar-vos deixar vos ver bem isto .</t>
  </si>
  <si>
    <t>file://conllu/pt/teddy-1132.conllu#s107_0</t>
  </si>
  <si>
    <t>108</t>
  </si>
  <si>
    <t>Isto é mesmo a minha pele .</t>
  </si>
  <si>
    <t>file://conllu/pt/teddy-1132.conllu#s108_0</t>
  </si>
  <si>
    <t>109</t>
  </si>
  <si>
    <t>Não é nenhum efeito especial de Hollywood .</t>
  </si>
  <si>
    <t>file://conllu/pt/teddy-1132.conllu#s109_0</t>
  </si>
  <si>
    <t>110</t>
  </si>
  <si>
    <t>Isto é a minha carne , e posso dar voltas a isto .</t>
  </si>
  <si>
    <t>file://conllu/pt/teddy-1132.conllu#s110_0</t>
  </si>
  <si>
    <t>111</t>
  </si>
  <si>
    <t>Desculpem .</t>
  </si>
  <si>
    <t>file://conllu/pt/teddy-1132.conllu#s111_0</t>
  </si>
  <si>
    <t>112</t>
  </si>
  <si>
    <t>olhar</t>
  </si>
  <si>
    <t>Se estão a ficar tontos , olhem para o lado , não olhem para isto .</t>
  </si>
  <si>
    <t>file://conllu/pt/teddy-1132.conllu#s112_0</t>
  </si>
  <si>
    <t>113</t>
  </si>
  <si>
    <t>parecer (parecer dizer)</t>
  </si>
  <si>
    <t>As pessoas lá atrás ou as que virem este vídeo daqui de aqui a anos , vão dizer : &amp;quot; Sim , aquilo parece real , mas tem que haver qualquer efeito .</t>
  </si>
  <si>
    <t>file://conllu/pt/teddy-1132.conllu#s113_0</t>
  </si>
  <si>
    <t>114</t>
  </si>
  <si>
    <t>&amp;quot; Se fosse real ele estaria ... &amp;quot; — há um buraco aqui e um buraco ali — se fosse real , ele estaria a sangrar .</t>
  </si>
  <si>
    <t>file://conllu/pt/teddy-1132.conllu#s114_0</t>
  </si>
  <si>
    <t>115</t>
  </si>
  <si>
    <t>arranjar</t>
  </si>
  <si>
    <t>Ok , vou arranjar um pouco de sangue .</t>
  </si>
  <si>
    <t>file://conllu/pt/teddy-1132.conllu#s115_0</t>
  </si>
  <si>
    <t>116</t>
  </si>
  <si>
    <t>estar (estar ele)</t>
  </si>
  <si>
    <t>Sim , cá está ele .</t>
  </si>
  <si>
    <t>file://conllu/pt/teddy-1132.conllu#s116_0</t>
  </si>
  <si>
    <t>117</t>
  </si>
  <si>
    <t>normalmente</t>
  </si>
  <si>
    <t>Normalmente , nesta em esta altura , tiro a seringa , limpo o braço e mostro que não há feridas .</t>
  </si>
  <si>
    <t>file://conllu/pt/teddy-1132.conllu#s117_0</t>
  </si>
  <si>
    <t>118</t>
  </si>
  <si>
    <t>sair (sair pensar)</t>
  </si>
  <si>
    <t>Mas penso que , neste em este contexto , com a ideia de pegar numa em uma coisa falsa e torná-la torná la real , vou parar por aqui , e sair do de o palco .</t>
  </si>
  <si>
    <t>file://conllu/pt/teddy-1132.conllu#s118_0</t>
  </si>
  <si>
    <t>119</t>
  </si>
  <si>
    <t>ver (ver ver)</t>
  </si>
  <si>
    <t>Vou ver-vos ver vos várias vezes nos em os próximos dias .</t>
  </si>
  <si>
    <t>file://conllu/pt/teddy-1132.conllu#s119_0</t>
  </si>
  <si>
    <t>120</t>
  </si>
  <si>
    <t>esperar</t>
  </si>
  <si>
    <t>Espero que estejam desejosos que isso aconteça .</t>
  </si>
  <si>
    <t>file://conllu/pt/teddy-1132.conllu#s120_0</t>
  </si>
  <si>
    <t>121</t>
  </si>
  <si>
    <t>obrigado</t>
  </si>
  <si>
    <t>Muito obrigado .</t>
  </si>
  <si>
    <t>file://conllu/pt/teddy-1132.conllu#s121_0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</si>
  <si>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</si>
  <si>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</si>
  <si>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</si>
  <si>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</si>
  <si>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</si>
  <si>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</si>
  <si>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</si>
  <si>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</si>
  <si>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</si>
  <si>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</si>
  <si>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</si>
  <si>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Durante algum tempo interessei-me pelo efeito placebo, o que pode parecer uma coisa estranha para interessar um mágico, a menos que a vejam nos termos que eu vejo, ou seja, uma coisa falsa em que alguém acredita o suficiente ao ponto de se tornar real.</t>
  </si>
  <si>
    <t>Durante</t>
  </si>
  <si>
    <t>algum</t>
  </si>
  <si>
    <t>tempo</t>
  </si>
  <si>
    <t>other</t>
  </si>
  <si>
    <t>indef-np</t>
  </si>
  <si>
    <t>interessei</t>
  </si>
  <si>
    <t>me</t>
  </si>
  <si>
    <t>OBJ</t>
  </si>
  <si>
    <t>pron.pper</t>
  </si>
  <si>
    <t>?OLD</t>
  </si>
  <si>
    <t>por</t>
  </si>
  <si>
    <t>o</t>
  </si>
  <si>
    <t>efeito</t>
  </si>
  <si>
    <t>def-np.the</t>
  </si>
  <si>
    <t>placebo</t>
  </si>
  <si>
    <t>,</t>
  </si>
  <si>
    <t>other_2</t>
  </si>
  <si>
    <t>pron.pds</t>
  </si>
  <si>
    <t>que</t>
  </si>
  <si>
    <t>SBJ_5</t>
  </si>
  <si>
    <t>pode</t>
  </si>
  <si>
    <t>uma</t>
  </si>
  <si>
    <t>coisa</t>
  </si>
  <si>
    <t>OBJ_5</t>
  </si>
  <si>
    <t>indef-np.a</t>
  </si>
  <si>
    <t>estranha</t>
  </si>
  <si>
    <t>para</t>
  </si>
  <si>
    <t>mágico</t>
  </si>
  <si>
    <t>OBJ_6</t>
  </si>
  <si>
    <t>a</t>
  </si>
  <si>
    <t>menos</t>
  </si>
  <si>
    <t>OBJ_7</t>
  </si>
  <si>
    <t>vejam</t>
  </si>
  <si>
    <t>em</t>
  </si>
  <si>
    <t>os</t>
  </si>
  <si>
    <t>termos</t>
  </si>
  <si>
    <t>other_7</t>
  </si>
  <si>
    <t>SBJ_9</t>
  </si>
  <si>
    <t>eu</t>
  </si>
  <si>
    <t>OBJ_9</t>
  </si>
  <si>
    <t>vejo</t>
  </si>
  <si>
    <t>other_8</t>
  </si>
  <si>
    <t>indef-np.bare</t>
  </si>
  <si>
    <t>ou</t>
  </si>
  <si>
    <t>seja</t>
  </si>
  <si>
    <t>other_9</t>
  </si>
  <si>
    <t>falsa</t>
  </si>
  <si>
    <t>alguém</t>
  </si>
  <si>
    <t>SBJ_11</t>
  </si>
  <si>
    <t>pron.pind</t>
  </si>
  <si>
    <t>acredita</t>
  </si>
  <si>
    <t>suficiente</t>
  </si>
  <si>
    <t>OBJ_11</t>
  </si>
  <si>
    <t>ponto</t>
  </si>
  <si>
    <t>de</t>
  </si>
  <si>
    <t>se</t>
  </si>
  <si>
    <t>real</t>
  </si>
  <si>
    <t>.</t>
  </si>
  <si>
    <t># text = Por outras palavras, os comprimidos de açúcar têm um efeito mensurável em certo tipo de estudos — o efeito placebo — apenas porque a pessoa pensa que o lhe está a acontecer é um tratamento farmacêutico ou algum tipo de... para o alívio da dor, por exemplo.</t>
  </si>
  <si>
    <t>Por</t>
  </si>
  <si>
    <t>outras</t>
  </si>
  <si>
    <t>palavras</t>
  </si>
  <si>
    <t>comprimidos</t>
  </si>
  <si>
    <t>SBJ_2</t>
  </si>
  <si>
    <t>def-np.poss</t>
  </si>
  <si>
    <t>açúcar</t>
  </si>
  <si>
    <t>other_3</t>
  </si>
  <si>
    <t>têm</t>
  </si>
  <si>
    <t>OBJ_2</t>
  </si>
  <si>
    <t>mensurável</t>
  </si>
  <si>
    <t>certo</t>
  </si>
  <si>
    <t>tipo</t>
  </si>
  <si>
    <t>estudos</t>
  </si>
  <si>
    <t>other_4</t>
  </si>
  <si>
    <t>—</t>
  </si>
  <si>
    <t>SBJ</t>
  </si>
  <si>
    <t>apenas</t>
  </si>
  <si>
    <t>porque</t>
  </si>
  <si>
    <t>pessoa</t>
  </si>
  <si>
    <t>SBJ_3</t>
  </si>
  <si>
    <t>pensa</t>
  </si>
  <si>
    <t>lhe</t>
  </si>
  <si>
    <t>OBJ_4</t>
  </si>
  <si>
    <t>está</t>
  </si>
  <si>
    <t>é</t>
  </si>
  <si>
    <t>tratamento</t>
  </si>
  <si>
    <t>farmacêutico</t>
  </si>
  <si>
    <t>...</t>
  </si>
  <si>
    <t>alívio</t>
  </si>
  <si>
    <t>dor</t>
  </si>
  <si>
    <t>exemplo</t>
  </si>
  <si>
    <t># text = Se acreditarem mesmo nisso, há um efeito mensurável chamado efeito placebo.</t>
  </si>
  <si>
    <t>Se</t>
  </si>
  <si>
    <t>acreditarem</t>
  </si>
  <si>
    <t>mesmo</t>
  </si>
  <si>
    <t>isso</t>
  </si>
  <si>
    <t>há</t>
  </si>
  <si>
    <t>chamado</t>
  </si>
  <si>
    <t># text = Uma coisa falsa torna-se numa coisa real.</t>
  </si>
  <si>
    <t>Uma</t>
  </si>
  <si>
    <t>torna</t>
  </si>
  <si>
    <t># text = devido à perceção que se tem disso.</t>
  </si>
  <si>
    <t>perceção</t>
  </si>
  <si>
    <t>tem</t>
  </si>
  <si>
    <t>OBJ_3</t>
  </si>
  <si>
    <t># text = Para nos entendermos melhor quero começar por mostrar-vos um truque de magia elementar.</t>
  </si>
  <si>
    <t>Para</t>
  </si>
  <si>
    <t>entendermos</t>
  </si>
  <si>
    <t>melhor</t>
  </si>
  <si>
    <t>quero</t>
  </si>
  <si>
    <t>começar</t>
  </si>
  <si>
    <t>vos</t>
  </si>
  <si>
    <t>truque</t>
  </si>
  <si>
    <t>magia</t>
  </si>
  <si>
    <t>elementar</t>
  </si>
  <si>
    <t># text = muito simples.</t>
  </si>
  <si>
    <t>muito</t>
  </si>
  <si>
    <t># text = e vou mostrar-vos como é que funciona.</t>
  </si>
  <si>
    <t>e</t>
  </si>
  <si>
    <t>vou</t>
  </si>
  <si>
    <t>como</t>
  </si>
  <si>
    <t>funciona</t>
  </si>
  <si>
    <t># text = Este truque aparece em todos os livros de magia ara crianças, pelo menos desde os anos 50.</t>
  </si>
  <si>
    <t>Este</t>
  </si>
  <si>
    <t>def-np.dem</t>
  </si>
  <si>
    <t>aparece</t>
  </si>
  <si>
    <t>todos</t>
  </si>
  <si>
    <t>livros</t>
  </si>
  <si>
    <t>ara</t>
  </si>
  <si>
    <t>crianças</t>
  </si>
  <si>
    <t>desde</t>
  </si>
  <si>
    <t>anos</t>
  </si>
  <si>
    <t>--</t>
  </si>
  <si>
    <t># text = Eu aprendi-o no "Cub Scout Magic" nos anos 70.</t>
  </si>
  <si>
    <t>Eu</t>
  </si>
  <si>
    <t>aprendi</t>
  </si>
  <si>
    <t>&amp;quot;</t>
  </si>
  <si>
    <t>Cub</t>
  </si>
  <si>
    <t>ne</t>
  </si>
  <si>
    <t>Scout</t>
  </si>
  <si>
    <t>Magic</t>
  </si>
  <si>
    <t>def-np.quant</t>
  </si>
  <si>
    <t># text = Vou fazê-lo agora, depois vou explicá-lo, e a seguir vou explicar porque é que expliquei.</t>
  </si>
  <si>
    <t>Vou</t>
  </si>
  <si>
    <t>fazê</t>
  </si>
  <si>
    <t>lo</t>
  </si>
  <si>
    <t>agora</t>
  </si>
  <si>
    <t>depois</t>
  </si>
  <si>
    <t>explicá</t>
  </si>
  <si>
    <t>seguir</t>
  </si>
  <si>
    <t>explicar</t>
  </si>
  <si>
    <t>expliquei</t>
  </si>
  <si>
    <t># text = Então, é assim.</t>
  </si>
  <si>
    <t>Então</t>
  </si>
  <si>
    <t>assim</t>
  </si>
  <si>
    <t># text = Uma faca, que podem verificar.</t>
  </si>
  <si>
    <t>podem</t>
  </si>
  <si>
    <t>verificar</t>
  </si>
  <si>
    <t># text = A minha mão, que podem verificar.</t>
  </si>
  <si>
    <t>A</t>
  </si>
  <si>
    <t>minha</t>
  </si>
  <si>
    <t>pron.ppos</t>
  </si>
  <si>
    <t># text = Vou só segurar a faca assim na minha mão.</t>
  </si>
  <si>
    <t>só</t>
  </si>
  <si>
    <t># text = Vou puxar a manga para cima.</t>
  </si>
  <si>
    <t>puxar</t>
  </si>
  <si>
    <t>manga</t>
  </si>
  <si>
    <t>cima</t>
  </si>
  <si>
    <t># text = Para assegurar que nada sobe nem desce pela manga vou apertar o pulso aqui.</t>
  </si>
  <si>
    <t>assegurar</t>
  </si>
  <si>
    <t>nada</t>
  </si>
  <si>
    <t>sobe</t>
  </si>
  <si>
    <t>nem</t>
  </si>
  <si>
    <t>desce</t>
  </si>
  <si>
    <t>pulso</t>
  </si>
  <si>
    <t>aqui</t>
  </si>
  <si>
    <t># text = Deste modo podem ver que nada se pode movimentar.</t>
  </si>
  <si>
    <t>De</t>
  </si>
  <si>
    <t>este</t>
  </si>
  <si>
    <t>modo</t>
  </si>
  <si>
    <t>SBJ_4</t>
  </si>
  <si>
    <t>movimentar</t>
  </si>
  <si>
    <t># text = Enquanto eu estiver a apertar aqui nada pode subir ou descer pela minha manga.</t>
  </si>
  <si>
    <t>Enquanto</t>
  </si>
  <si>
    <t>descer</t>
  </si>
  <si>
    <t>other_5</t>
  </si>
  <si>
    <t># text = O objetivo disto é muito simples.</t>
  </si>
  <si>
    <t>objetivo</t>
  </si>
  <si>
    <t>isto</t>
  </si>
  <si>
    <t># text = Vou abrir a mão, e, espero, se tudo correr bem, o meu puro magnetismo animal vai segurar a faca.</t>
  </si>
  <si>
    <t>abrir</t>
  </si>
  <si>
    <t>espero</t>
  </si>
  <si>
    <t>tudo</t>
  </si>
  <si>
    <t>correr</t>
  </si>
  <si>
    <t>meu</t>
  </si>
  <si>
    <t>puro</t>
  </si>
  <si>
    <t>magnetismo</t>
  </si>
  <si>
    <t>animal</t>
  </si>
  <si>
    <t>vai</t>
  </si>
  <si>
    <t># text = De facto, está tão bem segura que posso sacudi-la, e a faca não sai.</t>
  </si>
  <si>
    <t>facto</t>
  </si>
  <si>
    <t>tão</t>
  </si>
  <si>
    <t>segura</t>
  </si>
  <si>
    <t>posso</t>
  </si>
  <si>
    <t>sacudi</t>
  </si>
  <si>
    <t>la</t>
  </si>
  <si>
    <t>não</t>
  </si>
  <si>
    <t>sai</t>
  </si>
  <si>
    <t># text = Nada sobe ou desce pela minha manga, nada de truques.</t>
  </si>
  <si>
    <t>Nada</t>
  </si>
  <si>
    <t>truques</t>
  </si>
  <si>
    <t># text = E podem verificar tudo.</t>
  </si>
  <si>
    <t>E</t>
  </si>
  <si>
    <t># text = Tcharam! (Aplausos)</t>
  </si>
  <si>
    <t>Tcharam</t>
  </si>
  <si>
    <t>!</t>
  </si>
  <si>
    <t>(</t>
  </si>
  <si>
    <t>Aplausos</t>
  </si>
  <si>
    <t>)</t>
  </si>
  <si>
    <t># text = Este é um truque que costumo ensinar a crianças pequenas que estão interessadas em magia, porque é possível aprender bastante sobre ilusão ao estudar um truque, mesmo que seja muito simples.</t>
  </si>
  <si>
    <t>costumo</t>
  </si>
  <si>
    <t>ensinar</t>
  </si>
  <si>
    <t>pequenas</t>
  </si>
  <si>
    <t>estão</t>
  </si>
  <si>
    <t>interessadas</t>
  </si>
  <si>
    <t>possível</t>
  </si>
  <si>
    <t>bastante</t>
  </si>
  <si>
    <t>sobre</t>
  </si>
  <si>
    <t>ilusão</t>
  </si>
  <si>
    <t>estudar</t>
  </si>
  <si>
    <t># text = Provavelmente muita gente aqui conhece este truque.</t>
  </si>
  <si>
    <t>Provavelmente</t>
  </si>
  <si>
    <t>muita</t>
  </si>
  <si>
    <t>gente</t>
  </si>
  <si>
    <t>conhece</t>
  </si>
  <si>
    <t># text = O que acontece é isto.</t>
  </si>
  <si>
    <t>acontece</t>
  </si>
  <si>
    <t># text = Eu seguro a faca na minha mão.</t>
  </si>
  <si>
    <t>seguro</t>
  </si>
  <si>
    <t># text = Digo que vou agarrar o meu pulso para vos assegurar que nada sobe nem desce pela manga, o que é uma mentira.</t>
  </si>
  <si>
    <t>Digo</t>
  </si>
  <si>
    <t>agarrar</t>
  </si>
  <si>
    <t>mentira</t>
  </si>
  <si>
    <t># text = Eu estou a agarrar no pulso porque, na verdade, é esse o segredo da ilusão.</t>
  </si>
  <si>
    <t>estou</t>
  </si>
  <si>
    <t>verdade</t>
  </si>
  <si>
    <t>esse</t>
  </si>
  <si>
    <t>segredo</t>
  </si>
  <si>
    <t># text = Quando a minha mão deixa de estar voltada para vocês e fica virada para trás, este dedo aqui, o meu dedo indicador muda do sítio onde está, para uma posição a apontar para fora assim.</t>
  </si>
  <si>
    <t>Quando</t>
  </si>
  <si>
    <t>deixa</t>
  </si>
  <si>
    <t>voltada</t>
  </si>
  <si>
    <t>vocês</t>
  </si>
  <si>
    <t>fica</t>
  </si>
  <si>
    <t>virada</t>
  </si>
  <si>
    <t>trás</t>
  </si>
  <si>
    <t>dedo</t>
  </si>
  <si>
    <t>indicador</t>
  </si>
  <si>
    <t>muda</t>
  </si>
  <si>
    <t>sítio</t>
  </si>
  <si>
    <t>onde</t>
  </si>
  <si>
    <t>posição</t>
  </si>
  <si>
    <t>other_6</t>
  </si>
  <si>
    <t>apontar</t>
  </si>
  <si>
    <t>fora</t>
  </si>
  <si>
    <t># text = Essa é boa.</t>
  </si>
  <si>
    <t>Essa</t>
  </si>
  <si>
    <t>boa</t>
  </si>
  <si>
    <t># text = Há por aí alguém que não teve infância.</t>
  </si>
  <si>
    <t>Há</t>
  </si>
  <si>
    <t>aí</t>
  </si>
  <si>
    <t>teve</t>
  </si>
  <si>
    <t>infância</t>
  </si>
  <si>
    <t># text = (Risos)</t>
  </si>
  <si>
    <t>Risos</t>
  </si>
  <si>
    <t># text = Então, é assim que acontece, daqui, certo?</t>
  </si>
  <si>
    <t>?</t>
  </si>
  <si>
    <t># text = E quando eu me viro, o meu dedo move-se.</t>
  </si>
  <si>
    <t>quando</t>
  </si>
  <si>
    <t>viro</t>
  </si>
  <si>
    <t>move</t>
  </si>
  <si>
    <t># text = Por que razão isto é enganador?</t>
  </si>
  <si>
    <t>pron.pint</t>
  </si>
  <si>
    <t>razão</t>
  </si>
  <si>
    <t>enganador</t>
  </si>
  <si>
    <t># text = Porque é que não reparam que só há três dedos aqui em baixo?</t>
  </si>
  <si>
    <t>Porque</t>
  </si>
  <si>
    <t>reparam</t>
  </si>
  <si>
    <t>três</t>
  </si>
  <si>
    <t>dedos</t>
  </si>
  <si>
    <t>indef-np.quant</t>
  </si>
  <si>
    <t>baixo</t>
  </si>
  <si>
    <t># text = Porque a mente, e a maneira como esta processa a informação, não conta, um, dois, três — a mente agrupa-os.</t>
  </si>
  <si>
    <t>mente</t>
  </si>
  <si>
    <t>maneira</t>
  </si>
  <si>
    <t>esta</t>
  </si>
  <si>
    <t>processa</t>
  </si>
  <si>
    <t>informação</t>
  </si>
  <si>
    <t>conta</t>
  </si>
  <si>
    <t>dois</t>
  </si>
  <si>
    <t>agrupa</t>
  </si>
  <si>
    <t># text = Mas não é isso que interessa.</t>
  </si>
  <si>
    <t>Mas</t>
  </si>
  <si>
    <t>interessa</t>
  </si>
  <si>
    <t># text = Depois abro a mão.</t>
  </si>
  <si>
    <t>Depois</t>
  </si>
  <si>
    <t>abro</t>
  </si>
  <si>
    <t># text = Obviamente que a faca está segura, não por magnetismo animal, mas através de uma manha, o meu dedo indicador está aqui.</t>
  </si>
  <si>
    <t>Obviamente</t>
  </si>
  <si>
    <t>mas</t>
  </si>
  <si>
    <t>através</t>
  </si>
  <si>
    <t>manha</t>
  </si>
  <si>
    <t># text = E quando fecho o meu dedo, a mesma coisa.</t>
  </si>
  <si>
    <t>fecho</t>
  </si>
  <si>
    <t>mesma</t>
  </si>
  <si>
    <t># text = Quanto me viro outra vez, este movimento encobre o meu dedo a encolher-se.</t>
  </si>
  <si>
    <t>Quanto</t>
  </si>
  <si>
    <t>outra</t>
  </si>
  <si>
    <t>vez</t>
  </si>
  <si>
    <t>movimento</t>
  </si>
  <si>
    <t>encolher</t>
  </si>
  <si>
    <t># text = Tiro esta mão.</t>
  </si>
  <si>
    <t>Tiro</t>
  </si>
  <si>
    <t># text = Mostro a faca.</t>
  </si>
  <si>
    <t># text = Este é um truque que podem fazer para os vossos amigos e vizinhos.</t>
  </si>
  <si>
    <t>vossos</t>
  </si>
  <si>
    <t>amigos</t>
  </si>
  <si>
    <t>vizinhos</t>
  </si>
  <si>
    <t># text = Obrigado.</t>
  </si>
  <si>
    <t>Obrigado</t>
  </si>
  <si>
    <t># text = O que é que isto tem a ver com o efeito placebo?</t>
  </si>
  <si>
    <t>com</t>
  </si>
  <si>
    <t># text = Li um estudo, há mais ou menos um ano, que me abriu os horizontes.</t>
  </si>
  <si>
    <t>Li</t>
  </si>
  <si>
    <t>estudo</t>
  </si>
  <si>
    <t>ano</t>
  </si>
  <si>
    <t>abriu</t>
  </si>
  <si>
    <t>horizontes</t>
  </si>
  <si>
    <t># text = Não sou médico nem investigador, por isso, para mim, foi uma coisa surpreendente.</t>
  </si>
  <si>
    <t>Não</t>
  </si>
  <si>
    <t>sou</t>
  </si>
  <si>
    <t>médico</t>
  </si>
  <si>
    <t>investigador</t>
  </si>
  <si>
    <t>mim</t>
  </si>
  <si>
    <t>foi</t>
  </si>
  <si>
    <t>surpreendente</t>
  </si>
  <si>
    <t># text = Acontece que, se se administrar um placebo na forma de um comprimido branco, parecido com uma aspirina, apenas um comprimido branco redondo, tem um certo efeito mensurável.</t>
  </si>
  <si>
    <t>Acontece</t>
  </si>
  <si>
    <t>administrar</t>
  </si>
  <si>
    <t>forma</t>
  </si>
  <si>
    <t>comprimido</t>
  </si>
  <si>
    <t>branco</t>
  </si>
  <si>
    <t>parecido</t>
  </si>
  <si>
    <t>aspirina</t>
  </si>
  <si>
    <t>redondo</t>
  </si>
  <si>
    <t># text = Mas, se mudarmos a forma que damos ao placebo, por exemplo, se usarmos um comprimido mais pequeno, de cor azul, com uma letra estampada em cima, é incomensuravelmente mais eficaz.</t>
  </si>
  <si>
    <t>mudarmos</t>
  </si>
  <si>
    <t>damos</t>
  </si>
  <si>
    <t>usarmos</t>
  </si>
  <si>
    <t>pequeno</t>
  </si>
  <si>
    <t>cor</t>
  </si>
  <si>
    <t>azul</t>
  </si>
  <si>
    <t>letra</t>
  </si>
  <si>
    <t>estampada</t>
  </si>
  <si>
    <t>incomensuravelmente</t>
  </si>
  <si>
    <t>eficaz</t>
  </si>
  <si>
    <t># text = No entanto, nenhuma destas coisas tem qualquer fármaco.</t>
  </si>
  <si>
    <t>Em</t>
  </si>
  <si>
    <t>entanto</t>
  </si>
  <si>
    <t>nenhuma</t>
  </si>
  <si>
    <t>pron</t>
  </si>
  <si>
    <t>estas</t>
  </si>
  <si>
    <t>coisas</t>
  </si>
  <si>
    <t>qualquer</t>
  </si>
  <si>
    <t>fármaco</t>
  </si>
  <si>
    <t># text = São comprimidos de açúcar.</t>
  </si>
  <si>
    <t>São</t>
  </si>
  <si>
    <t># text = Mas um comprimido branco não é tão bom como um comprimido azul.</t>
  </si>
  <si>
    <t># text = O quê?</t>
  </si>
  <si>
    <t># text = Fiquei completamente admirado.</t>
  </si>
  <si>
    <t>Fiquei</t>
  </si>
  <si>
    <t>completamente</t>
  </si>
  <si>
    <t>admirado</t>
  </si>
  <si>
    <t># text = Mas a coisa não acaba aqui.</t>
  </si>
  <si>
    <t>acaba</t>
  </si>
  <si>
    <t># text = Se forem cápsulas, são mais eficazes que comprimidos de qualquer formato.</t>
  </si>
  <si>
    <t>forem</t>
  </si>
  <si>
    <t>cápsulas</t>
  </si>
  <si>
    <t>são</t>
  </si>
  <si>
    <t>eficazes</t>
  </si>
  <si>
    <t># text = Uma cápsula colorida, amarela numa ponta e vermelha na outra é melhor do que uma cápsula branca.</t>
  </si>
  <si>
    <t>cápsula</t>
  </si>
  <si>
    <t>colorida</t>
  </si>
  <si>
    <t>amarela</t>
  </si>
  <si>
    <t>ponta</t>
  </si>
  <si>
    <t>vermelha</t>
  </si>
  <si>
    <t>branca</t>
  </si>
  <si>
    <t># text = A dosagem está relacionada com isto.</t>
  </si>
  <si>
    <t>dosagem</t>
  </si>
  <si>
    <t>relacionada</t>
  </si>
  <si>
    <t># text = Um comprimido, duas vezes ao dia não é tão bom quanto três comprimidos...</t>
  </si>
  <si>
    <t>Um</t>
  </si>
  <si>
    <t>duas</t>
  </si>
  <si>
    <t>vezes</t>
  </si>
  <si>
    <t>dia</t>
  </si>
  <si>
    <t>quanto</t>
  </si>
  <si>
    <t># text = Desculpem, mas agora, não me lembro das estatísticas.</t>
  </si>
  <si>
    <t>lembro</t>
  </si>
  <si>
    <t>as</t>
  </si>
  <si>
    <t>estatísticas</t>
  </si>
  <si>
    <t># text = A questão é que as dosagens estão relacionadas com isso.</t>
  </si>
  <si>
    <t>questão</t>
  </si>
  <si>
    <t>dosagens</t>
  </si>
  <si>
    <t>relacionadas</t>
  </si>
  <si>
    <t># text = E o formato também.</t>
  </si>
  <si>
    <t>também</t>
  </si>
  <si>
    <t># text = Se quisermos o máximo do efeito placebo temos de pegar na agulha.</t>
  </si>
  <si>
    <t>quisermos</t>
  </si>
  <si>
    <t>máximo</t>
  </si>
  <si>
    <t>temos</t>
  </si>
  <si>
    <t>pegar</t>
  </si>
  <si>
    <t>agulha</t>
  </si>
  <si>
    <t># text = Uma seringa com algum inerte... uns centímetros cúbicos de algum inerte... e injetamos isso num doente...</t>
  </si>
  <si>
    <t>inerte</t>
  </si>
  <si>
    <t>uns</t>
  </si>
  <si>
    <t>centímetros</t>
  </si>
  <si>
    <t>cúbicos</t>
  </si>
  <si>
    <t>injetamos</t>
  </si>
  <si>
    <t>doente</t>
  </si>
  <si>
    <t># text = Isso é uma imagem muito poderosa no espírito deles, É muito mais forte do que um comprimido branco.</t>
  </si>
  <si>
    <t>Isso</t>
  </si>
  <si>
    <t>imagem</t>
  </si>
  <si>
    <t>poderosa</t>
  </si>
  <si>
    <t>espírito</t>
  </si>
  <si>
    <t>eles</t>
  </si>
  <si>
    <t>É</t>
  </si>
  <si>
    <t>forte</t>
  </si>
  <si>
    <t># text = Este gráfico... bem, mostro-vos noutra altura, quando tivermos slides.</t>
  </si>
  <si>
    <t>mostro</t>
  </si>
  <si>
    <t>altura</t>
  </si>
  <si>
    <t>tivermos</t>
  </si>
  <si>
    <t>slides</t>
  </si>
  <si>
    <t># text = A questão é: o comprimido branco não é tão bom como o comprimido azul que não é tão bom como a cápsula, que não é tão boa como a agulha.</t>
  </si>
  <si>
    <t>:</t>
  </si>
  <si>
    <t># text = Mas nenhum deles tem qualquer qualidade farmacêutica.</t>
  </si>
  <si>
    <t>nenhum</t>
  </si>
  <si>
    <t>qualidade</t>
  </si>
  <si>
    <t>farmacêutica</t>
  </si>
  <si>
    <t># text = É apenas a nossa crença que o torna real no nosso corpo e tem um efeito mais forte.</t>
  </si>
  <si>
    <t>nossa</t>
  </si>
  <si>
    <t>crença</t>
  </si>
  <si>
    <t>nosso</t>
  </si>
  <si>
    <t>corpo</t>
  </si>
  <si>
    <t># text = Eu quis ver se podia pegar nesta ideia e aplicá-la num truque de magia.</t>
  </si>
  <si>
    <t>quis</t>
  </si>
  <si>
    <t>podia</t>
  </si>
  <si>
    <t>ideia</t>
  </si>
  <si>
    <t>aplicá</t>
  </si>
  <si>
    <t># text = Agarrar numa coisa que é obviamente é um truque falso e fazê-la parecer real.</t>
  </si>
  <si>
    <t>obviamente</t>
  </si>
  <si>
    <t>falso</t>
  </si>
  <si>
    <t># text = Sabemos, a partir desse estudo, que, quando queremos realidade, pegamos na agulha.</t>
  </si>
  <si>
    <t>Sabemos</t>
  </si>
  <si>
    <t>partir</t>
  </si>
  <si>
    <t>queremos</t>
  </si>
  <si>
    <t>realidade</t>
  </si>
  <si>
    <t>pegamos</t>
  </si>
  <si>
    <t># text = Isto é um alfinete de 17 centímetros.</t>
  </si>
  <si>
    <t>Isto</t>
  </si>
  <si>
    <t>alfinete</t>
  </si>
  <si>
    <t># text = É muito aguçado.</t>
  </si>
  <si>
    <t>aguçado</t>
  </si>
  <si>
    <t># text = Vou esterilizá-lo um bocadinho.</t>
  </si>
  <si>
    <t>esterilizá</t>
  </si>
  <si>
    <t>bocadinho</t>
  </si>
  <si>
    <t># text = Isto é mesmo a minha carne.</t>
  </si>
  <si>
    <t>carne</t>
  </si>
  <si>
    <t># text = Não é a carne especial do Damian.</t>
  </si>
  <si>
    <t>especial</t>
  </si>
  <si>
    <t>Damian</t>
  </si>
  <si>
    <t># text = Isto é a minha pele.</t>
  </si>
  <si>
    <t>pele</t>
  </si>
  <si>
    <t># text = Não é um efeito especial de Hollywood.</t>
  </si>
  <si>
    <t>Hollywood</t>
  </si>
  <si>
    <t># text = Vou furar a minha pele e espetar esta agulha até ao outro lado.</t>
  </si>
  <si>
    <t>furar</t>
  </si>
  <si>
    <t>espetar</t>
  </si>
  <si>
    <t>até</t>
  </si>
  <si>
    <t>outro</t>
  </si>
  <si>
    <t>lado</t>
  </si>
  <si>
    <t># text = Se forem sensíveis ou desmaiarem facilmente...</t>
  </si>
  <si>
    <t>sensíveis</t>
  </si>
  <si>
    <t>desmaiarem</t>
  </si>
  <si>
    <t>facilmente</t>
  </si>
  <si>
    <t># text = Eu fiz isto no quarto do hotel, para alguns amigos e para algumas pessoas que eu não conhecia, e uma mulher quase desmaiou.</t>
  </si>
  <si>
    <t>fiz</t>
  </si>
  <si>
    <t>quarto</t>
  </si>
  <si>
    <t>hotel</t>
  </si>
  <si>
    <t>alguns</t>
  </si>
  <si>
    <t>algumas</t>
  </si>
  <si>
    <t>pessoas</t>
  </si>
  <si>
    <t>conhecia</t>
  </si>
  <si>
    <t>mulher</t>
  </si>
  <si>
    <t>quase</t>
  </si>
  <si>
    <t>desmaiou</t>
  </si>
  <si>
    <t># text = Portanto, se ficam tontos facilmente, sugiro que olhem para o lado durante os próximos 30...</t>
  </si>
  <si>
    <t>Portanto</t>
  </si>
  <si>
    <t>ficam</t>
  </si>
  <si>
    <t>tontos</t>
  </si>
  <si>
    <t>olhem</t>
  </si>
  <si>
    <t>durante</t>
  </si>
  <si>
    <t>próximos</t>
  </si>
  <si>
    <t># text = O melhor é fazer a parte má às escondidas.</t>
  </si>
  <si>
    <t>parte</t>
  </si>
  <si>
    <t>má</t>
  </si>
  <si>
    <t>escondidas</t>
  </si>
  <si>
    <t># text = Tu consegues ver, podes olhar para o lado, se quiseres.</t>
  </si>
  <si>
    <t>Tu</t>
  </si>
  <si>
    <t>consegues</t>
  </si>
  <si>
    <t>podes</t>
  </si>
  <si>
    <t>quiseres</t>
  </si>
  <si>
    <t># text = Isto é o que acontece, aqui, o início da minha carne na parte de baixo do meu braço, faço um pequeno furo.</t>
  </si>
  <si>
    <t>início</t>
  </si>
  <si>
    <t>braço</t>
  </si>
  <si>
    <t>faço</t>
  </si>
  <si>
    <t>furo</t>
  </si>
  <si>
    <t># text = Desculpa.</t>
  </si>
  <si>
    <t>Desculpa</t>
  </si>
  <si>
    <t># text = Estou a assustar-te?</t>
  </si>
  <si>
    <t>Estou</t>
  </si>
  <si>
    <t>te</t>
  </si>
  <si>
    <t># text = Depois, um bocadinho através da minha pele, e sai do outro lado, assim.</t>
  </si>
  <si>
    <t># text = Ora bem, estamos na mesma posição em que estávamos com o truque da faca.</t>
  </si>
  <si>
    <t>Ora</t>
  </si>
  <si>
    <t>estamos</t>
  </si>
  <si>
    <t>estávamos</t>
  </si>
  <si>
    <t># text = Mais ou menos.</t>
  </si>
  <si>
    <t>Mais</t>
  </si>
  <si>
    <t># text = Mas agora conseguem contar os meus dedos, não conseguem?</t>
  </si>
  <si>
    <t>conseguem</t>
  </si>
  <si>
    <t>contar</t>
  </si>
  <si>
    <t>meus</t>
  </si>
  <si>
    <t># text = Então, vou mostrá-los.</t>
  </si>
  <si>
    <t>mostrá</t>
  </si>
  <si>
    <t>los</t>
  </si>
  <si>
    <t># text = Um, dois, três, quatro, cinco.</t>
  </si>
  <si>
    <t>quatro</t>
  </si>
  <si>
    <t>cinco</t>
  </si>
  <si>
    <t># text = Sim, bem...</t>
  </si>
  <si>
    <t>Sim</t>
  </si>
  <si>
    <t># text = Eu sei o que as pessoas pensam quando veem isto: \"De certeza que ele não é tão parvo \"para espetar a própria pele para nos entreter por alguns minutos.\" Então, deem uma olhadela.</t>
  </si>
  <si>
    <t>sei</t>
  </si>
  <si>
    <t>pensam</t>
  </si>
  <si>
    <t>veem</t>
  </si>
  <si>
    <t>certeza</t>
  </si>
  <si>
    <t>ele</t>
  </si>
  <si>
    <t>parvo</t>
  </si>
  <si>
    <t>própria</t>
  </si>
  <si>
    <t>entreter</t>
  </si>
  <si>
    <t>minutos</t>
  </si>
  <si>
    <t>deem</t>
  </si>
  <si>
    <t>olhadela</t>
  </si>
  <si>
    <t># text = Que tal vos parece?</t>
  </si>
  <si>
    <t>Que</t>
  </si>
  <si>
    <t>tal</t>
  </si>
  <si>
    <t>parece</t>
  </si>
  <si>
    <t># text = Bom?</t>
  </si>
  <si>
    <t>Bom</t>
  </si>
  <si>
    <t># text = Sim, eu sei.</t>
  </si>
  <si>
    <t># text = As pessoas lá atrás estão a dizer: \"Eu não cheguei a ver aquilo.\"</t>
  </si>
  <si>
    <t>As</t>
  </si>
  <si>
    <t>lá</t>
  </si>
  <si>
    <t>atrás</t>
  </si>
  <si>
    <t>cheguei</t>
  </si>
  <si>
    <t>aquilo</t>
  </si>
  <si>
    <t># text = As pessoas na sala satélite estão a começar a entrar agora.</t>
  </si>
  <si>
    <t>sala</t>
  </si>
  <si>
    <t>entrar</t>
  </si>
  <si>
    <t># text = Vou deixar-vos ver bem isto.</t>
  </si>
  <si>
    <t># text = Isto é mesmo a minha pele.</t>
  </si>
  <si>
    <t># text = Não é nenhum efeito especial de Hollywood.</t>
  </si>
  <si>
    <t># text = Isto é a minha carne, e posso dar voltas a isto.</t>
  </si>
  <si>
    <t>dar</t>
  </si>
  <si>
    <t>voltas</t>
  </si>
  <si>
    <t># text = Desculpem.</t>
  </si>
  <si>
    <t># text = Se estão a ficar tontos, olhem para o lado, não olhem para isto.</t>
  </si>
  <si>
    <t># text = As pessoas lá atrás ou as que virem este vídeo daqui a anos, vão dizer: "Sim, aquilo parece real, mas tem que haver qualquer efeito.</t>
  </si>
  <si>
    <t>virem</t>
  </si>
  <si>
    <t>vídeo</t>
  </si>
  <si>
    <t>vão</t>
  </si>
  <si>
    <t># text = \"Se fosse real ele estaria... \"— há um buraco aqui e um buraco ali — se fosse real, ele estaria a sangrar.</t>
  </si>
  <si>
    <t>fosse</t>
  </si>
  <si>
    <t>estaria</t>
  </si>
  <si>
    <t>buraco</t>
  </si>
  <si>
    <t>ali</t>
  </si>
  <si>
    <t>sangrar</t>
  </si>
  <si>
    <t># text = Ok, vou arranjar um pouco de sangue.</t>
  </si>
  <si>
    <t>Ok</t>
  </si>
  <si>
    <t>pouco</t>
  </si>
  <si>
    <t>sangue</t>
  </si>
  <si>
    <t># text = Sim, cá está ele.</t>
  </si>
  <si>
    <t>cá</t>
  </si>
  <si>
    <t># text = Normalmente, nesta altura, tiro a seringa, limpo o braço e mostro que não há feridas.</t>
  </si>
  <si>
    <t>Normalmente</t>
  </si>
  <si>
    <t>tiro</t>
  </si>
  <si>
    <t>limpo</t>
  </si>
  <si>
    <t>feridas</t>
  </si>
  <si>
    <t># text = Mas penso que, neste contexto, com a ideia de pegar numa coisa falsa e torná-la real, vou parar por aqui, e sair do palco.</t>
  </si>
  <si>
    <t>penso</t>
  </si>
  <si>
    <t>contexto</t>
  </si>
  <si>
    <t>torná</t>
  </si>
  <si>
    <t>parar</t>
  </si>
  <si>
    <t>palco</t>
  </si>
  <si>
    <t># text = Vou ver-vos várias vezes nos próximos dias.</t>
  </si>
  <si>
    <t>várias</t>
  </si>
  <si>
    <t>dias</t>
  </si>
  <si>
    <t># text = Espero que estejam desejosos que isso aconteça.</t>
  </si>
  <si>
    <t>Espero</t>
  </si>
  <si>
    <t>estejam</t>
  </si>
  <si>
    <t>desejosos</t>
  </si>
  <si>
    <t>aconteça</t>
  </si>
  <si>
    <t># text = Muito obrigado.</t>
  </si>
  <si>
    <t>Muito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</si>
</sst>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0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>
        <f>IF(A2=1,"_",IF(C2="_","???",C2))</f>
        <v/>
      </c>
      <c r="H2" s="10" t="s">
        <v>12</v>
      </c>
      <c r="I2" s="11" t="s">
        <v>12</v>
      </c>
      <c r="J2" s="12"/>
    </row>
    <row r="3" spans="1:10" ht="60" customHeight="1">
      <c r="A3" s="6" t="s">
        <v>16</v>
      </c>
      <c r="B3" s="6" t="s">
        <v>17</v>
      </c>
      <c r="C3" s="6" t="s">
        <v>12</v>
      </c>
      <c r="D3" s="7" t="s">
        <v>18</v>
      </c>
      <c r="E3" s="8" t="s">
        <v>19</v>
      </c>
      <c r="F3" s="6" t="s">
        <v>20</v>
      </c>
      <c r="G3" s="9">
        <f>IF(A3=1,"_",IF(C3="_","???",C3))</f>
        <v/>
      </c>
      <c r="H3" s="10" t="s">
        <v>12</v>
      </c>
      <c r="I3" s="11" t="s">
        <v>12</v>
      </c>
      <c r="J3" s="12"/>
    </row>
    <row r="4" spans="1:10" ht="60" customHeight="1">
      <c r="A4" s="6" t="s">
        <v>21</v>
      </c>
      <c r="B4" s="6" t="s">
        <v>22</v>
      </c>
      <c r="C4" s="6" t="s">
        <v>12</v>
      </c>
      <c r="D4" s="7" t="s">
        <v>23</v>
      </c>
      <c r="E4" s="8" t="s">
        <v>24</v>
      </c>
      <c r="F4" s="6" t="s">
        <v>25</v>
      </c>
      <c r="G4" s="9">
        <f>IF(A4=1,"_",IF(C4="_","???",C4))</f>
        <v/>
      </c>
      <c r="H4" s="10" t="s">
        <v>12</v>
      </c>
      <c r="I4" s="11" t="s">
        <v>12</v>
      </c>
      <c r="J4" s="12"/>
    </row>
    <row r="5" spans="1:10" ht="60" customHeight="1">
      <c r="A5" s="6" t="s">
        <v>11</v>
      </c>
      <c r="B5" s="6" t="s">
        <v>11</v>
      </c>
      <c r="C5" s="6" t="s">
        <v>12</v>
      </c>
      <c r="D5" s="7" t="s">
        <v>26</v>
      </c>
      <c r="E5" s="8" t="s">
        <v>27</v>
      </c>
      <c r="F5" s="6" t="s">
        <v>28</v>
      </c>
      <c r="G5" s="9">
        <f>IF(A5=1,"_",IF(C5="_","???",C5))</f>
        <v/>
      </c>
      <c r="H5" s="10" t="s">
        <v>12</v>
      </c>
      <c r="I5" s="11" t="s">
        <v>12</v>
      </c>
      <c r="J5" s="12"/>
    </row>
    <row r="6" spans="1:10" ht="60" customHeight="1">
      <c r="A6" s="6" t="s">
        <v>29</v>
      </c>
      <c r="B6" s="6" t="s">
        <v>10</v>
      </c>
      <c r="C6" s="6" t="s">
        <v>12</v>
      </c>
      <c r="D6" s="7" t="s">
        <v>30</v>
      </c>
      <c r="E6" s="8" t="s">
        <v>31</v>
      </c>
      <c r="F6" s="6" t="s">
        <v>32</v>
      </c>
      <c r="G6" s="9">
        <f>IF(A6=1,"_",IF(C6="_","???",C6))</f>
        <v/>
      </c>
      <c r="H6" s="10" t="s">
        <v>12</v>
      </c>
      <c r="I6" s="11" t="s">
        <v>12</v>
      </c>
      <c r="J6" s="12"/>
    </row>
    <row r="7" spans="1:10" ht="60" customHeight="1">
      <c r="A7" s="6" t="s">
        <v>33</v>
      </c>
      <c r="B7" s="6" t="s">
        <v>33</v>
      </c>
      <c r="C7" s="6" t="s">
        <v>12</v>
      </c>
      <c r="D7" s="7" t="s">
        <v>34</v>
      </c>
      <c r="E7" s="8" t="s">
        <v>35</v>
      </c>
      <c r="F7" s="6" t="s">
        <v>36</v>
      </c>
      <c r="G7" s="9">
        <f>IF(A7=1,"_",IF(C7="_","???",C7))</f>
        <v/>
      </c>
      <c r="H7" s="10" t="s">
        <v>12</v>
      </c>
      <c r="I7" s="11" t="s">
        <v>12</v>
      </c>
      <c r="J7" s="12"/>
    </row>
    <row r="8" spans="1:10" ht="60" customHeight="1">
      <c r="A8" s="6" t="s">
        <v>22</v>
      </c>
      <c r="B8" s="6" t="s">
        <v>16</v>
      </c>
      <c r="C8" s="6" t="s">
        <v>12</v>
      </c>
      <c r="D8" s="7" t="s">
        <v>37</v>
      </c>
      <c r="E8" s="8" t="s">
        <v>38</v>
      </c>
      <c r="F8" s="6" t="s">
        <v>39</v>
      </c>
      <c r="G8" s="9">
        <f>IF(A8=1,"_",IF(C8="_","???",C8))</f>
        <v/>
      </c>
      <c r="H8" s="10" t="s">
        <v>12</v>
      </c>
      <c r="I8" s="11" t="s">
        <v>12</v>
      </c>
      <c r="J8" s="12"/>
    </row>
    <row r="9" spans="1:10" ht="60" customHeight="1">
      <c r="A9" s="6" t="s">
        <v>40</v>
      </c>
      <c r="B9" s="6" t="s">
        <v>21</v>
      </c>
      <c r="C9" s="6" t="s">
        <v>12</v>
      </c>
      <c r="D9" s="7" t="s">
        <v>41</v>
      </c>
      <c r="E9" s="8" t="s">
        <v>42</v>
      </c>
      <c r="F9" s="6" t="s">
        <v>43</v>
      </c>
      <c r="G9" s="9">
        <f>IF(A9=1,"_",IF(C9="_","???",C9))</f>
        <v/>
      </c>
      <c r="H9" s="10" t="s">
        <v>12</v>
      </c>
      <c r="I9" s="11" t="s">
        <v>12</v>
      </c>
      <c r="J9" s="12"/>
    </row>
    <row r="10" spans="1:10" ht="60" customHeight="1">
      <c r="A10" s="6" t="s">
        <v>44</v>
      </c>
      <c r="B10" s="6" t="s">
        <v>21</v>
      </c>
      <c r="C10" s="6" t="s">
        <v>12</v>
      </c>
      <c r="D10" s="7" t="s">
        <v>45</v>
      </c>
      <c r="E10" s="8" t="s">
        <v>46</v>
      </c>
      <c r="F10" s="6" t="s">
        <v>47</v>
      </c>
      <c r="G10" s="9">
        <f>IF(A10=1,"_",IF(C10="_","???",C10))</f>
        <v/>
      </c>
      <c r="H10" s="10" t="s">
        <v>12</v>
      </c>
      <c r="I10" s="11" t="s">
        <v>12</v>
      </c>
      <c r="J10" s="12"/>
    </row>
    <row r="11" spans="1:10" ht="60" customHeight="1">
      <c r="A11" s="6" t="s">
        <v>48</v>
      </c>
      <c r="B11" s="6" t="s">
        <v>16</v>
      </c>
      <c r="C11" s="6" t="s">
        <v>12</v>
      </c>
      <c r="D11" s="7" t="s">
        <v>49</v>
      </c>
      <c r="E11" s="8" t="s">
        <v>50</v>
      </c>
      <c r="F11" s="6" t="s">
        <v>51</v>
      </c>
      <c r="G11" s="9">
        <f>IF(A11=1,"_",IF(C11="_","???",C11))</f>
        <v/>
      </c>
      <c r="H11" s="10" t="s">
        <v>12</v>
      </c>
      <c r="I11" s="11" t="s">
        <v>12</v>
      </c>
      <c r="J11" s="12"/>
    </row>
    <row r="12" spans="1:10" ht="60" customHeight="1">
      <c r="A12" s="6" t="s">
        <v>52</v>
      </c>
      <c r="B12" s="6" t="s">
        <v>10</v>
      </c>
      <c r="C12" s="6" t="s">
        <v>12</v>
      </c>
      <c r="D12" s="7" t="s">
        <v>53</v>
      </c>
      <c r="E12" s="8" t="s">
        <v>54</v>
      </c>
      <c r="F12" s="6" t="s">
        <v>55</v>
      </c>
      <c r="G12" s="9">
        <f>IF(A12=1,"_",IF(C12="_","???",C12))</f>
        <v/>
      </c>
      <c r="H12" s="10" t="s">
        <v>12</v>
      </c>
      <c r="I12" s="11" t="s">
        <v>12</v>
      </c>
      <c r="J12" s="12"/>
    </row>
    <row r="13" spans="1:10" ht="60" customHeight="1">
      <c r="A13" s="6" t="s">
        <v>56</v>
      </c>
      <c r="B13" s="6" t="s">
        <v>21</v>
      </c>
      <c r="C13" s="6" t="s">
        <v>12</v>
      </c>
      <c r="D13" s="7" t="s">
        <v>57</v>
      </c>
      <c r="E13" s="8" t="s">
        <v>58</v>
      </c>
      <c r="F13" s="6" t="s">
        <v>59</v>
      </c>
      <c r="G13" s="9">
        <f>IF(A13=1,"_",IF(C13="_","???",C13))</f>
        <v/>
      </c>
      <c r="H13" s="10" t="s">
        <v>12</v>
      </c>
      <c r="I13" s="11" t="s">
        <v>12</v>
      </c>
      <c r="J13" s="12"/>
    </row>
    <row r="14" spans="1:10" ht="60" customHeight="1">
      <c r="A14" s="6" t="s">
        <v>60</v>
      </c>
      <c r="B14" s="6" t="s">
        <v>16</v>
      </c>
      <c r="C14" s="6" t="s">
        <v>12</v>
      </c>
      <c r="D14" s="7" t="s">
        <v>61</v>
      </c>
      <c r="E14" s="8" t="s">
        <v>62</v>
      </c>
      <c r="F14" s="6" t="s">
        <v>63</v>
      </c>
      <c r="G14" s="9">
        <f>IF(A14=1,"_",IF(C14="_","???",C14))</f>
        <v/>
      </c>
      <c r="H14" s="10" t="s">
        <v>12</v>
      </c>
      <c r="I14" s="11" t="s">
        <v>12</v>
      </c>
      <c r="J14" s="12"/>
    </row>
    <row r="15" spans="1:10" ht="60" customHeight="1">
      <c r="A15" s="6" t="s">
        <v>64</v>
      </c>
      <c r="B15" s="6" t="s">
        <v>21</v>
      </c>
      <c r="C15" s="6" t="s">
        <v>12</v>
      </c>
      <c r="D15" s="7" t="s">
        <v>65</v>
      </c>
      <c r="E15" s="8" t="s">
        <v>66</v>
      </c>
      <c r="F15" s="6" t="s">
        <v>67</v>
      </c>
      <c r="G15" s="9">
        <f>IF(A15=1,"_",IF(C15="_","???",C15))</f>
        <v/>
      </c>
      <c r="H15" s="10" t="s">
        <v>12</v>
      </c>
      <c r="I15" s="11" t="s">
        <v>12</v>
      </c>
      <c r="J15" s="12"/>
    </row>
    <row r="16" spans="1:10" ht="60" customHeight="1">
      <c r="A16" s="6" t="s">
        <v>68</v>
      </c>
      <c r="B16" s="6" t="s">
        <v>10</v>
      </c>
      <c r="C16" s="6" t="s">
        <v>12</v>
      </c>
      <c r="D16" s="7" t="s">
        <v>53</v>
      </c>
      <c r="E16" s="8" t="s">
        <v>69</v>
      </c>
      <c r="F16" s="6" t="s">
        <v>70</v>
      </c>
      <c r="G16" s="9">
        <f>IF(A16=1,"_",IF(C16="_","???",C16))</f>
        <v/>
      </c>
      <c r="H16" s="10" t="s">
        <v>12</v>
      </c>
      <c r="I16" s="11" t="s">
        <v>12</v>
      </c>
      <c r="J16" s="12"/>
    </row>
    <row r="17" spans="1:10" ht="60" customHeight="1">
      <c r="A17" s="6" t="s">
        <v>71</v>
      </c>
      <c r="B17" s="6" t="s">
        <v>10</v>
      </c>
      <c r="C17" s="6" t="s">
        <v>12</v>
      </c>
      <c r="D17" s="7" t="s">
        <v>72</v>
      </c>
      <c r="E17" s="8" t="s">
        <v>73</v>
      </c>
      <c r="F17" s="6" t="s">
        <v>74</v>
      </c>
      <c r="G17" s="9">
        <f>IF(A17=1,"_",IF(C17="_","???",C17))</f>
        <v/>
      </c>
      <c r="H17" s="10" t="s">
        <v>12</v>
      </c>
      <c r="I17" s="11" t="s">
        <v>12</v>
      </c>
      <c r="J17" s="12"/>
    </row>
    <row r="18" spans="1:10" ht="60" customHeight="1">
      <c r="A18" s="6" t="s">
        <v>75</v>
      </c>
      <c r="B18" s="6" t="s">
        <v>56</v>
      </c>
      <c r="C18" s="6" t="s">
        <v>12</v>
      </c>
      <c r="D18" s="7" t="s">
        <v>76</v>
      </c>
      <c r="E18" s="8" t="s">
        <v>77</v>
      </c>
      <c r="F18" s="6" t="s">
        <v>78</v>
      </c>
      <c r="G18" s="9">
        <f>IF(A18=1,"_",IF(C18="_","???",C18))</f>
        <v/>
      </c>
      <c r="H18" s="10" t="s">
        <v>12</v>
      </c>
      <c r="I18" s="11" t="s">
        <v>12</v>
      </c>
      <c r="J18" s="12"/>
    </row>
    <row r="19" spans="1:10" ht="60" customHeight="1">
      <c r="A19" s="6" t="s">
        <v>79</v>
      </c>
      <c r="B19" s="6" t="s">
        <v>21</v>
      </c>
      <c r="C19" s="6" t="s">
        <v>12</v>
      </c>
      <c r="D19" s="7" t="s">
        <v>80</v>
      </c>
      <c r="E19" s="8" t="s">
        <v>81</v>
      </c>
      <c r="F19" s="6" t="s">
        <v>82</v>
      </c>
      <c r="G19" s="9">
        <f>IF(A19=1,"_",IF(C19="_","???",C19))</f>
        <v/>
      </c>
      <c r="H19" s="10" t="s">
        <v>12</v>
      </c>
      <c r="I19" s="11" t="s">
        <v>12</v>
      </c>
      <c r="J19" s="12"/>
    </row>
    <row r="20" spans="1:10" ht="60" customHeight="1">
      <c r="A20" s="6" t="s">
        <v>83</v>
      </c>
      <c r="B20" s="6" t="s">
        <v>29</v>
      </c>
      <c r="C20" s="6" t="s">
        <v>12</v>
      </c>
      <c r="D20" s="7" t="s">
        <v>84</v>
      </c>
      <c r="E20" s="8" t="s">
        <v>85</v>
      </c>
      <c r="F20" s="6" t="s">
        <v>86</v>
      </c>
      <c r="G20" s="9">
        <f>IF(A20=1,"_",IF(C20="_","???",C20))</f>
        <v/>
      </c>
      <c r="H20" s="10" t="s">
        <v>12</v>
      </c>
      <c r="I20" s="11" t="s">
        <v>12</v>
      </c>
      <c r="J20" s="12"/>
    </row>
    <row r="21" spans="1:10" ht="60" customHeight="1">
      <c r="A21" s="6" t="s">
        <v>87</v>
      </c>
      <c r="B21" s="6" t="s">
        <v>87</v>
      </c>
      <c r="C21" s="6" t="s">
        <v>12</v>
      </c>
      <c r="D21" s="7" t="s">
        <v>88</v>
      </c>
      <c r="E21" s="8" t="s">
        <v>89</v>
      </c>
      <c r="F21" s="6" t="s">
        <v>90</v>
      </c>
      <c r="G21" s="9">
        <f>IF(A21=1,"_",IF(C21="_","???",C21))</f>
        <v/>
      </c>
      <c r="H21" s="10" t="s">
        <v>12</v>
      </c>
      <c r="I21" s="11" t="s">
        <v>12</v>
      </c>
      <c r="J21" s="12"/>
    </row>
    <row r="22" spans="1:10" ht="60" customHeight="1">
      <c r="A22" s="6" t="s">
        <v>91</v>
      </c>
      <c r="B22" s="6" t="s">
        <v>11</v>
      </c>
      <c r="C22" s="6" t="s">
        <v>12</v>
      </c>
      <c r="D22" s="7" t="s">
        <v>92</v>
      </c>
      <c r="E22" s="8" t="s">
        <v>93</v>
      </c>
      <c r="F22" s="6" t="s">
        <v>94</v>
      </c>
      <c r="G22" s="9">
        <f>IF(A22=1,"_",IF(C22="_","???",C22))</f>
        <v/>
      </c>
      <c r="H22" s="10" t="s">
        <v>12</v>
      </c>
      <c r="I22" s="11" t="s">
        <v>12</v>
      </c>
      <c r="J22" s="12"/>
    </row>
    <row r="23" spans="1:10" ht="60" customHeight="1">
      <c r="A23" s="6" t="s">
        <v>95</v>
      </c>
      <c r="B23" s="6" t="s">
        <v>16</v>
      </c>
      <c r="C23" s="6" t="s">
        <v>12</v>
      </c>
      <c r="D23" s="7" t="s">
        <v>96</v>
      </c>
      <c r="E23" s="8" t="s">
        <v>97</v>
      </c>
      <c r="F23" s="6" t="s">
        <v>98</v>
      </c>
      <c r="G23" s="9">
        <f>IF(A23=1,"_",IF(C23="_","???",C23))</f>
        <v/>
      </c>
      <c r="H23" s="10" t="s">
        <v>12</v>
      </c>
      <c r="I23" s="11" t="s">
        <v>12</v>
      </c>
      <c r="J23" s="12"/>
    </row>
    <row r="24" spans="1:10" ht="60" customHeight="1">
      <c r="A24" s="6" t="s">
        <v>99</v>
      </c>
      <c r="B24" s="6" t="s">
        <v>16</v>
      </c>
      <c r="C24" s="6" t="s">
        <v>12</v>
      </c>
      <c r="D24" s="7" t="s">
        <v>100</v>
      </c>
      <c r="E24" s="8" t="s">
        <v>101</v>
      </c>
      <c r="F24" s="6" t="s">
        <v>102</v>
      </c>
      <c r="G24" s="9">
        <f>IF(A24=1,"_",IF(C24="_","???",C24))</f>
        <v/>
      </c>
      <c r="H24" s="10" t="s">
        <v>12</v>
      </c>
      <c r="I24" s="11" t="s">
        <v>12</v>
      </c>
      <c r="J24" s="12"/>
    </row>
    <row r="25" spans="1:10" ht="60" customHeight="1">
      <c r="A25" s="6" t="s">
        <v>103</v>
      </c>
      <c r="B25" s="6" t="s">
        <v>10</v>
      </c>
      <c r="C25" s="6" t="s">
        <v>12</v>
      </c>
      <c r="D25" s="7" t="s">
        <v>104</v>
      </c>
      <c r="E25" s="8" t="s">
        <v>105</v>
      </c>
      <c r="F25" s="6" t="s">
        <v>106</v>
      </c>
      <c r="G25" s="9">
        <f>IF(A25=1,"_",IF(C25="_","???",C25))</f>
        <v/>
      </c>
      <c r="H25" s="10" t="s">
        <v>12</v>
      </c>
      <c r="I25" s="11" t="s">
        <v>12</v>
      </c>
      <c r="J25" s="12"/>
    </row>
    <row r="26" spans="1:10" ht="60" customHeight="1">
      <c r="A26" s="6" t="s">
        <v>107</v>
      </c>
      <c r="B26" s="6" t="s">
        <v>16</v>
      </c>
      <c r="C26" s="6" t="s">
        <v>12</v>
      </c>
      <c r="D26" s="7" t="s">
        <v>108</v>
      </c>
      <c r="E26" s="8" t="s">
        <v>109</v>
      </c>
      <c r="F26" s="6" t="s">
        <v>110</v>
      </c>
      <c r="G26" s="9">
        <f>IF(A26=1,"_",IF(C26="_","???",C26))</f>
        <v/>
      </c>
      <c r="H26" s="10" t="s">
        <v>12</v>
      </c>
      <c r="I26" s="11" t="s">
        <v>12</v>
      </c>
      <c r="J26" s="12"/>
    </row>
    <row r="27" spans="1:10" ht="60" customHeight="1">
      <c r="A27" s="6" t="s">
        <v>111</v>
      </c>
      <c r="B27" s="6" t="s">
        <v>29</v>
      </c>
      <c r="C27" s="6" t="s">
        <v>12</v>
      </c>
      <c r="D27" s="7" t="s">
        <v>112</v>
      </c>
      <c r="E27" s="8" t="s">
        <v>113</v>
      </c>
      <c r="F27" s="6" t="s">
        <v>114</v>
      </c>
      <c r="G27" s="9">
        <f>IF(A27=1,"_",IF(C27="_","???",C27))</f>
        <v/>
      </c>
      <c r="H27" s="10" t="s">
        <v>12</v>
      </c>
      <c r="I27" s="11" t="s">
        <v>12</v>
      </c>
      <c r="J27" s="12"/>
    </row>
    <row r="28" spans="1:10" ht="60" customHeight="1">
      <c r="A28" s="6" t="s">
        <v>115</v>
      </c>
      <c r="B28" s="6" t="s">
        <v>11</v>
      </c>
      <c r="C28" s="6" t="s">
        <v>12</v>
      </c>
      <c r="D28" s="7" t="s">
        <v>116</v>
      </c>
      <c r="E28" s="8" t="s">
        <v>117</v>
      </c>
      <c r="F28" s="6" t="s">
        <v>118</v>
      </c>
      <c r="G28" s="9">
        <f>IF(A28=1,"_",IF(C28="_","???",C28))</f>
        <v/>
      </c>
      <c r="H28" s="10" t="s">
        <v>12</v>
      </c>
      <c r="I28" s="11" t="s">
        <v>12</v>
      </c>
      <c r="J28" s="12"/>
    </row>
    <row r="29" spans="1:10" ht="60" customHeight="1">
      <c r="A29" s="6" t="s">
        <v>119</v>
      </c>
      <c r="B29" s="6" t="s">
        <v>16</v>
      </c>
      <c r="C29" s="6" t="s">
        <v>12</v>
      </c>
      <c r="D29" s="7" t="s">
        <v>120</v>
      </c>
      <c r="E29" s="8" t="s">
        <v>121</v>
      </c>
      <c r="F29" s="6" t="s">
        <v>122</v>
      </c>
      <c r="G29" s="9">
        <f>IF(A29=1,"_",IF(C29="_","???",C29))</f>
        <v/>
      </c>
      <c r="H29" s="10" t="s">
        <v>12</v>
      </c>
      <c r="I29" s="11" t="s">
        <v>12</v>
      </c>
      <c r="J29" s="12"/>
    </row>
    <row r="30" spans="1:10" ht="60" customHeight="1">
      <c r="A30" s="6" t="s">
        <v>123</v>
      </c>
      <c r="B30" s="6" t="s">
        <v>10</v>
      </c>
      <c r="C30" s="6" t="s">
        <v>12</v>
      </c>
      <c r="D30" s="7" t="s">
        <v>124</v>
      </c>
      <c r="E30" s="8" t="s">
        <v>125</v>
      </c>
      <c r="F30" s="6" t="s">
        <v>126</v>
      </c>
      <c r="G30" s="9">
        <f>IF(A30=1,"_",IF(C30="_","???",C30))</f>
        <v/>
      </c>
      <c r="H30" s="10" t="s">
        <v>12</v>
      </c>
      <c r="I30" s="11" t="s">
        <v>12</v>
      </c>
      <c r="J30" s="12"/>
    </row>
    <row r="31" spans="1:10" ht="60" customHeight="1">
      <c r="A31" s="6" t="s">
        <v>127</v>
      </c>
      <c r="B31" s="6" t="s">
        <v>16</v>
      </c>
      <c r="C31" s="6" t="s">
        <v>12</v>
      </c>
      <c r="D31" s="7" t="s">
        <v>128</v>
      </c>
      <c r="E31" s="8" t="s">
        <v>129</v>
      </c>
      <c r="F31" s="6" t="s">
        <v>130</v>
      </c>
      <c r="G31" s="9">
        <f>IF(A31=1,"_",IF(C31="_","???",C31))</f>
        <v/>
      </c>
      <c r="H31" s="10" t="s">
        <v>12</v>
      </c>
      <c r="I31" s="11" t="s">
        <v>12</v>
      </c>
      <c r="J31" s="12"/>
    </row>
    <row r="32" spans="1:10" ht="60" customHeight="1">
      <c r="A32" s="6" t="s">
        <v>131</v>
      </c>
      <c r="B32" s="6" t="s">
        <v>29</v>
      </c>
      <c r="C32" s="6" t="s">
        <v>12</v>
      </c>
      <c r="D32" s="7" t="s">
        <v>132</v>
      </c>
      <c r="E32" s="8" t="s">
        <v>133</v>
      </c>
      <c r="F32" s="6" t="s">
        <v>134</v>
      </c>
      <c r="G32" s="9">
        <f>IF(A32=1,"_",IF(C32="_","???",C32))</f>
        <v/>
      </c>
      <c r="H32" s="10" t="s">
        <v>12</v>
      </c>
      <c r="I32" s="11" t="s">
        <v>12</v>
      </c>
      <c r="J32" s="12"/>
    </row>
    <row r="33" spans="1:10" ht="60" customHeight="1">
      <c r="A33" s="6" t="s">
        <v>135</v>
      </c>
      <c r="B33" s="6" t="s">
        <v>16</v>
      </c>
      <c r="C33" s="6" t="s">
        <v>12</v>
      </c>
      <c r="D33" s="7" t="s">
        <v>136</v>
      </c>
      <c r="E33" s="8" t="s">
        <v>137</v>
      </c>
      <c r="F33" s="6" t="s">
        <v>138</v>
      </c>
      <c r="G33" s="9">
        <f>IF(A33=1,"_",IF(C33="_","???",C33))</f>
        <v/>
      </c>
      <c r="H33" s="10" t="s">
        <v>12</v>
      </c>
      <c r="I33" s="11" t="s">
        <v>12</v>
      </c>
      <c r="J33" s="12"/>
    </row>
    <row r="34" spans="1:10" ht="60" customHeight="1">
      <c r="A34" s="6" t="s">
        <v>17</v>
      </c>
      <c r="B34" s="6" t="s">
        <v>10</v>
      </c>
      <c r="C34" s="6" t="s">
        <v>12</v>
      </c>
      <c r="D34" s="7" t="s">
        <v>23</v>
      </c>
      <c r="E34" s="8" t="s">
        <v>139</v>
      </c>
      <c r="F34" s="6" t="s">
        <v>140</v>
      </c>
      <c r="G34" s="9">
        <f>IF(A34=1,"_",IF(C34="_","???",C34))</f>
        <v/>
      </c>
      <c r="H34" s="10" t="s">
        <v>12</v>
      </c>
      <c r="I34" s="11" t="s">
        <v>12</v>
      </c>
      <c r="J34" s="12"/>
    </row>
    <row r="35" spans="1:10" ht="60" customHeight="1">
      <c r="A35" s="6" t="s">
        <v>141</v>
      </c>
      <c r="B35" s="6" t="s">
        <v>16</v>
      </c>
      <c r="C35" s="6" t="s">
        <v>12</v>
      </c>
      <c r="D35" s="7" t="s">
        <v>142</v>
      </c>
      <c r="E35" s="8" t="s">
        <v>143</v>
      </c>
      <c r="F35" s="6" t="s">
        <v>144</v>
      </c>
      <c r="G35" s="9">
        <f>IF(A35=1,"_",IF(C35="_","???",C35))</f>
        <v/>
      </c>
      <c r="H35" s="10" t="s">
        <v>12</v>
      </c>
      <c r="I35" s="11" t="s">
        <v>12</v>
      </c>
      <c r="J35" s="12"/>
    </row>
    <row r="36" spans="1:10" ht="60" customHeight="1">
      <c r="A36" s="6" t="s">
        <v>145</v>
      </c>
      <c r="B36" s="6" t="s">
        <v>21</v>
      </c>
      <c r="C36" s="6" t="s">
        <v>12</v>
      </c>
      <c r="D36" s="7" t="s">
        <v>57</v>
      </c>
      <c r="E36" s="8" t="s">
        <v>146</v>
      </c>
      <c r="F36" s="6" t="s">
        <v>147</v>
      </c>
      <c r="G36" s="9">
        <f>IF(A36=1,"_",IF(C36="_","???",C36))</f>
        <v/>
      </c>
      <c r="H36" s="10" t="s">
        <v>12</v>
      </c>
      <c r="I36" s="11" t="s">
        <v>12</v>
      </c>
      <c r="J36" s="12"/>
    </row>
    <row r="37" spans="1:10" ht="60" customHeight="1">
      <c r="A37" s="6" t="s">
        <v>148</v>
      </c>
      <c r="B37" s="6" t="s">
        <v>48</v>
      </c>
      <c r="C37" s="6" t="s">
        <v>12</v>
      </c>
      <c r="D37" s="7" t="s">
        <v>149</v>
      </c>
      <c r="E37" s="8" t="s">
        <v>150</v>
      </c>
      <c r="F37" s="6" t="s">
        <v>151</v>
      </c>
      <c r="G37" s="9">
        <f>IF(A37=1,"_",IF(C37="_","???",C37))</f>
        <v/>
      </c>
      <c r="H37" s="10" t="s">
        <v>12</v>
      </c>
      <c r="I37" s="11" t="s">
        <v>12</v>
      </c>
      <c r="J37" s="12"/>
    </row>
    <row r="38" spans="1:10" ht="60" customHeight="1">
      <c r="A38" s="6" t="s">
        <v>152</v>
      </c>
      <c r="B38" s="6" t="s">
        <v>29</v>
      </c>
      <c r="C38" s="6" t="s">
        <v>12</v>
      </c>
      <c r="D38" s="7" t="s">
        <v>153</v>
      </c>
      <c r="E38" s="8" t="s">
        <v>154</v>
      </c>
      <c r="F38" s="6" t="s">
        <v>155</v>
      </c>
      <c r="G38" s="9">
        <f>IF(A38=1,"_",IF(C38="_","???",C38))</f>
        <v/>
      </c>
      <c r="H38" s="10" t="s">
        <v>12</v>
      </c>
      <c r="I38" s="11" t="s">
        <v>12</v>
      </c>
      <c r="J38" s="12"/>
    </row>
    <row r="39" spans="1:10" ht="60" customHeight="1">
      <c r="A39" s="6" t="s">
        <v>156</v>
      </c>
      <c r="B39" s="6" t="s">
        <v>29</v>
      </c>
      <c r="C39" s="6" t="s">
        <v>157</v>
      </c>
      <c r="D39" s="7" t="s">
        <v>158</v>
      </c>
      <c r="E39" s="8" t="s">
        <v>159</v>
      </c>
      <c r="F39" s="6" t="s">
        <v>160</v>
      </c>
      <c r="G39" s="9">
        <f>IF(A39=1,"_",IF(C39="_","???",C39))</f>
        <v/>
      </c>
      <c r="H39" s="10" t="s">
        <v>12</v>
      </c>
      <c r="I39" s="11" t="s">
        <v>12</v>
      </c>
      <c r="J39" s="12"/>
    </row>
    <row r="40" spans="1:10" ht="60" customHeight="1">
      <c r="A40" s="6" t="s">
        <v>161</v>
      </c>
      <c r="B40" s="6" t="s">
        <v>103</v>
      </c>
      <c r="C40" s="6" t="s">
        <v>12</v>
      </c>
      <c r="D40" s="7" t="s">
        <v>162</v>
      </c>
      <c r="E40" s="8" t="s">
        <v>163</v>
      </c>
      <c r="F40" s="6" t="s">
        <v>164</v>
      </c>
      <c r="G40" s="9">
        <f>IF(A40=1,"_",IF(C40="_","???",C40))</f>
        <v/>
      </c>
      <c r="H40" s="10" t="s">
        <v>12</v>
      </c>
      <c r="I40" s="11" t="s">
        <v>12</v>
      </c>
      <c r="J40" s="12"/>
    </row>
    <row r="41" spans="1:10" ht="60" customHeight="1">
      <c r="A41" s="6" t="s">
        <v>165</v>
      </c>
      <c r="B41" s="6" t="s">
        <v>21</v>
      </c>
      <c r="C41" s="6" t="s">
        <v>12</v>
      </c>
      <c r="D41" s="7" t="s">
        <v>166</v>
      </c>
      <c r="E41" s="8" t="s">
        <v>167</v>
      </c>
      <c r="F41" s="6" t="s">
        <v>168</v>
      </c>
      <c r="G41" s="9">
        <f>IF(A41=1,"_",IF(C41="_","???",C41))</f>
        <v/>
      </c>
      <c r="H41" s="10" t="s">
        <v>12</v>
      </c>
      <c r="I41" s="11" t="s">
        <v>12</v>
      </c>
      <c r="J41" s="12"/>
    </row>
    <row r="42" spans="1:10" ht="60" customHeight="1">
      <c r="A42" s="6" t="s">
        <v>169</v>
      </c>
      <c r="B42" s="6" t="s">
        <v>16</v>
      </c>
      <c r="C42" s="6" t="s">
        <v>12</v>
      </c>
      <c r="D42" s="7" t="s">
        <v>170</v>
      </c>
      <c r="E42" s="8" t="s">
        <v>171</v>
      </c>
      <c r="F42" s="6" t="s">
        <v>172</v>
      </c>
      <c r="G42" s="9">
        <f>IF(A42=1,"_",IF(C42="_","???",C42))</f>
        <v/>
      </c>
      <c r="H42" s="10" t="s">
        <v>12</v>
      </c>
      <c r="I42" s="11" t="s">
        <v>12</v>
      </c>
      <c r="J42" s="12"/>
    </row>
    <row r="43" spans="1:10" ht="60" customHeight="1">
      <c r="A43" s="6" t="s">
        <v>173</v>
      </c>
      <c r="B43" s="6" t="s">
        <v>29</v>
      </c>
      <c r="C43" s="6" t="s">
        <v>12</v>
      </c>
      <c r="D43" s="7" t="s">
        <v>92</v>
      </c>
      <c r="E43" s="8" t="s">
        <v>174</v>
      </c>
      <c r="F43" s="6" t="s">
        <v>175</v>
      </c>
      <c r="G43" s="9">
        <f>IF(A43=1,"_",IF(C43="_","???",C43))</f>
        <v/>
      </c>
      <c r="H43" s="10" t="s">
        <v>12</v>
      </c>
      <c r="I43" s="11" t="s">
        <v>12</v>
      </c>
      <c r="J43" s="12"/>
    </row>
    <row r="44" spans="1:10" ht="60" customHeight="1">
      <c r="A44" s="6" t="s">
        <v>176</v>
      </c>
      <c r="B44" s="6" t="s">
        <v>21</v>
      </c>
      <c r="C44" s="6" t="s">
        <v>12</v>
      </c>
      <c r="D44" s="7" t="s">
        <v>177</v>
      </c>
      <c r="E44" s="8" t="s">
        <v>178</v>
      </c>
      <c r="F44" s="6" t="s">
        <v>179</v>
      </c>
      <c r="G44" s="9">
        <f>IF(A44=1,"_",IF(C44="_","???",C44))</f>
        <v/>
      </c>
      <c r="H44" s="10" t="s">
        <v>12</v>
      </c>
      <c r="I44" s="11" t="s">
        <v>12</v>
      </c>
      <c r="J44" s="12"/>
    </row>
    <row r="45" spans="1:10" ht="60" customHeight="1">
      <c r="A45" s="6" t="s">
        <v>180</v>
      </c>
      <c r="B45" s="6" t="s">
        <v>44</v>
      </c>
      <c r="C45" s="6" t="s">
        <v>12</v>
      </c>
      <c r="D45" s="7" t="s">
        <v>181</v>
      </c>
      <c r="E45" s="8" t="s">
        <v>182</v>
      </c>
      <c r="F45" s="6" t="s">
        <v>183</v>
      </c>
      <c r="G45" s="9">
        <f>IF(A45=1,"_",IF(C45="_","???",C45))</f>
        <v/>
      </c>
      <c r="H45" s="10" t="s">
        <v>12</v>
      </c>
      <c r="I45" s="11" t="s">
        <v>12</v>
      </c>
      <c r="J45" s="12"/>
    </row>
    <row r="46" spans="1:10" ht="60" customHeight="1">
      <c r="A46" s="6" t="s">
        <v>184</v>
      </c>
      <c r="B46" s="6" t="s">
        <v>10</v>
      </c>
      <c r="C46" s="6" t="s">
        <v>12</v>
      </c>
      <c r="D46" s="7" t="s">
        <v>185</v>
      </c>
      <c r="E46" s="8" t="s">
        <v>186</v>
      </c>
      <c r="F46" s="6" t="s">
        <v>187</v>
      </c>
      <c r="G46" s="9">
        <f>IF(A46=1,"_",IF(C46="_","???",C46))</f>
        <v/>
      </c>
      <c r="H46" s="10" t="s">
        <v>12</v>
      </c>
      <c r="I46" s="11" t="s">
        <v>12</v>
      </c>
      <c r="J46" s="12"/>
    </row>
    <row r="47" spans="1:10" ht="60" customHeight="1">
      <c r="A47" s="6" t="s">
        <v>188</v>
      </c>
      <c r="B47" s="6" t="s">
        <v>10</v>
      </c>
      <c r="C47" s="6" t="s">
        <v>12</v>
      </c>
      <c r="D47" s="7" t="s">
        <v>189</v>
      </c>
      <c r="E47" s="8" t="s">
        <v>190</v>
      </c>
      <c r="F47" s="6" t="s">
        <v>191</v>
      </c>
      <c r="G47" s="9">
        <f>IF(A47=1,"_",IF(C47="_","???",C47))</f>
        <v/>
      </c>
      <c r="H47" s="10" t="s">
        <v>12</v>
      </c>
      <c r="I47" s="11" t="s">
        <v>12</v>
      </c>
      <c r="J47" s="12"/>
    </row>
    <row r="48" spans="1:10" ht="60" customHeight="1">
      <c r="A48" s="6" t="s">
        <v>192</v>
      </c>
      <c r="B48" s="6" t="s">
        <v>16</v>
      </c>
      <c r="C48" s="6" t="s">
        <v>12</v>
      </c>
      <c r="D48" s="7" t="s">
        <v>108</v>
      </c>
      <c r="E48" s="8" t="s">
        <v>193</v>
      </c>
      <c r="F48" s="6" t="s">
        <v>194</v>
      </c>
      <c r="G48" s="9">
        <f>IF(A48=1,"_",IF(C48="_","???",C48))</f>
        <v/>
      </c>
      <c r="H48" s="10" t="s">
        <v>12</v>
      </c>
      <c r="I48" s="11" t="s">
        <v>12</v>
      </c>
      <c r="J48" s="12"/>
    </row>
    <row r="49" spans="1:10" ht="60" customHeight="1">
      <c r="A49" s="6" t="s">
        <v>195</v>
      </c>
      <c r="B49" s="6" t="s">
        <v>10</v>
      </c>
      <c r="C49" s="6" t="s">
        <v>12</v>
      </c>
      <c r="D49" s="7" t="s">
        <v>196</v>
      </c>
      <c r="E49" s="8" t="s">
        <v>197</v>
      </c>
      <c r="F49" s="6" t="s">
        <v>198</v>
      </c>
      <c r="G49" s="9">
        <f>IF(A49=1,"_",IF(C49="_","???",C49))</f>
        <v/>
      </c>
      <c r="H49" s="10" t="s">
        <v>12</v>
      </c>
      <c r="I49" s="11" t="s">
        <v>12</v>
      </c>
      <c r="J49" s="12"/>
    </row>
    <row r="50" spans="1:10" ht="60" customHeight="1">
      <c r="A50" s="6" t="s">
        <v>199</v>
      </c>
      <c r="B50" s="6" t="s">
        <v>33</v>
      </c>
      <c r="C50" s="6" t="s">
        <v>12</v>
      </c>
      <c r="D50" s="7" t="s">
        <v>200</v>
      </c>
      <c r="E50" s="8" t="s">
        <v>201</v>
      </c>
      <c r="F50" s="6" t="s">
        <v>202</v>
      </c>
      <c r="G50" s="9">
        <f>IF(A50=1,"_",IF(C50="_","???",C50))</f>
        <v/>
      </c>
      <c r="H50" s="10" t="s">
        <v>12</v>
      </c>
      <c r="I50" s="11" t="s">
        <v>12</v>
      </c>
      <c r="J50" s="12"/>
    </row>
    <row r="51" spans="1:10" ht="60" customHeight="1">
      <c r="A51" s="6" t="s">
        <v>203</v>
      </c>
      <c r="B51" s="6" t="s">
        <v>10</v>
      </c>
      <c r="C51" s="6" t="s">
        <v>12</v>
      </c>
      <c r="D51" s="7" t="s">
        <v>204</v>
      </c>
      <c r="E51" s="8" t="s">
        <v>205</v>
      </c>
      <c r="F51" s="6" t="s">
        <v>206</v>
      </c>
      <c r="G51" s="9">
        <f>IF(A51=1,"_",IF(C51="_","???",C51))</f>
        <v/>
      </c>
      <c r="H51" s="10" t="s">
        <v>12</v>
      </c>
      <c r="I51" s="11" t="s">
        <v>12</v>
      </c>
      <c r="J51" s="12"/>
    </row>
    <row r="52" spans="1:10" ht="60" customHeight="1">
      <c r="A52" s="6" t="s">
        <v>207</v>
      </c>
      <c r="B52" s="6" t="s">
        <v>16</v>
      </c>
      <c r="C52" s="6" t="s">
        <v>12</v>
      </c>
      <c r="D52" s="7" t="s">
        <v>208</v>
      </c>
      <c r="E52" s="8" t="s">
        <v>209</v>
      </c>
      <c r="F52" s="6" t="s">
        <v>210</v>
      </c>
      <c r="G52" s="9">
        <f>IF(A52=1,"_",IF(C52="_","???",C52))</f>
        <v/>
      </c>
      <c r="H52" s="10" t="s">
        <v>12</v>
      </c>
      <c r="I52" s="11" t="s">
        <v>12</v>
      </c>
      <c r="J52" s="12"/>
    </row>
    <row r="53" spans="1:10" ht="60" customHeight="1">
      <c r="A53" s="6" t="s">
        <v>211</v>
      </c>
      <c r="B53" s="6" t="s">
        <v>10</v>
      </c>
      <c r="C53" s="6" t="s">
        <v>12</v>
      </c>
      <c r="D53" s="7" t="s">
        <v>212</v>
      </c>
      <c r="E53" s="8" t="s">
        <v>213</v>
      </c>
      <c r="F53" s="6" t="s">
        <v>214</v>
      </c>
      <c r="G53" s="9">
        <f>IF(A53=1,"_",IF(C53="_","???",C53))</f>
        <v/>
      </c>
      <c r="H53" s="10" t="s">
        <v>12</v>
      </c>
      <c r="I53" s="11" t="s">
        <v>12</v>
      </c>
      <c r="J53" s="12"/>
    </row>
    <row r="54" spans="1:10" ht="60" customHeight="1">
      <c r="A54" s="6" t="s">
        <v>215</v>
      </c>
      <c r="B54" s="6" t="s">
        <v>17</v>
      </c>
      <c r="C54" s="6" t="s">
        <v>12</v>
      </c>
      <c r="D54" s="7" t="s">
        <v>57</v>
      </c>
      <c r="E54" s="8" t="s">
        <v>216</v>
      </c>
      <c r="F54" s="6" t="s">
        <v>217</v>
      </c>
      <c r="G54" s="9">
        <f>IF(A54=1,"_",IF(C54="_","???",C54))</f>
        <v/>
      </c>
      <c r="H54" s="10" t="s">
        <v>12</v>
      </c>
      <c r="I54" s="11" t="s">
        <v>12</v>
      </c>
      <c r="J54" s="12"/>
    </row>
    <row r="55" spans="1:10" ht="60" customHeight="1">
      <c r="A55" s="6" t="s">
        <v>218</v>
      </c>
      <c r="B55" s="6" t="s">
        <v>16</v>
      </c>
      <c r="C55" s="6" t="s">
        <v>12</v>
      </c>
      <c r="D55" s="7" t="s">
        <v>219</v>
      </c>
      <c r="E55" s="8" t="s">
        <v>220</v>
      </c>
      <c r="F55" s="6" t="s">
        <v>221</v>
      </c>
      <c r="G55" s="9">
        <f>IF(A55=1,"_",IF(C55="_","???",C55))</f>
        <v/>
      </c>
      <c r="H55" s="10" t="s">
        <v>12</v>
      </c>
      <c r="I55" s="11" t="s">
        <v>12</v>
      </c>
      <c r="J55" s="12"/>
    </row>
    <row r="56" spans="1:10" ht="60" customHeight="1">
      <c r="A56" s="6" t="s">
        <v>222</v>
      </c>
      <c r="B56" s="6" t="s">
        <v>33</v>
      </c>
      <c r="C56" s="6" t="s">
        <v>12</v>
      </c>
      <c r="D56" s="7" t="s">
        <v>136</v>
      </c>
      <c r="E56" s="8" t="s">
        <v>223</v>
      </c>
      <c r="F56" s="6" t="s">
        <v>224</v>
      </c>
      <c r="G56" s="9">
        <f>IF(A56=1,"_",IF(C56="_","???",C56))</f>
        <v/>
      </c>
      <c r="H56" s="10" t="s">
        <v>12</v>
      </c>
      <c r="I56" s="11" t="s">
        <v>12</v>
      </c>
      <c r="J56" s="12"/>
    </row>
    <row r="57" spans="1:10" ht="60" customHeight="1">
      <c r="A57" s="6" t="s">
        <v>225</v>
      </c>
      <c r="B57" s="6" t="s">
        <v>16</v>
      </c>
      <c r="C57" s="6" t="s">
        <v>12</v>
      </c>
      <c r="D57" s="7" t="s">
        <v>226</v>
      </c>
      <c r="E57" s="8" t="s">
        <v>227</v>
      </c>
      <c r="F57" s="6" t="s">
        <v>228</v>
      </c>
      <c r="G57" s="9">
        <f>IF(A57=1,"_",IF(C57="_","???",C57))</f>
        <v/>
      </c>
      <c r="H57" s="10" t="s">
        <v>12</v>
      </c>
      <c r="I57" s="11" t="s">
        <v>12</v>
      </c>
      <c r="J57" s="12"/>
    </row>
    <row r="58" spans="1:10" ht="60" customHeight="1">
      <c r="A58" s="6" t="s">
        <v>229</v>
      </c>
      <c r="B58" s="6" t="s">
        <v>10</v>
      </c>
      <c r="C58" s="6" t="s">
        <v>12</v>
      </c>
      <c r="D58" s="7" t="s">
        <v>230</v>
      </c>
      <c r="E58" s="8" t="s">
        <v>231</v>
      </c>
      <c r="F58" s="6" t="s">
        <v>232</v>
      </c>
      <c r="G58" s="9">
        <f>IF(A58=1,"_",IF(C58="_","???",C58))</f>
        <v/>
      </c>
      <c r="H58" s="10" t="s">
        <v>12</v>
      </c>
      <c r="I58" s="11" t="s">
        <v>12</v>
      </c>
      <c r="J58" s="12"/>
    </row>
    <row r="59" spans="1:10" ht="60" customHeight="1">
      <c r="A59" s="6" t="s">
        <v>233</v>
      </c>
      <c r="B59" s="6" t="s">
        <v>29</v>
      </c>
      <c r="C59" s="6" t="s">
        <v>12</v>
      </c>
      <c r="D59" s="7" t="s">
        <v>234</v>
      </c>
      <c r="E59" s="8" t="s">
        <v>235</v>
      </c>
      <c r="F59" s="6" t="s">
        <v>236</v>
      </c>
      <c r="G59" s="9">
        <f>IF(A59=1,"_",IF(C59="_","???",C59))</f>
        <v/>
      </c>
      <c r="H59" s="10" t="s">
        <v>12</v>
      </c>
      <c r="I59" s="11" t="s">
        <v>12</v>
      </c>
      <c r="J59" s="12"/>
    </row>
    <row r="60" spans="1:10" ht="60" customHeight="1">
      <c r="A60" s="6" t="s">
        <v>237</v>
      </c>
      <c r="B60" s="6" t="s">
        <v>29</v>
      </c>
      <c r="C60" s="6" t="s">
        <v>12</v>
      </c>
      <c r="D60" s="7" t="s">
        <v>238</v>
      </c>
      <c r="E60" s="8" t="s">
        <v>239</v>
      </c>
      <c r="F60" s="6" t="s">
        <v>240</v>
      </c>
      <c r="G60" s="9">
        <f>IF(A60=1,"_",IF(C60="_","???",C60))</f>
        <v/>
      </c>
      <c r="H60" s="10" t="s">
        <v>12</v>
      </c>
      <c r="I60" s="11" t="s">
        <v>12</v>
      </c>
      <c r="J60" s="12"/>
    </row>
    <row r="61" spans="1:10" ht="60" customHeight="1">
      <c r="A61" s="6" t="s">
        <v>241</v>
      </c>
      <c r="B61" s="6" t="s">
        <v>64</v>
      </c>
      <c r="C61" s="6" t="s">
        <v>12</v>
      </c>
      <c r="D61" s="7" t="s">
        <v>242</v>
      </c>
      <c r="E61" s="8" t="s">
        <v>243</v>
      </c>
      <c r="F61" s="6" t="s">
        <v>244</v>
      </c>
      <c r="G61" s="9">
        <f>IF(A61=1,"_",IF(C61="_","???",C61))</f>
        <v/>
      </c>
      <c r="H61" s="10" t="s">
        <v>12</v>
      </c>
      <c r="I61" s="11" t="s">
        <v>12</v>
      </c>
      <c r="J61" s="12"/>
    </row>
    <row r="62" spans="1:10" ht="60" customHeight="1">
      <c r="A62" s="6" t="s">
        <v>245</v>
      </c>
      <c r="B62" s="6" t="s">
        <v>21</v>
      </c>
      <c r="C62" s="6" t="s">
        <v>12</v>
      </c>
      <c r="D62" s="7" t="s">
        <v>246</v>
      </c>
      <c r="E62" s="8" t="s">
        <v>247</v>
      </c>
      <c r="F62" s="6" t="s">
        <v>248</v>
      </c>
      <c r="G62" s="9">
        <f>IF(A62=1,"_",IF(C62="_","???",C62))</f>
        <v/>
      </c>
      <c r="H62" s="10" t="s">
        <v>12</v>
      </c>
      <c r="I62" s="11" t="s">
        <v>12</v>
      </c>
      <c r="J62" s="12"/>
    </row>
    <row r="63" spans="1:10" ht="60" customHeight="1">
      <c r="A63" s="6" t="s">
        <v>249</v>
      </c>
      <c r="B63" s="6" t="s">
        <v>48</v>
      </c>
      <c r="C63" s="6" t="s">
        <v>12</v>
      </c>
      <c r="D63" s="7" t="s">
        <v>136</v>
      </c>
      <c r="E63" s="8" t="s">
        <v>250</v>
      </c>
      <c r="F63" s="6" t="s">
        <v>251</v>
      </c>
      <c r="G63" s="9">
        <f>IF(A63=1,"_",IF(C63="_","???",C63))</f>
        <v/>
      </c>
      <c r="H63" s="10" t="s">
        <v>12</v>
      </c>
      <c r="I63" s="11" t="s">
        <v>12</v>
      </c>
      <c r="J63" s="12"/>
    </row>
    <row r="64" spans="1:10" ht="60" customHeight="1">
      <c r="A64" s="6" t="s">
        <v>252</v>
      </c>
      <c r="B64" s="6" t="s">
        <v>10</v>
      </c>
      <c r="C64" s="6" t="s">
        <v>12</v>
      </c>
      <c r="D64" s="7" t="s">
        <v>253</v>
      </c>
      <c r="E64" s="8" t="s">
        <v>254</v>
      </c>
      <c r="F64" s="6" t="s">
        <v>255</v>
      </c>
      <c r="G64" s="9">
        <f>IF(A64=1,"_",IF(C64="_","???",C64))</f>
        <v/>
      </c>
      <c r="H64" s="10" t="s">
        <v>12</v>
      </c>
      <c r="I64" s="11" t="s">
        <v>12</v>
      </c>
      <c r="J64" s="12"/>
    </row>
    <row r="65" spans="1:10" ht="60" customHeight="1">
      <c r="A65" s="6" t="s">
        <v>256</v>
      </c>
      <c r="B65" s="6" t="s">
        <v>21</v>
      </c>
      <c r="C65" s="6" t="s">
        <v>12</v>
      </c>
      <c r="D65" s="7" t="s">
        <v>57</v>
      </c>
      <c r="E65" s="8" t="s">
        <v>257</v>
      </c>
      <c r="F65" s="6" t="s">
        <v>258</v>
      </c>
      <c r="G65" s="9">
        <f>IF(A65=1,"_",IF(C65="_","???",C65))</f>
        <v/>
      </c>
      <c r="H65" s="10" t="s">
        <v>12</v>
      </c>
      <c r="I65" s="11" t="s">
        <v>12</v>
      </c>
      <c r="J65" s="12"/>
    </row>
    <row r="66" spans="1:10" ht="60" customHeight="1">
      <c r="A66" s="6" t="s">
        <v>259</v>
      </c>
      <c r="B66" s="6" t="s">
        <v>21</v>
      </c>
      <c r="C66" s="6" t="s">
        <v>12</v>
      </c>
      <c r="D66" s="7" t="s">
        <v>260</v>
      </c>
      <c r="E66" s="8" t="s">
        <v>261</v>
      </c>
      <c r="F66" s="6" t="s">
        <v>262</v>
      </c>
      <c r="G66" s="9">
        <f>IF(A66=1,"_",IF(C66="_","???",C66))</f>
        <v/>
      </c>
      <c r="H66" s="10" t="s">
        <v>12</v>
      </c>
      <c r="I66" s="11" t="s">
        <v>12</v>
      </c>
      <c r="J66" s="12"/>
    </row>
    <row r="67" spans="1:10" ht="60" customHeight="1">
      <c r="A67" s="6" t="s">
        <v>263</v>
      </c>
      <c r="B67" s="6" t="s">
        <v>44</v>
      </c>
      <c r="C67" s="6" t="s">
        <v>12</v>
      </c>
      <c r="D67" s="7" t="s">
        <v>200</v>
      </c>
      <c r="E67" s="8" t="s">
        <v>264</v>
      </c>
      <c r="F67" s="6" t="s">
        <v>265</v>
      </c>
      <c r="G67" s="9">
        <f>IF(A67=1,"_",IF(C67="_","???",C67))</f>
        <v/>
      </c>
      <c r="H67" s="10" t="s">
        <v>12</v>
      </c>
      <c r="I67" s="11" t="s">
        <v>12</v>
      </c>
      <c r="J67" s="12"/>
    </row>
    <row r="68" spans="1:10" ht="60" customHeight="1">
      <c r="A68" s="6" t="s">
        <v>266</v>
      </c>
      <c r="B68" s="6" t="s">
        <v>16</v>
      </c>
      <c r="C68" s="6" t="s">
        <v>12</v>
      </c>
      <c r="D68" s="7" t="s">
        <v>267</v>
      </c>
      <c r="E68" s="8" t="s">
        <v>268</v>
      </c>
      <c r="F68" s="6" t="s">
        <v>269</v>
      </c>
      <c r="G68" s="9">
        <f>IF(A68=1,"_",IF(C68="_","???",C68))</f>
        <v/>
      </c>
      <c r="H68" s="10" t="s">
        <v>12</v>
      </c>
      <c r="I68" s="11" t="s">
        <v>12</v>
      </c>
      <c r="J68" s="12"/>
    </row>
    <row r="69" spans="1:10" ht="60" customHeight="1">
      <c r="A69" s="6" t="s">
        <v>270</v>
      </c>
      <c r="B69" s="6" t="s">
        <v>16</v>
      </c>
      <c r="C69" s="6" t="s">
        <v>12</v>
      </c>
      <c r="D69" s="7" t="s">
        <v>271</v>
      </c>
      <c r="E69" s="8" t="s">
        <v>272</v>
      </c>
      <c r="F69" s="6" t="s">
        <v>273</v>
      </c>
      <c r="G69" s="9">
        <f>IF(A69=1,"_",IF(C69="_","???",C69))</f>
        <v/>
      </c>
      <c r="H69" s="10" t="s">
        <v>12</v>
      </c>
      <c r="I69" s="11" t="s">
        <v>12</v>
      </c>
      <c r="J69" s="12"/>
    </row>
    <row r="70" spans="1:10" ht="60" customHeight="1">
      <c r="A70" s="6" t="s">
        <v>274</v>
      </c>
      <c r="B70" s="6" t="s">
        <v>16</v>
      </c>
      <c r="C70" s="6" t="s">
        <v>12</v>
      </c>
      <c r="D70" s="7" t="s">
        <v>275</v>
      </c>
      <c r="E70" s="8" t="s">
        <v>276</v>
      </c>
      <c r="F70" s="6" t="s">
        <v>277</v>
      </c>
      <c r="G70" s="9">
        <f>IF(A70=1,"_",IF(C70="_","???",C70))</f>
        <v/>
      </c>
      <c r="H70" s="10" t="s">
        <v>12</v>
      </c>
      <c r="I70" s="11" t="s">
        <v>12</v>
      </c>
      <c r="J70" s="12"/>
    </row>
    <row r="71" spans="1:10" ht="60" customHeight="1">
      <c r="A71" s="6" t="s">
        <v>278</v>
      </c>
      <c r="B71" s="6" t="s">
        <v>21</v>
      </c>
      <c r="C71" s="6" t="s">
        <v>12</v>
      </c>
      <c r="D71" s="7" t="s">
        <v>136</v>
      </c>
      <c r="E71" s="8" t="s">
        <v>279</v>
      </c>
      <c r="F71" s="6" t="s">
        <v>280</v>
      </c>
      <c r="G71" s="9">
        <f>IF(A71=1,"_",IF(C71="_","???",C71))</f>
        <v/>
      </c>
      <c r="H71" s="10" t="s">
        <v>12</v>
      </c>
      <c r="I71" s="11" t="s">
        <v>12</v>
      </c>
      <c r="J71" s="12"/>
    </row>
    <row r="72" spans="1:10" ht="60" customHeight="1">
      <c r="A72" s="6" t="s">
        <v>281</v>
      </c>
      <c r="B72" s="6" t="s">
        <v>29</v>
      </c>
      <c r="C72" s="6" t="s">
        <v>12</v>
      </c>
      <c r="D72" s="7" t="s">
        <v>200</v>
      </c>
      <c r="E72" s="8" t="s">
        <v>282</v>
      </c>
      <c r="F72" s="6" t="s">
        <v>283</v>
      </c>
      <c r="G72" s="9">
        <f>IF(A72=1,"_",IF(C72="_","???",C72))</f>
        <v/>
      </c>
      <c r="H72" s="10" t="s">
        <v>12</v>
      </c>
      <c r="I72" s="11" t="s">
        <v>12</v>
      </c>
      <c r="J72" s="12"/>
    </row>
    <row r="73" spans="1:10" ht="60" customHeight="1">
      <c r="A73" s="6" t="s">
        <v>284</v>
      </c>
      <c r="B73" s="6" t="s">
        <v>10</v>
      </c>
      <c r="C73" s="6" t="s">
        <v>12</v>
      </c>
      <c r="D73" s="7" t="s">
        <v>285</v>
      </c>
      <c r="E73" s="8" t="s">
        <v>286</v>
      </c>
      <c r="F73" s="6" t="s">
        <v>287</v>
      </c>
      <c r="G73" s="9">
        <f>IF(A73=1,"_",IF(C73="_","???",C73))</f>
        <v/>
      </c>
      <c r="H73" s="10" t="s">
        <v>12</v>
      </c>
      <c r="I73" s="11" t="s">
        <v>12</v>
      </c>
      <c r="J73" s="12"/>
    </row>
    <row r="74" spans="1:10" ht="60" customHeight="1">
      <c r="A74" s="6" t="s">
        <v>288</v>
      </c>
      <c r="B74" s="6" t="s">
        <v>21</v>
      </c>
      <c r="C74" s="6" t="s">
        <v>12</v>
      </c>
      <c r="D74" s="7" t="s">
        <v>289</v>
      </c>
      <c r="E74" s="8" t="s">
        <v>290</v>
      </c>
      <c r="F74" s="6" t="s">
        <v>291</v>
      </c>
      <c r="G74" s="9">
        <f>IF(A74=1,"_",IF(C74="_","???",C74))</f>
        <v/>
      </c>
      <c r="H74" s="10" t="s">
        <v>12</v>
      </c>
      <c r="I74" s="11" t="s">
        <v>12</v>
      </c>
      <c r="J74" s="12"/>
    </row>
    <row r="75" spans="1:10" ht="60" customHeight="1">
      <c r="A75" s="6" t="s">
        <v>292</v>
      </c>
      <c r="B75" s="6" t="s">
        <v>10</v>
      </c>
      <c r="C75" s="6" t="s">
        <v>12</v>
      </c>
      <c r="D75" s="7" t="s">
        <v>293</v>
      </c>
      <c r="E75" s="8" t="s">
        <v>294</v>
      </c>
      <c r="F75" s="6" t="s">
        <v>295</v>
      </c>
      <c r="G75" s="9">
        <f>IF(A75=1,"_",IF(C75="_","???",C75))</f>
        <v/>
      </c>
      <c r="H75" s="10" t="s">
        <v>12</v>
      </c>
      <c r="I75" s="11" t="s">
        <v>12</v>
      </c>
      <c r="J75" s="12"/>
    </row>
    <row r="76" spans="1:10" ht="60" customHeight="1">
      <c r="A76" s="6" t="s">
        <v>296</v>
      </c>
      <c r="B76" s="6" t="s">
        <v>10</v>
      </c>
      <c r="C76" s="6" t="s">
        <v>12</v>
      </c>
      <c r="D76" s="7" t="s">
        <v>297</v>
      </c>
      <c r="E76" s="8" t="s">
        <v>298</v>
      </c>
      <c r="F76" s="6" t="s">
        <v>299</v>
      </c>
      <c r="G76" s="9">
        <f>IF(A76=1,"_",IF(C76="_","???",C76))</f>
        <v/>
      </c>
      <c r="H76" s="10" t="s">
        <v>12</v>
      </c>
      <c r="I76" s="11" t="s">
        <v>12</v>
      </c>
      <c r="J76" s="12"/>
    </row>
    <row r="77" spans="1:10" ht="60" customHeight="1">
      <c r="A77" s="6" t="s">
        <v>300</v>
      </c>
      <c r="B77" s="6" t="s">
        <v>16</v>
      </c>
      <c r="C77" s="6" t="s">
        <v>12</v>
      </c>
      <c r="D77" s="7" t="s">
        <v>301</v>
      </c>
      <c r="E77" s="8" t="s">
        <v>302</v>
      </c>
      <c r="F77" s="6" t="s">
        <v>303</v>
      </c>
      <c r="G77" s="9">
        <f>IF(A77=1,"_",IF(C77="_","???",C77))</f>
        <v/>
      </c>
      <c r="H77" s="10" t="s">
        <v>12</v>
      </c>
      <c r="I77" s="11" t="s">
        <v>12</v>
      </c>
      <c r="J77" s="12"/>
    </row>
    <row r="78" spans="1:10" ht="60" customHeight="1">
      <c r="A78" s="6" t="s">
        <v>304</v>
      </c>
      <c r="B78" s="6" t="s">
        <v>10</v>
      </c>
      <c r="C78" s="6" t="s">
        <v>12</v>
      </c>
      <c r="D78" s="7" t="s">
        <v>305</v>
      </c>
      <c r="E78" s="8" t="s">
        <v>306</v>
      </c>
      <c r="F78" s="6" t="s">
        <v>307</v>
      </c>
      <c r="G78" s="9">
        <f>IF(A78=1,"_",IF(C78="_","???",C78))</f>
        <v/>
      </c>
      <c r="H78" s="10" t="s">
        <v>12</v>
      </c>
      <c r="I78" s="11" t="s">
        <v>12</v>
      </c>
      <c r="J78" s="12"/>
    </row>
    <row r="79" spans="1:10" ht="60" customHeight="1">
      <c r="A79" s="6" t="s">
        <v>308</v>
      </c>
      <c r="B79" s="6" t="s">
        <v>10</v>
      </c>
      <c r="C79" s="6" t="s">
        <v>12</v>
      </c>
      <c r="D79" s="7" t="s">
        <v>53</v>
      </c>
      <c r="E79" s="8" t="s">
        <v>309</v>
      </c>
      <c r="F79" s="6" t="s">
        <v>310</v>
      </c>
      <c r="G79" s="9">
        <f>IF(A79=1,"_",IF(C79="_","???",C79))</f>
        <v/>
      </c>
      <c r="H79" s="10" t="s">
        <v>12</v>
      </c>
      <c r="I79" s="11" t="s">
        <v>12</v>
      </c>
      <c r="J79" s="12"/>
    </row>
    <row r="80" spans="1:10" ht="60" customHeight="1">
      <c r="A80" s="6" t="s">
        <v>311</v>
      </c>
      <c r="B80" s="6" t="s">
        <v>16</v>
      </c>
      <c r="C80" s="6" t="s">
        <v>12</v>
      </c>
      <c r="D80" s="7" t="s">
        <v>57</v>
      </c>
      <c r="E80" s="8" t="s">
        <v>312</v>
      </c>
      <c r="F80" s="6" t="s">
        <v>313</v>
      </c>
      <c r="G80" s="9">
        <f>IF(A80=1,"_",IF(C80="_","???",C80))</f>
        <v/>
      </c>
      <c r="H80" s="10" t="s">
        <v>12</v>
      </c>
      <c r="I80" s="11" t="s">
        <v>12</v>
      </c>
      <c r="J80" s="12"/>
    </row>
    <row r="81" spans="1:10" ht="60" customHeight="1">
      <c r="A81" s="6" t="s">
        <v>314</v>
      </c>
      <c r="B81" s="6" t="s">
        <v>16</v>
      </c>
      <c r="C81" s="6" t="s">
        <v>12</v>
      </c>
      <c r="D81" s="7" t="s">
        <v>315</v>
      </c>
      <c r="E81" s="8" t="s">
        <v>316</v>
      </c>
      <c r="F81" s="6" t="s">
        <v>317</v>
      </c>
      <c r="G81" s="9">
        <f>IF(A81=1,"_",IF(C81="_","???",C81))</f>
        <v/>
      </c>
      <c r="H81" s="10" t="s">
        <v>12</v>
      </c>
      <c r="I81" s="11" t="s">
        <v>12</v>
      </c>
      <c r="J81" s="12"/>
    </row>
    <row r="82" spans="1:10" ht="60" customHeight="1">
      <c r="A82" s="6" t="s">
        <v>318</v>
      </c>
      <c r="B82" s="6" t="s">
        <v>16</v>
      </c>
      <c r="C82" s="6" t="s">
        <v>12</v>
      </c>
      <c r="D82" s="7" t="s">
        <v>57</v>
      </c>
      <c r="E82" s="8" t="s">
        <v>319</v>
      </c>
      <c r="F82" s="6" t="s">
        <v>320</v>
      </c>
      <c r="G82" s="9">
        <f>IF(A82=1,"_",IF(C82="_","???",C82))</f>
        <v/>
      </c>
      <c r="H82" s="10" t="s">
        <v>12</v>
      </c>
      <c r="I82" s="11" t="s">
        <v>12</v>
      </c>
      <c r="J82" s="12"/>
    </row>
    <row r="83" spans="1:10" ht="60" customHeight="1">
      <c r="A83" s="6" t="s">
        <v>321</v>
      </c>
      <c r="B83" s="6" t="s">
        <v>16</v>
      </c>
      <c r="C83" s="6" t="s">
        <v>12</v>
      </c>
      <c r="D83" s="7" t="s">
        <v>322</v>
      </c>
      <c r="E83" s="8" t="s">
        <v>323</v>
      </c>
      <c r="F83" s="6" t="s">
        <v>324</v>
      </c>
      <c r="G83" s="9">
        <f>IF(A83=1,"_",IF(C83="_","???",C83))</f>
        <v/>
      </c>
      <c r="H83" s="10" t="s">
        <v>12</v>
      </c>
      <c r="I83" s="11" t="s">
        <v>12</v>
      </c>
      <c r="J83" s="12"/>
    </row>
    <row r="84" spans="1:10" ht="60" customHeight="1">
      <c r="A84" s="6" t="s">
        <v>325</v>
      </c>
      <c r="B84" s="6" t="s">
        <v>10</v>
      </c>
      <c r="C84" s="6" t="s">
        <v>12</v>
      </c>
      <c r="D84" s="7" t="s">
        <v>72</v>
      </c>
      <c r="E84" s="8" t="s">
        <v>326</v>
      </c>
      <c r="F84" s="6" t="s">
        <v>327</v>
      </c>
      <c r="G84" s="9">
        <f>IF(A84=1,"_",IF(C84="_","???",C84))</f>
        <v/>
      </c>
      <c r="H84" s="10" t="s">
        <v>12</v>
      </c>
      <c r="I84" s="11" t="s">
        <v>12</v>
      </c>
      <c r="J84" s="12"/>
    </row>
    <row r="85" spans="1:10" ht="60" customHeight="1">
      <c r="A85" s="6" t="s">
        <v>328</v>
      </c>
      <c r="B85" s="6" t="s">
        <v>16</v>
      </c>
      <c r="C85" s="6" t="s">
        <v>12</v>
      </c>
      <c r="D85" s="7" t="s">
        <v>329</v>
      </c>
      <c r="E85" s="8" t="s">
        <v>330</v>
      </c>
      <c r="F85" s="6" t="s">
        <v>331</v>
      </c>
      <c r="G85" s="9">
        <f>IF(A85=1,"_",IF(C85="_","???",C85))</f>
        <v/>
      </c>
      <c r="H85" s="10" t="s">
        <v>12</v>
      </c>
      <c r="I85" s="11" t="s">
        <v>12</v>
      </c>
      <c r="J85" s="12"/>
    </row>
    <row r="86" spans="1:10" ht="60" customHeight="1">
      <c r="A86" s="6" t="s">
        <v>332</v>
      </c>
      <c r="B86" s="6" t="s">
        <v>16</v>
      </c>
      <c r="C86" s="6" t="s">
        <v>12</v>
      </c>
      <c r="D86" s="7" t="s">
        <v>333</v>
      </c>
      <c r="E86" s="8" t="s">
        <v>334</v>
      </c>
      <c r="F86" s="6" t="s">
        <v>335</v>
      </c>
      <c r="G86" s="9">
        <f>IF(A86=1,"_",IF(C86="_","???",C86))</f>
        <v/>
      </c>
      <c r="H86" s="10" t="s">
        <v>12</v>
      </c>
      <c r="I86" s="11" t="s">
        <v>12</v>
      </c>
      <c r="J86" s="12"/>
    </row>
    <row r="87" spans="1:10" ht="60" customHeight="1">
      <c r="A87" s="6" t="s">
        <v>336</v>
      </c>
      <c r="B87" s="6" t="s">
        <v>40</v>
      </c>
      <c r="C87" s="6" t="s">
        <v>12</v>
      </c>
      <c r="D87" s="7" t="s">
        <v>337</v>
      </c>
      <c r="E87" s="8" t="s">
        <v>338</v>
      </c>
      <c r="F87" s="6" t="s">
        <v>339</v>
      </c>
      <c r="G87" s="9">
        <f>IF(A87=1,"_",IF(C87="_","???",C87))</f>
        <v/>
      </c>
      <c r="H87" s="10" t="s">
        <v>12</v>
      </c>
      <c r="I87" s="11" t="s">
        <v>12</v>
      </c>
      <c r="J87" s="12"/>
    </row>
    <row r="88" spans="1:10" ht="60" customHeight="1">
      <c r="A88" s="6" t="s">
        <v>340</v>
      </c>
      <c r="B88" s="6" t="s">
        <v>21</v>
      </c>
      <c r="C88" s="6" t="s">
        <v>12</v>
      </c>
      <c r="D88" s="7" t="s">
        <v>341</v>
      </c>
      <c r="E88" s="8" t="s">
        <v>342</v>
      </c>
      <c r="F88" s="6" t="s">
        <v>343</v>
      </c>
      <c r="G88" s="9">
        <f>IF(A88=1,"_",IF(C88="_","???",C88))</f>
        <v/>
      </c>
      <c r="H88" s="10" t="s">
        <v>12</v>
      </c>
      <c r="I88" s="11" t="s">
        <v>12</v>
      </c>
      <c r="J88" s="12"/>
    </row>
    <row r="89" spans="1:10" ht="60" customHeight="1">
      <c r="A89" s="6" t="s">
        <v>344</v>
      </c>
      <c r="B89" s="6" t="s">
        <v>10</v>
      </c>
      <c r="C89" s="6" t="s">
        <v>12</v>
      </c>
      <c r="D89" s="7" t="s">
        <v>345</v>
      </c>
      <c r="E89" s="8" t="s">
        <v>346</v>
      </c>
      <c r="F89" s="6" t="s">
        <v>347</v>
      </c>
      <c r="G89" s="9">
        <f>IF(A89=1,"_",IF(C89="_","???",C89))</f>
        <v/>
      </c>
      <c r="H89" s="10" t="s">
        <v>12</v>
      </c>
      <c r="I89" s="11" t="s">
        <v>12</v>
      </c>
      <c r="J89" s="12"/>
    </row>
    <row r="90" spans="1:10" ht="60" customHeight="1">
      <c r="A90" s="6" t="s">
        <v>348</v>
      </c>
      <c r="B90" s="6" t="s">
        <v>16</v>
      </c>
      <c r="C90" s="6" t="s">
        <v>12</v>
      </c>
      <c r="D90" s="7" t="s">
        <v>349</v>
      </c>
      <c r="E90" s="8" t="s">
        <v>350</v>
      </c>
      <c r="F90" s="6" t="s">
        <v>351</v>
      </c>
      <c r="G90" s="9">
        <f>IF(A90=1,"_",IF(C90="_","???",C90))</f>
        <v/>
      </c>
      <c r="H90" s="10" t="s">
        <v>12</v>
      </c>
      <c r="I90" s="11" t="s">
        <v>12</v>
      </c>
      <c r="J90" s="12"/>
    </row>
    <row r="91" spans="1:10" ht="60" customHeight="1">
      <c r="A91" s="6" t="s">
        <v>352</v>
      </c>
      <c r="B91" s="6" t="s">
        <v>10</v>
      </c>
      <c r="C91" s="6" t="s">
        <v>12</v>
      </c>
      <c r="D91" s="7" t="s">
        <v>353</v>
      </c>
      <c r="E91" s="8" t="s">
        <v>354</v>
      </c>
      <c r="F91" s="6" t="s">
        <v>355</v>
      </c>
      <c r="G91" s="9">
        <f>IF(A91=1,"_",IF(C91="_","???",C91))</f>
        <v/>
      </c>
      <c r="H91" s="10" t="s">
        <v>12</v>
      </c>
      <c r="I91" s="11" t="s">
        <v>12</v>
      </c>
      <c r="J91" s="12"/>
    </row>
    <row r="92" spans="1:10" ht="60" customHeight="1">
      <c r="A92" s="6" t="s">
        <v>356</v>
      </c>
      <c r="B92" s="6" t="s">
        <v>21</v>
      </c>
      <c r="C92" s="6" t="s">
        <v>12</v>
      </c>
      <c r="D92" s="7" t="s">
        <v>357</v>
      </c>
      <c r="E92" s="8" t="s">
        <v>358</v>
      </c>
      <c r="F92" s="6" t="s">
        <v>359</v>
      </c>
      <c r="G92" s="9">
        <f>IF(A92=1,"_",IF(C92="_","???",C92))</f>
        <v/>
      </c>
      <c r="H92" s="10" t="s">
        <v>12</v>
      </c>
      <c r="I92" s="11" t="s">
        <v>12</v>
      </c>
      <c r="J92" s="12"/>
    </row>
    <row r="93" spans="1:10" ht="60" customHeight="1">
      <c r="A93" s="6" t="s">
        <v>360</v>
      </c>
      <c r="B93" s="6" t="s">
        <v>56</v>
      </c>
      <c r="C93" s="6" t="s">
        <v>12</v>
      </c>
      <c r="D93" s="7" t="s">
        <v>361</v>
      </c>
      <c r="E93" s="8" t="s">
        <v>362</v>
      </c>
      <c r="F93" s="6" t="s">
        <v>363</v>
      </c>
      <c r="G93" s="9">
        <f>IF(A93=1,"_",IF(C93="_","???",C93))</f>
        <v/>
      </c>
      <c r="H93" s="10" t="s">
        <v>12</v>
      </c>
      <c r="I93" s="11" t="s">
        <v>12</v>
      </c>
      <c r="J93" s="12"/>
    </row>
    <row r="94" spans="1:10" ht="60" customHeight="1">
      <c r="A94" s="6" t="s">
        <v>364</v>
      </c>
      <c r="B94" s="6" t="s">
        <v>11</v>
      </c>
      <c r="C94" s="6" t="s">
        <v>12</v>
      </c>
      <c r="D94" s="7" t="s">
        <v>365</v>
      </c>
      <c r="E94" s="8" t="s">
        <v>366</v>
      </c>
      <c r="F94" s="6" t="s">
        <v>367</v>
      </c>
      <c r="G94" s="9">
        <f>IF(A94=1,"_",IF(C94="_","???",C94))</f>
        <v/>
      </c>
      <c r="H94" s="10" t="s">
        <v>12</v>
      </c>
      <c r="I94" s="11" t="s">
        <v>12</v>
      </c>
      <c r="J94" s="12"/>
    </row>
    <row r="95" spans="1:10" ht="60" customHeight="1">
      <c r="A95" s="6" t="s">
        <v>368</v>
      </c>
      <c r="B95" s="6" t="s">
        <v>10</v>
      </c>
      <c r="C95" s="6" t="s">
        <v>12</v>
      </c>
      <c r="D95" s="7" t="s">
        <v>369</v>
      </c>
      <c r="E95" s="8" t="s">
        <v>370</v>
      </c>
      <c r="F95" s="6" t="s">
        <v>371</v>
      </c>
      <c r="G95" s="9">
        <f>IF(A95=1,"_",IF(C95="_","???",C95))</f>
        <v/>
      </c>
      <c r="H95" s="10" t="s">
        <v>12</v>
      </c>
      <c r="I95" s="11" t="s">
        <v>12</v>
      </c>
      <c r="J95" s="12"/>
    </row>
    <row r="96" spans="1:10" ht="60" customHeight="1">
      <c r="A96" s="6" t="s">
        <v>372</v>
      </c>
      <c r="B96" s="6" t="s">
        <v>48</v>
      </c>
      <c r="C96" s="6" t="s">
        <v>12</v>
      </c>
      <c r="D96" s="7" t="s">
        <v>373</v>
      </c>
      <c r="E96" s="8" t="s">
        <v>374</v>
      </c>
      <c r="F96" s="6" t="s">
        <v>375</v>
      </c>
      <c r="G96" s="9">
        <f>IF(A96=1,"_",IF(C96="_","???",C96))</f>
        <v/>
      </c>
      <c r="H96" s="10" t="s">
        <v>12</v>
      </c>
      <c r="I96" s="11" t="s">
        <v>12</v>
      </c>
      <c r="J96" s="12"/>
    </row>
    <row r="97" spans="1:10" ht="60" customHeight="1">
      <c r="A97" s="6" t="s">
        <v>376</v>
      </c>
      <c r="B97" s="6" t="s">
        <v>11</v>
      </c>
      <c r="C97" s="6" t="s">
        <v>12</v>
      </c>
      <c r="D97" s="7" t="s">
        <v>41</v>
      </c>
      <c r="E97" s="8" t="s">
        <v>377</v>
      </c>
      <c r="F97" s="6" t="s">
        <v>378</v>
      </c>
      <c r="G97" s="9">
        <f>IF(A97=1,"_",IF(C97="_","???",C97))</f>
        <v/>
      </c>
      <c r="H97" s="10" t="s">
        <v>12</v>
      </c>
      <c r="I97" s="11" t="s">
        <v>12</v>
      </c>
      <c r="J97" s="12"/>
    </row>
    <row r="98" spans="1:10" ht="60" customHeight="1">
      <c r="A98" s="6" t="s">
        <v>379</v>
      </c>
      <c r="B98" s="6" t="s">
        <v>10</v>
      </c>
      <c r="C98" s="6" t="s">
        <v>12</v>
      </c>
      <c r="D98" s="7" t="s">
        <v>380</v>
      </c>
      <c r="E98" s="8" t="s">
        <v>381</v>
      </c>
      <c r="F98" s="6" t="s">
        <v>382</v>
      </c>
      <c r="G98" s="9">
        <f>IF(A98=1,"_",IF(C98="_","???",C98))</f>
        <v/>
      </c>
      <c r="H98" s="10" t="s">
        <v>12</v>
      </c>
      <c r="I98" s="11" t="s">
        <v>12</v>
      </c>
      <c r="J98" s="12"/>
    </row>
    <row r="99" spans="1:10" ht="60" customHeight="1">
      <c r="A99" s="6" t="s">
        <v>383</v>
      </c>
      <c r="B99" s="6" t="s">
        <v>21</v>
      </c>
      <c r="C99" s="6" t="s">
        <v>12</v>
      </c>
      <c r="D99" s="7" t="s">
        <v>384</v>
      </c>
      <c r="E99" s="8" t="s">
        <v>385</v>
      </c>
      <c r="F99" s="6" t="s">
        <v>386</v>
      </c>
      <c r="G99" s="9">
        <f>IF(A99=1,"_",IF(C99="_","???",C99))</f>
        <v/>
      </c>
      <c r="H99" s="10" t="s">
        <v>12</v>
      </c>
      <c r="I99" s="11" t="s">
        <v>12</v>
      </c>
      <c r="J99" s="12"/>
    </row>
    <row r="100" spans="1:10" ht="60" customHeight="1">
      <c r="A100" s="6" t="s">
        <v>387</v>
      </c>
      <c r="B100" s="6" t="s">
        <v>16</v>
      </c>
      <c r="C100" s="6" t="s">
        <v>12</v>
      </c>
      <c r="D100" s="7" t="s">
        <v>297</v>
      </c>
      <c r="E100" s="8" t="s">
        <v>388</v>
      </c>
      <c r="F100" s="6" t="s">
        <v>389</v>
      </c>
      <c r="G100" s="9">
        <f>IF(A100=1,"_",IF(C100="_","???",C100))</f>
        <v/>
      </c>
      <c r="H100" s="10" t="s">
        <v>12</v>
      </c>
      <c r="I100" s="11" t="s">
        <v>12</v>
      </c>
      <c r="J100" s="12"/>
    </row>
    <row r="101" spans="1:10" ht="60" customHeight="1">
      <c r="A101" s="6" t="s">
        <v>390</v>
      </c>
      <c r="B101" s="6" t="s">
        <v>11</v>
      </c>
      <c r="C101" s="6" t="s">
        <v>12</v>
      </c>
      <c r="D101" s="7" t="s">
        <v>391</v>
      </c>
      <c r="E101" s="8" t="s">
        <v>392</v>
      </c>
      <c r="F101" s="6" t="s">
        <v>393</v>
      </c>
      <c r="G101" s="9">
        <f>IF(A101=1,"_",IF(C101="_","???",C101))</f>
        <v/>
      </c>
      <c r="H101" s="10" t="s">
        <v>12</v>
      </c>
      <c r="I101" s="11" t="s">
        <v>12</v>
      </c>
      <c r="J101" s="12"/>
    </row>
    <row r="102" spans="1:10" ht="60" customHeight="1">
      <c r="A102" s="6" t="s">
        <v>394</v>
      </c>
      <c r="B102" s="6" t="s">
        <v>10</v>
      </c>
      <c r="C102" s="6" t="s">
        <v>12</v>
      </c>
      <c r="D102" s="7" t="s">
        <v>395</v>
      </c>
      <c r="E102" s="8" t="s">
        <v>396</v>
      </c>
      <c r="F102" s="6" t="s">
        <v>397</v>
      </c>
      <c r="G102" s="9">
        <f>IF(A102=1,"_",IF(C102="_","???",C102))</f>
        <v/>
      </c>
      <c r="H102" s="10" t="s">
        <v>12</v>
      </c>
      <c r="I102" s="11" t="s">
        <v>12</v>
      </c>
      <c r="J102" s="12"/>
    </row>
    <row r="103" spans="1:10" ht="60" customHeight="1">
      <c r="A103" s="6" t="s">
        <v>398</v>
      </c>
      <c r="B103" s="6" t="s">
        <v>11</v>
      </c>
      <c r="C103" s="6" t="s">
        <v>12</v>
      </c>
      <c r="D103" s="7" t="s">
        <v>297</v>
      </c>
      <c r="E103" s="8" t="s">
        <v>399</v>
      </c>
      <c r="F103" s="6" t="s">
        <v>400</v>
      </c>
      <c r="G103" s="9">
        <f>IF(A103=1,"_",IF(C103="_","???",C103))</f>
        <v/>
      </c>
      <c r="H103" s="10" t="s">
        <v>12</v>
      </c>
      <c r="I103" s="11" t="s">
        <v>12</v>
      </c>
      <c r="J103" s="12"/>
    </row>
    <row r="104" spans="1:10" ht="60" customHeight="1">
      <c r="A104" s="6" t="s">
        <v>401</v>
      </c>
      <c r="B104" s="6" t="s">
        <v>29</v>
      </c>
      <c r="C104" s="6" t="s">
        <v>12</v>
      </c>
      <c r="D104" s="7" t="s">
        <v>128</v>
      </c>
      <c r="E104" s="8" t="s">
        <v>402</v>
      </c>
      <c r="F104" s="6" t="s">
        <v>403</v>
      </c>
      <c r="G104" s="9">
        <f>IF(A104=1,"_",IF(C104="_","???",C104))</f>
        <v/>
      </c>
      <c r="H104" s="10" t="s">
        <v>12</v>
      </c>
      <c r="I104" s="11" t="s">
        <v>12</v>
      </c>
      <c r="J104" s="12"/>
    </row>
    <row r="105" spans="1:10" ht="60" customHeight="1">
      <c r="A105" s="6" t="s">
        <v>404</v>
      </c>
      <c r="B105" s="6" t="s">
        <v>33</v>
      </c>
      <c r="C105" s="6" t="s">
        <v>12</v>
      </c>
      <c r="D105" s="7" t="s">
        <v>405</v>
      </c>
      <c r="E105" s="8" t="s">
        <v>406</v>
      </c>
      <c r="F105" s="6" t="s">
        <v>407</v>
      </c>
      <c r="G105" s="9">
        <f>IF(A105=1,"_",IF(C105="_","???",C105))</f>
        <v/>
      </c>
      <c r="H105" s="10" t="s">
        <v>12</v>
      </c>
      <c r="I105" s="11" t="s">
        <v>12</v>
      </c>
      <c r="J105" s="12"/>
    </row>
    <row r="106" spans="1:10" ht="60" customHeight="1">
      <c r="A106" s="6" t="s">
        <v>408</v>
      </c>
      <c r="B106" s="6" t="s">
        <v>10</v>
      </c>
      <c r="C106" s="6" t="s">
        <v>12</v>
      </c>
      <c r="D106" s="7" t="s">
        <v>72</v>
      </c>
      <c r="E106" s="8" t="s">
        <v>409</v>
      </c>
      <c r="F106" s="6" t="s">
        <v>410</v>
      </c>
      <c r="G106" s="9">
        <f>IF(A106=1,"_",IF(C106="_","???",C106))</f>
        <v/>
      </c>
      <c r="H106" s="10" t="s">
        <v>12</v>
      </c>
      <c r="I106" s="11" t="s">
        <v>12</v>
      </c>
      <c r="J106" s="12"/>
    </row>
    <row r="107" spans="1:10" ht="60" customHeight="1">
      <c r="A107" s="6" t="s">
        <v>411</v>
      </c>
      <c r="B107" s="6" t="s">
        <v>16</v>
      </c>
      <c r="C107" s="6" t="s">
        <v>12</v>
      </c>
      <c r="D107" s="7" t="s">
        <v>57</v>
      </c>
      <c r="E107" s="8" t="s">
        <v>412</v>
      </c>
      <c r="F107" s="6" t="s">
        <v>413</v>
      </c>
      <c r="G107" s="9">
        <f>IF(A107=1,"_",IF(C107="_","???",C107))</f>
        <v/>
      </c>
      <c r="H107" s="10" t="s">
        <v>12</v>
      </c>
      <c r="I107" s="11" t="s">
        <v>12</v>
      </c>
      <c r="J107" s="12"/>
    </row>
    <row r="108" spans="1:10" ht="60" customHeight="1">
      <c r="A108" s="6" t="s">
        <v>414</v>
      </c>
      <c r="B108" s="6" t="s">
        <v>16</v>
      </c>
      <c r="C108" s="6" t="s">
        <v>12</v>
      </c>
      <c r="D108" s="7" t="s">
        <v>322</v>
      </c>
      <c r="E108" s="8" t="s">
        <v>415</v>
      </c>
      <c r="F108" s="6" t="s">
        <v>416</v>
      </c>
      <c r="G108" s="9">
        <f>IF(A108=1,"_",IF(C108="_","???",C108))</f>
        <v/>
      </c>
      <c r="H108" s="10" t="s">
        <v>12</v>
      </c>
      <c r="I108" s="11" t="s">
        <v>12</v>
      </c>
      <c r="J108" s="12"/>
    </row>
    <row r="109" spans="1:10" ht="60" customHeight="1">
      <c r="A109" s="6" t="s">
        <v>417</v>
      </c>
      <c r="B109" s="6" t="s">
        <v>16</v>
      </c>
      <c r="C109" s="6" t="s">
        <v>12</v>
      </c>
      <c r="D109" s="7" t="s">
        <v>57</v>
      </c>
      <c r="E109" s="8" t="s">
        <v>418</v>
      </c>
      <c r="F109" s="6" t="s">
        <v>419</v>
      </c>
      <c r="G109" s="9">
        <f>IF(A109=1,"_",IF(C109="_","???",C109))</f>
        <v/>
      </c>
      <c r="H109" s="10" t="s">
        <v>12</v>
      </c>
      <c r="I109" s="11" t="s">
        <v>12</v>
      </c>
      <c r="J109" s="12"/>
    </row>
    <row r="110" spans="1:10" ht="60" customHeight="1">
      <c r="A110" s="6" t="s">
        <v>420</v>
      </c>
      <c r="B110" s="6" t="s">
        <v>10</v>
      </c>
      <c r="C110" s="6" t="s">
        <v>12</v>
      </c>
      <c r="D110" s="7" t="s">
        <v>253</v>
      </c>
      <c r="E110" s="8" t="s">
        <v>421</v>
      </c>
      <c r="F110" s="6" t="s">
        <v>422</v>
      </c>
      <c r="G110" s="9">
        <f>IF(A110=1,"_",IF(C110="_","???",C110))</f>
        <v/>
      </c>
      <c r="H110" s="10" t="s">
        <v>12</v>
      </c>
      <c r="I110" s="11" t="s">
        <v>12</v>
      </c>
      <c r="J110" s="12"/>
    </row>
    <row r="111" spans="1:10" ht="60" customHeight="1">
      <c r="A111" s="6" t="s">
        <v>423</v>
      </c>
      <c r="B111" s="6" t="s">
        <v>60</v>
      </c>
      <c r="C111" s="6" t="s">
        <v>12</v>
      </c>
      <c r="D111" s="7" t="s">
        <v>424</v>
      </c>
      <c r="E111" s="8" t="s">
        <v>425</v>
      </c>
      <c r="F111" s="6" t="s">
        <v>426</v>
      </c>
      <c r="G111" s="9">
        <f>IF(A111=1,"_",IF(C111="_","???",C111))</f>
        <v/>
      </c>
      <c r="H111" s="10" t="s">
        <v>12</v>
      </c>
      <c r="I111" s="11" t="s">
        <v>12</v>
      </c>
      <c r="J111" s="12"/>
    </row>
    <row r="112" spans="1:10" ht="60" customHeight="1">
      <c r="A112" s="6" t="s">
        <v>427</v>
      </c>
      <c r="B112" s="6" t="s">
        <v>95</v>
      </c>
      <c r="C112" s="6" t="s">
        <v>12</v>
      </c>
      <c r="D112" s="7" t="s">
        <v>428</v>
      </c>
      <c r="E112" s="8" t="s">
        <v>429</v>
      </c>
      <c r="F112" s="6" t="s">
        <v>430</v>
      </c>
      <c r="G112" s="9">
        <f>IF(A112=1,"_",IF(C112="_","???",C112))</f>
        <v/>
      </c>
      <c r="H112" s="10" t="s">
        <v>12</v>
      </c>
      <c r="I112" s="11" t="s">
        <v>12</v>
      </c>
      <c r="J112" s="12"/>
    </row>
    <row r="113" spans="1:10" ht="60" customHeight="1">
      <c r="A113" s="6" t="s">
        <v>431</v>
      </c>
      <c r="B113" s="6" t="s">
        <v>33</v>
      </c>
      <c r="C113" s="6" t="s">
        <v>12</v>
      </c>
      <c r="D113" s="7" t="s">
        <v>128</v>
      </c>
      <c r="E113" s="8" t="s">
        <v>432</v>
      </c>
      <c r="F113" s="6" t="s">
        <v>433</v>
      </c>
      <c r="G113" s="9">
        <f>IF(A113=1,"_",IF(C113="_","???",C113))</f>
        <v/>
      </c>
      <c r="H113" s="10" t="s">
        <v>12</v>
      </c>
      <c r="I113" s="11" t="s">
        <v>12</v>
      </c>
      <c r="J113" s="12"/>
    </row>
    <row r="114" spans="1:10" ht="60" customHeight="1">
      <c r="A114" s="6" t="s">
        <v>434</v>
      </c>
      <c r="B114" s="6" t="s">
        <v>11</v>
      </c>
      <c r="C114" s="6" t="s">
        <v>12</v>
      </c>
      <c r="D114" s="7" t="s">
        <v>435</v>
      </c>
      <c r="E114" s="8" t="s">
        <v>436</v>
      </c>
      <c r="F114" s="6" t="s">
        <v>437</v>
      </c>
      <c r="G114" s="9">
        <f>IF(A114=1,"_",IF(C114="_","???",C114))</f>
        <v/>
      </c>
      <c r="H114" s="10" t="s">
        <v>12</v>
      </c>
      <c r="I114" s="11" t="s">
        <v>12</v>
      </c>
      <c r="J114" s="12"/>
    </row>
    <row r="115" spans="1:10" ht="60" customHeight="1">
      <c r="A115" s="6" t="s">
        <v>438</v>
      </c>
      <c r="B115" s="6" t="s">
        <v>11</v>
      </c>
      <c r="C115" s="6" t="s">
        <v>12</v>
      </c>
      <c r="D115" s="7" t="s">
        <v>439</v>
      </c>
      <c r="E115" s="8" t="s">
        <v>440</v>
      </c>
      <c r="F115" s="6" t="s">
        <v>441</v>
      </c>
      <c r="G115" s="9">
        <f>IF(A115=1,"_",IF(C115="_","???",C115))</f>
        <v/>
      </c>
      <c r="H115" s="10" t="s">
        <v>12</v>
      </c>
      <c r="I115" s="11" t="s">
        <v>12</v>
      </c>
      <c r="J115" s="12"/>
    </row>
    <row r="116" spans="1:10" ht="60" customHeight="1">
      <c r="A116" s="6" t="s">
        <v>442</v>
      </c>
      <c r="B116" s="6" t="s">
        <v>10</v>
      </c>
      <c r="C116" s="6" t="s">
        <v>12</v>
      </c>
      <c r="D116" s="7" t="s">
        <v>443</v>
      </c>
      <c r="E116" s="8" t="s">
        <v>444</v>
      </c>
      <c r="F116" s="6" t="s">
        <v>445</v>
      </c>
      <c r="G116" s="9">
        <f>IF(A116=1,"_",IF(C116="_","???",C116))</f>
        <v/>
      </c>
      <c r="H116" s="10" t="s">
        <v>12</v>
      </c>
      <c r="I116" s="11" t="s">
        <v>12</v>
      </c>
      <c r="J116" s="12"/>
    </row>
    <row r="117" spans="1:10" ht="60" customHeight="1">
      <c r="A117" s="6" t="s">
        <v>446</v>
      </c>
      <c r="B117" s="6" t="s">
        <v>119</v>
      </c>
      <c r="C117" s="6" t="s">
        <v>12</v>
      </c>
      <c r="D117" s="7" t="s">
        <v>447</v>
      </c>
      <c r="E117" s="8" t="s">
        <v>448</v>
      </c>
      <c r="F117" s="6" t="s">
        <v>449</v>
      </c>
      <c r="G117" s="9">
        <f>IF(A117=1,"_",IF(C117="_","???",C117))</f>
        <v/>
      </c>
      <c r="H117" s="10" t="s">
        <v>12</v>
      </c>
      <c r="I117" s="11" t="s">
        <v>12</v>
      </c>
      <c r="J117" s="12"/>
    </row>
    <row r="118" spans="1:10" ht="60" customHeight="1">
      <c r="A118" s="6" t="s">
        <v>450</v>
      </c>
      <c r="B118" s="6" t="s">
        <v>16</v>
      </c>
      <c r="C118" s="6" t="s">
        <v>12</v>
      </c>
      <c r="D118" s="7" t="s">
        <v>451</v>
      </c>
      <c r="E118" s="8" t="s">
        <v>452</v>
      </c>
      <c r="F118" s="6" t="s">
        <v>453</v>
      </c>
      <c r="G118" s="9">
        <f>IF(A118=1,"_",IF(C118="_","???",C118))</f>
        <v/>
      </c>
      <c r="H118" s="10" t="s">
        <v>12</v>
      </c>
      <c r="I118" s="11" t="s">
        <v>12</v>
      </c>
      <c r="J118" s="12"/>
    </row>
    <row r="119" spans="1:10" ht="60" customHeight="1">
      <c r="A119" s="6" t="s">
        <v>454</v>
      </c>
      <c r="B119" s="6" t="s">
        <v>10</v>
      </c>
      <c r="C119" s="6" t="s">
        <v>12</v>
      </c>
      <c r="D119" s="7" t="s">
        <v>455</v>
      </c>
      <c r="E119" s="8" t="s">
        <v>456</v>
      </c>
      <c r="F119" s="6" t="s">
        <v>457</v>
      </c>
      <c r="G119" s="9">
        <f>IF(A119=1,"_",IF(C119="_","???",C119))</f>
        <v/>
      </c>
      <c r="H119" s="10" t="s">
        <v>12</v>
      </c>
      <c r="I119" s="11" t="s">
        <v>12</v>
      </c>
      <c r="J119" s="12"/>
    </row>
    <row r="120" spans="1:10" ht="60" customHeight="1">
      <c r="A120" s="6" t="s">
        <v>458</v>
      </c>
      <c r="B120" s="6" t="s">
        <v>16</v>
      </c>
      <c r="C120" s="6" t="s">
        <v>12</v>
      </c>
      <c r="D120" s="7" t="s">
        <v>459</v>
      </c>
      <c r="E120" s="8" t="s">
        <v>460</v>
      </c>
      <c r="F120" s="6" t="s">
        <v>461</v>
      </c>
      <c r="G120" s="9">
        <f>IF(A120=1,"_",IF(C120="_","???",C120))</f>
        <v/>
      </c>
      <c r="H120" s="10" t="s">
        <v>12</v>
      </c>
      <c r="I120" s="11" t="s">
        <v>12</v>
      </c>
      <c r="J120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91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462</v>
      </c>
      <c r="B1" s="13" t="s">
        <v>463</v>
      </c>
      <c r="C1" s="13" t="s">
        <v>464</v>
      </c>
      <c r="D1" s="13" t="s">
        <v>465</v>
      </c>
      <c r="E1" s="14" t="s">
        <v>466</v>
      </c>
      <c r="F1" s="15" t="s">
        <v>467</v>
      </c>
      <c r="G1" s="16" t="s">
        <v>468</v>
      </c>
      <c r="H1" s="17" t="s">
        <v>469</v>
      </c>
      <c r="I1" s="18" t="s">
        <v>470</v>
      </c>
      <c r="J1" s="18" t="s">
        <v>471</v>
      </c>
      <c r="K1" s="18" t="s">
        <v>472</v>
      </c>
      <c r="L1" s="19" t="s">
        <v>9</v>
      </c>
    </row>
    <row r="2" spans="1:12">
      <c r="A2" s="20" t="s">
        <v>473</v>
      </c>
    </row>
    <row r="3" spans="1:12">
      <c r="A3" s="20" t="s">
        <v>474</v>
      </c>
      <c r="E3" s="21">
        <f>IF(D3="?OLD","!!!","")</f>
        <v/>
      </c>
      <c r="F3" s="22" t="str">
        <f>IF(OR(E3="",E3="!!!"),"",IF(NOT(ISNA(VLOOKUP(E3,E$1:E2,1,FALSE()))),"OLD",IF(AND(E3&lt;&gt;"",E3&lt;&gt;"!!!"),"NEW","")))</f>
        <v> </v>
      </c>
      <c r="G3" s="23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4" t="str">
        <f>IF(J3&lt;&gt;1,"",IF(I3="SBJ","CB","?"))</f>
        <v> </v>
      </c>
      <c r="I3" s="25" t="str">
        <f>IF(OR(E3="",E3="!!!",F3="NEW"),"",INDEX(B2:B$2,-1+SUMPRODUCT(MAX(ROW(E2:E$2)*(E3=E2:E$2)))))</f>
        <v> </v>
      </c>
      <c r="J3" s="25" t="str">
        <f>IF(OR(E3="",E3="!!!",F3="NEW"),"",COUNTBLANK(OFFSET(A$1,,,SUMPRODUCT(MAX(ROW(E$2:E3)*(E3=E$2:E3)))))-COUNTBLANK(OFFSET(A$1,,,SUMPRODUCT(MAX(ROW(E$1:E2)*(E2=E$1:E2))))))</f>
        <v> </v>
      </c>
      <c r="K3" s="25" t="str">
        <f>IF(OR(E3="",E3="!!!",F3="NEW"),"",INDEX(J$1:J2,SUMPRODUCT(MAX(ROW(E$1:E2)*(E3=E$1:E2)))))</f>
        <v> </v>
      </c>
      <c r="L3" s="26"/>
    </row>
    <row r="4" spans="1:12">
      <c r="A4" s="20" t="s">
        <v>475</v>
      </c>
      <c r="E4" s="21">
        <f>IF(D4="?OLD","!!!","")</f>
        <v/>
      </c>
      <c r="F4" s="22" t="str">
        <f>IF(OR(E4="",E4="!!!"),"",IF(NOT(ISNA(VLOOKUP(E4,E$1:E3,1,FALSE()))),"OLD",IF(AND(E4&lt;&gt;"",E4&lt;&gt;"!!!"),"NEW","")))</f>
        <v> </v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4" t="str">
        <f>IF(J4&lt;&gt;1,"",IF(I4="SBJ","CB","?"))</f>
        <v> </v>
      </c>
      <c r="I4" s="25" t="str">
        <f>IF(OR(E4="",E4="!!!",F4="NEW"),"",INDEX(B3:B$2,-1+SUMPRODUCT(MAX(ROW(E3:E$2)*(E4=E3:E$2)))))</f>
        <v> </v>
      </c>
      <c r="J4" s="25" t="str">
        <f>IF(OR(E4="",E4="!!!",F4="NEW"),"",COUNTBLANK(OFFSET(A$1,,,SUMPRODUCT(MAX(ROW(E$2:E4)*(E4=E$2:E4)))))-COUNTBLANK(OFFSET(A$1,,,SUMPRODUCT(MAX(ROW(E$1:E3)*(E2=E$1:E3))))))</f>
        <v> </v>
      </c>
      <c r="K4" s="25" t="str">
        <f>IF(OR(E4="",E4="!!!",F4="NEW"),"",INDEX(J$1:J3,SUMPRODUCT(MAX(ROW(E$1:E3)*(E4=E$1:E3)))))</f>
        <v> </v>
      </c>
      <c r="L4" s="26"/>
    </row>
    <row r="5" spans="1:12">
      <c r="A5" s="20" t="s">
        <v>476</v>
      </c>
      <c r="B5" s="27" t="s">
        <v>477</v>
      </c>
      <c r="C5" s="27" t="s">
        <v>478</v>
      </c>
      <c r="E5" s="21">
        <f>IF(D5="?OLD","!!!","")</f>
        <v/>
      </c>
      <c r="F5" s="22" t="str">
        <f>IF(OR(E5="",E5="!!!"),"",IF(NOT(ISNA(VLOOKUP(E5,E$1:E4,1,FALSE()))),"OLD",IF(AND(E5&lt;&gt;"",E5&lt;&gt;"!!!"),"NEW","")))</f>
        <v> </v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4" t="str">
        <f>IF(J5&lt;&gt;1,"",IF(I5="SBJ","CB","?"))</f>
        <v> </v>
      </c>
      <c r="I5" s="25" t="str">
        <f>IF(OR(E5="",E5="!!!",F5="NEW"),"",INDEX(B4:B$2,-1+SUMPRODUCT(MAX(ROW(E4:E$2)*(E5=E4:E$2)))))</f>
        <v> </v>
      </c>
      <c r="J5" s="25" t="str">
        <f>IF(OR(E5="",E5="!!!",F5="NEW"),"",COUNTBLANK(OFFSET(A$1,,,SUMPRODUCT(MAX(ROW(E$2:E5)*(E5=E$2:E5)))))-COUNTBLANK(OFFSET(A$1,,,SUMPRODUCT(MAX(ROW(E$1:E4)*(E2=E$1:E4))))))</f>
        <v> </v>
      </c>
      <c r="K5" s="25" t="str">
        <f>IF(OR(E5="",E5="!!!",F5="NEW"),"",INDEX(J$1:J4,SUMPRODUCT(MAX(ROW(E$1:E4)*(E5=E$1:E4)))))</f>
        <v> </v>
      </c>
      <c r="L5" s="26"/>
    </row>
    <row r="6" spans="1:12">
      <c r="A6" s="20" t="s">
        <v>479</v>
      </c>
      <c r="E6" s="21">
        <f>IF(D6="?OLD","!!!","")</f>
        <v/>
      </c>
      <c r="F6" s="22" t="str">
        <f>IF(OR(E6="",E6="!!!"),"",IF(NOT(ISNA(VLOOKUP(E6,E$1:E5,1,FALSE()))),"OLD",IF(AND(E6&lt;&gt;"",E6&lt;&gt;"!!!"),"NEW","")))</f>
        <v> </v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4" t="str">
        <f>IF(J6&lt;&gt;1,"",IF(I6="SBJ","CB","?"))</f>
        <v> </v>
      </c>
      <c r="I6" s="25" t="str">
        <f>IF(OR(E6="",E6="!!!",F6="NEW"),"",INDEX(B5:B$2,-1+SUMPRODUCT(MAX(ROW(E5:E$2)*(E6=E5:E$2)))))</f>
        <v> </v>
      </c>
      <c r="J6" s="25" t="str">
        <f>IF(OR(E6="",E6="!!!",F6="NEW"),"",COUNTBLANK(OFFSET(A$1,,,SUMPRODUCT(MAX(ROW(E$2:E6)*(E6=E$2:E6)))))-COUNTBLANK(OFFSET(A$1,,,SUMPRODUCT(MAX(ROW(E$1:E5)*(E2=E$1:E5))))))</f>
        <v> </v>
      </c>
      <c r="K6" s="25" t="str">
        <f>IF(OR(E6="",E6="!!!",F6="NEW"),"",INDEX(J$1:J5,SUMPRODUCT(MAX(ROW(E$1:E5)*(E6=E$1:E5)))))</f>
        <v> </v>
      </c>
      <c r="L6" s="26"/>
    </row>
    <row r="7" spans="1:12">
      <c r="A7" s="20" t="s">
        <v>480</v>
      </c>
      <c r="B7" s="27" t="s">
        <v>481</v>
      </c>
      <c r="C7" s="27" t="s">
        <v>482</v>
      </c>
      <c r="D7" s="27" t="s">
        <v>483</v>
      </c>
      <c r="E7" s="21">
        <f>IF(D7="?OLD","!!!","")</f>
        <v/>
      </c>
      <c r="F7" s="22" t="str">
        <f>IF(OR(E7="",E7="!!!"),"",IF(NOT(ISNA(VLOOKUP(E7,E$1:E6,1,FALSE()))),"OLD",IF(AND(E7&lt;&gt;"",E7&lt;&gt;"!!!"),"NEW","")))</f>
        <v> </v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4" t="str">
        <f>IF(J7&lt;&gt;1,"",IF(I7="SBJ","CB","?"))</f>
        <v> </v>
      </c>
      <c r="I7" s="25" t="str">
        <f>IF(OR(E7="",E7="!!!",F7="NEW"),"",INDEX(B6:B$2,-1+SUMPRODUCT(MAX(ROW(E6:E$2)*(E7=E6:E$2)))))</f>
        <v> </v>
      </c>
      <c r="J7" s="25" t="str">
        <f>IF(OR(E7="",E7="!!!",F7="NEW"),"",COUNTBLANK(OFFSET(A$1,,,SUMPRODUCT(MAX(ROW(E$2:E7)*(E7=E$2:E7)))))-COUNTBLANK(OFFSET(A$1,,,SUMPRODUCT(MAX(ROW(E$1:E6)*(E2=E$1:E6))))))</f>
        <v> </v>
      </c>
      <c r="K7" s="25" t="str">
        <f>IF(OR(E7="",E7="!!!",F7="NEW"),"",INDEX(J$1:J6,SUMPRODUCT(MAX(ROW(E$1:E6)*(E7=E$1:E6)))))</f>
        <v> </v>
      </c>
      <c r="L7" s="26"/>
    </row>
    <row r="8" spans="1:12">
      <c r="A8" s="20" t="s">
        <v>484</v>
      </c>
      <c r="E8" s="21">
        <f>IF(D8="?OLD","!!!","")</f>
        <v/>
      </c>
      <c r="F8" s="22" t="str">
        <f>IF(OR(E8="",E8="!!!"),"",IF(NOT(ISNA(VLOOKUP(E8,E$1:E7,1,FALSE()))),"OLD",IF(AND(E8&lt;&gt;"",E8&lt;&gt;"!!!"),"NEW","")))</f>
        <v> </v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4" t="str">
        <f>IF(J8&lt;&gt;1,"",IF(I8="SBJ","CB","?"))</f>
        <v> </v>
      </c>
      <c r="I8" s="25" t="str">
        <f>IF(OR(E8="",E8="!!!",F8="NEW"),"",INDEX(B7:B$2,-1+SUMPRODUCT(MAX(ROW(E7:E$2)*(E8=E7:E$2)))))</f>
        <v> </v>
      </c>
      <c r="J8" s="25" t="str">
        <f>IF(OR(E8="",E8="!!!",F8="NEW"),"",COUNTBLANK(OFFSET(A$1,,,SUMPRODUCT(MAX(ROW(E$2:E8)*(E8=E$2:E8)))))-COUNTBLANK(OFFSET(A$1,,,SUMPRODUCT(MAX(ROW(E$1:E7)*(E2=E$1:E7))))))</f>
        <v> </v>
      </c>
      <c r="K8" s="25" t="str">
        <f>IF(OR(E8="",E8="!!!",F8="NEW"),"",INDEX(J$1:J7,SUMPRODUCT(MAX(ROW(E$1:E7)*(E8=E$1:E7)))))</f>
        <v> </v>
      </c>
      <c r="L8" s="26"/>
    </row>
    <row r="9" spans="1:12">
      <c r="A9" s="20" t="s">
        <v>485</v>
      </c>
      <c r="E9" s="21">
        <f>IF(D9="?OLD","!!!","")</f>
        <v/>
      </c>
      <c r="F9" s="22" t="str">
        <f>IF(OR(E9="",E9="!!!"),"",IF(NOT(ISNA(VLOOKUP(E9,E$1:E8,1,FALSE()))),"OLD",IF(AND(E9&lt;&gt;"",E9&lt;&gt;"!!!"),"NEW","")))</f>
        <v> </v>
      </c>
      <c r="G9" s="23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4" t="str">
        <f>IF(J9&lt;&gt;1,"",IF(I9="SBJ","CB","?"))</f>
        <v> </v>
      </c>
      <c r="I9" s="25" t="str">
        <f>IF(OR(E9="",E9="!!!",F9="NEW"),"",INDEX(B8:B$2,-1+SUMPRODUCT(MAX(ROW(E8:E$2)*(E9=E8:E$2)))))</f>
        <v> </v>
      </c>
      <c r="J9" s="25" t="str">
        <f>IF(OR(E9="",E9="!!!",F9="NEW"),"",COUNTBLANK(OFFSET(A$1,,,SUMPRODUCT(MAX(ROW(E$2:E9)*(E9=E$2:E9)))))-COUNTBLANK(OFFSET(A$1,,,SUMPRODUCT(MAX(ROW(E$1:E8)*(E2=E$1:E8))))))</f>
        <v> </v>
      </c>
      <c r="K9" s="25" t="str">
        <f>IF(OR(E9="",E9="!!!",F9="NEW"),"",INDEX(J$1:J8,SUMPRODUCT(MAX(ROW(E$1:E8)*(E9=E$1:E8)))))</f>
        <v> </v>
      </c>
      <c r="L9" s="26"/>
    </row>
    <row r="10" spans="1:12">
      <c r="A10" s="20" t="s">
        <v>486</v>
      </c>
      <c r="B10" s="27" t="s">
        <v>477</v>
      </c>
      <c r="C10" s="27" t="s">
        <v>487</v>
      </c>
      <c r="D10" s="27" t="s">
        <v>483</v>
      </c>
      <c r="E10" s="21">
        <f>IF(D10="?OLD","!!!","")</f>
        <v/>
      </c>
      <c r="F10" s="22" t="str">
        <f>IF(OR(E10="",E10="!!!"),"",IF(NOT(ISNA(VLOOKUP(E10,E$1:E9,1,FALSE()))),"OLD",IF(AND(E10&lt;&gt;"",E10&lt;&gt;"!!!"),"NEW","")))</f>
        <v> </v>
      </c>
      <c r="G10" s="23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4" t="str">
        <f>IF(J10&lt;&gt;1,"",IF(I10="SBJ","CB","?"))</f>
        <v> </v>
      </c>
      <c r="I10" s="25" t="str">
        <f>IF(OR(E10="",E10="!!!",F10="NEW"),"",INDEX(B9:B$2,-1+SUMPRODUCT(MAX(ROW(E9:E$2)*(E10=E9:E$2)))))</f>
        <v> </v>
      </c>
      <c r="J10" s="25" t="str">
        <f>IF(OR(E10="",E10="!!!",F10="NEW"),"",COUNTBLANK(OFFSET(A$1,,,SUMPRODUCT(MAX(ROW(E$2:E10)*(E10=E$2:E10)))))-COUNTBLANK(OFFSET(A$1,,,SUMPRODUCT(MAX(ROW(E$1:E9)*(E2=E$1:E9))))))</f>
        <v> </v>
      </c>
      <c r="K10" s="25" t="str">
        <f>IF(OR(E10="",E10="!!!",F10="NEW"),"",INDEX(J$1:J9,SUMPRODUCT(MAX(ROW(E$1:E9)*(E10=E$1:E9)))))</f>
        <v> </v>
      </c>
      <c r="L10" s="26"/>
    </row>
    <row r="11" spans="1:12">
      <c r="A11" s="20" t="s">
        <v>488</v>
      </c>
      <c r="E11" s="21">
        <f>IF(D11="?OLD","!!!","")</f>
        <v/>
      </c>
      <c r="F11" s="22" t="str">
        <f>IF(OR(E11="",E11="!!!"),"",IF(NOT(ISNA(VLOOKUP(E11,E$1:E10,1,FALSE()))),"OLD",IF(AND(E11&lt;&gt;"",E11&lt;&gt;"!!!"),"NEW","")))</f>
        <v> </v>
      </c>
      <c r="G11" s="23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4" t="str">
        <f>IF(J11&lt;&gt;1,"",IF(I11="SBJ","CB","?"))</f>
        <v> </v>
      </c>
      <c r="I11" s="25" t="str">
        <f>IF(OR(E11="",E11="!!!",F11="NEW"),"",INDEX(B10:B$2,-1+SUMPRODUCT(MAX(ROW(E10:E$2)*(E11=E10:E$2)))))</f>
        <v> </v>
      </c>
      <c r="J11" s="25" t="str">
        <f>IF(OR(E11="",E11="!!!",F11="NEW"),"",COUNTBLANK(OFFSET(A$1,,,SUMPRODUCT(MAX(ROW(E$2:E11)*(E11=E$2:E11)))))-COUNTBLANK(OFFSET(A$1,,,SUMPRODUCT(MAX(ROW(E$1:E10)*(E2=E$1:E10))))))</f>
        <v> </v>
      </c>
      <c r="K11" s="25" t="str">
        <f>IF(OR(E11="",E11="!!!",F11="NEW"),"",INDEX(J$1:J10,SUMPRODUCT(MAX(ROW(E$1:E10)*(E11=E$1:E10)))))</f>
        <v> </v>
      </c>
      <c r="L11" s="26"/>
    </row>
    <row r="12" spans="1:12">
      <c r="A12" s="20" t="s">
        <v>489</v>
      </c>
      <c r="E12" s="21">
        <f>IF(D12="?OLD","!!!","")</f>
        <v/>
      </c>
      <c r="F12" s="22" t="str">
        <f>IF(OR(E12="",E12="!!!"),"",IF(NOT(ISNA(VLOOKUP(E12,E$1:E11,1,FALSE()))),"OLD",IF(AND(E12&lt;&gt;"",E12&lt;&gt;"!!!"),"NEW","")))</f>
        <v> </v>
      </c>
      <c r="G12" s="23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4" t="str">
        <f>IF(J12&lt;&gt;1,"",IF(I12="SBJ","CB","?"))</f>
        <v> </v>
      </c>
      <c r="I12" s="25" t="str">
        <f>IF(OR(E12="",E12="!!!",F12="NEW"),"",INDEX(B11:B$2,-1+SUMPRODUCT(MAX(ROW(E11:E$2)*(E12=E11:E$2)))))</f>
        <v> </v>
      </c>
      <c r="J12" s="25" t="str">
        <f>IF(OR(E12="",E12="!!!",F12="NEW"),"",COUNTBLANK(OFFSET(A$1,,,SUMPRODUCT(MAX(ROW(E$2:E12)*(E12=E$2:E12)))))-COUNTBLANK(OFFSET(A$1,,,SUMPRODUCT(MAX(ROW(E$1:E11)*(E2=E$1:E11))))))</f>
        <v> </v>
      </c>
      <c r="K12" s="25" t="str">
        <f>IF(OR(E12="",E12="!!!",F12="NEW"),"",INDEX(J$1:J11,SUMPRODUCT(MAX(ROW(E$1:E11)*(E12=E$1:E11)))))</f>
        <v> </v>
      </c>
      <c r="L12" s="26"/>
    </row>
    <row r="13" spans="1:12">
      <c r="A13" s="20" t="s">
        <v>485</v>
      </c>
      <c r="B13" s="27" t="s">
        <v>490</v>
      </c>
      <c r="C13" s="27" t="s">
        <v>491</v>
      </c>
      <c r="D13" s="27" t="s">
        <v>483</v>
      </c>
      <c r="E13" s="21">
        <f>IF(D13="?OLD","!!!","")</f>
        <v/>
      </c>
      <c r="F13" s="22" t="str">
        <f>IF(OR(E13="",E13="!!!"),"",IF(NOT(ISNA(VLOOKUP(E13,E$1:E12,1,FALSE()))),"OLD",IF(AND(E13&lt;&gt;"",E13&lt;&gt;"!!!"),"NEW","")))</f>
        <v> </v>
      </c>
      <c r="G13" s="23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4" t="str">
        <f>IF(J13&lt;&gt;1,"",IF(I13="SBJ","CB","?"))</f>
        <v> </v>
      </c>
      <c r="I13" s="25" t="str">
        <f>IF(OR(E13="",E13="!!!",F13="NEW"),"",INDEX(B12:B$2,-1+SUMPRODUCT(MAX(ROW(E12:E$2)*(E13=E12:E$2)))))</f>
        <v> </v>
      </c>
      <c r="J13" s="25" t="str">
        <f>IF(OR(E13="",E13="!!!",F13="NEW"),"",COUNTBLANK(OFFSET(A$1,,,SUMPRODUCT(MAX(ROW(E$2:E13)*(E13=E$2:E13)))))-COUNTBLANK(OFFSET(A$1,,,SUMPRODUCT(MAX(ROW(E$1:E12)*(E2=E$1:E12))))))</f>
        <v> </v>
      </c>
      <c r="K13" s="25" t="str">
        <f>IF(OR(E13="",E13="!!!",F13="NEW"),"",INDEX(J$1:J12,SUMPRODUCT(MAX(ROW(E$1:E12)*(E13=E$1:E12)))))</f>
        <v> </v>
      </c>
      <c r="L13" s="26"/>
    </row>
    <row r="14" spans="1:12">
      <c r="A14" s="20" t="s">
        <v>492</v>
      </c>
      <c r="B14" s="27" t="s">
        <v>493</v>
      </c>
      <c r="E14" s="21">
        <f>IF(D14="?OLD","!!!","")</f>
        <v/>
      </c>
      <c r="F14" s="22" t="str">
        <f>IF(OR(E14="",E14="!!!"),"",IF(NOT(ISNA(VLOOKUP(E14,E$1:E13,1,FALSE()))),"OLD",IF(AND(E14&lt;&gt;"",E14&lt;&gt;"!!!"),"NEW","")))</f>
        <v> </v>
      </c>
      <c r="G14" s="23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4" t="str">
        <f>IF(J14&lt;&gt;1,"",IF(I14="SBJ","CB","?"))</f>
        <v> </v>
      </c>
      <c r="I14" s="25" t="str">
        <f>IF(OR(E14="",E14="!!!",F14="NEW"),"",INDEX(B13:B$2,-1+SUMPRODUCT(MAX(ROW(E13:E$2)*(E14=E13:E$2)))))</f>
        <v> </v>
      </c>
      <c r="J14" s="25" t="str">
        <f>IF(OR(E14="",E14="!!!",F14="NEW"),"",COUNTBLANK(OFFSET(A$1,,,SUMPRODUCT(MAX(ROW(E$2:E14)*(E14=E$2:E14)))))-COUNTBLANK(OFFSET(A$1,,,SUMPRODUCT(MAX(ROW(E$1:E13)*(E2=E$1:E13))))))</f>
        <v> </v>
      </c>
      <c r="K14" s="25" t="str">
        <f>IF(OR(E14="",E14="!!!",F14="NEW"),"",INDEX(J$1:J13,SUMPRODUCT(MAX(ROW(E$1:E13)*(E14=E$1:E13)))))</f>
        <v> </v>
      </c>
      <c r="L14" s="26"/>
    </row>
    <row r="15" spans="1:12">
      <c r="A15" s="20" t="s">
        <v>494</v>
      </c>
      <c r="E15" s="21">
        <f>IF(D15="?OLD","!!!","")</f>
        <v/>
      </c>
      <c r="F15" s="22" t="str">
        <f>IF(OR(E15="",E15="!!!"),"",IF(NOT(ISNA(VLOOKUP(E15,E$1:E14,1,FALSE()))),"OLD",IF(AND(E15&lt;&gt;"",E15&lt;&gt;"!!!"),"NEW","")))</f>
        <v> </v>
      </c>
      <c r="G15" s="23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4" t="str">
        <f>IF(J15&lt;&gt;1,"",IF(I15="SBJ","CB","?"))</f>
        <v> </v>
      </c>
      <c r="I15" s="25" t="str">
        <f>IF(OR(E15="",E15="!!!",F15="NEW"),"",INDEX(B14:B$2,-1+SUMPRODUCT(MAX(ROW(E14:E$2)*(E15=E14:E$2)))))</f>
        <v> </v>
      </c>
      <c r="J15" s="25" t="str">
        <f>IF(OR(E15="",E15="!!!",F15="NEW"),"",COUNTBLANK(OFFSET(A$1,,,SUMPRODUCT(MAX(ROW(E$2:E15)*(E15=E$2:E15)))))-COUNTBLANK(OFFSET(A$1,,,SUMPRODUCT(MAX(ROW(E$1:E14)*(E2=E$1:E14))))))</f>
        <v> </v>
      </c>
      <c r="K15" s="25" t="str">
        <f>IF(OR(E15="",E15="!!!",F15="NEW"),"",INDEX(J$1:J14,SUMPRODUCT(MAX(ROW(E$1:E14)*(E15=E$1:E14)))))</f>
        <v> </v>
      </c>
      <c r="L15" s="26"/>
    </row>
    <row r="16" spans="1:12">
      <c r="A16" s="20" t="s">
        <v>391</v>
      </c>
      <c r="E16" s="21">
        <f>IF(D16="?OLD","!!!","")</f>
        <v/>
      </c>
      <c r="F16" s="22" t="str">
        <f>IF(OR(E16="",E16="!!!"),"",IF(NOT(ISNA(VLOOKUP(E16,E$1:E15,1,FALSE()))),"OLD",IF(AND(E16&lt;&gt;"",E16&lt;&gt;"!!!"),"NEW","")))</f>
        <v> </v>
      </c>
      <c r="G16" s="23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4" t="str">
        <f>IF(J16&lt;&gt;1,"",IF(I16="SBJ","CB","?"))</f>
        <v> </v>
      </c>
      <c r="I16" s="25" t="str">
        <f>IF(OR(E16="",E16="!!!",F16="NEW"),"",INDEX(B15:B$2,-1+SUMPRODUCT(MAX(ROW(E15:E$2)*(E16=E15:E$2)))))</f>
        <v> </v>
      </c>
      <c r="J16" s="25" t="str">
        <f>IF(OR(E16="",E16="!!!",F16="NEW"),"",COUNTBLANK(OFFSET(A$1,,,SUMPRODUCT(MAX(ROW(E$2:E16)*(E16=E$2:E16)))))-COUNTBLANK(OFFSET(A$1,,,SUMPRODUCT(MAX(ROW(E$1:E15)*(E2=E$1:E15))))))</f>
        <v> </v>
      </c>
      <c r="K16" s="25" t="str">
        <f>IF(OR(E16="",E16="!!!",F16="NEW"),"",INDEX(J$1:J15,SUMPRODUCT(MAX(ROW(E$1:E15)*(E16=E$1:E15)))))</f>
        <v> </v>
      </c>
      <c r="L16" s="26"/>
    </row>
    <row r="17" spans="1:12">
      <c r="A17" s="20" t="s">
        <v>495</v>
      </c>
      <c r="E17" s="21">
        <f>IF(D17="?OLD","!!!","")</f>
        <v/>
      </c>
      <c r="F17" s="22" t="str">
        <f>IF(OR(E17="",E17="!!!"),"",IF(NOT(ISNA(VLOOKUP(E17,E$1:E16,1,FALSE()))),"OLD",IF(AND(E17&lt;&gt;"",E17&lt;&gt;"!!!"),"NEW","")))</f>
        <v> </v>
      </c>
      <c r="G17" s="23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4" t="str">
        <f>IF(J17&lt;&gt;1,"",IF(I17="SBJ","CB","?"))</f>
        <v> </v>
      </c>
      <c r="I17" s="25" t="str">
        <f>IF(OR(E17="",E17="!!!",F17="NEW"),"",INDEX(B16:B$2,-1+SUMPRODUCT(MAX(ROW(E16:E$2)*(E17=E16:E$2)))))</f>
        <v> </v>
      </c>
      <c r="J17" s="25" t="str">
        <f>IF(OR(E17="",E17="!!!",F17="NEW"),"",COUNTBLANK(OFFSET(A$1,,,SUMPRODUCT(MAX(ROW(E$2:E17)*(E17=E$2:E17)))))-COUNTBLANK(OFFSET(A$1,,,SUMPRODUCT(MAX(ROW(E$1:E16)*(E2=E$1:E16))))))</f>
        <v> </v>
      </c>
      <c r="K17" s="25" t="str">
        <f>IF(OR(E17="",E17="!!!",F17="NEW"),"",INDEX(J$1:J16,SUMPRODUCT(MAX(ROW(E$1:E16)*(E17=E$1:E16)))))</f>
        <v> </v>
      </c>
      <c r="L17" s="26"/>
    </row>
    <row r="18" spans="1:12">
      <c r="A18" s="20" t="s">
        <v>496</v>
      </c>
      <c r="B18" s="27" t="s">
        <v>497</v>
      </c>
      <c r="C18" s="27" t="s">
        <v>498</v>
      </c>
      <c r="E18" s="21">
        <f>IF(D18="?OLD","!!!","")</f>
        <v/>
      </c>
      <c r="F18" s="22" t="str">
        <f>IF(OR(E18="",E18="!!!"),"",IF(NOT(ISNA(VLOOKUP(E18,E$1:E17,1,FALSE()))),"OLD",IF(AND(E18&lt;&gt;"",E18&lt;&gt;"!!!"),"NEW","")))</f>
        <v> </v>
      </c>
      <c r="G18" s="23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4" t="str">
        <f>IF(J18&lt;&gt;1,"",IF(I18="SBJ","CB","?"))</f>
        <v> </v>
      </c>
      <c r="I18" s="25" t="str">
        <f>IF(OR(E18="",E18="!!!",F18="NEW"),"",INDEX(B17:B$2,-1+SUMPRODUCT(MAX(ROW(E17:E$2)*(E18=E17:E$2)))))</f>
        <v> </v>
      </c>
      <c r="J18" s="25" t="str">
        <f>IF(OR(E18="",E18="!!!",F18="NEW"),"",COUNTBLANK(OFFSET(A$1,,,SUMPRODUCT(MAX(ROW(E$2:E18)*(E18=E$2:E18)))))-COUNTBLANK(OFFSET(A$1,,,SUMPRODUCT(MAX(ROW(E$1:E17)*(E2=E$1:E17))))))</f>
        <v> </v>
      </c>
      <c r="K18" s="25" t="str">
        <f>IF(OR(E18="",E18="!!!",F18="NEW"),"",INDEX(J$1:J17,SUMPRODUCT(MAX(ROW(E$1:E17)*(E18=E$1:E17)))))</f>
        <v> </v>
      </c>
      <c r="L18" s="26"/>
    </row>
    <row r="19" spans="1:12">
      <c r="A19" s="20" t="s">
        <v>499</v>
      </c>
      <c r="E19" s="21">
        <f>IF(D19="?OLD","!!!","")</f>
        <v/>
      </c>
      <c r="F19" s="22" t="str">
        <f>IF(OR(E19="",E19="!!!"),"",IF(NOT(ISNA(VLOOKUP(E19,E$1:E18,1,FALSE()))),"OLD",IF(AND(E19&lt;&gt;"",E19&lt;&gt;"!!!"),"NEW","")))</f>
        <v> </v>
      </c>
      <c r="G19" s="23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4" t="str">
        <f>IF(J19&lt;&gt;1,"",IF(I19="SBJ","CB","?"))</f>
        <v> </v>
      </c>
      <c r="I19" s="25" t="str">
        <f>IF(OR(E19="",E19="!!!",F19="NEW"),"",INDEX(B18:B$2,-1+SUMPRODUCT(MAX(ROW(E18:E$2)*(E19=E18:E$2)))))</f>
        <v> </v>
      </c>
      <c r="J19" s="25" t="str">
        <f>IF(OR(E19="",E19="!!!",F19="NEW"),"",COUNTBLANK(OFFSET(A$1,,,SUMPRODUCT(MAX(ROW(E$2:E19)*(E19=E$2:E19)))))-COUNTBLANK(OFFSET(A$1,,,SUMPRODUCT(MAX(ROW(E$1:E18)*(E2=E$1:E18))))))</f>
        <v> </v>
      </c>
      <c r="K19" s="25" t="str">
        <f>IF(OR(E19="",E19="!!!",F19="NEW"),"",INDEX(J$1:J18,SUMPRODUCT(MAX(ROW(E$1:E18)*(E19=E$1:E18)))))</f>
        <v> </v>
      </c>
      <c r="L19" s="26"/>
    </row>
    <row r="20" spans="1:12">
      <c r="A20" s="20" t="s">
        <v>500</v>
      </c>
      <c r="E20" s="21">
        <f>IF(D20="?OLD","!!!","")</f>
        <v/>
      </c>
      <c r="F20" s="22" t="str">
        <f>IF(OR(E20="",E20="!!!"),"",IF(NOT(ISNA(VLOOKUP(E20,E$1:E19,1,FALSE()))),"OLD",IF(AND(E20&lt;&gt;"",E20&lt;&gt;"!!!"),"NEW","")))</f>
        <v> </v>
      </c>
      <c r="G20" s="23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4" t="str">
        <f>IF(J20&lt;&gt;1,"",IF(I20="SBJ","CB","?"))</f>
        <v> </v>
      </c>
      <c r="I20" s="25" t="str">
        <f>IF(OR(E20="",E20="!!!",F20="NEW"),"",INDEX(B19:B$2,-1+SUMPRODUCT(MAX(ROW(E19:E$2)*(E20=E19:E$2)))))</f>
        <v> </v>
      </c>
      <c r="J20" s="25" t="str">
        <f>IF(OR(E20="",E20="!!!",F20="NEW"),"",COUNTBLANK(OFFSET(A$1,,,SUMPRODUCT(MAX(ROW(E$2:E20)*(E20=E$2:E20)))))-COUNTBLANK(OFFSET(A$1,,,SUMPRODUCT(MAX(ROW(E$1:E19)*(E2=E$1:E19))))))</f>
        <v> </v>
      </c>
      <c r="K20" s="25" t="str">
        <f>IF(OR(E20="",E20="!!!",F20="NEW"),"",INDEX(J$1:J19,SUMPRODUCT(MAX(ROW(E$1:E19)*(E20=E$1:E19)))))</f>
        <v> </v>
      </c>
      <c r="L20" s="26"/>
    </row>
    <row r="21" spans="1:12">
      <c r="A21" s="20" t="s">
        <v>13</v>
      </c>
      <c r="E21" s="21">
        <f>IF(D21="?OLD","!!!","")</f>
        <v/>
      </c>
      <c r="F21" s="22" t="str">
        <f>IF(OR(E21="",E21="!!!"),"",IF(NOT(ISNA(VLOOKUP(E21,E$1:E20,1,FALSE()))),"OLD",IF(AND(E21&lt;&gt;"",E21&lt;&gt;"!!!"),"NEW","")))</f>
        <v> </v>
      </c>
      <c r="G21" s="23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4" t="str">
        <f>IF(J21&lt;&gt;1,"",IF(I21="SBJ","CB","?"))</f>
        <v> </v>
      </c>
      <c r="I21" s="25" t="str">
        <f>IF(OR(E21="",E21="!!!",F21="NEW"),"",INDEX(B20:B$2,-1+SUMPRODUCT(MAX(ROW(E20:E$2)*(E21=E20:E$2)))))</f>
        <v> </v>
      </c>
      <c r="J21" s="25" t="str">
        <f>IF(OR(E21="",E21="!!!",F21="NEW"),"",COUNTBLANK(OFFSET(A$1,,,SUMPRODUCT(MAX(ROW(E$2:E21)*(E21=E$2:E21)))))-COUNTBLANK(OFFSET(A$1,,,SUMPRODUCT(MAX(ROW(E$1:E20)*(E2=E$1:E20))))))</f>
        <v> </v>
      </c>
      <c r="K21" s="25" t="str">
        <f>IF(OR(E21="",E21="!!!",F21="NEW"),"",INDEX(J$1:J20,SUMPRODUCT(MAX(ROW(E$1:E20)*(E21=E$1:E20)))))</f>
        <v> </v>
      </c>
      <c r="L21" s="26"/>
    </row>
    <row r="22" spans="1:12">
      <c r="A22" s="20" t="s">
        <v>380</v>
      </c>
      <c r="E22" s="21">
        <f>IF(D22="?OLD","!!!","")</f>
        <v/>
      </c>
      <c r="F22" s="22" t="str">
        <f>IF(OR(E22="",E22="!!!"),"",IF(NOT(ISNA(VLOOKUP(E22,E$1:E21,1,FALSE()))),"OLD",IF(AND(E22&lt;&gt;"",E22&lt;&gt;"!!!"),"NEW","")))</f>
        <v> </v>
      </c>
      <c r="G22" s="23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4" t="str">
        <f>IF(J22&lt;&gt;1,"",IF(I22="SBJ","CB","?"))</f>
        <v> </v>
      </c>
      <c r="I22" s="25" t="str">
        <f>IF(OR(E22="",E22="!!!",F22="NEW"),"",INDEX(B21:B$2,-1+SUMPRODUCT(MAX(ROW(E21:E$2)*(E22=E21:E$2)))))</f>
        <v> </v>
      </c>
      <c r="J22" s="25" t="str">
        <f>IF(OR(E22="",E22="!!!",F22="NEW"),"",COUNTBLANK(OFFSET(A$1,,,SUMPRODUCT(MAX(ROW(E$2:E22)*(E22=E$2:E22)))))-COUNTBLANK(OFFSET(A$1,,,SUMPRODUCT(MAX(ROW(E$1:E21)*(E2=E$1:E21))))))</f>
        <v> </v>
      </c>
      <c r="K22" s="25" t="str">
        <f>IF(OR(E22="",E22="!!!",F22="NEW"),"",INDEX(J$1:J21,SUMPRODUCT(MAX(ROW(E$1:E21)*(E22=E$1:E21)))))</f>
        <v> </v>
      </c>
      <c r="L22" s="26"/>
    </row>
    <row r="23" spans="1:12">
      <c r="A23" s="20" t="s">
        <v>501</v>
      </c>
      <c r="B23" s="27" t="s">
        <v>502</v>
      </c>
      <c r="C23" s="27" t="s">
        <v>498</v>
      </c>
      <c r="E23" s="21">
        <f>IF(D23="?OLD","!!!","")</f>
        <v/>
      </c>
      <c r="F23" s="22" t="str">
        <f>IF(OR(E23="",E23="!!!"),"",IF(NOT(ISNA(VLOOKUP(E23,E$1:E22,1,FALSE()))),"OLD",IF(AND(E23&lt;&gt;"",E23&lt;&gt;"!!!"),"NEW","")))</f>
        <v> </v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4" t="str">
        <f>IF(J23&lt;&gt;1,"",IF(I23="SBJ","CB","?"))</f>
        <v> </v>
      </c>
      <c r="I23" s="25" t="str">
        <f>IF(OR(E23="",E23="!!!",F23="NEW"),"",INDEX(B22:B$2,-1+SUMPRODUCT(MAX(ROW(E22:E$2)*(E23=E22:E$2)))))</f>
        <v> </v>
      </c>
      <c r="J23" s="25" t="str">
        <f>IF(OR(E23="",E23="!!!",F23="NEW"),"",COUNTBLANK(OFFSET(A$1,,,SUMPRODUCT(MAX(ROW(E$2:E23)*(E23=E$2:E23)))))-COUNTBLANK(OFFSET(A$1,,,SUMPRODUCT(MAX(ROW(E$1:E22)*(E2=E$1:E22))))))</f>
        <v> </v>
      </c>
      <c r="K23" s="25" t="str">
        <f>IF(OR(E23="",E23="!!!",F23="NEW"),"",INDEX(J$1:J22,SUMPRODUCT(MAX(ROW(E$1:E22)*(E23=E$1:E22)))))</f>
        <v> </v>
      </c>
      <c r="L23" s="26"/>
    </row>
    <row r="24" spans="1:12">
      <c r="A24" s="20" t="s">
        <v>489</v>
      </c>
      <c r="E24" s="21">
        <f>IF(D24="?OLD","!!!","")</f>
        <v/>
      </c>
      <c r="F24" s="22" t="str">
        <f>IF(OR(E24="",E24="!!!"),"",IF(NOT(ISNA(VLOOKUP(E24,E$1:E23,1,FALSE()))),"OLD",IF(AND(E24&lt;&gt;"",E24&lt;&gt;"!!!"),"NEW","")))</f>
        <v> </v>
      </c>
      <c r="G24" s="23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4" t="str">
        <f>IF(J24&lt;&gt;1,"",IF(I24="SBJ","CB","?"))</f>
        <v> </v>
      </c>
      <c r="I24" s="25" t="str">
        <f>IF(OR(E24="",E24="!!!",F24="NEW"),"",INDEX(B23:B$2,-1+SUMPRODUCT(MAX(ROW(E23:E$2)*(E24=E23:E$2)))))</f>
        <v> </v>
      </c>
      <c r="J24" s="25" t="str">
        <f>IF(OR(E24="",E24="!!!",F24="NEW"),"",COUNTBLANK(OFFSET(A$1,,,SUMPRODUCT(MAX(ROW(E$2:E24)*(E24=E$2:E24)))))-COUNTBLANK(OFFSET(A$1,,,SUMPRODUCT(MAX(ROW(E$1:E23)*(E2=E$1:E23))))))</f>
        <v> </v>
      </c>
      <c r="K24" s="25" t="str">
        <f>IF(OR(E24="",E24="!!!",F24="NEW"),"",INDEX(J$1:J23,SUMPRODUCT(MAX(ROW(E$1:E23)*(E24=E$1:E23)))))</f>
        <v> </v>
      </c>
      <c r="L24" s="26"/>
    </row>
    <row r="25" spans="1:12">
      <c r="A25" s="20" t="s">
        <v>503</v>
      </c>
      <c r="E25" s="21">
        <f>IF(D25="?OLD","!!!","")</f>
        <v/>
      </c>
      <c r="F25" s="22" t="str">
        <f>IF(OR(E25="",E25="!!!"),"",IF(NOT(ISNA(VLOOKUP(E25,E$1:E24,1,FALSE()))),"OLD",IF(AND(E25&lt;&gt;"",E25&lt;&gt;"!!!"),"NEW","")))</f>
        <v> </v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4" t="str">
        <f>IF(J25&lt;&gt;1,"",IF(I25="SBJ","CB","?"))</f>
        <v> </v>
      </c>
      <c r="I25" s="25" t="str">
        <f>IF(OR(E25="",E25="!!!",F25="NEW"),"",INDEX(B24:B$2,-1+SUMPRODUCT(MAX(ROW(E24:E$2)*(E25=E24:E$2)))))</f>
        <v> </v>
      </c>
      <c r="J25" s="25" t="str">
        <f>IF(OR(E25="",E25="!!!",F25="NEW"),"",COUNTBLANK(OFFSET(A$1,,,SUMPRODUCT(MAX(ROW(E$2:E25)*(E25=E$2:E25)))))-COUNTBLANK(OFFSET(A$1,,,SUMPRODUCT(MAX(ROW(E$1:E24)*(E2=E$1:E24))))))</f>
        <v> </v>
      </c>
      <c r="K25" s="25" t="str">
        <f>IF(OR(E25="",E25="!!!",F25="NEW"),"",INDEX(J$1:J24,SUMPRODUCT(MAX(ROW(E$1:E24)*(E25=E$1:E24)))))</f>
        <v> </v>
      </c>
      <c r="L25" s="26"/>
    </row>
    <row r="26" spans="1:12">
      <c r="A26" s="20" t="s">
        <v>504</v>
      </c>
      <c r="E26" s="21">
        <f>IF(D26="?OLD","!!!","")</f>
        <v/>
      </c>
      <c r="F26" s="22" t="str">
        <f>IF(OR(E26="",E26="!!!"),"",IF(NOT(ISNA(VLOOKUP(E26,E$1:E25,1,FALSE()))),"OLD",IF(AND(E26&lt;&gt;"",E26&lt;&gt;"!!!"),"NEW","")))</f>
        <v> </v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4" t="str">
        <f>IF(J26&lt;&gt;1,"",IF(I26="SBJ","CB","?"))</f>
        <v> </v>
      </c>
      <c r="I26" s="25" t="str">
        <f>IF(OR(E26="",E26="!!!",F26="NEW"),"",INDEX(B25:B$2,-1+SUMPRODUCT(MAX(ROW(E25:E$2)*(E26=E25:E$2)))))</f>
        <v> </v>
      </c>
      <c r="J26" s="25" t="str">
        <f>IF(OR(E26="",E26="!!!",F26="NEW"),"",COUNTBLANK(OFFSET(A$1,,,SUMPRODUCT(MAX(ROW(E$2:E26)*(E26=E$2:E26)))))-COUNTBLANK(OFFSET(A$1,,,SUMPRODUCT(MAX(ROW(E$1:E25)*(E2=E$1:E25))))))</f>
        <v> </v>
      </c>
      <c r="K26" s="25" t="str">
        <f>IF(OR(E26="",E26="!!!",F26="NEW"),"",INDEX(J$1:J25,SUMPRODUCT(MAX(ROW(E$1:E25)*(E26=E$1:E25)))))</f>
        <v> </v>
      </c>
      <c r="L26" s="26"/>
    </row>
    <row r="27" spans="1:12">
      <c r="A27" s="20" t="s">
        <v>492</v>
      </c>
      <c r="E27" s="21">
        <f>IF(D27="?OLD","!!!","")</f>
        <v/>
      </c>
      <c r="F27" s="22" t="str">
        <f>IF(OR(E27="",E27="!!!"),"",IF(NOT(ISNA(VLOOKUP(E27,E$1:E26,1,FALSE()))),"OLD",IF(AND(E27&lt;&gt;"",E27&lt;&gt;"!!!"),"NEW","")))</f>
        <v> </v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4" t="str">
        <f>IF(J27&lt;&gt;1,"",IF(I27="SBJ","CB","?"))</f>
        <v> </v>
      </c>
      <c r="I27" s="25" t="str">
        <f>IF(OR(E27="",E27="!!!",F27="NEW"),"",INDEX(B26:B$2,-1+SUMPRODUCT(MAX(ROW(E26:E$2)*(E27=E26:E$2)))))</f>
        <v> </v>
      </c>
      <c r="J27" s="25" t="str">
        <f>IF(OR(E27="",E27="!!!",F27="NEW"),"",COUNTBLANK(OFFSET(A$1,,,SUMPRODUCT(MAX(ROW(E$2:E27)*(E27=E$2:E27)))))-COUNTBLANK(OFFSET(A$1,,,SUMPRODUCT(MAX(ROW(E$1:E26)*(E2=E$1:E26))))))</f>
        <v> </v>
      </c>
      <c r="K27" s="25" t="str">
        <f>IF(OR(E27="",E27="!!!",F27="NEW"),"",INDEX(J$1:J26,SUMPRODUCT(MAX(ROW(E$1:E26)*(E27=E$1:E26)))))</f>
        <v> </v>
      </c>
      <c r="L27" s="26"/>
    </row>
    <row r="28" spans="1:12">
      <c r="A28" s="20" t="s">
        <v>503</v>
      </c>
      <c r="B28" s="27" t="s">
        <v>505</v>
      </c>
      <c r="C28" s="27" t="s">
        <v>482</v>
      </c>
      <c r="D28" s="27" t="s">
        <v>483</v>
      </c>
      <c r="E28" s="21">
        <f>IF(D28="?OLD","!!!","")</f>
        <v/>
      </c>
      <c r="F28" s="22" t="str">
        <f>IF(OR(E28="",E28="!!!"),"",IF(NOT(ISNA(VLOOKUP(E28,E$1:E27,1,FALSE()))),"OLD",IF(AND(E28&lt;&gt;"",E28&lt;&gt;"!!!"),"NEW","")))</f>
        <v> </v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4" t="str">
        <f>IF(J28&lt;&gt;1,"",IF(I28="SBJ","CB","?"))</f>
        <v> </v>
      </c>
      <c r="I28" s="25" t="str">
        <f>IF(OR(E28="",E28="!!!",F28="NEW"),"",INDEX(B27:B$2,-1+SUMPRODUCT(MAX(ROW(E27:E$2)*(E28=E27:E$2)))))</f>
        <v> </v>
      </c>
      <c r="J28" s="25" t="str">
        <f>IF(OR(E28="",E28="!!!",F28="NEW"),"",COUNTBLANK(OFFSET(A$1,,,SUMPRODUCT(MAX(ROW(E$2:E28)*(E28=E$2:E28)))))-COUNTBLANK(OFFSET(A$1,,,SUMPRODUCT(MAX(ROW(E$1:E27)*(E2=E$1:E27))))))</f>
        <v> </v>
      </c>
      <c r="K28" s="25" t="str">
        <f>IF(OR(E28="",E28="!!!",F28="NEW"),"",INDEX(J$1:J27,SUMPRODUCT(MAX(ROW(E$1:E27)*(E28=E$1:E27)))))</f>
        <v> </v>
      </c>
      <c r="L28" s="26"/>
    </row>
    <row r="29" spans="1:12">
      <c r="A29" s="20" t="s">
        <v>506</v>
      </c>
      <c r="E29" s="21">
        <f>IF(D29="?OLD","!!!","")</f>
        <v/>
      </c>
      <c r="F29" s="22" t="str">
        <f>IF(OR(E29="",E29="!!!"),"",IF(NOT(ISNA(VLOOKUP(E29,E$1:E28,1,FALSE()))),"OLD",IF(AND(E29&lt;&gt;"",E29&lt;&gt;"!!!"),"NEW","")))</f>
        <v> </v>
      </c>
      <c r="G29" s="23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4" t="str">
        <f>IF(J29&lt;&gt;1,"",IF(I29="SBJ","CB","?"))</f>
        <v> </v>
      </c>
      <c r="I29" s="25" t="str">
        <f>IF(OR(E29="",E29="!!!",F29="NEW"),"",INDEX(B28:B$2,-1+SUMPRODUCT(MAX(ROW(E28:E$2)*(E29=E28:E$2)))))</f>
        <v> </v>
      </c>
      <c r="J29" s="25" t="str">
        <f>IF(OR(E29="",E29="!!!",F29="NEW"),"",COUNTBLANK(OFFSET(A$1,,,SUMPRODUCT(MAX(ROW(E$2:E29)*(E29=E$2:E29)))))-COUNTBLANK(OFFSET(A$1,,,SUMPRODUCT(MAX(ROW(E$1:E28)*(E2=E$1:E28))))))</f>
        <v> </v>
      </c>
      <c r="K29" s="25" t="str">
        <f>IF(OR(E29="",E29="!!!",F29="NEW"),"",INDEX(J$1:J28,SUMPRODUCT(MAX(ROW(E$1:E28)*(E29=E$1:E28)))))</f>
        <v> </v>
      </c>
      <c r="L29" s="26"/>
    </row>
    <row r="30" spans="1:12">
      <c r="A30" s="20" t="s">
        <v>507</v>
      </c>
      <c r="E30" s="21">
        <f>IF(D30="?OLD","!!!","")</f>
        <v/>
      </c>
      <c r="F30" s="22" t="str">
        <f>IF(OR(E30="",E30="!!!"),"",IF(NOT(ISNA(VLOOKUP(E30,E$1:E29,1,FALSE()))),"OLD",IF(AND(E30&lt;&gt;"",E30&lt;&gt;"!!!"),"NEW","")))</f>
        <v> </v>
      </c>
      <c r="G30" s="23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4" t="str">
        <f>IF(J30&lt;&gt;1,"",IF(I30="SBJ","CB","?"))</f>
        <v> </v>
      </c>
      <c r="I30" s="25" t="str">
        <f>IF(OR(E30="",E30="!!!",F30="NEW"),"",INDEX(B29:B$2,-1+SUMPRODUCT(MAX(ROW(E29:E$2)*(E30=E29:E$2)))))</f>
        <v> </v>
      </c>
      <c r="J30" s="25" t="str">
        <f>IF(OR(E30="",E30="!!!",F30="NEW"),"",COUNTBLANK(OFFSET(A$1,,,SUMPRODUCT(MAX(ROW(E$2:E30)*(E30=E$2:E30)))))-COUNTBLANK(OFFSET(A$1,,,SUMPRODUCT(MAX(ROW(E$1:E29)*(E2=E$1:E29))))))</f>
        <v> </v>
      </c>
      <c r="K30" s="25" t="str">
        <f>IF(OR(E30="",E30="!!!",F30="NEW"),"",INDEX(J$1:J29,SUMPRODUCT(MAX(ROW(E$1:E29)*(E30=E$1:E29)))))</f>
        <v> </v>
      </c>
      <c r="L30" s="26"/>
    </row>
    <row r="31" spans="1:12">
      <c r="A31" s="20" t="s">
        <v>508</v>
      </c>
      <c r="E31" s="21">
        <f>IF(D31="?OLD","!!!","")</f>
        <v/>
      </c>
      <c r="F31" s="22" t="str">
        <f>IF(OR(E31="",E31="!!!"),"",IF(NOT(ISNA(VLOOKUP(E31,E$1:E30,1,FALSE()))),"OLD",IF(AND(E31&lt;&gt;"",E31&lt;&gt;"!!!"),"NEW","")))</f>
        <v> </v>
      </c>
      <c r="G31" s="23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4" t="str">
        <f>IF(J31&lt;&gt;1,"",IF(I31="SBJ","CB","?"))</f>
        <v> </v>
      </c>
      <c r="I31" s="25" t="str">
        <f>IF(OR(E31="",E31="!!!",F31="NEW"),"",INDEX(B30:B$2,-1+SUMPRODUCT(MAX(ROW(E30:E$2)*(E31=E30:E$2)))))</f>
        <v> </v>
      </c>
      <c r="J31" s="25" t="str">
        <f>IF(OR(E31="",E31="!!!",F31="NEW"),"",COUNTBLANK(OFFSET(A$1,,,SUMPRODUCT(MAX(ROW(E$2:E31)*(E31=E$2:E31)))))-COUNTBLANK(OFFSET(A$1,,,SUMPRODUCT(MAX(ROW(E$1:E30)*(E2=E$1:E30))))))</f>
        <v> </v>
      </c>
      <c r="K31" s="25" t="str">
        <f>IF(OR(E31="",E31="!!!",F31="NEW"),"",INDEX(J$1:J30,SUMPRODUCT(MAX(ROW(E$1:E30)*(E31=E$1:E30)))))</f>
        <v> </v>
      </c>
      <c r="L31" s="26"/>
    </row>
    <row r="32" spans="1:12">
      <c r="A32" s="20" t="s">
        <v>509</v>
      </c>
      <c r="B32" s="27" t="s">
        <v>510</v>
      </c>
      <c r="C32" s="27" t="s">
        <v>487</v>
      </c>
      <c r="D32" s="27" t="s">
        <v>483</v>
      </c>
      <c r="E32" s="21">
        <f>IF(D32="?OLD","!!!","")</f>
        <v/>
      </c>
      <c r="F32" s="22" t="str">
        <f>IF(OR(E32="",E32="!!!"),"",IF(NOT(ISNA(VLOOKUP(E32,E$1:E31,1,FALSE()))),"OLD",IF(AND(E32&lt;&gt;"",E32&lt;&gt;"!!!"),"NEW","")))</f>
        <v> </v>
      </c>
      <c r="G32" s="23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4" t="str">
        <f>IF(J32&lt;&gt;1,"",IF(I32="SBJ","CB","?"))</f>
        <v> </v>
      </c>
      <c r="I32" s="25" t="str">
        <f>IF(OR(E32="",E32="!!!",F32="NEW"),"",INDEX(B31:B$2,-1+SUMPRODUCT(MAX(ROW(E31:E$2)*(E32=E31:E$2)))))</f>
        <v> </v>
      </c>
      <c r="J32" s="25" t="str">
        <f>IF(OR(E32="",E32="!!!",F32="NEW"),"",COUNTBLANK(OFFSET(A$1,,,SUMPRODUCT(MAX(ROW(E$2:E32)*(E32=E$2:E32)))))-COUNTBLANK(OFFSET(A$1,,,SUMPRODUCT(MAX(ROW(E$1:E31)*(E2=E$1:E31))))))</f>
        <v> </v>
      </c>
      <c r="K32" s="25" t="str">
        <f>IF(OR(E32="",E32="!!!",F32="NEW"),"",INDEX(J$1:J31,SUMPRODUCT(MAX(ROW(E$1:E31)*(E32=E$1:E31)))))</f>
        <v> </v>
      </c>
      <c r="L32" s="26"/>
    </row>
    <row r="33" spans="1:12">
      <c r="A33" s="20" t="s">
        <v>492</v>
      </c>
      <c r="B33" s="27" t="s">
        <v>511</v>
      </c>
      <c r="E33" s="21">
        <f>IF(D33="?OLD","!!!","")</f>
        <v/>
      </c>
      <c r="F33" s="22" t="str">
        <f>IF(OR(E33="",E33="!!!"),"",IF(NOT(ISNA(VLOOKUP(E33,E$1:E32,1,FALSE()))),"OLD",IF(AND(E33&lt;&gt;"",E33&lt;&gt;"!!!"),"NEW","")))</f>
        <v> </v>
      </c>
      <c r="G33" s="23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4" t="str">
        <f>IF(J33&lt;&gt;1,"",IF(I33="SBJ","CB","?"))</f>
        <v> </v>
      </c>
      <c r="I33" s="25" t="str">
        <f>IF(OR(E33="",E33="!!!",F33="NEW"),"",INDEX(B32:B$2,-1+SUMPRODUCT(MAX(ROW(E32:E$2)*(E33=E32:E$2)))))</f>
        <v> </v>
      </c>
      <c r="J33" s="25" t="str">
        <f>IF(OR(E33="",E33="!!!",F33="NEW"),"",COUNTBLANK(OFFSET(A$1,,,SUMPRODUCT(MAX(ROW(E$2:E33)*(E33=E$2:E33)))))-COUNTBLANK(OFFSET(A$1,,,SUMPRODUCT(MAX(ROW(E$1:E32)*(E2=E$1:E32))))))</f>
        <v> </v>
      </c>
      <c r="K33" s="25" t="str">
        <f>IF(OR(E33="",E33="!!!",F33="NEW"),"",INDEX(J$1:J32,SUMPRODUCT(MAX(ROW(E$1:E32)*(E33=E$1:E32)))))</f>
        <v> </v>
      </c>
      <c r="L33" s="26"/>
    </row>
    <row r="34" spans="1:12">
      <c r="A34" s="20" t="s">
        <v>512</v>
      </c>
      <c r="B34" s="27" t="s">
        <v>513</v>
      </c>
      <c r="C34" s="27" t="s">
        <v>482</v>
      </c>
      <c r="D34" s="27" t="s">
        <v>483</v>
      </c>
      <c r="E34" s="21">
        <f>IF(D34="?OLD","!!!","")</f>
        <v/>
      </c>
      <c r="F34" s="22" t="str">
        <f>IF(OR(E34="",E34="!!!"),"",IF(NOT(ISNA(VLOOKUP(E34,E$1:E33,1,FALSE()))),"OLD",IF(AND(E34&lt;&gt;"",E34&lt;&gt;"!!!"),"NEW","")))</f>
        <v> </v>
      </c>
      <c r="G34" s="23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4" t="str">
        <f>IF(J34&lt;&gt;1,"",IF(I34="SBJ","CB","?"))</f>
        <v> </v>
      </c>
      <c r="I34" s="25" t="str">
        <f>IF(OR(E34="",E34="!!!",F34="NEW"),"",INDEX(B33:B$2,-1+SUMPRODUCT(MAX(ROW(E33:E$2)*(E34=E33:E$2)))))</f>
        <v> </v>
      </c>
      <c r="J34" s="25" t="str">
        <f>IF(OR(E34="",E34="!!!",F34="NEW"),"",COUNTBLANK(OFFSET(A$1,,,SUMPRODUCT(MAX(ROW(E$2:E34)*(E34=E$2:E34)))))-COUNTBLANK(OFFSET(A$1,,,SUMPRODUCT(MAX(ROW(E$1:E33)*(E2=E$1:E33))))))</f>
        <v> </v>
      </c>
      <c r="K34" s="25" t="str">
        <f>IF(OR(E34="",E34="!!!",F34="NEW"),"",INDEX(J$1:J33,SUMPRODUCT(MAX(ROW(E$1:E33)*(E34=E$1:E33)))))</f>
        <v> </v>
      </c>
      <c r="L34" s="26"/>
    </row>
    <row r="35" spans="1:12">
      <c r="A35" s="20" t="s">
        <v>514</v>
      </c>
      <c r="B35" s="27" t="s">
        <v>515</v>
      </c>
      <c r="C35" s="27" t="s">
        <v>516</v>
      </c>
      <c r="E35" s="21">
        <f>IF(D35="?OLD","!!!","")</f>
        <v/>
      </c>
      <c r="F35" s="22" t="str">
        <f>IF(OR(E35="",E35="!!!"),"",IF(NOT(ISNA(VLOOKUP(E35,E$1:E34,1,FALSE()))),"OLD",IF(AND(E35&lt;&gt;"",E35&lt;&gt;"!!!"),"NEW","")))</f>
        <v> </v>
      </c>
      <c r="G35" s="23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4" t="str">
        <f>IF(J35&lt;&gt;1,"",IF(I35="SBJ","CB","?"))</f>
        <v> </v>
      </c>
      <c r="I35" s="25" t="str">
        <f>IF(OR(E35="",E35="!!!",F35="NEW"),"",INDEX(B34:B$2,-1+SUMPRODUCT(MAX(ROW(E34:E$2)*(E35=E34:E$2)))))</f>
        <v> </v>
      </c>
      <c r="J35" s="25" t="str">
        <f>IF(OR(E35="",E35="!!!",F35="NEW"),"",COUNTBLANK(OFFSET(A$1,,,SUMPRODUCT(MAX(ROW(E$2:E35)*(E35=E$2:E35)))))-COUNTBLANK(OFFSET(A$1,,,SUMPRODUCT(MAX(ROW(E$1:E34)*(E2=E$1:E34))))))</f>
        <v> </v>
      </c>
      <c r="K35" s="25" t="str">
        <f>IF(OR(E35="",E35="!!!",F35="NEW"),"",INDEX(J$1:J34,SUMPRODUCT(MAX(ROW(E$1:E34)*(E35=E$1:E34)))))</f>
        <v> </v>
      </c>
      <c r="L35" s="26"/>
    </row>
    <row r="36" spans="1:12">
      <c r="A36" s="20" t="s">
        <v>489</v>
      </c>
      <c r="E36" s="21">
        <f>IF(D36="?OLD","!!!","")</f>
        <v/>
      </c>
      <c r="F36" s="22" t="str">
        <f>IF(OR(E36="",E36="!!!"),"",IF(NOT(ISNA(VLOOKUP(E36,E$1:E35,1,FALSE()))),"OLD",IF(AND(E36&lt;&gt;"",E36&lt;&gt;"!!!"),"NEW","")))</f>
        <v> </v>
      </c>
      <c r="G36" s="23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4" t="str">
        <f>IF(J36&lt;&gt;1,"",IF(I36="SBJ","CB","?"))</f>
        <v> </v>
      </c>
      <c r="I36" s="25" t="str">
        <f>IF(OR(E36="",E36="!!!",F36="NEW"),"",INDEX(B35:B$2,-1+SUMPRODUCT(MAX(ROW(E35:E$2)*(E36=E35:E$2)))))</f>
        <v> </v>
      </c>
      <c r="J36" s="25" t="str">
        <f>IF(OR(E36="",E36="!!!",F36="NEW"),"",COUNTBLANK(OFFSET(A$1,,,SUMPRODUCT(MAX(ROW(E$2:E36)*(E36=E$2:E36)))))-COUNTBLANK(OFFSET(A$1,,,SUMPRODUCT(MAX(ROW(E$1:E35)*(E2=E$1:E35))))))</f>
        <v> </v>
      </c>
      <c r="K36" s="25" t="str">
        <f>IF(OR(E36="",E36="!!!",F36="NEW"),"",INDEX(J$1:J35,SUMPRODUCT(MAX(ROW(E$1:E35)*(E36=E$1:E35)))))</f>
        <v> </v>
      </c>
      <c r="L36" s="26"/>
    </row>
    <row r="37" spans="1:12">
      <c r="A37" s="20" t="s">
        <v>517</v>
      </c>
      <c r="E37" s="21">
        <f>IF(D37="?OLD","!!!","")</f>
        <v/>
      </c>
      <c r="F37" s="22" t="str">
        <f>IF(OR(E37="",E37="!!!"),"",IF(NOT(ISNA(VLOOKUP(E37,E$1:E36,1,FALSE()))),"OLD",IF(AND(E37&lt;&gt;"",E37&lt;&gt;"!!!"),"NEW","")))</f>
        <v> </v>
      </c>
      <c r="G37" s="23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4" t="str">
        <f>IF(J37&lt;&gt;1,"",IF(I37="SBJ","CB","?"))</f>
        <v> </v>
      </c>
      <c r="I37" s="25" t="str">
        <f>IF(OR(E37="",E37="!!!",F37="NEW"),"",INDEX(B36:B$2,-1+SUMPRODUCT(MAX(ROW(E36:E$2)*(E37=E36:E$2)))))</f>
        <v> </v>
      </c>
      <c r="J37" s="25" t="str">
        <f>IF(OR(E37="",E37="!!!",F37="NEW"),"",COUNTBLANK(OFFSET(A$1,,,SUMPRODUCT(MAX(ROW(E$2:E37)*(E37=E$2:E37)))))-COUNTBLANK(OFFSET(A$1,,,SUMPRODUCT(MAX(ROW(E$1:E36)*(E2=E$1:E36))))))</f>
        <v> </v>
      </c>
      <c r="K37" s="25" t="str">
        <f>IF(OR(E37="",E37="!!!",F37="NEW"),"",INDEX(J$1:J36,SUMPRODUCT(MAX(ROW(E$1:E36)*(E37=E$1:E36)))))</f>
        <v> </v>
      </c>
      <c r="L37" s="26"/>
    </row>
    <row r="38" spans="1:12">
      <c r="A38" s="20" t="s">
        <v>518</v>
      </c>
      <c r="E38" s="21">
        <f>IF(D38="?OLD","!!!","")</f>
        <v/>
      </c>
      <c r="F38" s="22" t="str">
        <f>IF(OR(E38="",E38="!!!"),"",IF(NOT(ISNA(VLOOKUP(E38,E$1:E37,1,FALSE()))),"OLD",IF(AND(E38&lt;&gt;"",E38&lt;&gt;"!!!"),"NEW","")))</f>
        <v> </v>
      </c>
      <c r="G38" s="23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4" t="str">
        <f>IF(J38&lt;&gt;1,"",IF(I38="SBJ","CB","?"))</f>
        <v> </v>
      </c>
      <c r="I38" s="25" t="str">
        <f>IF(OR(E38="",E38="!!!",F38="NEW"),"",INDEX(B37:B$2,-1+SUMPRODUCT(MAX(ROW(E37:E$2)*(E38=E37:E$2)))))</f>
        <v> </v>
      </c>
      <c r="J38" s="25" t="str">
        <f>IF(OR(E38="",E38="!!!",F38="NEW"),"",COUNTBLANK(OFFSET(A$1,,,SUMPRODUCT(MAX(ROW(E$2:E38)*(E38=E$2:E38)))))-COUNTBLANK(OFFSET(A$1,,,SUMPRODUCT(MAX(ROW(E$1:E37)*(E2=E$1:E37))))))</f>
        <v> </v>
      </c>
      <c r="K38" s="25" t="str">
        <f>IF(OR(E38="",E38="!!!",F38="NEW"),"",INDEX(J$1:J37,SUMPRODUCT(MAX(ROW(E$1:E37)*(E38=E$1:E37)))))</f>
        <v> </v>
      </c>
      <c r="L38" s="26"/>
    </row>
    <row r="39" spans="1:12">
      <c r="A39" s="20" t="s">
        <v>489</v>
      </c>
      <c r="E39" s="21">
        <f>IF(D39="?OLD","!!!","")</f>
        <v/>
      </c>
      <c r="F39" s="22" t="str">
        <f>IF(OR(E39="",E39="!!!"),"",IF(NOT(ISNA(VLOOKUP(E39,E$1:E38,1,FALSE()))),"OLD",IF(AND(E39&lt;&gt;"",E39&lt;&gt;"!!!"),"NEW","")))</f>
        <v> </v>
      </c>
      <c r="G39" s="23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4" t="str">
        <f>IF(J39&lt;&gt;1,"",IF(I39="SBJ","CB","?"))</f>
        <v> </v>
      </c>
      <c r="I39" s="25" t="str">
        <f>IF(OR(E39="",E39="!!!",F39="NEW"),"",INDEX(B38:B$2,-1+SUMPRODUCT(MAX(ROW(E38:E$2)*(E39=E38:E$2)))))</f>
        <v> </v>
      </c>
      <c r="J39" s="25" t="str">
        <f>IF(OR(E39="",E39="!!!",F39="NEW"),"",COUNTBLANK(OFFSET(A$1,,,SUMPRODUCT(MAX(ROW(E$2:E39)*(E39=E$2:E39)))))-COUNTBLANK(OFFSET(A$1,,,SUMPRODUCT(MAX(ROW(E$1:E38)*(E2=E$1:E38))))))</f>
        <v> </v>
      </c>
      <c r="K39" s="25" t="str">
        <f>IF(OR(E39="",E39="!!!",F39="NEW"),"",INDEX(J$1:J38,SUMPRODUCT(MAX(ROW(E$1:E38)*(E39=E$1:E38)))))</f>
        <v> </v>
      </c>
      <c r="L39" s="26"/>
    </row>
    <row r="40" spans="1:12">
      <c r="A40" s="20" t="s">
        <v>495</v>
      </c>
      <c r="E40" s="21">
        <f>IF(D40="?OLD","!!!","")</f>
        <v/>
      </c>
      <c r="F40" s="22" t="str">
        <f>IF(OR(E40="",E40="!!!"),"",IF(NOT(ISNA(VLOOKUP(E40,E$1:E39,1,FALSE()))),"OLD",IF(AND(E40&lt;&gt;"",E40&lt;&gt;"!!!"),"NEW","")))</f>
        <v> </v>
      </c>
      <c r="G40" s="23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4" t="str">
        <f>IF(J40&lt;&gt;1,"",IF(I40="SBJ","CB","?"))</f>
        <v> </v>
      </c>
      <c r="I40" s="25" t="str">
        <f>IF(OR(E40="",E40="!!!",F40="NEW"),"",INDEX(B39:B$2,-1+SUMPRODUCT(MAX(ROW(E39:E$2)*(E40=E39:E$2)))))</f>
        <v> </v>
      </c>
      <c r="J40" s="25" t="str">
        <f>IF(OR(E40="",E40="!!!",F40="NEW"),"",COUNTBLANK(OFFSET(A$1,,,SUMPRODUCT(MAX(ROW(E$2:E40)*(E40=E$2:E40)))))-COUNTBLANK(OFFSET(A$1,,,SUMPRODUCT(MAX(ROW(E$1:E39)*(E2=E$1:E39))))))</f>
        <v> </v>
      </c>
      <c r="K40" s="25" t="str">
        <f>IF(OR(E40="",E40="!!!",F40="NEW"),"",INDEX(J$1:J39,SUMPRODUCT(MAX(ROW(E$1:E39)*(E40=E$1:E39)))))</f>
        <v> </v>
      </c>
      <c r="L40" s="26"/>
    </row>
    <row r="41" spans="1:12">
      <c r="A41" s="20" t="s">
        <v>496</v>
      </c>
      <c r="B41" s="27" t="s">
        <v>519</v>
      </c>
      <c r="C41" s="27" t="s">
        <v>498</v>
      </c>
      <c r="E41" s="21">
        <f>IF(D41="?OLD","!!!","")</f>
        <v/>
      </c>
      <c r="F41" s="22" t="str">
        <f>IF(OR(E41="",E41="!!!"),"",IF(NOT(ISNA(VLOOKUP(E41,E$1:E40,1,FALSE()))),"OLD",IF(AND(E41&lt;&gt;"",E41&lt;&gt;"!!!"),"NEW","")))</f>
        <v> </v>
      </c>
      <c r="G41" s="23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4" t="str">
        <f>IF(J41&lt;&gt;1,"",IF(I41="SBJ","CB","?"))</f>
        <v> </v>
      </c>
      <c r="I41" s="25" t="str">
        <f>IF(OR(E41="",E41="!!!",F41="NEW"),"",INDEX(B40:B$2,-1+SUMPRODUCT(MAX(ROW(E40:E$2)*(E41=E40:E$2)))))</f>
        <v> </v>
      </c>
      <c r="J41" s="25" t="str">
        <f>IF(OR(E41="",E41="!!!",F41="NEW"),"",COUNTBLANK(OFFSET(A$1,,,SUMPRODUCT(MAX(ROW(E$2:E41)*(E41=E$2:E41)))))-COUNTBLANK(OFFSET(A$1,,,SUMPRODUCT(MAX(ROW(E$1:E40)*(E2=E$1:E40))))))</f>
        <v> </v>
      </c>
      <c r="K41" s="25" t="str">
        <f>IF(OR(E41="",E41="!!!",F41="NEW"),"",INDEX(J$1:J40,SUMPRODUCT(MAX(ROW(E$1:E40)*(E41=E$1:E40)))))</f>
        <v> </v>
      </c>
      <c r="L41" s="26"/>
    </row>
    <row r="42" spans="1:12">
      <c r="A42" s="20" t="s">
        <v>520</v>
      </c>
      <c r="E42" s="21">
        <f>IF(D42="?OLD","!!!","")</f>
        <v/>
      </c>
      <c r="F42" s="22" t="str">
        <f>IF(OR(E42="",E42="!!!"),"",IF(NOT(ISNA(VLOOKUP(E42,E$1:E41,1,FALSE()))),"OLD",IF(AND(E42&lt;&gt;"",E42&lt;&gt;"!!!"),"NEW","")))</f>
        <v> </v>
      </c>
      <c r="G42" s="23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4" t="str">
        <f>IF(J42&lt;&gt;1,"",IF(I42="SBJ","CB","?"))</f>
        <v> </v>
      </c>
      <c r="I42" s="25" t="str">
        <f>IF(OR(E42="",E42="!!!",F42="NEW"),"",INDEX(B41:B$2,-1+SUMPRODUCT(MAX(ROW(E41:E$2)*(E42=E41:E$2)))))</f>
        <v> </v>
      </c>
      <c r="J42" s="25" t="str">
        <f>IF(OR(E42="",E42="!!!",F42="NEW"),"",COUNTBLANK(OFFSET(A$1,,,SUMPRODUCT(MAX(ROW(E$2:E42)*(E42=E$2:E42)))))-COUNTBLANK(OFFSET(A$1,,,SUMPRODUCT(MAX(ROW(E$1:E41)*(E2=E$1:E41))))))</f>
        <v> </v>
      </c>
      <c r="K42" s="25" t="str">
        <f>IF(OR(E42="",E42="!!!",F42="NEW"),"",INDEX(J$1:J41,SUMPRODUCT(MAX(ROW(E$1:E41)*(E42=E$1:E41)))))</f>
        <v> </v>
      </c>
      <c r="L42" s="26"/>
    </row>
    <row r="43" spans="1:12">
      <c r="A43" s="20" t="s">
        <v>507</v>
      </c>
      <c r="E43" s="21">
        <f>IF(D43="?OLD","!!!","")</f>
        <v/>
      </c>
      <c r="F43" s="22" t="str">
        <f>IF(OR(E43="",E43="!!!"),"",IF(NOT(ISNA(VLOOKUP(E43,E$1:E42,1,FALSE()))),"OLD",IF(AND(E43&lt;&gt;"",E43&lt;&gt;"!!!"),"NEW","")))</f>
        <v> </v>
      </c>
      <c r="G43" s="23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4" t="str">
        <f>IF(J43&lt;&gt;1,"",IF(I43="SBJ","CB","?"))</f>
        <v> </v>
      </c>
      <c r="I43" s="25" t="str">
        <f>IF(OR(E43="",E43="!!!",F43="NEW"),"",INDEX(B42:B$2,-1+SUMPRODUCT(MAX(ROW(E42:E$2)*(E43=E42:E$2)))))</f>
        <v> </v>
      </c>
      <c r="J43" s="25" t="str">
        <f>IF(OR(E43="",E43="!!!",F43="NEW"),"",COUNTBLANK(OFFSET(A$1,,,SUMPRODUCT(MAX(ROW(E$2:E43)*(E43=E$2:E43)))))-COUNTBLANK(OFFSET(A$1,,,SUMPRODUCT(MAX(ROW(E$1:E42)*(E2=E$1:E42))))))</f>
        <v> </v>
      </c>
      <c r="K43" s="25" t="str">
        <f>IF(OR(E43="",E43="!!!",F43="NEW"),"",INDEX(J$1:J42,SUMPRODUCT(MAX(ROW(E$1:E42)*(E43=E$1:E42)))))</f>
        <v> </v>
      </c>
      <c r="L43" s="26"/>
    </row>
    <row r="44" spans="1:12">
      <c r="A44" s="20" t="s">
        <v>492</v>
      </c>
      <c r="E44" s="21">
        <f>IF(D44="?OLD","!!!","")</f>
        <v/>
      </c>
      <c r="F44" s="22" t="str">
        <f>IF(OR(E44="",E44="!!!"),"",IF(NOT(ISNA(VLOOKUP(E44,E$1:E43,1,FALSE()))),"OLD",IF(AND(E44&lt;&gt;"",E44&lt;&gt;"!!!"),"NEW","")))</f>
        <v> </v>
      </c>
      <c r="G44" s="23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4" t="str">
        <f>IF(J44&lt;&gt;1,"",IF(I44="SBJ","CB","?"))</f>
        <v> </v>
      </c>
      <c r="I44" s="25" t="str">
        <f>IF(OR(E44="",E44="!!!",F44="NEW"),"",INDEX(B43:B$2,-1+SUMPRODUCT(MAX(ROW(E43:E$2)*(E44=E43:E$2)))))</f>
        <v> </v>
      </c>
      <c r="J44" s="25" t="str">
        <f>IF(OR(E44="",E44="!!!",F44="NEW"),"",COUNTBLANK(OFFSET(A$1,,,SUMPRODUCT(MAX(ROW(E$2:E44)*(E44=E$2:E44)))))-COUNTBLANK(OFFSET(A$1,,,SUMPRODUCT(MAX(ROW(E$1:E43)*(E2=E$1:E43))))))</f>
        <v> </v>
      </c>
      <c r="K44" s="25" t="str">
        <f>IF(OR(E44="",E44="!!!",F44="NEW"),"",INDEX(J$1:J43,SUMPRODUCT(MAX(ROW(E$1:E43)*(E44=E$1:E43)))))</f>
        <v> </v>
      </c>
      <c r="L44" s="26"/>
    </row>
    <row r="45" spans="1:12">
      <c r="A45" s="20" t="s">
        <v>521</v>
      </c>
      <c r="B45" s="27" t="s">
        <v>522</v>
      </c>
      <c r="C45" s="27" t="s">
        <v>523</v>
      </c>
      <c r="E45" s="21">
        <f>IF(D45="?OLD","!!!","")</f>
        <v/>
      </c>
      <c r="F45" s="22" t="str">
        <f>IF(OR(E45="",E45="!!!"),"",IF(NOT(ISNA(VLOOKUP(E45,E$1:E44,1,FALSE()))),"OLD",IF(AND(E45&lt;&gt;"",E45&lt;&gt;"!!!"),"NEW","")))</f>
        <v> </v>
      </c>
      <c r="G45" s="23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4" t="str">
        <f>IF(J45&lt;&gt;1,"",IF(I45="SBJ","CB","?"))</f>
        <v> </v>
      </c>
      <c r="I45" s="25" t="str">
        <f>IF(OR(E45="",E45="!!!",F45="NEW"),"",INDEX(B44:B$2,-1+SUMPRODUCT(MAX(ROW(E44:E$2)*(E45=E44:E$2)))))</f>
        <v> </v>
      </c>
      <c r="J45" s="25" t="str">
        <f>IF(OR(E45="",E45="!!!",F45="NEW"),"",COUNTBLANK(OFFSET(A$1,,,SUMPRODUCT(MAX(ROW(E$2:E45)*(E45=E$2:E45)))))-COUNTBLANK(OFFSET(A$1,,,SUMPRODUCT(MAX(ROW(E$1:E44)*(E2=E$1:E44))))))</f>
        <v> </v>
      </c>
      <c r="K45" s="25" t="str">
        <f>IF(OR(E45="",E45="!!!",F45="NEW"),"",INDEX(J$1:J44,SUMPRODUCT(MAX(ROW(E$1:E44)*(E45=E$1:E44)))))</f>
        <v> </v>
      </c>
      <c r="L45" s="26"/>
    </row>
    <row r="46" spans="1:12">
      <c r="A46" s="20" t="s">
        <v>524</v>
      </c>
      <c r="E46" s="21">
        <f>IF(D46="?OLD","!!!","")</f>
        <v/>
      </c>
      <c r="F46" s="22" t="str">
        <f>IF(OR(E46="",E46="!!!"),"",IF(NOT(ISNA(VLOOKUP(E46,E$1:E45,1,FALSE()))),"OLD",IF(AND(E46&lt;&gt;"",E46&lt;&gt;"!!!"),"NEW","")))</f>
        <v> </v>
      </c>
      <c r="G46" s="23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4" t="str">
        <f>IF(J46&lt;&gt;1,"",IF(I46="SBJ","CB","?"))</f>
        <v> </v>
      </c>
      <c r="I46" s="25" t="str">
        <f>IF(OR(E46="",E46="!!!",F46="NEW"),"",INDEX(B45:B$2,-1+SUMPRODUCT(MAX(ROW(E45:E$2)*(E46=E45:E$2)))))</f>
        <v> </v>
      </c>
      <c r="J46" s="25" t="str">
        <f>IF(OR(E46="",E46="!!!",F46="NEW"),"",COUNTBLANK(OFFSET(A$1,,,SUMPRODUCT(MAX(ROW(E$2:E46)*(E46=E$2:E46)))))-COUNTBLANK(OFFSET(A$1,,,SUMPRODUCT(MAX(ROW(E$1:E45)*(E2=E$1:E45))))))</f>
        <v> </v>
      </c>
      <c r="K46" s="25" t="str">
        <f>IF(OR(E46="",E46="!!!",F46="NEW"),"",INDEX(J$1:J45,SUMPRODUCT(MAX(ROW(E$1:E45)*(E46=E$1:E45)))))</f>
        <v> </v>
      </c>
      <c r="L46" s="26"/>
    </row>
    <row r="47" spans="1:12">
      <c r="A47" s="20" t="s">
        <v>485</v>
      </c>
      <c r="E47" s="21">
        <f>IF(D47="?OLD","!!!","")</f>
        <v/>
      </c>
      <c r="F47" s="22" t="str">
        <f>IF(OR(E47="",E47="!!!"),"",IF(NOT(ISNA(VLOOKUP(E47,E$1:E46,1,FALSE()))),"OLD",IF(AND(E47&lt;&gt;"",E47&lt;&gt;"!!!"),"NEW","")))</f>
        <v> </v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4" t="str">
        <f>IF(J47&lt;&gt;1,"",IF(I47="SBJ","CB","?"))</f>
        <v> </v>
      </c>
      <c r="I47" s="25" t="str">
        <f>IF(OR(E47="",E47="!!!",F47="NEW"),"",INDEX(B46:B$2,-1+SUMPRODUCT(MAX(ROW(E46:E$2)*(E47=E46:E$2)))))</f>
        <v> </v>
      </c>
      <c r="J47" s="25" t="str">
        <f>IF(OR(E47="",E47="!!!",F47="NEW"),"",COUNTBLANK(OFFSET(A$1,,,SUMPRODUCT(MAX(ROW(E$2:E47)*(E47=E$2:E47)))))-COUNTBLANK(OFFSET(A$1,,,SUMPRODUCT(MAX(ROW(E$1:E46)*(E2=E$1:E46))))))</f>
        <v> </v>
      </c>
      <c r="K47" s="25" t="str">
        <f>IF(OR(E47="",E47="!!!",F47="NEW"),"",INDEX(J$1:J46,SUMPRODUCT(MAX(ROW(E$1:E46)*(E47=E$1:E46)))))</f>
        <v> </v>
      </c>
      <c r="L47" s="26"/>
    </row>
    <row r="48" spans="1:12">
      <c r="A48" s="20" t="s">
        <v>525</v>
      </c>
      <c r="B48" s="27" t="s">
        <v>526</v>
      </c>
      <c r="C48" s="27" t="s">
        <v>487</v>
      </c>
      <c r="D48" s="27" t="s">
        <v>483</v>
      </c>
      <c r="E48" s="21">
        <f>IF(D48="?OLD","!!!","")</f>
        <v/>
      </c>
      <c r="F48" s="22" t="str">
        <f>IF(OR(E48="",E48="!!!"),"",IF(NOT(ISNA(VLOOKUP(E48,E$1:E47,1,FALSE()))),"OLD",IF(AND(E48&lt;&gt;"",E48&lt;&gt;"!!!"),"NEW","")))</f>
        <v> </v>
      </c>
      <c r="G48" s="23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4" t="str">
        <f>IF(J48&lt;&gt;1,"",IF(I48="SBJ","CB","?"))</f>
        <v> </v>
      </c>
      <c r="I48" s="25" t="str">
        <f>IF(OR(E48="",E48="!!!",F48="NEW"),"",INDEX(B47:B$2,-1+SUMPRODUCT(MAX(ROW(E47:E$2)*(E48=E47:E$2)))))</f>
        <v> </v>
      </c>
      <c r="J48" s="25" t="str">
        <f>IF(OR(E48="",E48="!!!",F48="NEW"),"",COUNTBLANK(OFFSET(A$1,,,SUMPRODUCT(MAX(ROW(E$2:E48)*(E48=E$2:E48)))))-COUNTBLANK(OFFSET(A$1,,,SUMPRODUCT(MAX(ROW(E$1:E47)*(E2=E$1:E47))))))</f>
        <v> </v>
      </c>
      <c r="K48" s="25" t="str">
        <f>IF(OR(E48="",E48="!!!",F48="NEW"),"",INDEX(J$1:J47,SUMPRODUCT(MAX(ROW(E$1:E47)*(E48=E$1:E47)))))</f>
        <v> </v>
      </c>
      <c r="L48" s="26"/>
    </row>
    <row r="49" spans="1:12">
      <c r="A49" s="20" t="s">
        <v>503</v>
      </c>
      <c r="E49" s="21">
        <f>IF(D49="?OLD","!!!","")</f>
        <v/>
      </c>
      <c r="F49" s="22" t="str">
        <f>IF(OR(E49="",E49="!!!"),"",IF(NOT(ISNA(VLOOKUP(E49,E$1:E48,1,FALSE()))),"OLD",IF(AND(E49&lt;&gt;"",E49&lt;&gt;"!!!"),"NEW","")))</f>
        <v> </v>
      </c>
      <c r="G49" s="23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4" t="str">
        <f>IF(J49&lt;&gt;1,"",IF(I49="SBJ","CB","?"))</f>
        <v> </v>
      </c>
      <c r="I49" s="25" t="str">
        <f>IF(OR(E49="",E49="!!!",F49="NEW"),"",INDEX(B48:B$2,-1+SUMPRODUCT(MAX(ROW(E48:E$2)*(E49=E48:E$2)))))</f>
        <v> </v>
      </c>
      <c r="J49" s="25" t="str">
        <f>IF(OR(E49="",E49="!!!",F49="NEW"),"",COUNTBLANK(OFFSET(A$1,,,SUMPRODUCT(MAX(ROW(E$2:E49)*(E49=E$2:E49)))))-COUNTBLANK(OFFSET(A$1,,,SUMPRODUCT(MAX(ROW(E$1:E48)*(E2=E$1:E48))))))</f>
        <v> </v>
      </c>
      <c r="K49" s="25" t="str">
        <f>IF(OR(E49="",E49="!!!",F49="NEW"),"",INDEX(J$1:J48,SUMPRODUCT(MAX(ROW(E$1:E48)*(E49=E$1:E48)))))</f>
        <v> </v>
      </c>
      <c r="L49" s="26"/>
    </row>
    <row r="50" spans="1:12">
      <c r="A50" s="20" t="s">
        <v>485</v>
      </c>
      <c r="E50" s="21">
        <f>IF(D50="?OLD","!!!","")</f>
        <v/>
      </c>
      <c r="F50" s="22" t="str">
        <f>IF(OR(E50="",E50="!!!"),"",IF(NOT(ISNA(VLOOKUP(E50,E$1:E49,1,FALSE()))),"OLD",IF(AND(E50&lt;&gt;"",E50&lt;&gt;"!!!"),"NEW","")))</f>
        <v> </v>
      </c>
      <c r="G50" s="23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4" t="str">
        <f>IF(J50&lt;&gt;1,"",IF(I50="SBJ","CB","?"))</f>
        <v> </v>
      </c>
      <c r="I50" s="25" t="str">
        <f>IF(OR(E50="",E50="!!!",F50="NEW"),"",INDEX(B49:B$2,-1+SUMPRODUCT(MAX(ROW(E49:E$2)*(E50=E49:E$2)))))</f>
        <v> </v>
      </c>
      <c r="J50" s="25" t="str">
        <f>IF(OR(E50="",E50="!!!",F50="NEW"),"",COUNTBLANK(OFFSET(A$1,,,SUMPRODUCT(MAX(ROW(E$2:E50)*(E50=E$2:E50)))))-COUNTBLANK(OFFSET(A$1,,,SUMPRODUCT(MAX(ROW(E$1:E49)*(E2=E$1:E49))))))</f>
        <v> </v>
      </c>
      <c r="K50" s="25" t="str">
        <f>IF(OR(E50="",E50="!!!",F50="NEW"),"",INDEX(J$1:J49,SUMPRODUCT(MAX(ROW(E$1:E49)*(E50=E$1:E49)))))</f>
        <v> </v>
      </c>
      <c r="L50" s="26"/>
    </row>
    <row r="51" spans="1:12">
      <c r="A51" s="20" t="s">
        <v>527</v>
      </c>
      <c r="B51" s="27" t="s">
        <v>526</v>
      </c>
      <c r="C51" s="27" t="s">
        <v>487</v>
      </c>
      <c r="D51" s="27" t="s">
        <v>483</v>
      </c>
      <c r="E51" s="21">
        <f>IF(D51="?OLD","!!!","")</f>
        <v/>
      </c>
      <c r="F51" s="22" t="str">
        <f>IF(OR(E51="",E51="!!!"),"",IF(NOT(ISNA(VLOOKUP(E51,E$1:E50,1,FALSE()))),"OLD",IF(AND(E51&lt;&gt;"",E51&lt;&gt;"!!!"),"NEW","")))</f>
        <v> </v>
      </c>
      <c r="G51" s="23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4" t="str">
        <f>IF(J51&lt;&gt;1,"",IF(I51="SBJ","CB","?"))</f>
        <v> </v>
      </c>
      <c r="I51" s="25" t="str">
        <f>IF(OR(E51="",E51="!!!",F51="NEW"),"",INDEX(B50:B$2,-1+SUMPRODUCT(MAX(ROW(E50:E$2)*(E51=E50:E$2)))))</f>
        <v> </v>
      </c>
      <c r="J51" s="25" t="str">
        <f>IF(OR(E51="",E51="!!!",F51="NEW"),"",COUNTBLANK(OFFSET(A$1,,,SUMPRODUCT(MAX(ROW(E$2:E51)*(E51=E$2:E51)))))-COUNTBLANK(OFFSET(A$1,,,SUMPRODUCT(MAX(ROW(E$1:E50)*(E2=E$1:E50))))))</f>
        <v> </v>
      </c>
      <c r="K51" s="25" t="str">
        <f>IF(OR(E51="",E51="!!!",F51="NEW"),"",INDEX(J$1:J50,SUMPRODUCT(MAX(ROW(E$1:E50)*(E51=E$1:E50)))))</f>
        <v> </v>
      </c>
      <c r="L51" s="26"/>
    </row>
    <row r="52" spans="1:12">
      <c r="A52" s="20" t="s">
        <v>528</v>
      </c>
      <c r="E52" s="21">
        <f>IF(D52="?OLD","!!!","")</f>
        <v/>
      </c>
      <c r="F52" s="22" t="str">
        <f>IF(OR(E52="",E52="!!!"),"",IF(NOT(ISNA(VLOOKUP(E52,E$1:E51,1,FALSE()))),"OLD",IF(AND(E52&lt;&gt;"",E52&lt;&gt;"!!!"),"NEW","")))</f>
        <v> </v>
      </c>
      <c r="G52" s="23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4" t="str">
        <f>IF(J52&lt;&gt;1,"",IF(I52="SBJ","CB","?"))</f>
        <v> </v>
      </c>
      <c r="I52" s="25" t="str">
        <f>IF(OR(E52="",E52="!!!",F52="NEW"),"",INDEX(B51:B$2,-1+SUMPRODUCT(MAX(ROW(E51:E$2)*(E52=E51:E$2)))))</f>
        <v> </v>
      </c>
      <c r="J52" s="25" t="str">
        <f>IF(OR(E52="",E52="!!!",F52="NEW"),"",COUNTBLANK(OFFSET(A$1,,,SUMPRODUCT(MAX(ROW(E$2:E52)*(E52=E$2:E52)))))-COUNTBLANK(OFFSET(A$1,,,SUMPRODUCT(MAX(ROW(E$1:E51)*(E2=E$1:E51))))))</f>
        <v> </v>
      </c>
      <c r="K52" s="25" t="str">
        <f>IF(OR(E52="",E52="!!!",F52="NEW"),"",INDEX(J$1:J51,SUMPRODUCT(MAX(ROW(E$1:E51)*(E52=E$1:E51)))))</f>
        <v> </v>
      </c>
      <c r="L52" s="26"/>
    </row>
    <row r="53" spans="1:12">
      <c r="A53" s="20" t="s">
        <v>529</v>
      </c>
      <c r="E53" s="21">
        <f>IF(D53="?OLD","!!!","")</f>
        <v/>
      </c>
      <c r="F53" s="22" t="str">
        <f>IF(OR(E53="",E53="!!!"),"",IF(NOT(ISNA(VLOOKUP(E53,E$1:E52,1,FALSE()))),"OLD",IF(AND(E53&lt;&gt;"",E53&lt;&gt;"!!!"),"NEW","")))</f>
        <v> </v>
      </c>
      <c r="G53" s="23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4" t="str">
        <f>IF(J53&lt;&gt;1,"",IF(I53="SBJ","CB","?"))</f>
        <v> </v>
      </c>
      <c r="I53" s="25" t="str">
        <f>IF(OR(E53="",E53="!!!",F53="NEW"),"",INDEX(B52:B$2,-1+SUMPRODUCT(MAX(ROW(E52:E$2)*(E53=E52:E$2)))))</f>
        <v> </v>
      </c>
      <c r="J53" s="25" t="str">
        <f>IF(OR(E53="",E53="!!!",F53="NEW"),"",COUNTBLANK(OFFSET(A$1,,,SUMPRODUCT(MAX(ROW(E$2:E53)*(E53=E$2:E53)))))-COUNTBLANK(OFFSET(A$1,,,SUMPRODUCT(MAX(ROW(E$1:E52)*(E2=E$1:E52))))))</f>
        <v> </v>
      </c>
      <c r="K53" s="25" t="str">
        <f>IF(OR(E53="",E53="!!!",F53="NEW"),"",INDEX(J$1:J52,SUMPRODUCT(MAX(ROW(E$1:E52)*(E53=E$1:E52)))))</f>
        <v> </v>
      </c>
      <c r="L53" s="26"/>
    </row>
    <row r="54" spans="1:12">
      <c r="A54" s="20" t="s">
        <v>26</v>
      </c>
      <c r="E54" s="21">
        <f>IF(D54="?OLD","!!!","")</f>
        <v/>
      </c>
      <c r="F54" s="22" t="str">
        <f>IF(OR(E54="",E54="!!!"),"",IF(NOT(ISNA(VLOOKUP(E54,E$1:E53,1,FALSE()))),"OLD",IF(AND(E54&lt;&gt;"",E54&lt;&gt;"!!!"),"NEW","")))</f>
        <v> </v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4" t="str">
        <f>IF(J54&lt;&gt;1,"",IF(I54="SBJ","CB","?"))</f>
        <v> </v>
      </c>
      <c r="I54" s="25" t="str">
        <f>IF(OR(E54="",E54="!!!",F54="NEW"),"",INDEX(B53:B$2,-1+SUMPRODUCT(MAX(ROW(E53:E$2)*(E54=E53:E$2)))))</f>
        <v> </v>
      </c>
      <c r="J54" s="25" t="str">
        <f>IF(OR(E54="",E54="!!!",F54="NEW"),"",COUNTBLANK(OFFSET(A$1,,,SUMPRODUCT(MAX(ROW(E$2:E54)*(E54=E$2:E54)))))-COUNTBLANK(OFFSET(A$1,,,SUMPRODUCT(MAX(ROW(E$1:E53)*(E2=E$1:E53))))))</f>
        <v> </v>
      </c>
      <c r="K54" s="25" t="str">
        <f>IF(OR(E54="",E54="!!!",F54="NEW"),"",INDEX(J$1:J53,SUMPRODUCT(MAX(ROW(E$1:E53)*(E54=E$1:E53)))))</f>
        <v> </v>
      </c>
      <c r="L54" s="26"/>
    </row>
    <row r="55" spans="1:12">
      <c r="A55" s="20" t="s">
        <v>530</v>
      </c>
      <c r="E55" s="21">
        <f>IF(D55="?OLD","!!!","")</f>
        <v/>
      </c>
      <c r="F55" s="22" t="str">
        <f>IF(OR(E55="",E55="!!!"),"",IF(NOT(ISNA(VLOOKUP(E55,E$1:E54,1,FALSE()))),"OLD",IF(AND(E55&lt;&gt;"",E55&lt;&gt;"!!!"),"NEW","")))</f>
        <v> </v>
      </c>
      <c r="G55" s="23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4" t="str">
        <f>IF(J55&lt;&gt;1,"",IF(I55="SBJ","CB","?"))</f>
        <v> </v>
      </c>
      <c r="I55" s="25" t="str">
        <f>IF(OR(E55="",E55="!!!",F55="NEW"),"",INDEX(B54:B$2,-1+SUMPRODUCT(MAX(ROW(E54:E$2)*(E55=E54:E$2)))))</f>
        <v> </v>
      </c>
      <c r="J55" s="25" t="str">
        <f>IF(OR(E55="",E55="!!!",F55="NEW"),"",COUNTBLANK(OFFSET(A$1,,,SUMPRODUCT(MAX(ROW(E$2:E55)*(E55=E$2:E55)))))-COUNTBLANK(OFFSET(A$1,,,SUMPRODUCT(MAX(ROW(E$1:E54)*(E2=E$1:E54))))))</f>
        <v> </v>
      </c>
      <c r="K55" s="25" t="str">
        <f>IF(OR(E55="",E55="!!!",F55="NEW"),"",INDEX(J$1:J54,SUMPRODUCT(MAX(ROW(E$1:E54)*(E55=E$1:E54)))))</f>
        <v> </v>
      </c>
      <c r="L55" s="26"/>
    </row>
    <row r="56" spans="1:12">
      <c r="A56" s="20" t="s">
        <v>531</v>
      </c>
      <c r="E56" s="21">
        <f>IF(D56="?OLD","!!!","")</f>
        <v/>
      </c>
      <c r="F56" s="22" t="str">
        <f>IF(OR(E56="",E56="!!!"),"",IF(NOT(ISNA(VLOOKUP(E56,E$1:E55,1,FALSE()))),"OLD",IF(AND(E56&lt;&gt;"",E56&lt;&gt;"!!!"),"NEW","")))</f>
        <v> </v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4" t="str">
        <f>IF(J56&lt;&gt;1,"",IF(I56="SBJ","CB","?"))</f>
        <v> </v>
      </c>
      <c r="I56" s="25" t="str">
        <f>IF(OR(E56="",E56="!!!",F56="NEW"),"",INDEX(B55:B$2,-1+SUMPRODUCT(MAX(ROW(E55:E$2)*(E56=E55:E$2)))))</f>
        <v> </v>
      </c>
      <c r="J56" s="25" t="str">
        <f>IF(OR(E56="",E56="!!!",F56="NEW"),"",COUNTBLANK(OFFSET(A$1,,,SUMPRODUCT(MAX(ROW(E$2:E56)*(E56=E$2:E56)))))-COUNTBLANK(OFFSET(A$1,,,SUMPRODUCT(MAX(ROW(E$1:E55)*(E2=E$1:E55))))))</f>
        <v> </v>
      </c>
      <c r="K56" s="25" t="str">
        <f>IF(OR(E56="",E56="!!!",F56="NEW"),"",INDEX(J$1:J55,SUMPRODUCT(MAX(ROW(E$1:E55)*(E56=E$1:E55)))))</f>
        <v> </v>
      </c>
      <c r="L56" s="26"/>
    </row>
    <row r="57" spans="1:12">
      <c r="A57" s="20"/>
    </row>
    <row r="58" spans="1:12">
      <c r="A58" s="20" t="s">
        <v>532</v>
      </c>
    </row>
    <row r="59" spans="1:12">
      <c r="A59" s="20" t="s">
        <v>533</v>
      </c>
      <c r="E59" s="21">
        <f>IF(D59="?OLD","!!!","")</f>
        <v/>
      </c>
      <c r="F59" s="22" t="str">
        <f>IF(OR(E59="",E59="!!!"),"",IF(NOT(ISNA(VLOOKUP(E59,E$1:E58,1,FALSE()))),"OLD",IF(AND(E59&lt;&gt;"",E59&lt;&gt;"!!!"),"NEW","")))</f>
        <v> </v>
      </c>
      <c r="G59" s="23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4" t="str">
        <f>IF(J59&lt;&gt;1,"",IF(I59="SBJ","CB","?"))</f>
        <v> </v>
      </c>
      <c r="I59" s="25" t="str">
        <f>IF(OR(E59="",E59="!!!",F59="NEW"),"",INDEX(B58:B$2,-1+SUMPRODUCT(MAX(ROW(E58:E$2)*(E59=E58:E$2)))))</f>
        <v> </v>
      </c>
      <c r="J59" s="25" t="str">
        <f>IF(OR(E59="",E59="!!!",F59="NEW"),"",COUNTBLANK(OFFSET(A$1,,,SUMPRODUCT(MAX(ROW(E$2:E59)*(E59=E$2:E59)))))-COUNTBLANK(OFFSET(A$1,,,SUMPRODUCT(MAX(ROW(E$1:E58)*(E2=E$1:E58))))))</f>
        <v> </v>
      </c>
      <c r="K59" s="25" t="str">
        <f>IF(OR(E59="",E59="!!!",F59="NEW"),"",INDEX(J$1:J58,SUMPRODUCT(MAX(ROW(E$1:E58)*(E59=E$1:E58)))))</f>
        <v> </v>
      </c>
      <c r="L59" s="26"/>
    </row>
    <row r="60" spans="1:12">
      <c r="A60" s="20" t="s">
        <v>534</v>
      </c>
      <c r="E60" s="21">
        <f>IF(D60="?OLD","!!!","")</f>
        <v/>
      </c>
      <c r="F60" s="22" t="str">
        <f>IF(OR(E60="",E60="!!!"),"",IF(NOT(ISNA(VLOOKUP(E60,E$1:E59,1,FALSE()))),"OLD",IF(AND(E60&lt;&gt;"",E60&lt;&gt;"!!!"),"NEW","")))</f>
        <v> </v>
      </c>
      <c r="G60" s="23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4" t="str">
        <f>IF(J60&lt;&gt;1,"",IF(I60="SBJ","CB","?"))</f>
        <v> </v>
      </c>
      <c r="I60" s="25" t="str">
        <f>IF(OR(E60="",E60="!!!",F60="NEW"),"",INDEX(B59:B$2,-1+SUMPRODUCT(MAX(ROW(E59:E$2)*(E60=E59:E$2)))))</f>
        <v> </v>
      </c>
      <c r="J60" s="25" t="str">
        <f>IF(OR(E60="",E60="!!!",F60="NEW"),"",COUNTBLANK(OFFSET(A$1,,,SUMPRODUCT(MAX(ROW(E$2:E60)*(E60=E$2:E60)))))-COUNTBLANK(OFFSET(A$1,,,SUMPRODUCT(MAX(ROW(E$1:E59)*(E2=E$1:E59))))))</f>
        <v> </v>
      </c>
      <c r="K60" s="25" t="str">
        <f>IF(OR(E60="",E60="!!!",F60="NEW"),"",INDEX(J$1:J59,SUMPRODUCT(MAX(ROW(E$1:E59)*(E60=E$1:E59)))))</f>
        <v> </v>
      </c>
      <c r="L60" s="26"/>
    </row>
    <row r="61" spans="1:12">
      <c r="A61" s="20" t="s">
        <v>535</v>
      </c>
      <c r="B61" s="27" t="s">
        <v>490</v>
      </c>
      <c r="C61" s="27" t="s">
        <v>478</v>
      </c>
      <c r="E61" s="21">
        <f>IF(D61="?OLD","!!!","")</f>
        <v/>
      </c>
      <c r="F61" s="22" t="str">
        <f>IF(OR(E61="",E61="!!!"),"",IF(NOT(ISNA(VLOOKUP(E61,E$1:E60,1,FALSE()))),"OLD",IF(AND(E61&lt;&gt;"",E61&lt;&gt;"!!!"),"NEW","")))</f>
        <v> </v>
      </c>
      <c r="G61" s="23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4" t="str">
        <f>IF(J61&lt;&gt;1,"",IF(I61="SBJ","CB","?"))</f>
        <v> </v>
      </c>
      <c r="I61" s="25" t="str">
        <f>IF(OR(E61="",E61="!!!",F61="NEW"),"",INDEX(B60:B$2,-1+SUMPRODUCT(MAX(ROW(E60:E$2)*(E61=E60:E$2)))))</f>
        <v> </v>
      </c>
      <c r="J61" s="25" t="str">
        <f>IF(OR(E61="",E61="!!!",F61="NEW"),"",COUNTBLANK(OFFSET(A$1,,,SUMPRODUCT(MAX(ROW(E$2:E61)*(E61=E$2:E61)))))-COUNTBLANK(OFFSET(A$1,,,SUMPRODUCT(MAX(ROW(E$1:E60)*(E2=E$1:E60))))))</f>
        <v> </v>
      </c>
      <c r="K61" s="25" t="str">
        <f>IF(OR(E61="",E61="!!!",F61="NEW"),"",INDEX(J$1:J60,SUMPRODUCT(MAX(ROW(E$1:E60)*(E61=E$1:E60)))))</f>
        <v> </v>
      </c>
      <c r="L61" s="26"/>
    </row>
    <row r="62" spans="1:12">
      <c r="A62" s="20" t="s">
        <v>489</v>
      </c>
      <c r="E62" s="21">
        <f>IF(D62="?OLD","!!!","")</f>
        <v/>
      </c>
      <c r="F62" s="22" t="str">
        <f>IF(OR(E62="",E62="!!!"),"",IF(NOT(ISNA(VLOOKUP(E62,E$1:E61,1,FALSE()))),"OLD",IF(AND(E62&lt;&gt;"",E62&lt;&gt;"!!!"),"NEW","")))</f>
        <v> </v>
      </c>
      <c r="G62" s="23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4" t="str">
        <f>IF(J62&lt;&gt;1,"",IF(I62="SBJ","CB","?"))</f>
        <v> </v>
      </c>
      <c r="I62" s="25" t="str">
        <f>IF(OR(E62="",E62="!!!",F62="NEW"),"",INDEX(B61:B$2,-1+SUMPRODUCT(MAX(ROW(E61:E$2)*(E62=E61:E$2)))))</f>
        <v> </v>
      </c>
      <c r="J62" s="25" t="str">
        <f>IF(OR(E62="",E62="!!!",F62="NEW"),"",COUNTBLANK(OFFSET(A$1,,,SUMPRODUCT(MAX(ROW(E$2:E62)*(E62=E$2:E62)))))-COUNTBLANK(OFFSET(A$1,,,SUMPRODUCT(MAX(ROW(E$1:E61)*(E2=E$1:E61))))))</f>
        <v> </v>
      </c>
      <c r="K62" s="25" t="str">
        <f>IF(OR(E62="",E62="!!!",F62="NEW"),"",INDEX(J$1:J61,SUMPRODUCT(MAX(ROW(E$1:E61)*(E62=E$1:E61)))))</f>
        <v> </v>
      </c>
      <c r="L62" s="26"/>
    </row>
    <row r="63" spans="1:12">
      <c r="A63" s="20" t="s">
        <v>508</v>
      </c>
      <c r="E63" s="21">
        <f>IF(D63="?OLD","!!!","")</f>
        <v/>
      </c>
      <c r="F63" s="22" t="str">
        <f>IF(OR(E63="",E63="!!!"),"",IF(NOT(ISNA(VLOOKUP(E63,E$1:E62,1,FALSE()))),"OLD",IF(AND(E63&lt;&gt;"",E63&lt;&gt;"!!!"),"NEW","")))</f>
        <v> </v>
      </c>
      <c r="G63" s="23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4" t="str">
        <f>IF(J63&lt;&gt;1,"",IF(I63="SBJ","CB","?"))</f>
        <v> </v>
      </c>
      <c r="I63" s="25" t="str">
        <f>IF(OR(E63="",E63="!!!",F63="NEW"),"",INDEX(B62:B$2,-1+SUMPRODUCT(MAX(ROW(E62:E$2)*(E63=E62:E$2)))))</f>
        <v> </v>
      </c>
      <c r="J63" s="25" t="str">
        <f>IF(OR(E63="",E63="!!!",F63="NEW"),"",COUNTBLANK(OFFSET(A$1,,,SUMPRODUCT(MAX(ROW(E$2:E63)*(E63=E$2:E63)))))-COUNTBLANK(OFFSET(A$1,,,SUMPRODUCT(MAX(ROW(E$1:E62)*(E2=E$1:E62))))))</f>
        <v> </v>
      </c>
      <c r="K63" s="25" t="str">
        <f>IF(OR(E63="",E63="!!!",F63="NEW"),"",INDEX(J$1:J62,SUMPRODUCT(MAX(ROW(E$1:E62)*(E63=E$1:E62)))))</f>
        <v> </v>
      </c>
      <c r="L63" s="26"/>
    </row>
    <row r="64" spans="1:12">
      <c r="A64" s="20" t="s">
        <v>536</v>
      </c>
      <c r="B64" s="27" t="s">
        <v>537</v>
      </c>
      <c r="C64" s="27" t="s">
        <v>538</v>
      </c>
      <c r="D64" s="27" t="s">
        <v>483</v>
      </c>
      <c r="E64" s="21">
        <f>IF(D64="?OLD","!!!","")</f>
        <v/>
      </c>
      <c r="F64" s="22" t="str">
        <f>IF(OR(E64="",E64="!!!"),"",IF(NOT(ISNA(VLOOKUP(E64,E$1:E63,1,FALSE()))),"OLD",IF(AND(E64&lt;&gt;"",E64&lt;&gt;"!!!"),"NEW","")))</f>
        <v> </v>
      </c>
      <c r="G64" s="23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4" t="str">
        <f>IF(J64&lt;&gt;1,"",IF(I64="SBJ","CB","?"))</f>
        <v> </v>
      </c>
      <c r="I64" s="25" t="str">
        <f>IF(OR(E64="",E64="!!!",F64="NEW"),"",INDEX(B63:B$2,-1+SUMPRODUCT(MAX(ROW(E63:E$2)*(E64=E63:E$2)))))</f>
        <v> </v>
      </c>
      <c r="J64" s="25" t="str">
        <f>IF(OR(E64="",E64="!!!",F64="NEW"),"",COUNTBLANK(OFFSET(A$1,,,SUMPRODUCT(MAX(ROW(E$2:E64)*(E64=E$2:E64)))))-COUNTBLANK(OFFSET(A$1,,,SUMPRODUCT(MAX(ROW(E$1:E63)*(E2=E$1:E63))))))</f>
        <v> </v>
      </c>
      <c r="K64" s="25" t="str">
        <f>IF(OR(E64="",E64="!!!",F64="NEW"),"",INDEX(J$1:J63,SUMPRODUCT(MAX(ROW(E$1:E63)*(E64=E$1:E63)))))</f>
        <v> </v>
      </c>
      <c r="L64" s="26"/>
    </row>
    <row r="65" spans="1:12">
      <c r="A65" s="20" t="s">
        <v>528</v>
      </c>
      <c r="E65" s="21">
        <f>IF(D65="?OLD","!!!","")</f>
        <v/>
      </c>
      <c r="F65" s="22" t="str">
        <f>IF(OR(E65="",E65="!!!"),"",IF(NOT(ISNA(VLOOKUP(E65,E$1:E64,1,FALSE()))),"OLD",IF(AND(E65&lt;&gt;"",E65&lt;&gt;"!!!"),"NEW","")))</f>
        <v> </v>
      </c>
      <c r="G65" s="23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4" t="str">
        <f>IF(J65&lt;&gt;1,"",IF(I65="SBJ","CB","?"))</f>
        <v> </v>
      </c>
      <c r="I65" s="25" t="str">
        <f>IF(OR(E65="",E65="!!!",F65="NEW"),"",INDEX(B64:B$2,-1+SUMPRODUCT(MAX(ROW(E64:E$2)*(E65=E64:E$2)))))</f>
        <v> </v>
      </c>
      <c r="J65" s="25" t="str">
        <f>IF(OR(E65="",E65="!!!",F65="NEW"),"",COUNTBLANK(OFFSET(A$1,,,SUMPRODUCT(MAX(ROW(E$2:E65)*(E65=E$2:E65)))))-COUNTBLANK(OFFSET(A$1,,,SUMPRODUCT(MAX(ROW(E$1:E64)*(E2=E$1:E64))))))</f>
        <v> </v>
      </c>
      <c r="K65" s="25" t="str">
        <f>IF(OR(E65="",E65="!!!",F65="NEW"),"",INDEX(J$1:J64,SUMPRODUCT(MAX(ROW(E$1:E64)*(E65=E$1:E64)))))</f>
        <v> </v>
      </c>
      <c r="L65" s="26"/>
    </row>
    <row r="66" spans="1:12">
      <c r="A66" s="20" t="s">
        <v>539</v>
      </c>
      <c r="B66" s="27" t="s">
        <v>540</v>
      </c>
      <c r="C66" s="27" t="s">
        <v>516</v>
      </c>
      <c r="E66" s="21">
        <f>IF(D66="?OLD","!!!","")</f>
        <v/>
      </c>
      <c r="F66" s="22" t="str">
        <f>IF(OR(E66="",E66="!!!"),"",IF(NOT(ISNA(VLOOKUP(E66,E$1:E65,1,FALSE()))),"OLD",IF(AND(E66&lt;&gt;"",E66&lt;&gt;"!!!"),"NEW","")))</f>
        <v> </v>
      </c>
      <c r="G66" s="23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4" t="str">
        <f>IF(J66&lt;&gt;1,"",IF(I66="SBJ","CB","?"))</f>
        <v> </v>
      </c>
      <c r="I66" s="25" t="str">
        <f>IF(OR(E66="",E66="!!!",F66="NEW"),"",INDEX(B65:B$2,-1+SUMPRODUCT(MAX(ROW(E65:E$2)*(E66=E65:E$2)))))</f>
        <v> </v>
      </c>
      <c r="J66" s="25" t="str">
        <f>IF(OR(E66="",E66="!!!",F66="NEW"),"",COUNTBLANK(OFFSET(A$1,,,SUMPRODUCT(MAX(ROW(E$2:E66)*(E66=E$2:E66)))))-COUNTBLANK(OFFSET(A$1,,,SUMPRODUCT(MAX(ROW(E$1:E65)*(E2=E$1:E65))))))</f>
        <v> </v>
      </c>
      <c r="K66" s="25" t="str">
        <f>IF(OR(E66="",E66="!!!",F66="NEW"),"",INDEX(J$1:J65,SUMPRODUCT(MAX(ROW(E$1:E65)*(E66=E$1:E65)))))</f>
        <v> </v>
      </c>
      <c r="L66" s="26"/>
    </row>
    <row r="67" spans="1:12">
      <c r="A67" s="20" t="s">
        <v>541</v>
      </c>
      <c r="E67" s="21">
        <f>IF(D67="?OLD","!!!","")</f>
        <v/>
      </c>
      <c r="F67" s="22" t="str">
        <f>IF(OR(E67="",E67="!!!"),"",IF(NOT(ISNA(VLOOKUP(E67,E$1:E66,1,FALSE()))),"OLD",IF(AND(E67&lt;&gt;"",E67&lt;&gt;"!!!"),"NEW","")))</f>
        <v> </v>
      </c>
      <c r="G67" s="23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4" t="str">
        <f>IF(J67&lt;&gt;1,"",IF(I67="SBJ","CB","?"))</f>
        <v> </v>
      </c>
      <c r="I67" s="25" t="str">
        <f>IF(OR(E67="",E67="!!!",F67="NEW"),"",INDEX(B66:B$2,-1+SUMPRODUCT(MAX(ROW(E66:E$2)*(E67=E66:E$2)))))</f>
        <v> </v>
      </c>
      <c r="J67" s="25" t="str">
        <f>IF(OR(E67="",E67="!!!",F67="NEW"),"",COUNTBLANK(OFFSET(A$1,,,SUMPRODUCT(MAX(ROW(E$2:E67)*(E67=E$2:E67)))))-COUNTBLANK(OFFSET(A$1,,,SUMPRODUCT(MAX(ROW(E$1:E66)*(E2=E$1:E66))))))</f>
        <v> </v>
      </c>
      <c r="K67" s="25" t="str">
        <f>IF(OR(E67="",E67="!!!",F67="NEW"),"",INDEX(J$1:J66,SUMPRODUCT(MAX(ROW(E$1:E66)*(E67=E$1:E66)))))</f>
        <v> </v>
      </c>
      <c r="L67" s="26"/>
    </row>
    <row r="68" spans="1:12">
      <c r="A68" s="20" t="s">
        <v>380</v>
      </c>
      <c r="E68" s="21">
        <f>IF(D68="?OLD","!!!","")</f>
        <v/>
      </c>
      <c r="F68" s="22" t="str">
        <f>IF(OR(E68="",E68="!!!"),"",IF(NOT(ISNA(VLOOKUP(E68,E$1:E67,1,FALSE()))),"OLD",IF(AND(E68&lt;&gt;"",E68&lt;&gt;"!!!"),"NEW","")))</f>
        <v> </v>
      </c>
      <c r="G68" s="23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4" t="str">
        <f>IF(J68&lt;&gt;1,"",IF(I68="SBJ","CB","?"))</f>
        <v> </v>
      </c>
      <c r="I68" s="25" t="str">
        <f>IF(OR(E68="",E68="!!!",F68="NEW"),"",INDEX(B67:B$2,-1+SUMPRODUCT(MAX(ROW(E67:E$2)*(E68=E67:E$2)))))</f>
        <v> </v>
      </c>
      <c r="J68" s="25" t="str">
        <f>IF(OR(E68="",E68="!!!",F68="NEW"),"",COUNTBLANK(OFFSET(A$1,,,SUMPRODUCT(MAX(ROW(E$2:E68)*(E68=E$2:E68)))))-COUNTBLANK(OFFSET(A$1,,,SUMPRODUCT(MAX(ROW(E$1:E67)*(E2=E$1:E67))))))</f>
        <v> </v>
      </c>
      <c r="K68" s="25" t="str">
        <f>IF(OR(E68="",E68="!!!",F68="NEW"),"",INDEX(J$1:J67,SUMPRODUCT(MAX(ROW(E$1:E67)*(E68=E$1:E67)))))</f>
        <v> </v>
      </c>
      <c r="L68" s="26"/>
    </row>
    <row r="69" spans="1:12">
      <c r="A69" s="20" t="s">
        <v>486</v>
      </c>
      <c r="B69" s="27" t="s">
        <v>542</v>
      </c>
      <c r="C69" s="27" t="s">
        <v>538</v>
      </c>
      <c r="D69" s="27" t="s">
        <v>483</v>
      </c>
      <c r="E69" s="21">
        <f>IF(D69="?OLD","!!!","")</f>
        <v/>
      </c>
      <c r="F69" s="22" t="str">
        <f>IF(OR(E69="",E69="!!!"),"",IF(NOT(ISNA(VLOOKUP(E69,E$1:E68,1,FALSE()))),"OLD",IF(AND(E69&lt;&gt;"",E69&lt;&gt;"!!!"),"NEW","")))</f>
        <v> </v>
      </c>
      <c r="G69" s="23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4" t="str">
        <f>IF(J69&lt;&gt;1,"",IF(I69="SBJ","CB","?"))</f>
        <v> </v>
      </c>
      <c r="I69" s="25" t="str">
        <f>IF(OR(E69="",E69="!!!",F69="NEW"),"",INDEX(B68:B$2,-1+SUMPRODUCT(MAX(ROW(E68:E$2)*(E69=E68:E$2)))))</f>
        <v> </v>
      </c>
      <c r="J69" s="25" t="str">
        <f>IF(OR(E69="",E69="!!!",F69="NEW"),"",COUNTBLANK(OFFSET(A$1,,,SUMPRODUCT(MAX(ROW(E$2:E69)*(E69=E$2:E69)))))-COUNTBLANK(OFFSET(A$1,,,SUMPRODUCT(MAX(ROW(E$1:E68)*(E2=E$1:E68))))))</f>
        <v> </v>
      </c>
      <c r="K69" s="25" t="str">
        <f>IF(OR(E69="",E69="!!!",F69="NEW"),"",INDEX(J$1:J68,SUMPRODUCT(MAX(ROW(E$1:E68)*(E69=E$1:E68)))))</f>
        <v> </v>
      </c>
      <c r="L69" s="26"/>
    </row>
    <row r="70" spans="1:12">
      <c r="A70" s="20" t="s">
        <v>543</v>
      </c>
      <c r="E70" s="21">
        <f>IF(D70="?OLD","!!!","")</f>
        <v/>
      </c>
      <c r="F70" s="22" t="str">
        <f>IF(OR(E70="",E70="!!!"),"",IF(NOT(ISNA(VLOOKUP(E70,E$1:E69,1,FALSE()))),"OLD",IF(AND(E70&lt;&gt;"",E70&lt;&gt;"!!!"),"NEW","")))</f>
        <v> </v>
      </c>
      <c r="G70" s="23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4" t="str">
        <f>IF(J70&lt;&gt;1,"",IF(I70="SBJ","CB","?"))</f>
        <v> </v>
      </c>
      <c r="I70" s="25" t="str">
        <f>IF(OR(E70="",E70="!!!",F70="NEW"),"",INDEX(B69:B$2,-1+SUMPRODUCT(MAX(ROW(E69:E$2)*(E70=E69:E$2)))))</f>
        <v> </v>
      </c>
      <c r="J70" s="25" t="str">
        <f>IF(OR(E70="",E70="!!!",F70="NEW"),"",COUNTBLANK(OFFSET(A$1,,,SUMPRODUCT(MAX(ROW(E$2:E70)*(E70=E$2:E70)))))-COUNTBLANK(OFFSET(A$1,,,SUMPRODUCT(MAX(ROW(E$1:E69)*(E2=E$1:E69))))))</f>
        <v> </v>
      </c>
      <c r="K70" s="25" t="str">
        <f>IF(OR(E70="",E70="!!!",F70="NEW"),"",INDEX(J$1:J69,SUMPRODUCT(MAX(ROW(E$1:E69)*(E70=E$1:E69)))))</f>
        <v> </v>
      </c>
      <c r="L70" s="26"/>
    </row>
    <row r="71" spans="1:12">
      <c r="A71" s="20" t="s">
        <v>507</v>
      </c>
      <c r="E71" s="21">
        <f>IF(D71="?OLD","!!!","")</f>
        <v/>
      </c>
      <c r="F71" s="22" t="str">
        <f>IF(OR(E71="",E71="!!!"),"",IF(NOT(ISNA(VLOOKUP(E71,E$1:E70,1,FALSE()))),"OLD",IF(AND(E71&lt;&gt;"",E71&lt;&gt;"!!!"),"NEW","")))</f>
        <v> </v>
      </c>
      <c r="G71" s="23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4" t="str">
        <f>IF(J71&lt;&gt;1,"",IF(I71="SBJ","CB","?"))</f>
        <v> </v>
      </c>
      <c r="I71" s="25" t="str">
        <f>IF(OR(E71="",E71="!!!",F71="NEW"),"",INDEX(B70:B$2,-1+SUMPRODUCT(MAX(ROW(E70:E$2)*(E71=E70:E$2)))))</f>
        <v> </v>
      </c>
      <c r="J71" s="25" t="str">
        <f>IF(OR(E71="",E71="!!!",F71="NEW"),"",COUNTBLANK(OFFSET(A$1,,,SUMPRODUCT(MAX(ROW(E$2:E71)*(E71=E$2:E71)))))-COUNTBLANK(OFFSET(A$1,,,SUMPRODUCT(MAX(ROW(E$1:E70)*(E2=E$1:E70))))))</f>
        <v> </v>
      </c>
      <c r="K71" s="25" t="str">
        <f>IF(OR(E71="",E71="!!!",F71="NEW"),"",INDEX(J$1:J70,SUMPRODUCT(MAX(ROW(E$1:E70)*(E71=E$1:E70)))))</f>
        <v> </v>
      </c>
      <c r="L71" s="26"/>
    </row>
    <row r="72" spans="1:12">
      <c r="A72" s="20" t="s">
        <v>544</v>
      </c>
      <c r="E72" s="21">
        <f>IF(D72="?OLD","!!!","")</f>
        <v/>
      </c>
      <c r="F72" s="22" t="str">
        <f>IF(OR(E72="",E72="!!!"),"",IF(NOT(ISNA(VLOOKUP(E72,E$1:E71,1,FALSE()))),"OLD",IF(AND(E72&lt;&gt;"",E72&lt;&gt;"!!!"),"NEW","")))</f>
        <v> </v>
      </c>
      <c r="G72" s="23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4" t="str">
        <f>IF(J72&lt;&gt;1,"",IF(I72="SBJ","CB","?"))</f>
        <v> </v>
      </c>
      <c r="I72" s="25" t="str">
        <f>IF(OR(E72="",E72="!!!",F72="NEW"),"",INDEX(B71:B$2,-1+SUMPRODUCT(MAX(ROW(E71:E$2)*(E72=E71:E$2)))))</f>
        <v> </v>
      </c>
      <c r="J72" s="25" t="str">
        <f>IF(OR(E72="",E72="!!!",F72="NEW"),"",COUNTBLANK(OFFSET(A$1,,,SUMPRODUCT(MAX(ROW(E$2:E72)*(E72=E$2:E72)))))-COUNTBLANK(OFFSET(A$1,,,SUMPRODUCT(MAX(ROW(E$1:E71)*(E2=E$1:E71))))))</f>
        <v> </v>
      </c>
      <c r="K72" s="25" t="str">
        <f>IF(OR(E72="",E72="!!!",F72="NEW"),"",INDEX(J$1:J71,SUMPRODUCT(MAX(ROW(E$1:E71)*(E72=E$1:E71)))))</f>
        <v> </v>
      </c>
      <c r="L72" s="26"/>
    </row>
    <row r="73" spans="1:12">
      <c r="A73" s="20" t="s">
        <v>545</v>
      </c>
      <c r="B73" s="27" t="s">
        <v>540</v>
      </c>
      <c r="C73" s="27" t="s">
        <v>538</v>
      </c>
      <c r="D73" s="27" t="s">
        <v>483</v>
      </c>
      <c r="E73" s="21">
        <f>IF(D73="?OLD","!!!","")</f>
        <v/>
      </c>
      <c r="F73" s="22" t="str">
        <f>IF(OR(E73="",E73="!!!"),"",IF(NOT(ISNA(VLOOKUP(E73,E$1:E72,1,FALSE()))),"OLD",IF(AND(E73&lt;&gt;"",E73&lt;&gt;"!!!"),"NEW","")))</f>
        <v> </v>
      </c>
      <c r="G73" s="23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4" t="str">
        <f>IF(J73&lt;&gt;1,"",IF(I73="SBJ","CB","?"))</f>
        <v> </v>
      </c>
      <c r="I73" s="25" t="str">
        <f>IF(OR(E73="",E73="!!!",F73="NEW"),"",INDEX(B72:B$2,-1+SUMPRODUCT(MAX(ROW(E72:E$2)*(E73=E72:E$2)))))</f>
        <v> </v>
      </c>
      <c r="J73" s="25" t="str">
        <f>IF(OR(E73="",E73="!!!",F73="NEW"),"",COUNTBLANK(OFFSET(A$1,,,SUMPRODUCT(MAX(ROW(E$2:E73)*(E73=E$2:E73)))))-COUNTBLANK(OFFSET(A$1,,,SUMPRODUCT(MAX(ROW(E$1:E72)*(E2=E$1:E72))))))</f>
        <v> </v>
      </c>
      <c r="K73" s="25" t="str">
        <f>IF(OR(E73="",E73="!!!",F73="NEW"),"",INDEX(J$1:J72,SUMPRODUCT(MAX(ROW(E$1:E72)*(E73=E$1:E72)))))</f>
        <v> </v>
      </c>
      <c r="L73" s="26"/>
    </row>
    <row r="74" spans="1:12">
      <c r="A74" s="20" t="s">
        <v>528</v>
      </c>
      <c r="E74" s="21">
        <f>IF(D74="?OLD","!!!","")</f>
        <v/>
      </c>
      <c r="F74" s="22" t="str">
        <f>IF(OR(E74="",E74="!!!"),"",IF(NOT(ISNA(VLOOKUP(E74,E$1:E73,1,FALSE()))),"OLD",IF(AND(E74&lt;&gt;"",E74&lt;&gt;"!!!"),"NEW","")))</f>
        <v> </v>
      </c>
      <c r="G74" s="23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4" t="str">
        <f>IF(J74&lt;&gt;1,"",IF(I74="SBJ","CB","?"))</f>
        <v> </v>
      </c>
      <c r="I74" s="25" t="str">
        <f>IF(OR(E74="",E74="!!!",F74="NEW"),"",INDEX(B73:B$2,-1+SUMPRODUCT(MAX(ROW(E73:E$2)*(E74=E73:E$2)))))</f>
        <v> </v>
      </c>
      <c r="J74" s="25" t="str">
        <f>IF(OR(E74="",E74="!!!",F74="NEW"),"",COUNTBLANK(OFFSET(A$1,,,SUMPRODUCT(MAX(ROW(E$2:E74)*(E74=E$2:E74)))))-COUNTBLANK(OFFSET(A$1,,,SUMPRODUCT(MAX(ROW(E$1:E73)*(E2=E$1:E73))))))</f>
        <v> </v>
      </c>
      <c r="K74" s="25" t="str">
        <f>IF(OR(E74="",E74="!!!",F74="NEW"),"",INDEX(J$1:J73,SUMPRODUCT(MAX(ROW(E$1:E73)*(E74=E$1:E73)))))</f>
        <v> </v>
      </c>
      <c r="L74" s="26"/>
    </row>
    <row r="75" spans="1:12">
      <c r="A75" s="20" t="s">
        <v>546</v>
      </c>
      <c r="B75" s="27" t="s">
        <v>547</v>
      </c>
      <c r="C75" s="27" t="s">
        <v>516</v>
      </c>
      <c r="E75" s="21">
        <f>IF(D75="?OLD","!!!","")</f>
        <v/>
      </c>
      <c r="F75" s="22" t="str">
        <f>IF(OR(E75="",E75="!!!"),"",IF(NOT(ISNA(VLOOKUP(E75,E$1:E74,1,FALSE()))),"OLD",IF(AND(E75&lt;&gt;"",E75&lt;&gt;"!!!"),"NEW","")))</f>
        <v> </v>
      </c>
      <c r="G75" s="23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4" t="str">
        <f>IF(J75&lt;&gt;1,"",IF(I75="SBJ","CB","?"))</f>
        <v> </v>
      </c>
      <c r="I75" s="25" t="str">
        <f>IF(OR(E75="",E75="!!!",F75="NEW"),"",INDEX(B74:B$2,-1+SUMPRODUCT(MAX(ROW(E74:E$2)*(E75=E74:E$2)))))</f>
        <v> </v>
      </c>
      <c r="J75" s="25" t="str">
        <f>IF(OR(E75="",E75="!!!",F75="NEW"),"",COUNTBLANK(OFFSET(A$1,,,SUMPRODUCT(MAX(ROW(E$2:E75)*(E75=E$2:E75)))))-COUNTBLANK(OFFSET(A$1,,,SUMPRODUCT(MAX(ROW(E$1:E74)*(E2=E$1:E74))))))</f>
        <v> </v>
      </c>
      <c r="K75" s="25" t="str">
        <f>IF(OR(E75="",E75="!!!",F75="NEW"),"",INDEX(J$1:J74,SUMPRODUCT(MAX(ROW(E$1:E74)*(E75=E$1:E74)))))</f>
        <v> </v>
      </c>
      <c r="L75" s="26"/>
    </row>
    <row r="76" spans="1:12">
      <c r="A76" s="20" t="s">
        <v>548</v>
      </c>
      <c r="E76" s="21">
        <f>IF(D76="?OLD","!!!","")</f>
        <v/>
      </c>
      <c r="F76" s="22" t="str">
        <f>IF(OR(E76="",E76="!!!"),"",IF(NOT(ISNA(VLOOKUP(E76,E$1:E75,1,FALSE()))),"OLD",IF(AND(E76&lt;&gt;"",E76&lt;&gt;"!!!"),"NEW","")))</f>
        <v> </v>
      </c>
      <c r="G76" s="23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4" t="str">
        <f>IF(J76&lt;&gt;1,"",IF(I76="SBJ","CB","?"))</f>
        <v> </v>
      </c>
      <c r="I76" s="25" t="str">
        <f>IF(OR(E76="",E76="!!!",F76="NEW"),"",INDEX(B75:B$2,-1+SUMPRODUCT(MAX(ROW(E75:E$2)*(E76=E75:E$2)))))</f>
        <v> </v>
      </c>
      <c r="J76" s="25" t="str">
        <f>IF(OR(E76="",E76="!!!",F76="NEW"),"",COUNTBLANK(OFFSET(A$1,,,SUMPRODUCT(MAX(ROW(E$2:E76)*(E76=E$2:E76)))))-COUNTBLANK(OFFSET(A$1,,,SUMPRODUCT(MAX(ROW(E$1:E75)*(E2=E$1:E75))))))</f>
        <v> </v>
      </c>
      <c r="K76" s="25" t="str">
        <f>IF(OR(E76="",E76="!!!",F76="NEW"),"",INDEX(J$1:J75,SUMPRODUCT(MAX(ROW(E$1:E75)*(E76=E$1:E75)))))</f>
        <v> </v>
      </c>
      <c r="L76" s="26"/>
    </row>
    <row r="77" spans="1:12">
      <c r="A77" s="20" t="s">
        <v>485</v>
      </c>
      <c r="E77" s="21">
        <f>IF(D77="?OLD","!!!","")</f>
        <v/>
      </c>
      <c r="F77" s="22" t="str">
        <f>IF(OR(E77="",E77="!!!"),"",IF(NOT(ISNA(VLOOKUP(E77,E$1:E76,1,FALSE()))),"OLD",IF(AND(E77&lt;&gt;"",E77&lt;&gt;"!!!"),"NEW","")))</f>
        <v> </v>
      </c>
      <c r="G77" s="23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4" t="str">
        <f>IF(J77&lt;&gt;1,"",IF(I77="SBJ","CB","?"))</f>
        <v> </v>
      </c>
      <c r="I77" s="25" t="str">
        <f>IF(OR(E77="",E77="!!!",F77="NEW"),"",INDEX(B76:B$2,-1+SUMPRODUCT(MAX(ROW(E76:E$2)*(E77=E76:E$2)))))</f>
        <v> </v>
      </c>
      <c r="J77" s="25" t="str">
        <f>IF(OR(E77="",E77="!!!",F77="NEW"),"",COUNTBLANK(OFFSET(A$1,,,SUMPRODUCT(MAX(ROW(E$2:E77)*(E77=E$2:E77)))))-COUNTBLANK(OFFSET(A$1,,,SUMPRODUCT(MAX(ROW(E$1:E76)*(E2=E$1:E76))))))</f>
        <v> </v>
      </c>
      <c r="K77" s="25" t="str">
        <f>IF(OR(E77="",E77="!!!",F77="NEW"),"",INDEX(J$1:J76,SUMPRODUCT(MAX(ROW(E$1:E76)*(E77=E$1:E76)))))</f>
        <v> </v>
      </c>
      <c r="L77" s="26"/>
    </row>
    <row r="78" spans="1:12">
      <c r="A78" s="20" t="s">
        <v>486</v>
      </c>
      <c r="B78" s="27" t="s">
        <v>549</v>
      </c>
      <c r="C78" s="27" t="s">
        <v>487</v>
      </c>
      <c r="D78" s="27" t="s">
        <v>483</v>
      </c>
      <c r="E78" s="21">
        <f>IF(D78="?OLD","!!!","")</f>
        <v/>
      </c>
      <c r="F78" s="22" t="str">
        <f>IF(OR(E78="",E78="!!!"),"",IF(NOT(ISNA(VLOOKUP(E78,E$1:E77,1,FALSE()))),"OLD",IF(AND(E78&lt;&gt;"",E78&lt;&gt;"!!!"),"NEW","")))</f>
        <v> </v>
      </c>
      <c r="G78" s="23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4" t="str">
        <f>IF(J78&lt;&gt;1,"",IF(I78="SBJ","CB","?"))</f>
        <v> </v>
      </c>
      <c r="I78" s="25" t="str">
        <f>IF(OR(E78="",E78="!!!",F78="NEW"),"",INDEX(B77:B$2,-1+SUMPRODUCT(MAX(ROW(E77:E$2)*(E78=E77:E$2)))))</f>
        <v> </v>
      </c>
      <c r="J78" s="25" t="str">
        <f>IF(OR(E78="",E78="!!!",F78="NEW"),"",COUNTBLANK(OFFSET(A$1,,,SUMPRODUCT(MAX(ROW(E$2:E78)*(E78=E$2:E78)))))-COUNTBLANK(OFFSET(A$1,,,SUMPRODUCT(MAX(ROW(E$1:E77)*(E2=E$1:E77))))))</f>
        <v> </v>
      </c>
      <c r="K78" s="25" t="str">
        <f>IF(OR(E78="",E78="!!!",F78="NEW"),"",INDEX(J$1:J77,SUMPRODUCT(MAX(ROW(E$1:E77)*(E78=E$1:E77)))))</f>
        <v> </v>
      </c>
      <c r="L78" s="26"/>
    </row>
    <row r="79" spans="1:12">
      <c r="A79" s="20" t="s">
        <v>488</v>
      </c>
      <c r="E79" s="21">
        <f>IF(D79="?OLD","!!!","")</f>
        <v/>
      </c>
      <c r="F79" s="22" t="str">
        <f>IF(OR(E79="",E79="!!!"),"",IF(NOT(ISNA(VLOOKUP(E79,E$1:E78,1,FALSE()))),"OLD",IF(AND(E79&lt;&gt;"",E79&lt;&gt;"!!!"),"NEW","")))</f>
        <v> </v>
      </c>
      <c r="G79" s="23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4" t="str">
        <f>IF(J79&lt;&gt;1,"",IF(I79="SBJ","CB","?"))</f>
        <v> </v>
      </c>
      <c r="I79" s="25" t="str">
        <f>IF(OR(E79="",E79="!!!",F79="NEW"),"",INDEX(B78:B$2,-1+SUMPRODUCT(MAX(ROW(E78:E$2)*(E79=E78:E$2)))))</f>
        <v> </v>
      </c>
      <c r="J79" s="25" t="str">
        <f>IF(OR(E79="",E79="!!!",F79="NEW"),"",COUNTBLANK(OFFSET(A$1,,,SUMPRODUCT(MAX(ROW(E$2:E79)*(E79=E$2:E79)))))-COUNTBLANK(OFFSET(A$1,,,SUMPRODUCT(MAX(ROW(E$1:E78)*(E2=E$1:E78))))))</f>
        <v> </v>
      </c>
      <c r="K79" s="25" t="str">
        <f>IF(OR(E79="",E79="!!!",F79="NEW"),"",INDEX(J$1:J78,SUMPRODUCT(MAX(ROW(E$1:E78)*(E79=E$1:E78)))))</f>
        <v> </v>
      </c>
      <c r="L79" s="26"/>
    </row>
    <row r="80" spans="1:12">
      <c r="A80" s="20" t="s">
        <v>548</v>
      </c>
      <c r="E80" s="21">
        <f>IF(D80="?OLD","!!!","")</f>
        <v/>
      </c>
      <c r="F80" s="22" t="str">
        <f>IF(OR(E80="",E80="!!!"),"",IF(NOT(ISNA(VLOOKUP(E80,E$1:E79,1,FALSE()))),"OLD",IF(AND(E80&lt;&gt;"",E80&lt;&gt;"!!!"),"NEW","")))</f>
        <v> </v>
      </c>
      <c r="G80" s="23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4" t="str">
        <f>IF(J80&lt;&gt;1,"",IF(I80="SBJ","CB","?"))</f>
        <v> </v>
      </c>
      <c r="I80" s="25" t="str">
        <f>IF(OR(E80="",E80="!!!",F80="NEW"),"",INDEX(B79:B$2,-1+SUMPRODUCT(MAX(ROW(E79:E$2)*(E80=E79:E$2)))))</f>
        <v> </v>
      </c>
      <c r="J80" s="25" t="str">
        <f>IF(OR(E80="",E80="!!!",F80="NEW"),"",COUNTBLANK(OFFSET(A$1,,,SUMPRODUCT(MAX(ROW(E$2:E80)*(E80=E$2:E80)))))-COUNTBLANK(OFFSET(A$1,,,SUMPRODUCT(MAX(ROW(E$1:E79)*(E2=E$1:E79))))))</f>
        <v> </v>
      </c>
      <c r="K80" s="25" t="str">
        <f>IF(OR(E80="",E80="!!!",F80="NEW"),"",INDEX(J$1:J79,SUMPRODUCT(MAX(ROW(E$1:E79)*(E80=E$1:E79)))))</f>
        <v> </v>
      </c>
      <c r="L80" s="26"/>
    </row>
    <row r="81" spans="1:12">
      <c r="A81" s="20" t="s">
        <v>550</v>
      </c>
      <c r="E81" s="21">
        <f>IF(D81="?OLD","!!!","")</f>
        <v/>
      </c>
      <c r="F81" s="22" t="str">
        <f>IF(OR(E81="",E81="!!!"),"",IF(NOT(ISNA(VLOOKUP(E81,E$1:E80,1,FALSE()))),"OLD",IF(AND(E81&lt;&gt;"",E81&lt;&gt;"!!!"),"NEW","")))</f>
        <v> </v>
      </c>
      <c r="G81" s="23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4" t="str">
        <f>IF(J81&lt;&gt;1,"",IF(I81="SBJ","CB","?"))</f>
        <v> </v>
      </c>
      <c r="I81" s="25" t="str">
        <f>IF(OR(E81="",E81="!!!",F81="NEW"),"",INDEX(B80:B$2,-1+SUMPRODUCT(MAX(ROW(E80:E$2)*(E81=E80:E$2)))))</f>
        <v> </v>
      </c>
      <c r="J81" s="25" t="str">
        <f>IF(OR(E81="",E81="!!!",F81="NEW"),"",COUNTBLANK(OFFSET(A$1,,,SUMPRODUCT(MAX(ROW(E$2:E81)*(E81=E$2:E81)))))-COUNTBLANK(OFFSET(A$1,,,SUMPRODUCT(MAX(ROW(E$1:E80)*(E2=E$1:E80))))))</f>
        <v> </v>
      </c>
      <c r="K81" s="25" t="str">
        <f>IF(OR(E81="",E81="!!!",F81="NEW"),"",INDEX(J$1:J80,SUMPRODUCT(MAX(ROW(E$1:E80)*(E81=E$1:E80)))))</f>
        <v> </v>
      </c>
      <c r="L81" s="26"/>
    </row>
    <row r="82" spans="1:12">
      <c r="A82" s="20" t="s">
        <v>551</v>
      </c>
      <c r="E82" s="21">
        <f>IF(D82="?OLD","!!!","")</f>
        <v/>
      </c>
      <c r="F82" s="22" t="str">
        <f>IF(OR(E82="",E82="!!!"),"",IF(NOT(ISNA(VLOOKUP(E82,E$1:E81,1,FALSE()))),"OLD",IF(AND(E82&lt;&gt;"",E82&lt;&gt;"!!!"),"NEW","")))</f>
        <v> </v>
      </c>
      <c r="G82" s="23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4" t="str">
        <f>IF(J82&lt;&gt;1,"",IF(I82="SBJ","CB","?"))</f>
        <v> </v>
      </c>
      <c r="I82" s="25" t="str">
        <f>IF(OR(E82="",E82="!!!",F82="NEW"),"",INDEX(B81:B$2,-1+SUMPRODUCT(MAX(ROW(E81:E$2)*(E82=E81:E$2)))))</f>
        <v> </v>
      </c>
      <c r="J82" s="25" t="str">
        <f>IF(OR(E82="",E82="!!!",F82="NEW"),"",COUNTBLANK(OFFSET(A$1,,,SUMPRODUCT(MAX(ROW(E$2:E82)*(E82=E$2:E82)))))-COUNTBLANK(OFFSET(A$1,,,SUMPRODUCT(MAX(ROW(E$1:E81)*(E2=E$1:E81))))))</f>
        <v> </v>
      </c>
      <c r="K82" s="25" t="str">
        <f>IF(OR(E82="",E82="!!!",F82="NEW"),"",INDEX(J$1:J81,SUMPRODUCT(MAX(ROW(E$1:E81)*(E82=E$1:E81)))))</f>
        <v> </v>
      </c>
      <c r="L82" s="26"/>
    </row>
    <row r="83" spans="1:12">
      <c r="A83" s="20" t="s">
        <v>503</v>
      </c>
      <c r="E83" s="21">
        <f>IF(D83="?OLD","!!!","")</f>
        <v/>
      </c>
      <c r="F83" s="22" t="str">
        <f>IF(OR(E83="",E83="!!!"),"",IF(NOT(ISNA(VLOOKUP(E83,E$1:E82,1,FALSE()))),"OLD",IF(AND(E83&lt;&gt;"",E83&lt;&gt;"!!!"),"NEW","")))</f>
        <v> </v>
      </c>
      <c r="G83" s="23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4" t="str">
        <f>IF(J83&lt;&gt;1,"",IF(I83="SBJ","CB","?"))</f>
        <v> </v>
      </c>
      <c r="I83" s="25" t="str">
        <f>IF(OR(E83="",E83="!!!",F83="NEW"),"",INDEX(B82:B$2,-1+SUMPRODUCT(MAX(ROW(E82:E$2)*(E83=E82:E$2)))))</f>
        <v> </v>
      </c>
      <c r="J83" s="25" t="str">
        <f>IF(OR(E83="",E83="!!!",F83="NEW"),"",COUNTBLANK(OFFSET(A$1,,,SUMPRODUCT(MAX(ROW(E$2:E83)*(E83=E$2:E83)))))-COUNTBLANK(OFFSET(A$1,,,SUMPRODUCT(MAX(ROW(E$1:E82)*(E2=E$1:E82))))))</f>
        <v> </v>
      </c>
      <c r="K83" s="25" t="str">
        <f>IF(OR(E83="",E83="!!!",F83="NEW"),"",INDEX(J$1:J82,SUMPRODUCT(MAX(ROW(E$1:E82)*(E83=E$1:E82)))))</f>
        <v> </v>
      </c>
      <c r="L83" s="26"/>
    </row>
    <row r="84" spans="1:12">
      <c r="A84" s="20" t="s">
        <v>552</v>
      </c>
      <c r="B84" s="27" t="s">
        <v>553</v>
      </c>
      <c r="C84" s="27" t="s">
        <v>487</v>
      </c>
      <c r="D84" s="27" t="s">
        <v>483</v>
      </c>
      <c r="E84" s="21">
        <f>IF(D84="?OLD","!!!","")</f>
        <v/>
      </c>
      <c r="F84" s="22" t="str">
        <f>IF(OR(E84="",E84="!!!"),"",IF(NOT(ISNA(VLOOKUP(E84,E$1:E83,1,FALSE()))),"OLD",IF(AND(E84&lt;&gt;"",E84&lt;&gt;"!!!"),"NEW","")))</f>
        <v> </v>
      </c>
      <c r="G84" s="23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4" t="str">
        <f>IF(J84&lt;&gt;1,"",IF(I84="SBJ","CB","?"))</f>
        <v> </v>
      </c>
      <c r="I84" s="25" t="str">
        <f>IF(OR(E84="",E84="!!!",F84="NEW"),"",INDEX(B83:B$2,-1+SUMPRODUCT(MAX(ROW(E83:E$2)*(E84=E83:E$2)))))</f>
        <v> </v>
      </c>
      <c r="J84" s="25" t="str">
        <f>IF(OR(E84="",E84="!!!",F84="NEW"),"",COUNTBLANK(OFFSET(A$1,,,SUMPRODUCT(MAX(ROW(E$2:E84)*(E84=E$2:E84)))))-COUNTBLANK(OFFSET(A$1,,,SUMPRODUCT(MAX(ROW(E$1:E83)*(E2=E$1:E83))))))</f>
        <v> </v>
      </c>
      <c r="K84" s="25" t="str">
        <f>IF(OR(E84="",E84="!!!",F84="NEW"),"",INDEX(J$1:J83,SUMPRODUCT(MAX(ROW(E$1:E83)*(E84=E$1:E83)))))</f>
        <v> </v>
      </c>
      <c r="L84" s="26"/>
    </row>
    <row r="85" spans="1:12">
      <c r="A85" s="20" t="s">
        <v>554</v>
      </c>
      <c r="E85" s="21">
        <f>IF(D85="?OLD","!!!","")</f>
        <v/>
      </c>
      <c r="F85" s="22" t="str">
        <f>IF(OR(E85="",E85="!!!"),"",IF(NOT(ISNA(VLOOKUP(E85,E$1:E84,1,FALSE()))),"OLD",IF(AND(E85&lt;&gt;"",E85&lt;&gt;"!!!"),"NEW","")))</f>
        <v> </v>
      </c>
      <c r="G85" s="23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4" t="str">
        <f>IF(J85&lt;&gt;1,"",IF(I85="SBJ","CB","?"))</f>
        <v> </v>
      </c>
      <c r="I85" s="25" t="str">
        <f>IF(OR(E85="",E85="!!!",F85="NEW"),"",INDEX(B84:B$2,-1+SUMPRODUCT(MAX(ROW(E84:E$2)*(E85=E84:E$2)))))</f>
        <v> </v>
      </c>
      <c r="J85" s="25" t="str">
        <f>IF(OR(E85="",E85="!!!",F85="NEW"),"",COUNTBLANK(OFFSET(A$1,,,SUMPRODUCT(MAX(ROW(E$2:E85)*(E85=E$2:E85)))))-COUNTBLANK(OFFSET(A$1,,,SUMPRODUCT(MAX(ROW(E$1:E84)*(E2=E$1:E84))))))</f>
        <v> </v>
      </c>
      <c r="K85" s="25" t="str">
        <f>IF(OR(E85="",E85="!!!",F85="NEW"),"",INDEX(J$1:J84,SUMPRODUCT(MAX(ROW(E$1:E84)*(E85=E$1:E84)))))</f>
        <v> </v>
      </c>
      <c r="L85" s="26"/>
    </row>
    <row r="86" spans="1:12">
      <c r="A86" s="20" t="s">
        <v>492</v>
      </c>
      <c r="E86" s="21">
        <f>IF(D86="?OLD","!!!","")</f>
        <v/>
      </c>
      <c r="F86" s="22" t="str">
        <f>IF(OR(E86="",E86="!!!"),"",IF(NOT(ISNA(VLOOKUP(E86,E$1:E85,1,FALSE()))),"OLD",IF(AND(E86&lt;&gt;"",E86&lt;&gt;"!!!"),"NEW","")))</f>
        <v> </v>
      </c>
      <c r="G86" s="23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4" t="str">
        <f>IF(J86&lt;&gt;1,"",IF(I86="SBJ","CB","?"))</f>
        <v> </v>
      </c>
      <c r="I86" s="25" t="str">
        <f>IF(OR(E86="",E86="!!!",F86="NEW"),"",INDEX(B85:B$2,-1+SUMPRODUCT(MAX(ROW(E85:E$2)*(E86=E85:E$2)))))</f>
        <v> </v>
      </c>
      <c r="J86" s="25" t="str">
        <f>IF(OR(E86="",E86="!!!",F86="NEW"),"",COUNTBLANK(OFFSET(A$1,,,SUMPRODUCT(MAX(ROW(E$2:E86)*(E86=E$2:E86)))))-COUNTBLANK(OFFSET(A$1,,,SUMPRODUCT(MAX(ROW(E$1:E85)*(E2=E$1:E85))))))</f>
        <v> </v>
      </c>
      <c r="K86" s="25" t="str">
        <f>IF(OR(E86="",E86="!!!",F86="NEW"),"",INDEX(J$1:J85,SUMPRODUCT(MAX(ROW(E$1:E85)*(E86=E$1:E85)))))</f>
        <v> </v>
      </c>
      <c r="L86" s="26"/>
    </row>
    <row r="87" spans="1:12">
      <c r="A87" s="20" t="s">
        <v>485</v>
      </c>
      <c r="E87" s="21">
        <f>IF(D87="?OLD","!!!","")</f>
        <v/>
      </c>
      <c r="F87" s="22" t="str">
        <f>IF(OR(E87="",E87="!!!"),"",IF(NOT(ISNA(VLOOKUP(E87,E$1:E86,1,FALSE()))),"OLD",IF(AND(E87&lt;&gt;"",E87&lt;&gt;"!!!"),"NEW","")))</f>
        <v> </v>
      </c>
      <c r="G87" s="23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4" t="str">
        <f>IF(J87&lt;&gt;1,"",IF(I87="SBJ","CB","?"))</f>
        <v> </v>
      </c>
      <c r="I87" s="25" t="str">
        <f>IF(OR(E87="",E87="!!!",F87="NEW"),"",INDEX(B86:B$2,-1+SUMPRODUCT(MAX(ROW(E86:E$2)*(E87=E86:E$2)))))</f>
        <v> </v>
      </c>
      <c r="J87" s="25" t="str">
        <f>IF(OR(E87="",E87="!!!",F87="NEW"),"",COUNTBLANK(OFFSET(A$1,,,SUMPRODUCT(MAX(ROW(E$2:E87)*(E87=E$2:E87)))))-COUNTBLANK(OFFSET(A$1,,,SUMPRODUCT(MAX(ROW(E$1:E86)*(E2=E$1:E86))))))</f>
        <v> </v>
      </c>
      <c r="K87" s="25" t="str">
        <f>IF(OR(E87="",E87="!!!",F87="NEW"),"",INDEX(J$1:J86,SUMPRODUCT(MAX(ROW(E$1:E86)*(E87=E$1:E86)))))</f>
        <v> </v>
      </c>
      <c r="L87" s="26"/>
    </row>
    <row r="88" spans="1:12">
      <c r="A88" s="20" t="s">
        <v>555</v>
      </c>
      <c r="B88" s="27" t="s">
        <v>556</v>
      </c>
      <c r="C88" s="27" t="s">
        <v>482</v>
      </c>
      <c r="D88" s="27" t="s">
        <v>483</v>
      </c>
      <c r="E88" s="21">
        <f>IF(D88="?OLD","!!!","")</f>
        <v/>
      </c>
      <c r="F88" s="22" t="str">
        <f>IF(OR(E88="",E88="!!!"),"",IF(NOT(ISNA(VLOOKUP(E88,E$1:E87,1,FALSE()))),"OLD",IF(AND(E88&lt;&gt;"",E88&lt;&gt;"!!!"),"NEW","")))</f>
        <v> </v>
      </c>
      <c r="G88" s="23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4" t="str">
        <f>IF(J88&lt;&gt;1,"",IF(I88="SBJ","CB","?"))</f>
        <v> </v>
      </c>
      <c r="I88" s="25" t="str">
        <f>IF(OR(E88="",E88="!!!",F88="NEW"),"",INDEX(B87:B$2,-1+SUMPRODUCT(MAX(ROW(E87:E$2)*(E88=E87:E$2)))))</f>
        <v> </v>
      </c>
      <c r="J88" s="25" t="str">
        <f>IF(OR(E88="",E88="!!!",F88="NEW"),"",COUNTBLANK(OFFSET(A$1,,,SUMPRODUCT(MAX(ROW(E$2:E88)*(E88=E$2:E88)))))-COUNTBLANK(OFFSET(A$1,,,SUMPRODUCT(MAX(ROW(E$1:E87)*(E2=E$1:E87))))))</f>
        <v> </v>
      </c>
      <c r="K88" s="25" t="str">
        <f>IF(OR(E88="",E88="!!!",F88="NEW"),"",INDEX(J$1:J87,SUMPRODUCT(MAX(ROW(E$1:E87)*(E88=E$1:E87)))))</f>
        <v> </v>
      </c>
      <c r="L88" s="26"/>
    </row>
    <row r="89" spans="1:12">
      <c r="A89" s="20" t="s">
        <v>557</v>
      </c>
      <c r="E89" s="21">
        <f>IF(D89="?OLD","!!!","")</f>
        <v/>
      </c>
      <c r="F89" s="22" t="str">
        <f>IF(OR(E89="",E89="!!!"),"",IF(NOT(ISNA(VLOOKUP(E89,E$1:E88,1,FALSE()))),"OLD",IF(AND(E89&lt;&gt;"",E89&lt;&gt;"!!!"),"NEW","")))</f>
        <v> </v>
      </c>
      <c r="G89" s="23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4" t="str">
        <f>IF(J89&lt;&gt;1,"",IF(I89="SBJ","CB","?"))</f>
        <v> </v>
      </c>
      <c r="I89" s="25" t="str">
        <f>IF(OR(E89="",E89="!!!",F89="NEW"),"",INDEX(B88:B$2,-1+SUMPRODUCT(MAX(ROW(E88:E$2)*(E89=E88:E$2)))))</f>
        <v> </v>
      </c>
      <c r="J89" s="25" t="str">
        <f>IF(OR(E89="",E89="!!!",F89="NEW"),"",COUNTBLANK(OFFSET(A$1,,,SUMPRODUCT(MAX(ROW(E$2:E89)*(E89=E$2:E89)))))-COUNTBLANK(OFFSET(A$1,,,SUMPRODUCT(MAX(ROW(E$1:E88)*(E2=E$1:E88))))))</f>
        <v> </v>
      </c>
      <c r="K89" s="25" t="str">
        <f>IF(OR(E89="",E89="!!!",F89="NEW"),"",INDEX(J$1:J88,SUMPRODUCT(MAX(ROW(E$1:E88)*(E89=E$1:E88)))))</f>
        <v> </v>
      </c>
      <c r="L89" s="26"/>
    </row>
    <row r="90" spans="1:12">
      <c r="A90" s="20" t="s">
        <v>503</v>
      </c>
      <c r="E90" s="21">
        <f>IF(D90="?OLD","!!!","")</f>
        <v/>
      </c>
      <c r="F90" s="22" t="str">
        <f>IF(OR(E90="",E90="!!!"),"",IF(NOT(ISNA(VLOOKUP(E90,E$1:E89,1,FALSE()))),"OLD",IF(AND(E90&lt;&gt;"",E90&lt;&gt;"!!!"),"NEW","")))</f>
        <v> </v>
      </c>
      <c r="G90" s="23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4" t="str">
        <f>IF(J90&lt;&gt;1,"",IF(I90="SBJ","CB","?"))</f>
        <v> </v>
      </c>
      <c r="I90" s="25" t="str">
        <f>IF(OR(E90="",E90="!!!",F90="NEW"),"",INDEX(B89:B$2,-1+SUMPRODUCT(MAX(ROW(E89:E$2)*(E90=E89:E$2)))))</f>
        <v> </v>
      </c>
      <c r="J90" s="25" t="str">
        <f>IF(OR(E90="",E90="!!!",F90="NEW"),"",COUNTBLANK(OFFSET(A$1,,,SUMPRODUCT(MAX(ROW(E$2:E90)*(E90=E$2:E90)))))-COUNTBLANK(OFFSET(A$1,,,SUMPRODUCT(MAX(ROW(E$1:E89)*(E2=E$1:E89))))))</f>
        <v> </v>
      </c>
      <c r="K90" s="25" t="str">
        <f>IF(OR(E90="",E90="!!!",F90="NEW"),"",INDEX(J$1:J89,SUMPRODUCT(MAX(ROW(E$1:E89)*(E90=E$1:E89)))))</f>
        <v> </v>
      </c>
      <c r="L90" s="26"/>
    </row>
    <row r="91" spans="1:12">
      <c r="A91" s="20" t="s">
        <v>212</v>
      </c>
      <c r="E91" s="21">
        <f>IF(D91="?OLD","!!!","")</f>
        <v/>
      </c>
      <c r="F91" s="22" t="str">
        <f>IF(OR(E91="",E91="!!!"),"",IF(NOT(ISNA(VLOOKUP(E91,E$1:E90,1,FALSE()))),"OLD",IF(AND(E91&lt;&gt;"",E91&lt;&gt;"!!!"),"NEW","")))</f>
        <v> </v>
      </c>
      <c r="G91" s="23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4" t="str">
        <f>IF(J91&lt;&gt;1,"",IF(I91="SBJ","CB","?"))</f>
        <v> </v>
      </c>
      <c r="I91" s="25" t="str">
        <f>IF(OR(E91="",E91="!!!",F91="NEW"),"",INDEX(B90:B$2,-1+SUMPRODUCT(MAX(ROW(E90:E$2)*(E91=E90:E$2)))))</f>
        <v> </v>
      </c>
      <c r="J91" s="25" t="str">
        <f>IF(OR(E91="",E91="!!!",F91="NEW"),"",COUNTBLANK(OFFSET(A$1,,,SUMPRODUCT(MAX(ROW(E$2:E91)*(E91=E$2:E91)))))-COUNTBLANK(OFFSET(A$1,,,SUMPRODUCT(MAX(ROW(E$1:E90)*(E2=E$1:E90))))))</f>
        <v> </v>
      </c>
      <c r="K91" s="25" t="str">
        <f>IF(OR(E91="",E91="!!!",F91="NEW"),"",INDEX(J$1:J90,SUMPRODUCT(MAX(ROW(E$1:E90)*(E91=E$1:E90)))))</f>
        <v> </v>
      </c>
      <c r="L91" s="26"/>
    </row>
    <row r="92" spans="1:12">
      <c r="A92" s="20" t="s">
        <v>558</v>
      </c>
      <c r="E92" s="21">
        <f>IF(D92="?OLD","!!!","")</f>
        <v/>
      </c>
      <c r="F92" s="22" t="str">
        <f>IF(OR(E92="",E92="!!!"),"",IF(NOT(ISNA(VLOOKUP(E92,E$1:E91,1,FALSE()))),"OLD",IF(AND(E92&lt;&gt;"",E92&lt;&gt;"!!!"),"NEW","")))</f>
        <v> </v>
      </c>
      <c r="G92" s="23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4" t="str">
        <f>IF(J92&lt;&gt;1,"",IF(I92="SBJ","CB","?"))</f>
        <v> </v>
      </c>
      <c r="I92" s="25" t="str">
        <f>IF(OR(E92="",E92="!!!",F92="NEW"),"",INDEX(B91:B$2,-1+SUMPRODUCT(MAX(ROW(E91:E$2)*(E92=E91:E$2)))))</f>
        <v> </v>
      </c>
      <c r="J92" s="25" t="str">
        <f>IF(OR(E92="",E92="!!!",F92="NEW"),"",COUNTBLANK(OFFSET(A$1,,,SUMPRODUCT(MAX(ROW(E$2:E92)*(E92=E$2:E92)))))-COUNTBLANK(OFFSET(A$1,,,SUMPRODUCT(MAX(ROW(E$1:E91)*(E2=E$1:E91))))))</f>
        <v> </v>
      </c>
      <c r="K92" s="25" t="str">
        <f>IF(OR(E92="",E92="!!!",F92="NEW"),"",INDEX(J$1:J91,SUMPRODUCT(MAX(ROW(E$1:E91)*(E92=E$1:E91)))))</f>
        <v> </v>
      </c>
      <c r="L92" s="26"/>
    </row>
    <row r="93" spans="1:12">
      <c r="A93" s="20" t="s">
        <v>380</v>
      </c>
      <c r="E93" s="21">
        <f>IF(D93="?OLD","!!!","")</f>
        <v/>
      </c>
      <c r="F93" s="22" t="str">
        <f>IF(OR(E93="",E93="!!!"),"",IF(NOT(ISNA(VLOOKUP(E93,E$1:E92,1,FALSE()))),"OLD",IF(AND(E93&lt;&gt;"",E93&lt;&gt;"!!!"),"NEW","")))</f>
        <v> </v>
      </c>
      <c r="G93" s="23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4" t="str">
        <f>IF(J93&lt;&gt;1,"",IF(I93="SBJ","CB","?"))</f>
        <v> </v>
      </c>
      <c r="I93" s="25" t="str">
        <f>IF(OR(E93="",E93="!!!",F93="NEW"),"",INDEX(B92:B$2,-1+SUMPRODUCT(MAX(ROW(E92:E$2)*(E93=E92:E$2)))))</f>
        <v> </v>
      </c>
      <c r="J93" s="25" t="str">
        <f>IF(OR(E93="",E93="!!!",F93="NEW"),"",COUNTBLANK(OFFSET(A$1,,,SUMPRODUCT(MAX(ROW(E$2:E93)*(E93=E$2:E93)))))-COUNTBLANK(OFFSET(A$1,,,SUMPRODUCT(MAX(ROW(E$1:E92)*(E2=E$1:E92))))))</f>
        <v> </v>
      </c>
      <c r="K93" s="25" t="str">
        <f>IF(OR(E93="",E93="!!!",F93="NEW"),"",INDEX(J$1:J92,SUMPRODUCT(MAX(ROW(E$1:E92)*(E93=E$1:E92)))))</f>
        <v> </v>
      </c>
      <c r="L93" s="26"/>
    </row>
    <row r="94" spans="1:12">
      <c r="A94" s="20" t="s">
        <v>559</v>
      </c>
      <c r="B94" s="27" t="s">
        <v>477</v>
      </c>
      <c r="C94" s="27" t="s">
        <v>498</v>
      </c>
      <c r="E94" s="21">
        <f>IF(D94="?OLD","!!!","")</f>
        <v/>
      </c>
      <c r="F94" s="22" t="str">
        <f>IF(OR(E94="",E94="!!!"),"",IF(NOT(ISNA(VLOOKUP(E94,E$1:E93,1,FALSE()))),"OLD",IF(AND(E94&lt;&gt;"",E94&lt;&gt;"!!!"),"NEW","")))</f>
        <v> </v>
      </c>
      <c r="G94" s="23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4" t="str">
        <f>IF(J94&lt;&gt;1,"",IF(I94="SBJ","CB","?"))</f>
        <v> </v>
      </c>
      <c r="I94" s="25" t="str">
        <f>IF(OR(E94="",E94="!!!",F94="NEW"),"",INDEX(B93:B$2,-1+SUMPRODUCT(MAX(ROW(E93:E$2)*(E94=E93:E$2)))))</f>
        <v> </v>
      </c>
      <c r="J94" s="25" t="str">
        <f>IF(OR(E94="",E94="!!!",F94="NEW"),"",COUNTBLANK(OFFSET(A$1,,,SUMPRODUCT(MAX(ROW(E$2:E94)*(E94=E$2:E94)))))-COUNTBLANK(OFFSET(A$1,,,SUMPRODUCT(MAX(ROW(E$1:E93)*(E2=E$1:E93))))))</f>
        <v> </v>
      </c>
      <c r="K94" s="25" t="str">
        <f>IF(OR(E94="",E94="!!!",F94="NEW"),"",INDEX(J$1:J93,SUMPRODUCT(MAX(ROW(E$1:E93)*(E94=E$1:E93)))))</f>
        <v> </v>
      </c>
      <c r="L94" s="26"/>
    </row>
    <row r="95" spans="1:12">
      <c r="A95" s="20" t="s">
        <v>560</v>
      </c>
      <c r="E95" s="21">
        <f>IF(D95="?OLD","!!!","")</f>
        <v/>
      </c>
      <c r="F95" s="22" t="str">
        <f>IF(OR(E95="",E95="!!!"),"",IF(NOT(ISNA(VLOOKUP(E95,E$1:E94,1,FALSE()))),"OLD",IF(AND(E95&lt;&gt;"",E95&lt;&gt;"!!!"),"NEW","")))</f>
        <v> </v>
      </c>
      <c r="G95" s="23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4" t="str">
        <f>IF(J95&lt;&gt;1,"",IF(I95="SBJ","CB","?"))</f>
        <v> </v>
      </c>
      <c r="I95" s="25" t="str">
        <f>IF(OR(E95="",E95="!!!",F95="NEW"),"",INDEX(B94:B$2,-1+SUMPRODUCT(MAX(ROW(E94:E$2)*(E95=E94:E$2)))))</f>
        <v> </v>
      </c>
      <c r="J95" s="25" t="str">
        <f>IF(OR(E95="",E95="!!!",F95="NEW"),"",COUNTBLANK(OFFSET(A$1,,,SUMPRODUCT(MAX(ROW(E$2:E95)*(E95=E$2:E95)))))-COUNTBLANK(OFFSET(A$1,,,SUMPRODUCT(MAX(ROW(E$1:E94)*(E2=E$1:E94))))))</f>
        <v> </v>
      </c>
      <c r="K95" s="25" t="str">
        <f>IF(OR(E95="",E95="!!!",F95="NEW"),"",INDEX(J$1:J94,SUMPRODUCT(MAX(ROW(E$1:E94)*(E95=E$1:E94)))))</f>
        <v> </v>
      </c>
      <c r="L95" s="26"/>
    </row>
    <row r="96" spans="1:12">
      <c r="A96" s="20" t="s">
        <v>517</v>
      </c>
      <c r="E96" s="21">
        <f>IF(D96="?OLD","!!!","")</f>
        <v/>
      </c>
      <c r="F96" s="22" t="str">
        <f>IF(OR(E96="",E96="!!!"),"",IF(NOT(ISNA(VLOOKUP(E96,E$1:E95,1,FALSE()))),"OLD",IF(AND(E96&lt;&gt;"",E96&lt;&gt;"!!!"),"NEW","")))</f>
        <v> </v>
      </c>
      <c r="G96" s="23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4" t="str">
        <f>IF(J96&lt;&gt;1,"",IF(I96="SBJ","CB","?"))</f>
        <v> </v>
      </c>
      <c r="I96" s="25" t="str">
        <f>IF(OR(E96="",E96="!!!",F96="NEW"),"",INDEX(B95:B$2,-1+SUMPRODUCT(MAX(ROW(E95:E$2)*(E96=E95:E$2)))))</f>
        <v> </v>
      </c>
      <c r="J96" s="25" t="str">
        <f>IF(OR(E96="",E96="!!!",F96="NEW"),"",COUNTBLANK(OFFSET(A$1,,,SUMPRODUCT(MAX(ROW(E$2:E96)*(E96=E$2:E96)))))-COUNTBLANK(OFFSET(A$1,,,SUMPRODUCT(MAX(ROW(E$1:E95)*(E2=E$1:E95))))))</f>
        <v> </v>
      </c>
      <c r="K96" s="25" t="str">
        <f>IF(OR(E96="",E96="!!!",F96="NEW"),"",INDEX(J$1:J95,SUMPRODUCT(MAX(ROW(E$1:E95)*(E96=E$1:E95)))))</f>
        <v> </v>
      </c>
      <c r="L96" s="26"/>
    </row>
    <row r="97" spans="1:12">
      <c r="A97" s="20" t="s">
        <v>475</v>
      </c>
      <c r="E97" s="21">
        <f>IF(D97="?OLD","!!!","")</f>
        <v/>
      </c>
      <c r="F97" s="22" t="str">
        <f>IF(OR(E97="",E97="!!!"),"",IF(NOT(ISNA(VLOOKUP(E97,E$1:E96,1,FALSE()))),"OLD",IF(AND(E97&lt;&gt;"",E97&lt;&gt;"!!!"),"NEW","")))</f>
        <v> </v>
      </c>
      <c r="G97" s="23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4" t="str">
        <f>IF(J97&lt;&gt;1,"",IF(I97="SBJ","CB","?"))</f>
        <v> </v>
      </c>
      <c r="I97" s="25" t="str">
        <f>IF(OR(E97="",E97="!!!",F97="NEW"),"",INDEX(B96:B$2,-1+SUMPRODUCT(MAX(ROW(E96:E$2)*(E97=E96:E$2)))))</f>
        <v> </v>
      </c>
      <c r="J97" s="25" t="str">
        <f>IF(OR(E97="",E97="!!!",F97="NEW"),"",COUNTBLANK(OFFSET(A$1,,,SUMPRODUCT(MAX(ROW(E$2:E97)*(E97=E$2:E97)))))-COUNTBLANK(OFFSET(A$1,,,SUMPRODUCT(MAX(ROW(E$1:E96)*(E2=E$1:E96))))))</f>
        <v> </v>
      </c>
      <c r="K97" s="25" t="str">
        <f>IF(OR(E97="",E97="!!!",F97="NEW"),"",INDEX(J$1:J96,SUMPRODUCT(MAX(ROW(E$1:E96)*(E97=E$1:E96)))))</f>
        <v> </v>
      </c>
      <c r="L97" s="26"/>
    </row>
    <row r="98" spans="1:12">
      <c r="A98" s="20" t="s">
        <v>545</v>
      </c>
      <c r="B98" s="27" t="s">
        <v>477</v>
      </c>
      <c r="C98" s="27" t="s">
        <v>538</v>
      </c>
      <c r="D98" s="27" t="s">
        <v>483</v>
      </c>
      <c r="E98" s="21">
        <f>IF(D98="?OLD","!!!","")</f>
        <v/>
      </c>
      <c r="F98" s="22" t="str">
        <f>IF(OR(E98="",E98="!!!"),"",IF(NOT(ISNA(VLOOKUP(E98,E$1:E97,1,FALSE()))),"OLD",IF(AND(E98&lt;&gt;"",E98&lt;&gt;"!!!"),"NEW","")))</f>
        <v> </v>
      </c>
      <c r="G98" s="23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4" t="str">
        <f>IF(J98&lt;&gt;1,"",IF(I98="SBJ","CB","?"))</f>
        <v> </v>
      </c>
      <c r="I98" s="25" t="str">
        <f>IF(OR(E98="",E98="!!!",F98="NEW"),"",INDEX(B97:B$2,-1+SUMPRODUCT(MAX(ROW(E97:E$2)*(E98=E97:E$2)))))</f>
        <v> </v>
      </c>
      <c r="J98" s="25" t="str">
        <f>IF(OR(E98="",E98="!!!",F98="NEW"),"",COUNTBLANK(OFFSET(A$1,,,SUMPRODUCT(MAX(ROW(E$2:E98)*(E98=E$2:E98)))))-COUNTBLANK(OFFSET(A$1,,,SUMPRODUCT(MAX(ROW(E$1:E97)*(E2=E$1:E97))))))</f>
        <v> </v>
      </c>
      <c r="K98" s="25" t="str">
        <f>IF(OR(E98="",E98="!!!",F98="NEW"),"",INDEX(J$1:J97,SUMPRODUCT(MAX(ROW(E$1:E97)*(E98=E$1:E97)))))</f>
        <v> </v>
      </c>
      <c r="L98" s="26"/>
    </row>
    <row r="99" spans="1:12">
      <c r="A99" s="20" t="s">
        <v>528</v>
      </c>
      <c r="E99" s="21">
        <f>IF(D99="?OLD","!!!","")</f>
        <v/>
      </c>
      <c r="F99" s="22" t="str">
        <f>IF(OR(E99="",E99="!!!"),"",IF(NOT(ISNA(VLOOKUP(E99,E$1:E98,1,FALSE()))),"OLD",IF(AND(E99&lt;&gt;"",E99&lt;&gt;"!!!"),"NEW","")))</f>
        <v> </v>
      </c>
      <c r="G99" s="23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4" t="str">
        <f>IF(J99&lt;&gt;1,"",IF(I99="SBJ","CB","?"))</f>
        <v> </v>
      </c>
      <c r="I99" s="25" t="str">
        <f>IF(OR(E99="",E99="!!!",F99="NEW"),"",INDEX(B98:B$2,-1+SUMPRODUCT(MAX(ROW(E98:E$2)*(E99=E98:E$2)))))</f>
        <v> </v>
      </c>
      <c r="J99" s="25" t="str">
        <f>IF(OR(E99="",E99="!!!",F99="NEW"),"",COUNTBLANK(OFFSET(A$1,,,SUMPRODUCT(MAX(ROW(E$2:E99)*(E99=E$2:E99)))))-COUNTBLANK(OFFSET(A$1,,,SUMPRODUCT(MAX(ROW(E$1:E98)*(E2=E$1:E98))))))</f>
        <v> </v>
      </c>
      <c r="K99" s="25" t="str">
        <f>IF(OR(E99="",E99="!!!",F99="NEW"),"",INDEX(J$1:J98,SUMPRODUCT(MAX(ROW(E$1:E98)*(E99=E$1:E98)))))</f>
        <v> </v>
      </c>
      <c r="L99" s="26"/>
    </row>
    <row r="100" spans="1:12">
      <c r="A100" s="20" t="s">
        <v>561</v>
      </c>
      <c r="E100" s="21">
        <f>IF(D100="?OLD","!!!","")</f>
        <v/>
      </c>
      <c r="F100" s="22" t="str">
        <f>IF(OR(E100="",E100="!!!"),"",IF(NOT(ISNA(VLOOKUP(E100,E$1:E99,1,FALSE()))),"OLD",IF(AND(E100&lt;&gt;"",E100&lt;&gt;"!!!"),"NEW","")))</f>
        <v> </v>
      </c>
      <c r="G100" s="23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4" t="str">
        <f>IF(J100&lt;&gt;1,"",IF(I100="SBJ","CB","?"))</f>
        <v> </v>
      </c>
      <c r="I100" s="25" t="str">
        <f>IF(OR(E100="",E100="!!!",F100="NEW"),"",INDEX(B99:B$2,-1+SUMPRODUCT(MAX(ROW(E99:E$2)*(E100=E99:E$2)))))</f>
        <v> </v>
      </c>
      <c r="J100" s="25" t="str">
        <f>IF(OR(E100="",E100="!!!",F100="NEW"),"",COUNTBLANK(OFFSET(A$1,,,SUMPRODUCT(MAX(ROW(E$2:E100)*(E100=E$2:E100)))))-COUNTBLANK(OFFSET(A$1,,,SUMPRODUCT(MAX(ROW(E$1:E99)*(E2=E$1:E99))))))</f>
        <v> </v>
      </c>
      <c r="K100" s="25" t="str">
        <f>IF(OR(E100="",E100="!!!",F100="NEW"),"",INDEX(J$1:J99,SUMPRODUCT(MAX(ROW(E$1:E99)*(E100=E$1:E99)))))</f>
        <v> </v>
      </c>
      <c r="L100" s="26"/>
    </row>
    <row r="101" spans="1:12">
      <c r="A101" s="20" t="s">
        <v>500</v>
      </c>
      <c r="E101" s="21">
        <f>IF(D101="?OLD","!!!","")</f>
        <v/>
      </c>
      <c r="F101" s="22" t="str">
        <f>IF(OR(E101="",E101="!!!"),"",IF(NOT(ISNA(VLOOKUP(E101,E$1:E100,1,FALSE()))),"OLD",IF(AND(E101&lt;&gt;"",E101&lt;&gt;"!!!"),"NEW","")))</f>
        <v> </v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4" t="str">
        <f>IF(J101&lt;&gt;1,"",IF(I101="SBJ","CB","?"))</f>
        <v> </v>
      </c>
      <c r="I101" s="25" t="str">
        <f>IF(OR(E101="",E101="!!!",F101="NEW"),"",INDEX(B100:B$2,-1+SUMPRODUCT(MAX(ROW(E100:E$2)*(E101=E100:E$2)))))</f>
        <v> </v>
      </c>
      <c r="J101" s="25" t="str">
        <f>IF(OR(E101="",E101="!!!",F101="NEW"),"",COUNTBLANK(OFFSET(A$1,,,SUMPRODUCT(MAX(ROW(E$2:E101)*(E101=E$2:E101)))))-COUNTBLANK(OFFSET(A$1,,,SUMPRODUCT(MAX(ROW(E$1:E100)*(E2=E$1:E100))))))</f>
        <v> </v>
      </c>
      <c r="K101" s="25" t="str">
        <f>IF(OR(E101="",E101="!!!",F101="NEW"),"",INDEX(J$1:J100,SUMPRODUCT(MAX(ROW(E$1:E100)*(E101=E$1:E100)))))</f>
        <v> </v>
      </c>
      <c r="L101" s="26"/>
    </row>
    <row r="102" spans="1:12">
      <c r="A102" s="20" t="s">
        <v>485</v>
      </c>
      <c r="E102" s="21">
        <f>IF(D102="?OLD","!!!","")</f>
        <v/>
      </c>
      <c r="F102" s="22" t="str">
        <f>IF(OR(E102="",E102="!!!"),"",IF(NOT(ISNA(VLOOKUP(E102,E$1:E101,1,FALSE()))),"OLD",IF(AND(E102&lt;&gt;"",E102&lt;&gt;"!!!"),"NEW","")))</f>
        <v> </v>
      </c>
      <c r="G102" s="23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4" t="str">
        <f>IF(J102&lt;&gt;1,"",IF(I102="SBJ","CB","?"))</f>
        <v> </v>
      </c>
      <c r="I102" s="25" t="str">
        <f>IF(OR(E102="",E102="!!!",F102="NEW"),"",INDEX(B101:B$2,-1+SUMPRODUCT(MAX(ROW(E101:E$2)*(E102=E101:E$2)))))</f>
        <v> </v>
      </c>
      <c r="J102" s="25" t="str">
        <f>IF(OR(E102="",E102="!!!",F102="NEW"),"",COUNTBLANK(OFFSET(A$1,,,SUMPRODUCT(MAX(ROW(E$2:E102)*(E102=E$2:E102)))))-COUNTBLANK(OFFSET(A$1,,,SUMPRODUCT(MAX(ROW(E$1:E101)*(E2=E$1:E101))))))</f>
        <v> </v>
      </c>
      <c r="K102" s="25" t="str">
        <f>IF(OR(E102="",E102="!!!",F102="NEW"),"",INDEX(J$1:J101,SUMPRODUCT(MAX(ROW(E$1:E101)*(E102=E$1:E101)))))</f>
        <v> </v>
      </c>
      <c r="L102" s="26"/>
    </row>
    <row r="103" spans="1:12">
      <c r="A103" s="20" t="s">
        <v>562</v>
      </c>
      <c r="B103" s="27" t="s">
        <v>490</v>
      </c>
      <c r="C103" s="27" t="s">
        <v>538</v>
      </c>
      <c r="D103" s="27" t="s">
        <v>483</v>
      </c>
      <c r="E103" s="21">
        <f>IF(D103="?OLD","!!!","")</f>
        <v/>
      </c>
      <c r="F103" s="22" t="str">
        <f>IF(OR(E103="",E103="!!!"),"",IF(NOT(ISNA(VLOOKUP(E103,E$1:E102,1,FALSE()))),"OLD",IF(AND(E103&lt;&gt;"",E103&lt;&gt;"!!!"),"NEW","")))</f>
        <v> </v>
      </c>
      <c r="G103" s="23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4" t="str">
        <f>IF(J103&lt;&gt;1,"",IF(I103="SBJ","CB","?"))</f>
        <v> </v>
      </c>
      <c r="I103" s="25" t="str">
        <f>IF(OR(E103="",E103="!!!",F103="NEW"),"",INDEX(B102:B$2,-1+SUMPRODUCT(MAX(ROW(E102:E$2)*(E103=E102:E$2)))))</f>
        <v> </v>
      </c>
      <c r="J103" s="25" t="str">
        <f>IF(OR(E103="",E103="!!!",F103="NEW"),"",COUNTBLANK(OFFSET(A$1,,,SUMPRODUCT(MAX(ROW(E$2:E103)*(E103=E$2:E103)))))-COUNTBLANK(OFFSET(A$1,,,SUMPRODUCT(MAX(ROW(E$1:E102)*(E2=E$1:E102))))))</f>
        <v> </v>
      </c>
      <c r="K103" s="25" t="str">
        <f>IF(OR(E103="",E103="!!!",F103="NEW"),"",INDEX(J$1:J102,SUMPRODUCT(MAX(ROW(E$1:E102)*(E103=E$1:E102)))))</f>
        <v> </v>
      </c>
      <c r="L103" s="26"/>
    </row>
    <row r="104" spans="1:12">
      <c r="A104" s="20" t="s">
        <v>528</v>
      </c>
      <c r="E104" s="21">
        <f>IF(D104="?OLD","!!!","")</f>
        <v/>
      </c>
      <c r="F104" s="22" t="str">
        <f>IF(OR(E104="",E104="!!!"),"",IF(NOT(ISNA(VLOOKUP(E104,E$1:E103,1,FALSE()))),"OLD",IF(AND(E104&lt;&gt;"",E104&lt;&gt;"!!!"),"NEW","")))</f>
        <v> </v>
      </c>
      <c r="G104" s="23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4" t="str">
        <f>IF(J104&lt;&gt;1,"",IF(I104="SBJ","CB","?"))</f>
        <v> </v>
      </c>
      <c r="I104" s="25" t="str">
        <f>IF(OR(E104="",E104="!!!",F104="NEW"),"",INDEX(B103:B$2,-1+SUMPRODUCT(MAX(ROW(E103:E$2)*(E104=E103:E$2)))))</f>
        <v> </v>
      </c>
      <c r="J104" s="25" t="str">
        <f>IF(OR(E104="",E104="!!!",F104="NEW"),"",COUNTBLANK(OFFSET(A$1,,,SUMPRODUCT(MAX(ROW(E$2:E104)*(E104=E$2:E104)))))-COUNTBLANK(OFFSET(A$1,,,SUMPRODUCT(MAX(ROW(E$1:E103)*(E2=E$1:E103))))))</f>
        <v> </v>
      </c>
      <c r="K104" s="25" t="str">
        <f>IF(OR(E104="",E104="!!!",F104="NEW"),"",INDEX(J$1:J103,SUMPRODUCT(MAX(ROW(E$1:E103)*(E104=E$1:E103)))))</f>
        <v> </v>
      </c>
      <c r="L104" s="26"/>
    </row>
    <row r="105" spans="1:12">
      <c r="A105" s="20" t="s">
        <v>503</v>
      </c>
      <c r="E105" s="21">
        <f>IF(D105="?OLD","!!!","")</f>
        <v/>
      </c>
      <c r="F105" s="22" t="str">
        <f>IF(OR(E105="",E105="!!!"),"",IF(NOT(ISNA(VLOOKUP(E105,E$1:E104,1,FALSE()))),"OLD",IF(AND(E105&lt;&gt;"",E105&lt;&gt;"!!!"),"NEW","")))</f>
        <v> </v>
      </c>
      <c r="G105" s="23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4" t="str">
        <f>IF(J105&lt;&gt;1,"",IF(I105="SBJ","CB","?"))</f>
        <v> </v>
      </c>
      <c r="I105" s="25" t="str">
        <f>IF(OR(E105="",E105="!!!",F105="NEW"),"",INDEX(B104:B$2,-1+SUMPRODUCT(MAX(ROW(E104:E$2)*(E105=E104:E$2)))))</f>
        <v> </v>
      </c>
      <c r="J105" s="25" t="str">
        <f>IF(OR(E105="",E105="!!!",F105="NEW"),"",COUNTBLANK(OFFSET(A$1,,,SUMPRODUCT(MAX(ROW(E$2:E105)*(E105=E$2:E105)))))-COUNTBLANK(OFFSET(A$1,,,SUMPRODUCT(MAX(ROW(E$1:E104)*(E2=E$1:E104))))))</f>
        <v> </v>
      </c>
      <c r="K105" s="25" t="str">
        <f>IF(OR(E105="",E105="!!!",F105="NEW"),"",INDEX(J$1:J104,SUMPRODUCT(MAX(ROW(E$1:E104)*(E105=E$1:E104)))))</f>
        <v> </v>
      </c>
      <c r="L105" s="26"/>
    </row>
    <row r="106" spans="1:12">
      <c r="A106" s="20" t="s">
        <v>563</v>
      </c>
      <c r="B106" s="27" t="s">
        <v>540</v>
      </c>
      <c r="C106" s="27" t="s">
        <v>487</v>
      </c>
      <c r="D106" s="27" t="s">
        <v>483</v>
      </c>
      <c r="E106" s="21">
        <f>IF(D106="?OLD","!!!","")</f>
        <v/>
      </c>
      <c r="F106" s="22" t="str">
        <f>IF(OR(E106="",E106="!!!"),"",IF(NOT(ISNA(VLOOKUP(E106,E$1:E105,1,FALSE()))),"OLD",IF(AND(E106&lt;&gt;"",E106&lt;&gt;"!!!"),"NEW","")))</f>
        <v> </v>
      </c>
      <c r="G106" s="23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4" t="str">
        <f>IF(J106&lt;&gt;1,"",IF(I106="SBJ","CB","?"))</f>
        <v> </v>
      </c>
      <c r="I106" s="25" t="str">
        <f>IF(OR(E106="",E106="!!!",F106="NEW"),"",INDEX(B105:B$2,-1+SUMPRODUCT(MAX(ROW(E105:E$2)*(E106=E105:E$2)))))</f>
        <v> </v>
      </c>
      <c r="J106" s="25" t="str">
        <f>IF(OR(E106="",E106="!!!",F106="NEW"),"",COUNTBLANK(OFFSET(A$1,,,SUMPRODUCT(MAX(ROW(E$2:E106)*(E106=E$2:E106)))))-COUNTBLANK(OFFSET(A$1,,,SUMPRODUCT(MAX(ROW(E$1:E105)*(E2=E$1:E105))))))</f>
        <v> </v>
      </c>
      <c r="K106" s="25" t="str">
        <f>IF(OR(E106="",E106="!!!",F106="NEW"),"",INDEX(J$1:J105,SUMPRODUCT(MAX(ROW(E$1:E105)*(E106=E$1:E105)))))</f>
        <v> </v>
      </c>
      <c r="L106" s="26"/>
    </row>
    <row r="107" spans="1:12">
      <c r="A107" s="20" t="s">
        <v>489</v>
      </c>
      <c r="E107" s="21">
        <f>IF(D107="?OLD","!!!","")</f>
        <v/>
      </c>
      <c r="F107" s="22" t="str">
        <f>IF(OR(E107="",E107="!!!"),"",IF(NOT(ISNA(VLOOKUP(E107,E$1:E106,1,FALSE()))),"OLD",IF(AND(E107&lt;&gt;"",E107&lt;&gt;"!!!"),"NEW","")))</f>
        <v> </v>
      </c>
      <c r="G107" s="23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4" t="str">
        <f>IF(J107&lt;&gt;1,"",IF(I107="SBJ","CB","?"))</f>
        <v> </v>
      </c>
      <c r="I107" s="25" t="str">
        <f>IF(OR(E107="",E107="!!!",F107="NEW"),"",INDEX(B106:B$2,-1+SUMPRODUCT(MAX(ROW(E106:E$2)*(E107=E106:E$2)))))</f>
        <v> </v>
      </c>
      <c r="J107" s="25" t="str">
        <f>IF(OR(E107="",E107="!!!",F107="NEW"),"",COUNTBLANK(OFFSET(A$1,,,SUMPRODUCT(MAX(ROW(E$2:E107)*(E107=E$2:E107)))))-COUNTBLANK(OFFSET(A$1,,,SUMPRODUCT(MAX(ROW(E$1:E106)*(E2=E$1:E106))))))</f>
        <v> </v>
      </c>
      <c r="K107" s="25" t="str">
        <f>IF(OR(E107="",E107="!!!",F107="NEW"),"",INDEX(J$1:J106,SUMPRODUCT(MAX(ROW(E$1:E106)*(E107=E$1:E106)))))</f>
        <v> </v>
      </c>
      <c r="L107" s="26"/>
    </row>
    <row r="108" spans="1:12">
      <c r="A108" s="20" t="s">
        <v>484</v>
      </c>
      <c r="E108" s="21">
        <f>IF(D108="?OLD","!!!","")</f>
        <v/>
      </c>
      <c r="F108" s="22" t="str">
        <f>IF(OR(E108="",E108="!!!"),"",IF(NOT(ISNA(VLOOKUP(E108,E$1:E107,1,FALSE()))),"OLD",IF(AND(E108&lt;&gt;"",E108&lt;&gt;"!!!"),"NEW","")))</f>
        <v> </v>
      </c>
      <c r="G108" s="23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4" t="str">
        <f>IF(J108&lt;&gt;1,"",IF(I108="SBJ","CB","?"))</f>
        <v> </v>
      </c>
      <c r="I108" s="25" t="str">
        <f>IF(OR(E108="",E108="!!!",F108="NEW"),"",INDEX(B107:B$2,-1+SUMPRODUCT(MAX(ROW(E107:E$2)*(E108=E107:E$2)))))</f>
        <v> </v>
      </c>
      <c r="J108" s="25" t="str">
        <f>IF(OR(E108="",E108="!!!",F108="NEW"),"",COUNTBLANK(OFFSET(A$1,,,SUMPRODUCT(MAX(ROW(E$2:E108)*(E108=E$2:E108)))))-COUNTBLANK(OFFSET(A$1,,,SUMPRODUCT(MAX(ROW(E$1:E107)*(E2=E$1:E107))))))</f>
        <v> </v>
      </c>
      <c r="K108" s="25" t="str">
        <f>IF(OR(E108="",E108="!!!",F108="NEW"),"",INDEX(J$1:J107,SUMPRODUCT(MAX(ROW(E$1:E107)*(E108=E$1:E107)))))</f>
        <v> </v>
      </c>
      <c r="L108" s="26"/>
    </row>
    <row r="109" spans="1:12">
      <c r="A109" s="20" t="s">
        <v>564</v>
      </c>
      <c r="B109" s="27" t="s">
        <v>490</v>
      </c>
      <c r="C109" s="27" t="s">
        <v>516</v>
      </c>
      <c r="E109" s="21">
        <f>IF(D109="?OLD","!!!","")</f>
        <v/>
      </c>
      <c r="F109" s="22" t="str">
        <f>IF(OR(E109="",E109="!!!"),"",IF(NOT(ISNA(VLOOKUP(E109,E$1:E108,1,FALSE()))),"OLD",IF(AND(E109&lt;&gt;"",E109&lt;&gt;"!!!"),"NEW","")))</f>
        <v> </v>
      </c>
      <c r="G109" s="23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4" t="str">
        <f>IF(J109&lt;&gt;1,"",IF(I109="SBJ","CB","?"))</f>
        <v> </v>
      </c>
      <c r="I109" s="25" t="str">
        <f>IF(OR(E109="",E109="!!!",F109="NEW"),"",INDEX(B108:B$2,-1+SUMPRODUCT(MAX(ROW(E108:E$2)*(E109=E108:E$2)))))</f>
        <v> </v>
      </c>
      <c r="J109" s="25" t="str">
        <f>IF(OR(E109="",E109="!!!",F109="NEW"),"",COUNTBLANK(OFFSET(A$1,,,SUMPRODUCT(MAX(ROW(E$2:E109)*(E109=E$2:E109)))))-COUNTBLANK(OFFSET(A$1,,,SUMPRODUCT(MAX(ROW(E$1:E108)*(E2=E$1:E108))))))</f>
        <v> </v>
      </c>
      <c r="K109" s="25" t="str">
        <f>IF(OR(E109="",E109="!!!",F109="NEW"),"",INDEX(J$1:J108,SUMPRODUCT(MAX(ROW(E$1:E108)*(E109=E$1:E108)))))</f>
        <v> </v>
      </c>
      <c r="L109" s="26"/>
    </row>
    <row r="110" spans="1:12">
      <c r="A110" s="20" t="s">
        <v>531</v>
      </c>
      <c r="E110" s="21">
        <f>IF(D110="?OLD","!!!","")</f>
        <v/>
      </c>
      <c r="F110" s="22" t="str">
        <f>IF(OR(E110="",E110="!!!"),"",IF(NOT(ISNA(VLOOKUP(E110,E$1:E109,1,FALSE()))),"OLD",IF(AND(E110&lt;&gt;"",E110&lt;&gt;"!!!"),"NEW","")))</f>
        <v> </v>
      </c>
      <c r="G110" s="23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4" t="str">
        <f>IF(J110&lt;&gt;1,"",IF(I110="SBJ","CB","?"))</f>
        <v> </v>
      </c>
      <c r="I110" s="25" t="str">
        <f>IF(OR(E110="",E110="!!!",F110="NEW"),"",INDEX(B109:B$2,-1+SUMPRODUCT(MAX(ROW(E109:E$2)*(E110=E109:E$2)))))</f>
        <v> </v>
      </c>
      <c r="J110" s="25" t="str">
        <f>IF(OR(E110="",E110="!!!",F110="NEW"),"",COUNTBLANK(OFFSET(A$1,,,SUMPRODUCT(MAX(ROW(E$2:E110)*(E110=E$2:E110)))))-COUNTBLANK(OFFSET(A$1,,,SUMPRODUCT(MAX(ROW(E$1:E109)*(E2=E$1:E109))))))</f>
        <v> </v>
      </c>
      <c r="K110" s="25" t="str">
        <f>IF(OR(E110="",E110="!!!",F110="NEW"),"",INDEX(J$1:J109,SUMPRODUCT(MAX(ROW(E$1:E109)*(E110=E$1:E109)))))</f>
        <v> </v>
      </c>
      <c r="L110" s="26"/>
    </row>
    <row r="111" spans="1:12">
      <c r="A111" s="20"/>
    </row>
    <row r="112" spans="1:12">
      <c r="A112" s="20" t="s">
        <v>565</v>
      </c>
    </row>
    <row r="113" spans="1:12">
      <c r="A113" s="20" t="s">
        <v>566</v>
      </c>
      <c r="E113" s="21">
        <f>IF(D113="?OLD","!!!","")</f>
        <v/>
      </c>
      <c r="F113" s="22" t="str">
        <f>IF(OR(E113="",E113="!!!"),"",IF(NOT(ISNA(VLOOKUP(E113,E$1:E112,1,FALSE()))),"OLD",IF(AND(E113&lt;&gt;"",E113&lt;&gt;"!!!"),"NEW","")))</f>
        <v> </v>
      </c>
      <c r="G113" s="23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4" t="str">
        <f>IF(J113&lt;&gt;1,"",IF(I113="SBJ","CB","?"))</f>
        <v> </v>
      </c>
      <c r="I113" s="25" t="str">
        <f>IF(OR(E113="",E113="!!!",F113="NEW"),"",INDEX(B112:B$2,-1+SUMPRODUCT(MAX(ROW(E112:E$2)*(E113=E112:E$2)))))</f>
        <v> </v>
      </c>
      <c r="J113" s="25" t="str">
        <f>IF(OR(E113="",E113="!!!",F113="NEW"),"",COUNTBLANK(OFFSET(A$1,,,SUMPRODUCT(MAX(ROW(E$2:E113)*(E113=E$2:E113)))))-COUNTBLANK(OFFSET(A$1,,,SUMPRODUCT(MAX(ROW(E$1:E112)*(E2=E$1:E112))))))</f>
        <v> </v>
      </c>
      <c r="K113" s="25" t="str">
        <f>IF(OR(E113="",E113="!!!",F113="NEW"),"",INDEX(J$1:J112,SUMPRODUCT(MAX(ROW(E$1:E112)*(E113=E$1:E112)))))</f>
        <v> </v>
      </c>
      <c r="L113" s="26"/>
    </row>
    <row r="114" spans="1:12">
      <c r="A114" s="20" t="s">
        <v>567</v>
      </c>
      <c r="E114" s="21">
        <f>IF(D114="?OLD","!!!","")</f>
        <v/>
      </c>
      <c r="F114" s="22" t="str">
        <f>IF(OR(E114="",E114="!!!"),"",IF(NOT(ISNA(VLOOKUP(E114,E$1:E113,1,FALSE()))),"OLD",IF(AND(E114&lt;&gt;"",E114&lt;&gt;"!!!"),"NEW","")))</f>
        <v> </v>
      </c>
      <c r="G114" s="23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4" t="str">
        <f>IF(J114&lt;&gt;1,"",IF(I114="SBJ","CB","?"))</f>
        <v> </v>
      </c>
      <c r="I114" s="25" t="str">
        <f>IF(OR(E114="",E114="!!!",F114="NEW"),"",INDEX(B113:B$2,-1+SUMPRODUCT(MAX(ROW(E113:E$2)*(E114=E113:E$2)))))</f>
        <v> </v>
      </c>
      <c r="J114" s="25" t="str">
        <f>IF(OR(E114="",E114="!!!",F114="NEW"),"",COUNTBLANK(OFFSET(A$1,,,SUMPRODUCT(MAX(ROW(E$2:E114)*(E114=E$2:E114)))))-COUNTBLANK(OFFSET(A$1,,,SUMPRODUCT(MAX(ROW(E$1:E113)*(E2=E$1:E113))))))</f>
        <v> </v>
      </c>
      <c r="K114" s="25" t="str">
        <f>IF(OR(E114="",E114="!!!",F114="NEW"),"",INDEX(J$1:J113,SUMPRODUCT(MAX(ROW(E$1:E113)*(E114=E$1:E113)))))</f>
        <v> </v>
      </c>
      <c r="L114" s="26"/>
    </row>
    <row r="115" spans="1:12">
      <c r="A115" s="20" t="s">
        <v>568</v>
      </c>
      <c r="E115" s="21">
        <f>IF(D115="?OLD","!!!","")</f>
        <v/>
      </c>
      <c r="F115" s="22" t="str">
        <f>IF(OR(E115="",E115="!!!"),"",IF(NOT(ISNA(VLOOKUP(E115,E$1:E114,1,FALSE()))),"OLD",IF(AND(E115&lt;&gt;"",E115&lt;&gt;"!!!"),"NEW","")))</f>
        <v> </v>
      </c>
      <c r="G115" s="23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4" t="str">
        <f>IF(J115&lt;&gt;1,"",IF(I115="SBJ","CB","?"))</f>
        <v> </v>
      </c>
      <c r="I115" s="25" t="str">
        <f>IF(OR(E115="",E115="!!!",F115="NEW"),"",INDEX(B114:B$2,-1+SUMPRODUCT(MAX(ROW(E114:E$2)*(E115=E114:E$2)))))</f>
        <v> </v>
      </c>
      <c r="J115" s="25" t="str">
        <f>IF(OR(E115="",E115="!!!",F115="NEW"),"",COUNTBLANK(OFFSET(A$1,,,SUMPRODUCT(MAX(ROW(E$2:E115)*(E115=E$2:E115)))))-COUNTBLANK(OFFSET(A$1,,,SUMPRODUCT(MAX(ROW(E$1:E114)*(E2=E$1:E114))))))</f>
        <v> </v>
      </c>
      <c r="K115" s="25" t="str">
        <f>IF(OR(E115="",E115="!!!",F115="NEW"),"",INDEX(J$1:J114,SUMPRODUCT(MAX(ROW(E$1:E114)*(E115=E$1:E114)))))</f>
        <v> </v>
      </c>
      <c r="L115" s="26"/>
    </row>
    <row r="116" spans="1:12">
      <c r="A116" s="20" t="s">
        <v>507</v>
      </c>
      <c r="E116" s="21">
        <f>IF(D116="?OLD","!!!","")</f>
        <v/>
      </c>
      <c r="F116" s="22" t="str">
        <f>IF(OR(E116="",E116="!!!"),"",IF(NOT(ISNA(VLOOKUP(E116,E$1:E115,1,FALSE()))),"OLD",IF(AND(E116&lt;&gt;"",E116&lt;&gt;"!!!"),"NEW","")))</f>
        <v> </v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4" t="str">
        <f>IF(J116&lt;&gt;1,"",IF(I116="SBJ","CB","?"))</f>
        <v> </v>
      </c>
      <c r="I116" s="25" t="str">
        <f>IF(OR(E116="",E116="!!!",F116="NEW"),"",INDEX(B115:B$2,-1+SUMPRODUCT(MAX(ROW(E115:E$2)*(E116=E115:E$2)))))</f>
        <v> </v>
      </c>
      <c r="J116" s="25" t="str">
        <f>IF(OR(E116="",E116="!!!",F116="NEW"),"",COUNTBLANK(OFFSET(A$1,,,SUMPRODUCT(MAX(ROW(E$2:E116)*(E116=E$2:E116)))))-COUNTBLANK(OFFSET(A$1,,,SUMPRODUCT(MAX(ROW(E$1:E115)*(E2=E$1:E115))))))</f>
        <v> </v>
      </c>
      <c r="K116" s="25" t="str">
        <f>IF(OR(E116="",E116="!!!",F116="NEW"),"",INDEX(J$1:J115,SUMPRODUCT(MAX(ROW(E$1:E115)*(E116=E$1:E115)))))</f>
        <v> </v>
      </c>
      <c r="L116" s="26"/>
    </row>
    <row r="117" spans="1:12">
      <c r="A117" s="20" t="s">
        <v>569</v>
      </c>
      <c r="B117" s="27" t="s">
        <v>490</v>
      </c>
      <c r="C117" s="27" t="s">
        <v>491</v>
      </c>
      <c r="D117" s="27" t="s">
        <v>483</v>
      </c>
      <c r="E117" s="21">
        <f>IF(D117="?OLD","!!!","")</f>
        <v/>
      </c>
      <c r="F117" s="22" t="str">
        <f>IF(OR(E117="",E117="!!!"),"",IF(NOT(ISNA(VLOOKUP(E117,E$1:E116,1,FALSE()))),"OLD",IF(AND(E117&lt;&gt;"",E117&lt;&gt;"!!!"),"NEW","")))</f>
        <v> </v>
      </c>
      <c r="G117" s="23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4" t="str">
        <f>IF(J117&lt;&gt;1,"",IF(I117="SBJ","CB","?"))</f>
        <v> </v>
      </c>
      <c r="I117" s="25" t="str">
        <f>IF(OR(E117="",E117="!!!",F117="NEW"),"",INDEX(B116:B$2,-1+SUMPRODUCT(MAX(ROW(E116:E$2)*(E117=E116:E$2)))))</f>
        <v> </v>
      </c>
      <c r="J117" s="25" t="str">
        <f>IF(OR(E117="",E117="!!!",F117="NEW"),"",COUNTBLANK(OFFSET(A$1,,,SUMPRODUCT(MAX(ROW(E$2:E117)*(E117=E$2:E117)))))-COUNTBLANK(OFFSET(A$1,,,SUMPRODUCT(MAX(ROW(E$1:E116)*(E2=E$1:E116))))))</f>
        <v> </v>
      </c>
      <c r="K117" s="25" t="str">
        <f>IF(OR(E117="",E117="!!!",F117="NEW"),"",INDEX(J$1:J116,SUMPRODUCT(MAX(ROW(E$1:E116)*(E117=E$1:E116)))))</f>
        <v> </v>
      </c>
      <c r="L117" s="26"/>
    </row>
    <row r="118" spans="1:12">
      <c r="A118" s="20" t="s">
        <v>489</v>
      </c>
      <c r="E118" s="21">
        <f>IF(D118="?OLD","!!!","")</f>
        <v/>
      </c>
      <c r="F118" s="22" t="str">
        <f>IF(OR(E118="",E118="!!!"),"",IF(NOT(ISNA(VLOOKUP(E118,E$1:E117,1,FALSE()))),"OLD",IF(AND(E118&lt;&gt;"",E118&lt;&gt;"!!!"),"NEW","")))</f>
        <v> </v>
      </c>
      <c r="G118" s="23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4" t="str">
        <f>IF(J118&lt;&gt;1,"",IF(I118="SBJ","CB","?"))</f>
        <v> </v>
      </c>
      <c r="I118" s="25" t="str">
        <f>IF(OR(E118="",E118="!!!",F118="NEW"),"",INDEX(B117:B$2,-1+SUMPRODUCT(MAX(ROW(E117:E$2)*(E118=E117:E$2)))))</f>
        <v> </v>
      </c>
      <c r="J118" s="25" t="str">
        <f>IF(OR(E118="",E118="!!!",F118="NEW"),"",COUNTBLANK(OFFSET(A$1,,,SUMPRODUCT(MAX(ROW(E$2:E118)*(E118=E$2:E118)))))-COUNTBLANK(OFFSET(A$1,,,SUMPRODUCT(MAX(ROW(E$1:E117)*(E2=E$1:E117))))))</f>
        <v> </v>
      </c>
      <c r="K118" s="25" t="str">
        <f>IF(OR(E118="",E118="!!!",F118="NEW"),"",INDEX(J$1:J117,SUMPRODUCT(MAX(ROW(E$1:E117)*(E118=E$1:E117)))))</f>
        <v> </v>
      </c>
      <c r="L118" s="26"/>
    </row>
    <row r="119" spans="1:12">
      <c r="A119" s="20" t="s">
        <v>570</v>
      </c>
      <c r="E119" s="21">
        <f>IF(D119="?OLD","!!!","")</f>
        <v/>
      </c>
      <c r="F119" s="22" t="str">
        <f>IF(OR(E119="",E119="!!!"),"",IF(NOT(ISNA(VLOOKUP(E119,E$1:E118,1,FALSE()))),"OLD",IF(AND(E119&lt;&gt;"",E119&lt;&gt;"!!!"),"NEW","")))</f>
        <v> </v>
      </c>
      <c r="G119" s="23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4" t="str">
        <f>IF(J119&lt;&gt;1,"",IF(I119="SBJ","CB","?"))</f>
        <v> </v>
      </c>
      <c r="I119" s="25" t="str">
        <f>IF(OR(E119="",E119="!!!",F119="NEW"),"",INDEX(B118:B$2,-1+SUMPRODUCT(MAX(ROW(E118:E$2)*(E119=E118:E$2)))))</f>
        <v> </v>
      </c>
      <c r="J119" s="25" t="str">
        <f>IF(OR(E119="",E119="!!!",F119="NEW"),"",COUNTBLANK(OFFSET(A$1,,,SUMPRODUCT(MAX(ROW(E$2:E119)*(E119=E$2:E119)))))-COUNTBLANK(OFFSET(A$1,,,SUMPRODUCT(MAX(ROW(E$1:E118)*(E2=E$1:E118))))))</f>
        <v> </v>
      </c>
      <c r="K119" s="25" t="str">
        <f>IF(OR(E119="",E119="!!!",F119="NEW"),"",INDEX(J$1:J118,SUMPRODUCT(MAX(ROW(E$1:E118)*(E119=E$1:E118)))))</f>
        <v> </v>
      </c>
      <c r="L119" s="26"/>
    </row>
    <row r="120" spans="1:12">
      <c r="A120" s="20" t="s">
        <v>380</v>
      </c>
      <c r="E120" s="21">
        <f>IF(D120="?OLD","!!!","")</f>
        <v/>
      </c>
      <c r="F120" s="22" t="str">
        <f>IF(OR(E120="",E120="!!!"),"",IF(NOT(ISNA(VLOOKUP(E120,E$1:E119,1,FALSE()))),"OLD",IF(AND(E120&lt;&gt;"",E120&lt;&gt;"!!!"),"NEW","")))</f>
        <v> </v>
      </c>
      <c r="G120" s="23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4" t="str">
        <f>IF(J120&lt;&gt;1,"",IF(I120="SBJ","CB","?"))</f>
        <v> </v>
      </c>
      <c r="I120" s="25" t="str">
        <f>IF(OR(E120="",E120="!!!",F120="NEW"),"",INDEX(B119:B$2,-1+SUMPRODUCT(MAX(ROW(E119:E$2)*(E120=E119:E$2)))))</f>
        <v> </v>
      </c>
      <c r="J120" s="25" t="str">
        <f>IF(OR(E120="",E120="!!!",F120="NEW"),"",COUNTBLANK(OFFSET(A$1,,,SUMPRODUCT(MAX(ROW(E$2:E120)*(E120=E$2:E120)))))-COUNTBLANK(OFFSET(A$1,,,SUMPRODUCT(MAX(ROW(E$1:E119)*(E2=E$1:E119))))))</f>
        <v> </v>
      </c>
      <c r="K120" s="25" t="str">
        <f>IF(OR(E120="",E120="!!!",F120="NEW"),"",INDEX(J$1:J119,SUMPRODUCT(MAX(ROW(E$1:E119)*(E120=E$1:E119)))))</f>
        <v> </v>
      </c>
      <c r="L120" s="26"/>
    </row>
    <row r="121" spans="1:12">
      <c r="A121" s="20" t="s">
        <v>486</v>
      </c>
      <c r="B121" s="27" t="s">
        <v>481</v>
      </c>
      <c r="C121" s="27" t="s">
        <v>538</v>
      </c>
      <c r="D121" s="27" t="s">
        <v>483</v>
      </c>
      <c r="E121" s="21">
        <f>IF(D121="?OLD","!!!","")</f>
        <v/>
      </c>
      <c r="F121" s="22" t="str">
        <f>IF(OR(E121="",E121="!!!"),"",IF(NOT(ISNA(VLOOKUP(E121,E$1:E120,1,FALSE()))),"OLD",IF(AND(E121&lt;&gt;"",E121&lt;&gt;"!!!"),"NEW","")))</f>
        <v> </v>
      </c>
      <c r="G121" s="23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4" t="str">
        <f>IF(J121&lt;&gt;1,"",IF(I121="SBJ","CB","?"))</f>
        <v> </v>
      </c>
      <c r="I121" s="25" t="str">
        <f>IF(OR(E121="",E121="!!!",F121="NEW"),"",INDEX(B120:B$2,-1+SUMPRODUCT(MAX(ROW(E120:E$2)*(E121=E120:E$2)))))</f>
        <v> </v>
      </c>
      <c r="J121" s="25" t="str">
        <f>IF(OR(E121="",E121="!!!",F121="NEW"),"",COUNTBLANK(OFFSET(A$1,,,SUMPRODUCT(MAX(ROW(E$2:E121)*(E121=E$2:E121)))))-COUNTBLANK(OFFSET(A$1,,,SUMPRODUCT(MAX(ROW(E$1:E120)*(E2=E$1:E120))))))</f>
        <v> </v>
      </c>
      <c r="K121" s="25" t="str">
        <f>IF(OR(E121="",E121="!!!",F121="NEW"),"",INDEX(J$1:J120,SUMPRODUCT(MAX(ROW(E$1:E120)*(E121=E$1:E120)))))</f>
        <v> </v>
      </c>
      <c r="L121" s="26"/>
    </row>
    <row r="122" spans="1:12">
      <c r="A122" s="20" t="s">
        <v>543</v>
      </c>
      <c r="E122" s="21">
        <f>IF(D122="?OLD","!!!","")</f>
        <v/>
      </c>
      <c r="F122" s="22" t="str">
        <f>IF(OR(E122="",E122="!!!"),"",IF(NOT(ISNA(VLOOKUP(E122,E$1:E121,1,FALSE()))),"OLD",IF(AND(E122&lt;&gt;"",E122&lt;&gt;"!!!"),"NEW","")))</f>
        <v> </v>
      </c>
      <c r="G122" s="23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4" t="str">
        <f>IF(J122&lt;&gt;1,"",IF(I122="SBJ","CB","?"))</f>
        <v> </v>
      </c>
      <c r="I122" s="25" t="str">
        <f>IF(OR(E122="",E122="!!!",F122="NEW"),"",INDEX(B121:B$2,-1+SUMPRODUCT(MAX(ROW(E121:E$2)*(E122=E121:E$2)))))</f>
        <v> </v>
      </c>
      <c r="J122" s="25" t="str">
        <f>IF(OR(E122="",E122="!!!",F122="NEW"),"",COUNTBLANK(OFFSET(A$1,,,SUMPRODUCT(MAX(ROW(E$2:E122)*(E122=E$2:E122)))))-COUNTBLANK(OFFSET(A$1,,,SUMPRODUCT(MAX(ROW(E$1:E121)*(E2=E$1:E121))))))</f>
        <v> </v>
      </c>
      <c r="K122" s="25" t="str">
        <f>IF(OR(E122="",E122="!!!",F122="NEW"),"",INDEX(J$1:J121,SUMPRODUCT(MAX(ROW(E$1:E121)*(E122=E$1:E121)))))</f>
        <v> </v>
      </c>
      <c r="L122" s="26"/>
    </row>
    <row r="123" spans="1:12">
      <c r="A123" s="20" t="s">
        <v>571</v>
      </c>
      <c r="E123" s="21">
        <f>IF(D123="?OLD","!!!","")</f>
        <v/>
      </c>
      <c r="F123" s="22" t="str">
        <f>IF(OR(E123="",E123="!!!"),"",IF(NOT(ISNA(VLOOKUP(E123,E$1:E122,1,FALSE()))),"OLD",IF(AND(E123&lt;&gt;"",E123&lt;&gt;"!!!"),"NEW","")))</f>
        <v> </v>
      </c>
      <c r="G123" s="23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4" t="str">
        <f>IF(J123&lt;&gt;1,"",IF(I123="SBJ","CB","?"))</f>
        <v> </v>
      </c>
      <c r="I123" s="25" t="str">
        <f>IF(OR(E123="",E123="!!!",F123="NEW"),"",INDEX(B122:B$2,-1+SUMPRODUCT(MAX(ROW(E122:E$2)*(E123=E122:E$2)))))</f>
        <v> </v>
      </c>
      <c r="J123" s="25" t="str">
        <f>IF(OR(E123="",E123="!!!",F123="NEW"),"",COUNTBLANK(OFFSET(A$1,,,SUMPRODUCT(MAX(ROW(E$2:E123)*(E123=E$2:E123)))))-COUNTBLANK(OFFSET(A$1,,,SUMPRODUCT(MAX(ROW(E$1:E122)*(E2=E$1:E122))))))</f>
        <v> </v>
      </c>
      <c r="K123" s="25" t="str">
        <f>IF(OR(E123="",E123="!!!",F123="NEW"),"",INDEX(J$1:J122,SUMPRODUCT(MAX(ROW(E$1:E122)*(E123=E$1:E122)))))</f>
        <v> </v>
      </c>
      <c r="L123" s="26"/>
    </row>
    <row r="124" spans="1:12">
      <c r="A124" s="20" t="s">
        <v>486</v>
      </c>
      <c r="B124" s="27" t="s">
        <v>490</v>
      </c>
      <c r="C124" s="27" t="s">
        <v>516</v>
      </c>
      <c r="E124" s="21">
        <f>IF(D124="?OLD","!!!","")</f>
        <v/>
      </c>
      <c r="F124" s="22" t="str">
        <f>IF(OR(E124="",E124="!!!"),"",IF(NOT(ISNA(VLOOKUP(E124,E$1:E123,1,FALSE()))),"OLD",IF(AND(E124&lt;&gt;"",E124&lt;&gt;"!!!"),"NEW","")))</f>
        <v> </v>
      </c>
      <c r="G124" s="23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4" t="str">
        <f>IF(J124&lt;&gt;1,"",IF(I124="SBJ","CB","?"))</f>
        <v> </v>
      </c>
      <c r="I124" s="25" t="str">
        <f>IF(OR(E124="",E124="!!!",F124="NEW"),"",INDEX(B123:B$2,-1+SUMPRODUCT(MAX(ROW(E123:E$2)*(E124=E123:E$2)))))</f>
        <v> </v>
      </c>
      <c r="J124" s="25" t="str">
        <f>IF(OR(E124="",E124="!!!",F124="NEW"),"",COUNTBLANK(OFFSET(A$1,,,SUMPRODUCT(MAX(ROW(E$2:E124)*(E124=E$2:E124)))))-COUNTBLANK(OFFSET(A$1,,,SUMPRODUCT(MAX(ROW(E$1:E123)*(E2=E$1:E123))))))</f>
        <v> </v>
      </c>
      <c r="K124" s="25" t="str">
        <f>IF(OR(E124="",E124="!!!",F124="NEW"),"",INDEX(J$1:J123,SUMPRODUCT(MAX(ROW(E$1:E123)*(E124=E$1:E123)))))</f>
        <v> </v>
      </c>
      <c r="L124" s="26"/>
    </row>
    <row r="125" spans="1:12">
      <c r="A125" s="20" t="s">
        <v>488</v>
      </c>
      <c r="E125" s="21">
        <f>IF(D125="?OLD","!!!","")</f>
        <v/>
      </c>
      <c r="F125" s="22" t="str">
        <f>IF(OR(E125="",E125="!!!"),"",IF(NOT(ISNA(VLOOKUP(E125,E$1:E124,1,FALSE()))),"OLD",IF(AND(E125&lt;&gt;"",E125&lt;&gt;"!!!"),"NEW","")))</f>
        <v> </v>
      </c>
      <c r="G125" s="23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4" t="str">
        <f>IF(J125&lt;&gt;1,"",IF(I125="SBJ","CB","?"))</f>
        <v> </v>
      </c>
      <c r="I125" s="25" t="str">
        <f>IF(OR(E125="",E125="!!!",F125="NEW"),"",INDEX(B124:B$2,-1+SUMPRODUCT(MAX(ROW(E124:E$2)*(E125=E124:E$2)))))</f>
        <v> </v>
      </c>
      <c r="J125" s="25" t="str">
        <f>IF(OR(E125="",E125="!!!",F125="NEW"),"",COUNTBLANK(OFFSET(A$1,,,SUMPRODUCT(MAX(ROW(E$2:E125)*(E125=E$2:E125)))))-COUNTBLANK(OFFSET(A$1,,,SUMPRODUCT(MAX(ROW(E$1:E124)*(E2=E$1:E124))))))</f>
        <v> </v>
      </c>
      <c r="K125" s="25" t="str">
        <f>IF(OR(E125="",E125="!!!",F125="NEW"),"",INDEX(J$1:J124,SUMPRODUCT(MAX(ROW(E$1:E124)*(E125=E$1:E124)))))</f>
        <v> </v>
      </c>
      <c r="L125" s="26"/>
    </row>
    <row r="126" spans="1:12">
      <c r="A126" s="20" t="s">
        <v>531</v>
      </c>
      <c r="E126" s="21">
        <f>IF(D126="?OLD","!!!","")</f>
        <v/>
      </c>
      <c r="F126" s="22" t="str">
        <f>IF(OR(E126="",E126="!!!"),"",IF(NOT(ISNA(VLOOKUP(E126,E$1:E125,1,FALSE()))),"OLD",IF(AND(E126&lt;&gt;"",E126&lt;&gt;"!!!"),"NEW","")))</f>
        <v> </v>
      </c>
      <c r="G126" s="23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4" t="str">
        <f>IF(J126&lt;&gt;1,"",IF(I126="SBJ","CB","?"))</f>
        <v> </v>
      </c>
      <c r="I126" s="25" t="str">
        <f>IF(OR(E126="",E126="!!!",F126="NEW"),"",INDEX(B125:B$2,-1+SUMPRODUCT(MAX(ROW(E125:E$2)*(E126=E125:E$2)))))</f>
        <v> </v>
      </c>
      <c r="J126" s="25" t="str">
        <f>IF(OR(E126="",E126="!!!",F126="NEW"),"",COUNTBLANK(OFFSET(A$1,,,SUMPRODUCT(MAX(ROW(E$2:E126)*(E126=E$2:E126)))))-COUNTBLANK(OFFSET(A$1,,,SUMPRODUCT(MAX(ROW(E$1:E125)*(E2=E$1:E125))))))</f>
        <v> </v>
      </c>
      <c r="K126" s="25" t="str">
        <f>IF(OR(E126="",E126="!!!",F126="NEW"),"",INDEX(J$1:J125,SUMPRODUCT(MAX(ROW(E$1:E125)*(E126=E$1:E125)))))</f>
        <v> </v>
      </c>
      <c r="L126" s="26"/>
    </row>
    <row r="127" spans="1:12">
      <c r="A127" s="20"/>
    </row>
    <row r="128" spans="1:12">
      <c r="A128" s="20" t="s">
        <v>572</v>
      </c>
    </row>
    <row r="129" spans="1:12">
      <c r="A129" s="20" t="s">
        <v>573</v>
      </c>
      <c r="E129" s="21">
        <f>IF(D129="?OLD","!!!","")</f>
        <v/>
      </c>
      <c r="F129" s="22" t="str">
        <f>IF(OR(E129="",E129="!!!"),"",IF(NOT(ISNA(VLOOKUP(E129,E$1:E128,1,FALSE()))),"OLD",IF(AND(E129&lt;&gt;"",E129&lt;&gt;"!!!"),"NEW","")))</f>
        <v> </v>
      </c>
      <c r="G129" s="23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4" t="str">
        <f>IF(J129&lt;&gt;1,"",IF(I129="SBJ","CB","?"))</f>
        <v> </v>
      </c>
      <c r="I129" s="25" t="str">
        <f>IF(OR(E129="",E129="!!!",F129="NEW"),"",INDEX(B128:B$2,-1+SUMPRODUCT(MAX(ROW(E128:E$2)*(E129=E128:E$2)))))</f>
        <v> </v>
      </c>
      <c r="J129" s="25" t="str">
        <f>IF(OR(E129="",E129="!!!",F129="NEW"),"",COUNTBLANK(OFFSET(A$1,,,SUMPRODUCT(MAX(ROW(E$2:E129)*(E129=E$2:E129)))))-COUNTBLANK(OFFSET(A$1,,,SUMPRODUCT(MAX(ROW(E$1:E128)*(E2=E$1:E128))))))</f>
        <v> </v>
      </c>
      <c r="K129" s="25" t="str">
        <f>IF(OR(E129="",E129="!!!",F129="NEW"),"",INDEX(J$1:J128,SUMPRODUCT(MAX(ROW(E$1:E128)*(E129=E$1:E128)))))</f>
        <v> </v>
      </c>
      <c r="L129" s="26"/>
    </row>
    <row r="130" spans="1:12">
      <c r="A130" s="20" t="s">
        <v>496</v>
      </c>
      <c r="B130" s="27" t="s">
        <v>549</v>
      </c>
      <c r="C130" s="27" t="s">
        <v>498</v>
      </c>
      <c r="E130" s="21">
        <f>IF(D130="?OLD","!!!","")</f>
        <v/>
      </c>
      <c r="F130" s="22" t="str">
        <f>IF(OR(E130="",E130="!!!"),"",IF(NOT(ISNA(VLOOKUP(E130,E$1:E129,1,FALSE()))),"OLD",IF(AND(E130&lt;&gt;"",E130&lt;&gt;"!!!"),"NEW","")))</f>
        <v> </v>
      </c>
      <c r="G130" s="23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4" t="str">
        <f>IF(J130&lt;&gt;1,"",IF(I130="SBJ","CB","?"))</f>
        <v> </v>
      </c>
      <c r="I130" s="25" t="str">
        <f>IF(OR(E130="",E130="!!!",F130="NEW"),"",INDEX(B129:B$2,-1+SUMPRODUCT(MAX(ROW(E129:E$2)*(E130=E129:E$2)))))</f>
        <v> </v>
      </c>
      <c r="J130" s="25" t="str">
        <f>IF(OR(E130="",E130="!!!",F130="NEW"),"",COUNTBLANK(OFFSET(A$1,,,SUMPRODUCT(MAX(ROW(E$2:E130)*(E130=E$2:E130)))))-COUNTBLANK(OFFSET(A$1,,,SUMPRODUCT(MAX(ROW(E$1:E129)*(E2=E$1:E129))))))</f>
        <v> </v>
      </c>
      <c r="K130" s="25" t="str">
        <f>IF(OR(E130="",E130="!!!",F130="NEW"),"",INDEX(J$1:J129,SUMPRODUCT(MAX(ROW(E$1:E129)*(E130=E$1:E129)))))</f>
        <v> </v>
      </c>
      <c r="L130" s="26"/>
    </row>
    <row r="131" spans="1:12">
      <c r="A131" s="20" t="s">
        <v>520</v>
      </c>
      <c r="E131" s="21">
        <f>IF(D131="?OLD","!!!","")</f>
        <v/>
      </c>
      <c r="F131" s="22" t="str">
        <f>IF(OR(E131="",E131="!!!"),"",IF(NOT(ISNA(VLOOKUP(E131,E$1:E130,1,FALSE()))),"OLD",IF(AND(E131&lt;&gt;"",E131&lt;&gt;"!!!"),"NEW","")))</f>
        <v> </v>
      </c>
      <c r="G131" s="23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4" t="str">
        <f>IF(J131&lt;&gt;1,"",IF(I131="SBJ","CB","?"))</f>
        <v> </v>
      </c>
      <c r="I131" s="25" t="str">
        <f>IF(OR(E131="",E131="!!!",F131="NEW"),"",INDEX(B130:B$2,-1+SUMPRODUCT(MAX(ROW(E130:E$2)*(E131=E130:E$2)))))</f>
        <v> </v>
      </c>
      <c r="J131" s="25" t="str">
        <f>IF(OR(E131="",E131="!!!",F131="NEW"),"",COUNTBLANK(OFFSET(A$1,,,SUMPRODUCT(MAX(ROW(E$2:E131)*(E131=E$2:E131)))))-COUNTBLANK(OFFSET(A$1,,,SUMPRODUCT(MAX(ROW(E$1:E130)*(E2=E$1:E130))))))</f>
        <v> </v>
      </c>
      <c r="K131" s="25" t="str">
        <f>IF(OR(E131="",E131="!!!",F131="NEW"),"",INDEX(J$1:J130,SUMPRODUCT(MAX(ROW(E$1:E130)*(E131=E$1:E130)))))</f>
        <v> </v>
      </c>
      <c r="L131" s="26"/>
    </row>
    <row r="132" spans="1:12">
      <c r="A132" s="20" t="s">
        <v>574</v>
      </c>
      <c r="E132" s="21">
        <f>IF(D132="?OLD","!!!","")</f>
        <v/>
      </c>
      <c r="F132" s="22" t="str">
        <f>IF(OR(E132="",E132="!!!"),"",IF(NOT(ISNA(VLOOKUP(E132,E$1:E131,1,FALSE()))),"OLD",IF(AND(E132&lt;&gt;"",E132&lt;&gt;"!!!"),"NEW","")))</f>
        <v> </v>
      </c>
      <c r="G132" s="23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4" t="str">
        <f>IF(J132&lt;&gt;1,"",IF(I132="SBJ","CB","?"))</f>
        <v> </v>
      </c>
      <c r="I132" s="25" t="str">
        <f>IF(OR(E132="",E132="!!!",F132="NEW"),"",INDEX(B131:B$2,-1+SUMPRODUCT(MAX(ROW(E131:E$2)*(E132=E131:E$2)))))</f>
        <v> </v>
      </c>
      <c r="J132" s="25" t="str">
        <f>IF(OR(E132="",E132="!!!",F132="NEW"),"",COUNTBLANK(OFFSET(A$1,,,SUMPRODUCT(MAX(ROW(E$2:E132)*(E132=E$2:E132)))))-COUNTBLANK(OFFSET(A$1,,,SUMPRODUCT(MAX(ROW(E$1:E131)*(E2=E$1:E131))))))</f>
        <v> </v>
      </c>
      <c r="K132" s="25" t="str">
        <f>IF(OR(E132="",E132="!!!",F132="NEW"),"",INDEX(J$1:J131,SUMPRODUCT(MAX(ROW(E$1:E131)*(E132=E$1:E131)))))</f>
        <v> </v>
      </c>
      <c r="L132" s="26"/>
    </row>
    <row r="133" spans="1:12">
      <c r="A133" s="20" t="s">
        <v>529</v>
      </c>
      <c r="E133" s="21">
        <f>IF(D133="?OLD","!!!","")</f>
        <v/>
      </c>
      <c r="F133" s="22" t="str">
        <f>IF(OR(E133="",E133="!!!"),"",IF(NOT(ISNA(VLOOKUP(E133,E$1:E132,1,FALSE()))),"OLD",IF(AND(E133&lt;&gt;"",E133&lt;&gt;"!!!"),"NEW","")))</f>
        <v> </v>
      </c>
      <c r="G133" s="23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4" t="str">
        <f>IF(J133&lt;&gt;1,"",IF(I133="SBJ","CB","?"))</f>
        <v> </v>
      </c>
      <c r="I133" s="25" t="str">
        <f>IF(OR(E133="",E133="!!!",F133="NEW"),"",INDEX(B132:B$2,-1+SUMPRODUCT(MAX(ROW(E132:E$2)*(E133=E132:E$2)))))</f>
        <v> </v>
      </c>
      <c r="J133" s="25" t="str">
        <f>IF(OR(E133="",E133="!!!",F133="NEW"),"",COUNTBLANK(OFFSET(A$1,,,SUMPRODUCT(MAX(ROW(E$2:E133)*(E133=E$2:E133)))))-COUNTBLANK(OFFSET(A$1,,,SUMPRODUCT(MAX(ROW(E$1:E132)*(E2=E$1:E132))))))</f>
        <v> </v>
      </c>
      <c r="K133" s="25" t="str">
        <f>IF(OR(E133="",E133="!!!",F133="NEW"),"",INDEX(J$1:J132,SUMPRODUCT(MAX(ROW(E$1:E132)*(E133=E$1:E132)))))</f>
        <v> </v>
      </c>
      <c r="L133" s="26"/>
    </row>
    <row r="134" spans="1:12">
      <c r="A134" s="20" t="s">
        <v>507</v>
      </c>
      <c r="E134" s="21">
        <f>IF(D134="?OLD","!!!","")</f>
        <v/>
      </c>
      <c r="F134" s="22" t="str">
        <f>IF(OR(E134="",E134="!!!"),"",IF(NOT(ISNA(VLOOKUP(E134,E$1:E133,1,FALSE()))),"OLD",IF(AND(E134&lt;&gt;"",E134&lt;&gt;"!!!"),"NEW","")))</f>
        <v> </v>
      </c>
      <c r="G134" s="23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4" t="str">
        <f>IF(J134&lt;&gt;1,"",IF(I134="SBJ","CB","?"))</f>
        <v> </v>
      </c>
      <c r="I134" s="25" t="str">
        <f>IF(OR(E134="",E134="!!!",F134="NEW"),"",INDEX(B133:B$2,-1+SUMPRODUCT(MAX(ROW(E133:E$2)*(E134=E133:E$2)))))</f>
        <v> </v>
      </c>
      <c r="J134" s="25" t="str">
        <f>IF(OR(E134="",E134="!!!",F134="NEW"),"",COUNTBLANK(OFFSET(A$1,,,SUMPRODUCT(MAX(ROW(E$2:E134)*(E134=E$2:E134)))))-COUNTBLANK(OFFSET(A$1,,,SUMPRODUCT(MAX(ROW(E$1:E133)*(E2=E$1:E133))))))</f>
        <v> </v>
      </c>
      <c r="K134" s="25" t="str">
        <f>IF(OR(E134="",E134="!!!",F134="NEW"),"",INDEX(J$1:J133,SUMPRODUCT(MAX(ROW(E$1:E133)*(E134=E$1:E133)))))</f>
        <v> </v>
      </c>
      <c r="L134" s="26"/>
    </row>
    <row r="135" spans="1:12">
      <c r="A135" s="20" t="s">
        <v>495</v>
      </c>
      <c r="E135" s="21">
        <f>IF(D135="?OLD","!!!","")</f>
        <v/>
      </c>
      <c r="F135" s="22" t="str">
        <f>IF(OR(E135="",E135="!!!"),"",IF(NOT(ISNA(VLOOKUP(E135,E$1:E134,1,FALSE()))),"OLD",IF(AND(E135&lt;&gt;"",E135&lt;&gt;"!!!"),"NEW","")))</f>
        <v> </v>
      </c>
      <c r="G135" s="23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4" t="str">
        <f>IF(J135&lt;&gt;1,"",IF(I135="SBJ","CB","?"))</f>
        <v> </v>
      </c>
      <c r="I135" s="25" t="str">
        <f>IF(OR(E135="",E135="!!!",F135="NEW"),"",INDEX(B134:B$2,-1+SUMPRODUCT(MAX(ROW(E134:E$2)*(E135=E134:E$2)))))</f>
        <v> </v>
      </c>
      <c r="J135" s="25" t="str">
        <f>IF(OR(E135="",E135="!!!",F135="NEW"),"",COUNTBLANK(OFFSET(A$1,,,SUMPRODUCT(MAX(ROW(E$2:E135)*(E135=E$2:E135)))))-COUNTBLANK(OFFSET(A$1,,,SUMPRODUCT(MAX(ROW(E$1:E134)*(E2=E$1:E134))))))</f>
        <v> </v>
      </c>
      <c r="K135" s="25" t="str">
        <f>IF(OR(E135="",E135="!!!",F135="NEW"),"",INDEX(J$1:J134,SUMPRODUCT(MAX(ROW(E$1:E134)*(E135=E$1:E134)))))</f>
        <v> </v>
      </c>
      <c r="L135" s="26"/>
    </row>
    <row r="136" spans="1:12">
      <c r="A136" s="20" t="s">
        <v>496</v>
      </c>
      <c r="B136" s="27" t="s">
        <v>481</v>
      </c>
      <c r="C136" s="27" t="s">
        <v>498</v>
      </c>
      <c r="E136" s="21">
        <f>IF(D136="?OLD","!!!","")</f>
        <v/>
      </c>
      <c r="F136" s="22" t="str">
        <f>IF(OR(E136="",E136="!!!"),"",IF(NOT(ISNA(VLOOKUP(E136,E$1:E135,1,FALSE()))),"OLD",IF(AND(E136&lt;&gt;"",E136&lt;&gt;"!!!"),"NEW","")))</f>
        <v> </v>
      </c>
      <c r="G136" s="23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4" t="str">
        <f>IF(J136&lt;&gt;1,"",IF(I136="SBJ","CB","?"))</f>
        <v> </v>
      </c>
      <c r="I136" s="25" t="str">
        <f>IF(OR(E136="",E136="!!!",F136="NEW"),"",INDEX(B135:B$2,-1+SUMPRODUCT(MAX(ROW(E135:E$2)*(E136=E135:E$2)))))</f>
        <v> </v>
      </c>
      <c r="J136" s="25" t="str">
        <f>IF(OR(E136="",E136="!!!",F136="NEW"),"",COUNTBLANK(OFFSET(A$1,,,SUMPRODUCT(MAX(ROW(E$2:E136)*(E136=E$2:E136)))))-COUNTBLANK(OFFSET(A$1,,,SUMPRODUCT(MAX(ROW(E$1:E135)*(E2=E$1:E135))))))</f>
        <v> </v>
      </c>
      <c r="K136" s="25" t="str">
        <f>IF(OR(E136="",E136="!!!",F136="NEW"),"",INDEX(J$1:J135,SUMPRODUCT(MAX(ROW(E$1:E135)*(E136=E$1:E135)))))</f>
        <v> </v>
      </c>
      <c r="L136" s="26"/>
    </row>
    <row r="137" spans="1:12">
      <c r="A137" s="20" t="s">
        <v>530</v>
      </c>
      <c r="E137" s="21">
        <f>IF(D137="?OLD","!!!","")</f>
        <v/>
      </c>
      <c r="F137" s="22" t="str">
        <f>IF(OR(E137="",E137="!!!"),"",IF(NOT(ISNA(VLOOKUP(E137,E$1:E136,1,FALSE()))),"OLD",IF(AND(E137&lt;&gt;"",E137&lt;&gt;"!!!"),"NEW","")))</f>
        <v> </v>
      </c>
      <c r="G137" s="23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4" t="str">
        <f>IF(J137&lt;&gt;1,"",IF(I137="SBJ","CB","?"))</f>
        <v> </v>
      </c>
      <c r="I137" s="25" t="str">
        <f>IF(OR(E137="",E137="!!!",F137="NEW"),"",INDEX(B136:B$2,-1+SUMPRODUCT(MAX(ROW(E136:E$2)*(E137=E136:E$2)))))</f>
        <v> </v>
      </c>
      <c r="J137" s="25" t="str">
        <f>IF(OR(E137="",E137="!!!",F137="NEW"),"",COUNTBLANK(OFFSET(A$1,,,SUMPRODUCT(MAX(ROW(E$2:E137)*(E137=E$2:E137)))))-COUNTBLANK(OFFSET(A$1,,,SUMPRODUCT(MAX(ROW(E$1:E136)*(E2=E$1:E136))))))</f>
        <v> </v>
      </c>
      <c r="K137" s="25" t="str">
        <f>IF(OR(E137="",E137="!!!",F137="NEW"),"",INDEX(J$1:J136,SUMPRODUCT(MAX(ROW(E$1:E136)*(E137=E$1:E136)))))</f>
        <v> </v>
      </c>
      <c r="L137" s="26"/>
    </row>
    <row r="138" spans="1:12">
      <c r="A138" s="20" t="s">
        <v>531</v>
      </c>
      <c r="E138" s="21">
        <f>IF(D138="?OLD","!!!","")</f>
        <v/>
      </c>
      <c r="F138" s="22" t="str">
        <f>IF(OR(E138="",E138="!!!"),"",IF(NOT(ISNA(VLOOKUP(E138,E$1:E137,1,FALSE()))),"OLD",IF(AND(E138&lt;&gt;"",E138&lt;&gt;"!!!"),"NEW","")))</f>
        <v> </v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4" t="str">
        <f>IF(J138&lt;&gt;1,"",IF(I138="SBJ","CB","?"))</f>
        <v> </v>
      </c>
      <c r="I138" s="25" t="str">
        <f>IF(OR(E138="",E138="!!!",F138="NEW"),"",INDEX(B137:B$2,-1+SUMPRODUCT(MAX(ROW(E137:E$2)*(E138=E137:E$2)))))</f>
        <v> </v>
      </c>
      <c r="J138" s="25" t="str">
        <f>IF(OR(E138="",E138="!!!",F138="NEW"),"",COUNTBLANK(OFFSET(A$1,,,SUMPRODUCT(MAX(ROW(E$2:E138)*(E138=E$2:E138)))))-COUNTBLANK(OFFSET(A$1,,,SUMPRODUCT(MAX(ROW(E$1:E137)*(E2=E$1:E137))))))</f>
        <v> </v>
      </c>
      <c r="K138" s="25" t="str">
        <f>IF(OR(E138="",E138="!!!",F138="NEW"),"",INDEX(J$1:J137,SUMPRODUCT(MAX(ROW(E$1:E137)*(E138=E$1:E137)))))</f>
        <v> </v>
      </c>
      <c r="L138" s="26"/>
    </row>
    <row r="139" spans="1:12">
      <c r="A139" s="20"/>
    </row>
    <row r="140" spans="1:12">
      <c r="A140" s="20" t="s">
        <v>575</v>
      </c>
    </row>
    <row r="141" spans="1:12">
      <c r="A141" s="20" t="s">
        <v>30</v>
      </c>
      <c r="E141" s="21">
        <f>IF(D141="?OLD","!!!","")</f>
        <v/>
      </c>
      <c r="F141" s="22" t="str">
        <f>IF(OR(E141="",E141="!!!"),"",IF(NOT(ISNA(VLOOKUP(E141,E$1:E140,1,FALSE()))),"OLD",IF(AND(E141&lt;&gt;"",E141&lt;&gt;"!!!"),"NEW","")))</f>
        <v> </v>
      </c>
      <c r="G141" s="23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4" t="str">
        <f>IF(J141&lt;&gt;1,"",IF(I141="SBJ","CB","?"))</f>
        <v> </v>
      </c>
      <c r="I141" s="25" t="str">
        <f>IF(OR(E141="",E141="!!!",F141="NEW"),"",INDEX(B140:B$2,-1+SUMPRODUCT(MAX(ROW(E140:E$2)*(E141=E140:E$2)))))</f>
        <v> </v>
      </c>
      <c r="J141" s="25" t="str">
        <f>IF(OR(E141="",E141="!!!",F141="NEW"),"",COUNTBLANK(OFFSET(A$1,,,SUMPRODUCT(MAX(ROW(E$2:E141)*(E141=E$2:E141)))))-COUNTBLANK(OFFSET(A$1,,,SUMPRODUCT(MAX(ROW(E$1:E140)*(E2=E$1:E140))))))</f>
        <v> </v>
      </c>
      <c r="K141" s="25" t="str">
        <f>IF(OR(E141="",E141="!!!",F141="NEW"),"",INDEX(J$1:J140,SUMPRODUCT(MAX(ROW(E$1:E140)*(E141=E$1:E140)))))</f>
        <v> </v>
      </c>
      <c r="L141" s="26"/>
    </row>
    <row r="142" spans="1:12">
      <c r="A142" s="20" t="s">
        <v>503</v>
      </c>
      <c r="E142" s="21">
        <f>IF(D142="?OLD","!!!","")</f>
        <v/>
      </c>
      <c r="F142" s="22" t="str">
        <f>IF(OR(E142="",E142="!!!"),"",IF(NOT(ISNA(VLOOKUP(E142,E$1:E141,1,FALSE()))),"OLD",IF(AND(E142&lt;&gt;"",E142&lt;&gt;"!!!"),"NEW","")))</f>
        <v> </v>
      </c>
      <c r="G142" s="23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4" t="str">
        <f>IF(J142&lt;&gt;1,"",IF(I142="SBJ","CB","?"))</f>
        <v> </v>
      </c>
      <c r="I142" s="25" t="str">
        <f>IF(OR(E142="",E142="!!!",F142="NEW"),"",INDEX(B141:B$2,-1+SUMPRODUCT(MAX(ROW(E141:E$2)*(E142=E141:E$2)))))</f>
        <v> </v>
      </c>
      <c r="J142" s="25" t="str">
        <f>IF(OR(E142="",E142="!!!",F142="NEW"),"",COUNTBLANK(OFFSET(A$1,,,SUMPRODUCT(MAX(ROW(E$2:E142)*(E142=E$2:E142)))))-COUNTBLANK(OFFSET(A$1,,,SUMPRODUCT(MAX(ROW(E$1:E141)*(E2=E$1:E141))))))</f>
        <v> </v>
      </c>
      <c r="K142" s="25" t="str">
        <f>IF(OR(E142="",E142="!!!",F142="NEW"),"",INDEX(J$1:J141,SUMPRODUCT(MAX(ROW(E$1:E141)*(E142=E$1:E141)))))</f>
        <v> </v>
      </c>
      <c r="L142" s="26"/>
    </row>
    <row r="143" spans="1:12">
      <c r="A143" s="20" t="s">
        <v>503</v>
      </c>
      <c r="E143" s="21">
        <f>IF(D143="?OLD","!!!","")</f>
        <v/>
      </c>
      <c r="F143" s="22" t="str">
        <f>IF(OR(E143="",E143="!!!"),"",IF(NOT(ISNA(VLOOKUP(E143,E$1:E142,1,FALSE()))),"OLD",IF(AND(E143&lt;&gt;"",E143&lt;&gt;"!!!"),"NEW","")))</f>
        <v> </v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4" t="str">
        <f>IF(J143&lt;&gt;1,"",IF(I143="SBJ","CB","?"))</f>
        <v> </v>
      </c>
      <c r="I143" s="25" t="str">
        <f>IF(OR(E143="",E143="!!!",F143="NEW"),"",INDEX(B142:B$2,-1+SUMPRODUCT(MAX(ROW(E142:E$2)*(E143=E142:E$2)))))</f>
        <v> </v>
      </c>
      <c r="J143" s="25" t="str">
        <f>IF(OR(E143="",E143="!!!",F143="NEW"),"",COUNTBLANK(OFFSET(A$1,,,SUMPRODUCT(MAX(ROW(E$2:E143)*(E143=E$2:E143)))))-COUNTBLANK(OFFSET(A$1,,,SUMPRODUCT(MAX(ROW(E$1:E142)*(E2=E$1:E142))))))</f>
        <v> </v>
      </c>
      <c r="K143" s="25" t="str">
        <f>IF(OR(E143="",E143="!!!",F143="NEW"),"",INDEX(J$1:J142,SUMPRODUCT(MAX(ROW(E$1:E142)*(E143=E$1:E142)))))</f>
        <v> </v>
      </c>
      <c r="L143" s="26"/>
    </row>
    <row r="144" spans="1:12">
      <c r="A144" s="20" t="s">
        <v>576</v>
      </c>
      <c r="B144" s="27" t="s">
        <v>477</v>
      </c>
      <c r="C144" s="27" t="s">
        <v>487</v>
      </c>
      <c r="D144" s="27" t="s">
        <v>483</v>
      </c>
      <c r="E144" s="21">
        <f>IF(D144="?OLD","!!!","")</f>
        <v/>
      </c>
      <c r="F144" s="22" t="str">
        <f>IF(OR(E144="",E144="!!!"),"",IF(NOT(ISNA(VLOOKUP(E144,E$1:E143,1,FALSE()))),"OLD",IF(AND(E144&lt;&gt;"",E144&lt;&gt;"!!!"),"NEW","")))</f>
        <v> </v>
      </c>
      <c r="G144" s="23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4" t="str">
        <f>IF(J144&lt;&gt;1,"",IF(I144="SBJ","CB","?"))</f>
        <v> </v>
      </c>
      <c r="I144" s="25" t="str">
        <f>IF(OR(E144="",E144="!!!",F144="NEW"),"",INDEX(B143:B$2,-1+SUMPRODUCT(MAX(ROW(E143:E$2)*(E144=E143:E$2)))))</f>
        <v> </v>
      </c>
      <c r="J144" s="25" t="str">
        <f>IF(OR(E144="",E144="!!!",F144="NEW"),"",COUNTBLANK(OFFSET(A$1,,,SUMPRODUCT(MAX(ROW(E$2:E144)*(E144=E$2:E144)))))-COUNTBLANK(OFFSET(A$1,,,SUMPRODUCT(MAX(ROW(E$1:E143)*(E2=E$1:E143))))))</f>
        <v> </v>
      </c>
      <c r="K144" s="25" t="str">
        <f>IF(OR(E144="",E144="!!!",F144="NEW"),"",INDEX(J$1:J143,SUMPRODUCT(MAX(ROW(E$1:E143)*(E144=E$1:E143)))))</f>
        <v> </v>
      </c>
      <c r="L144" s="26"/>
    </row>
    <row r="145" spans="1:12">
      <c r="A145" s="20" t="s">
        <v>492</v>
      </c>
      <c r="B145" s="27" t="s">
        <v>553</v>
      </c>
      <c r="E145" s="21">
        <f>IF(D145="?OLD","!!!","")</f>
        <v/>
      </c>
      <c r="F145" s="22" t="str">
        <f>IF(OR(E145="",E145="!!!"),"",IF(NOT(ISNA(VLOOKUP(E145,E$1:E144,1,FALSE()))),"OLD",IF(AND(E145&lt;&gt;"",E145&lt;&gt;"!!!"),"NEW","")))</f>
        <v> </v>
      </c>
      <c r="G145" s="23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4" t="str">
        <f>IF(J145&lt;&gt;1,"",IF(I145="SBJ","CB","?"))</f>
        <v> </v>
      </c>
      <c r="I145" s="25" t="str">
        <f>IF(OR(E145="",E145="!!!",F145="NEW"),"",INDEX(B144:B$2,-1+SUMPRODUCT(MAX(ROW(E144:E$2)*(E145=E144:E$2)))))</f>
        <v> </v>
      </c>
      <c r="J145" s="25" t="str">
        <f>IF(OR(E145="",E145="!!!",F145="NEW"),"",COUNTBLANK(OFFSET(A$1,,,SUMPRODUCT(MAX(ROW(E$2:E145)*(E145=E$2:E145)))))-COUNTBLANK(OFFSET(A$1,,,SUMPRODUCT(MAX(ROW(E$1:E144)*(E2=E$1:E144))))))</f>
        <v> </v>
      </c>
      <c r="K145" s="25" t="str">
        <f>IF(OR(E145="",E145="!!!",F145="NEW"),"",INDEX(J$1:J144,SUMPRODUCT(MAX(ROW(E$1:E144)*(E145=E$1:E144)))))</f>
        <v> </v>
      </c>
      <c r="L145" s="26"/>
    </row>
    <row r="146" spans="1:12">
      <c r="A146" s="20" t="s">
        <v>529</v>
      </c>
      <c r="E146" s="21">
        <f>IF(D146="?OLD","!!!","")</f>
        <v/>
      </c>
      <c r="F146" s="22" t="str">
        <f>IF(OR(E146="",E146="!!!"),"",IF(NOT(ISNA(VLOOKUP(E146,E$1:E145,1,FALSE()))),"OLD",IF(AND(E146&lt;&gt;"",E146&lt;&gt;"!!!"),"NEW","")))</f>
        <v> </v>
      </c>
      <c r="G146" s="23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4" t="str">
        <f>IF(J146&lt;&gt;1,"",IF(I146="SBJ","CB","?"))</f>
        <v> </v>
      </c>
      <c r="I146" s="25" t="str">
        <f>IF(OR(E146="",E146="!!!",F146="NEW"),"",INDEX(B145:B$2,-1+SUMPRODUCT(MAX(ROW(E145:E$2)*(E146=E145:E$2)))))</f>
        <v> </v>
      </c>
      <c r="J146" s="25" t="str">
        <f>IF(OR(E146="",E146="!!!",F146="NEW"),"",COUNTBLANK(OFFSET(A$1,,,SUMPRODUCT(MAX(ROW(E$2:E146)*(E146=E$2:E146)))))-COUNTBLANK(OFFSET(A$1,,,SUMPRODUCT(MAX(ROW(E$1:E145)*(E2=E$1:E145))))))</f>
        <v> </v>
      </c>
      <c r="K146" s="25" t="str">
        <f>IF(OR(E146="",E146="!!!",F146="NEW"),"",INDEX(J$1:J145,SUMPRODUCT(MAX(ROW(E$1:E145)*(E146=E$1:E145)))))</f>
        <v> </v>
      </c>
      <c r="L146" s="26"/>
    </row>
    <row r="147" spans="1:12">
      <c r="A147" s="20" t="s">
        <v>577</v>
      </c>
      <c r="E147" s="21">
        <f>IF(D147="?OLD","!!!","")</f>
        <v/>
      </c>
      <c r="F147" s="22" t="str">
        <f>IF(OR(E147="",E147="!!!"),"",IF(NOT(ISNA(VLOOKUP(E147,E$1:E146,1,FALSE()))),"OLD",IF(AND(E147&lt;&gt;"",E147&lt;&gt;"!!!"),"NEW","")))</f>
        <v> </v>
      </c>
      <c r="G147" s="23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4" t="str">
        <f>IF(J147&lt;&gt;1,"",IF(I147="SBJ","CB","?"))</f>
        <v> </v>
      </c>
      <c r="I147" s="25" t="str">
        <f>IF(OR(E147="",E147="!!!",F147="NEW"),"",INDEX(B146:B$2,-1+SUMPRODUCT(MAX(ROW(E146:E$2)*(E147=E146:E$2)))))</f>
        <v> </v>
      </c>
      <c r="J147" s="25" t="str">
        <f>IF(OR(E147="",E147="!!!",F147="NEW"),"",COUNTBLANK(OFFSET(A$1,,,SUMPRODUCT(MAX(ROW(E$2:E147)*(E147=E$2:E147)))))-COUNTBLANK(OFFSET(A$1,,,SUMPRODUCT(MAX(ROW(E$1:E146)*(E2=E$1:E146))))))</f>
        <v> </v>
      </c>
      <c r="K147" s="25" t="str">
        <f>IF(OR(E147="",E147="!!!",F147="NEW"),"",INDEX(J$1:J146,SUMPRODUCT(MAX(ROW(E$1:E146)*(E147=E$1:E146)))))</f>
        <v> </v>
      </c>
      <c r="L147" s="26"/>
    </row>
    <row r="148" spans="1:12">
      <c r="A148" s="20" t="s">
        <v>528</v>
      </c>
      <c r="E148" s="21">
        <f>IF(D148="?OLD","!!!","")</f>
        <v/>
      </c>
      <c r="F148" s="22" t="str">
        <f>IF(OR(E148="",E148="!!!"),"",IF(NOT(ISNA(VLOOKUP(E148,E$1:E147,1,FALSE()))),"OLD",IF(AND(E148&lt;&gt;"",E148&lt;&gt;"!!!"),"NEW","")))</f>
        <v> </v>
      </c>
      <c r="G148" s="23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4" t="str">
        <f>IF(J148&lt;&gt;1,"",IF(I148="SBJ","CB","?"))</f>
        <v> </v>
      </c>
      <c r="I148" s="25" t="str">
        <f>IF(OR(E148="",E148="!!!",F148="NEW"),"",INDEX(B147:B$2,-1+SUMPRODUCT(MAX(ROW(E147:E$2)*(E148=E147:E$2)))))</f>
        <v> </v>
      </c>
      <c r="J148" s="25" t="str">
        <f>IF(OR(E148="",E148="!!!",F148="NEW"),"",COUNTBLANK(OFFSET(A$1,,,SUMPRODUCT(MAX(ROW(E$2:E148)*(E148=E$2:E148)))))-COUNTBLANK(OFFSET(A$1,,,SUMPRODUCT(MAX(ROW(E$1:E147)*(E2=E$1:E147))))))</f>
        <v> </v>
      </c>
      <c r="K148" s="25" t="str">
        <f>IF(OR(E148="",E148="!!!",F148="NEW"),"",INDEX(J$1:J147,SUMPRODUCT(MAX(ROW(E$1:E147)*(E148=E$1:E147)))))</f>
        <v> </v>
      </c>
      <c r="L148" s="26"/>
    </row>
    <row r="149" spans="1:12">
      <c r="A149" s="20" t="s">
        <v>569</v>
      </c>
      <c r="B149" s="27" t="s">
        <v>578</v>
      </c>
      <c r="C149" s="27" t="s">
        <v>491</v>
      </c>
      <c r="D149" s="27" t="s">
        <v>483</v>
      </c>
      <c r="E149" s="21">
        <f>IF(D149="?OLD","!!!","")</f>
        <v/>
      </c>
      <c r="F149" s="22" t="str">
        <f>IF(OR(E149="",E149="!!!"),"",IF(NOT(ISNA(VLOOKUP(E149,E$1:E148,1,FALSE()))),"OLD",IF(AND(E149&lt;&gt;"",E149&lt;&gt;"!!!"),"NEW","")))</f>
        <v> </v>
      </c>
      <c r="G149" s="23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4" t="str">
        <f>IF(J149&lt;&gt;1,"",IF(I149="SBJ","CB","?"))</f>
        <v> </v>
      </c>
      <c r="I149" s="25" t="str">
        <f>IF(OR(E149="",E149="!!!",F149="NEW"),"",INDEX(B148:B$2,-1+SUMPRODUCT(MAX(ROW(E148:E$2)*(E149=E148:E$2)))))</f>
        <v> </v>
      </c>
      <c r="J149" s="25" t="str">
        <f>IF(OR(E149="",E149="!!!",F149="NEW"),"",COUNTBLANK(OFFSET(A$1,,,SUMPRODUCT(MAX(ROW(E$2:E149)*(E149=E$2:E149)))))-COUNTBLANK(OFFSET(A$1,,,SUMPRODUCT(MAX(ROW(E$1:E148)*(E2=E$1:E148))))))</f>
        <v> </v>
      </c>
      <c r="K149" s="25" t="str">
        <f>IF(OR(E149="",E149="!!!",F149="NEW"),"",INDEX(J$1:J148,SUMPRODUCT(MAX(ROW(E$1:E148)*(E149=E$1:E148)))))</f>
        <v> </v>
      </c>
      <c r="L149" s="26"/>
    </row>
    <row r="150" spans="1:12">
      <c r="A150" s="20" t="s">
        <v>531</v>
      </c>
      <c r="E150" s="21">
        <f>IF(D150="?OLD","!!!","")</f>
        <v/>
      </c>
      <c r="F150" s="22" t="str">
        <f>IF(OR(E150="",E150="!!!"),"",IF(NOT(ISNA(VLOOKUP(E150,E$1:E149,1,FALSE()))),"OLD",IF(AND(E150&lt;&gt;"",E150&lt;&gt;"!!!"),"NEW","")))</f>
        <v> </v>
      </c>
      <c r="G150" s="23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4" t="str">
        <f>IF(J150&lt;&gt;1,"",IF(I150="SBJ","CB","?"))</f>
        <v> </v>
      </c>
      <c r="I150" s="25" t="str">
        <f>IF(OR(E150="",E150="!!!",F150="NEW"),"",INDEX(B149:B$2,-1+SUMPRODUCT(MAX(ROW(E149:E$2)*(E150=E149:E$2)))))</f>
        <v> </v>
      </c>
      <c r="J150" s="25" t="str">
        <f>IF(OR(E150="",E150="!!!",F150="NEW"),"",COUNTBLANK(OFFSET(A$1,,,SUMPRODUCT(MAX(ROW(E$2:E150)*(E150=E$2:E150)))))-COUNTBLANK(OFFSET(A$1,,,SUMPRODUCT(MAX(ROW(E$1:E149)*(E2=E$1:E149))))))</f>
        <v> </v>
      </c>
      <c r="K150" s="25" t="str">
        <f>IF(OR(E150="",E150="!!!",F150="NEW"),"",INDEX(J$1:J149,SUMPRODUCT(MAX(ROW(E$1:E149)*(E150=E$1:E149)))))</f>
        <v> </v>
      </c>
      <c r="L150" s="26"/>
    </row>
    <row r="151" spans="1:12">
      <c r="A151" s="20"/>
    </row>
    <row r="152" spans="1:12">
      <c r="A152" s="20" t="s">
        <v>579</v>
      </c>
    </row>
    <row r="153" spans="1:12">
      <c r="A153" s="20" t="s">
        <v>580</v>
      </c>
      <c r="E153" s="21">
        <f>IF(D153="?OLD","!!!","")</f>
        <v/>
      </c>
      <c r="F153" s="22" t="str">
        <f>IF(OR(E153="",E153="!!!"),"",IF(NOT(ISNA(VLOOKUP(E153,E$1:E152,1,FALSE()))),"OLD",IF(AND(E153&lt;&gt;"",E153&lt;&gt;"!!!"),"NEW","")))</f>
        <v> </v>
      </c>
      <c r="G153" s="23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4" t="str">
        <f>IF(J153&lt;&gt;1,"",IF(I153="SBJ","CB","?"))</f>
        <v> </v>
      </c>
      <c r="I153" s="25" t="str">
        <f>IF(OR(E153="",E153="!!!",F153="NEW"),"",INDEX(B152:B$2,-1+SUMPRODUCT(MAX(ROW(E152:E$2)*(E153=E152:E$2)))))</f>
        <v> </v>
      </c>
      <c r="J153" s="25" t="str">
        <f>IF(OR(E153="",E153="!!!",F153="NEW"),"",COUNTBLANK(OFFSET(A$1,,,SUMPRODUCT(MAX(ROW(E$2:E153)*(E153=E$2:E153)))))-COUNTBLANK(OFFSET(A$1,,,SUMPRODUCT(MAX(ROW(E$1:E152)*(E2=E$1:E152))))))</f>
        <v> </v>
      </c>
      <c r="K153" s="25" t="str">
        <f>IF(OR(E153="",E153="!!!",F153="NEW"),"",INDEX(J$1:J152,SUMPRODUCT(MAX(ROW(E$1:E152)*(E153=E$1:E152)))))</f>
        <v> </v>
      </c>
      <c r="L153" s="26"/>
    </row>
    <row r="154" spans="1:12">
      <c r="A154" s="20" t="s">
        <v>507</v>
      </c>
      <c r="E154" s="21">
        <f>IF(D154="?OLD","!!!","")</f>
        <v/>
      </c>
      <c r="F154" s="22" t="str">
        <f>IF(OR(E154="",E154="!!!"),"",IF(NOT(ISNA(VLOOKUP(E154,E$1:E153,1,FALSE()))),"OLD",IF(AND(E154&lt;&gt;"",E154&lt;&gt;"!!!"),"NEW","")))</f>
        <v> </v>
      </c>
      <c r="G154" s="23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4" t="str">
        <f>IF(J154&lt;&gt;1,"",IF(I154="SBJ","CB","?"))</f>
        <v> </v>
      </c>
      <c r="I154" s="25" t="str">
        <f>IF(OR(E154="",E154="!!!",F154="NEW"),"",INDEX(B153:B$2,-1+SUMPRODUCT(MAX(ROW(E153:E$2)*(E154=E153:E$2)))))</f>
        <v> </v>
      </c>
      <c r="J154" s="25" t="str">
        <f>IF(OR(E154="",E154="!!!",F154="NEW"),"",COUNTBLANK(OFFSET(A$1,,,SUMPRODUCT(MAX(ROW(E$2:E154)*(E154=E$2:E154)))))-COUNTBLANK(OFFSET(A$1,,,SUMPRODUCT(MAX(ROW(E$1:E153)*(E2=E$1:E153))))))</f>
        <v> </v>
      </c>
      <c r="K154" s="25" t="str">
        <f>IF(OR(E154="",E154="!!!",F154="NEW"),"",INDEX(J$1:J153,SUMPRODUCT(MAX(ROW(E$1:E153)*(E154=E$1:E153)))))</f>
        <v> </v>
      </c>
      <c r="L154" s="26"/>
    </row>
    <row r="155" spans="1:12">
      <c r="A155" s="20" t="s">
        <v>508</v>
      </c>
      <c r="E155" s="21">
        <f>IF(D155="?OLD","!!!","")</f>
        <v/>
      </c>
      <c r="F155" s="22" t="str">
        <f>IF(OR(E155="",E155="!!!"),"",IF(NOT(ISNA(VLOOKUP(E155,E$1:E154,1,FALSE()))),"OLD",IF(AND(E155&lt;&gt;"",E155&lt;&gt;"!!!"),"NEW","")))</f>
        <v> </v>
      </c>
      <c r="G155" s="23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4" t="str">
        <f>IF(J155&lt;&gt;1,"",IF(I155="SBJ","CB","?"))</f>
        <v> </v>
      </c>
      <c r="I155" s="25" t="str">
        <f>IF(OR(E155="",E155="!!!",F155="NEW"),"",INDEX(B154:B$2,-1+SUMPRODUCT(MAX(ROW(E154:E$2)*(E155=E154:E$2)))))</f>
        <v> </v>
      </c>
      <c r="J155" s="25" t="str">
        <f>IF(OR(E155="",E155="!!!",F155="NEW"),"",COUNTBLANK(OFFSET(A$1,,,SUMPRODUCT(MAX(ROW(E$2:E155)*(E155=E$2:E155)))))-COUNTBLANK(OFFSET(A$1,,,SUMPRODUCT(MAX(ROW(E$1:E154)*(E2=E$1:E154))))))</f>
        <v> </v>
      </c>
      <c r="K155" s="25" t="str">
        <f>IF(OR(E155="",E155="!!!",F155="NEW"),"",INDEX(J$1:J154,SUMPRODUCT(MAX(ROW(E$1:E154)*(E155=E$1:E154)))))</f>
        <v> </v>
      </c>
      <c r="L155" s="26"/>
    </row>
    <row r="156" spans="1:12">
      <c r="A156" s="20" t="s">
        <v>581</v>
      </c>
      <c r="B156" s="27" t="s">
        <v>477</v>
      </c>
      <c r="C156" s="27" t="s">
        <v>487</v>
      </c>
      <c r="D156" s="27" t="s">
        <v>483</v>
      </c>
      <c r="E156" s="21">
        <f>IF(D156="?OLD","!!!","")</f>
        <v/>
      </c>
      <c r="F156" s="22" t="str">
        <f>IF(OR(E156="",E156="!!!"),"",IF(NOT(ISNA(VLOOKUP(E156,E$1:E155,1,FALSE()))),"OLD",IF(AND(E156&lt;&gt;"",E156&lt;&gt;"!!!"),"NEW","")))</f>
        <v> </v>
      </c>
      <c r="G156" s="23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4" t="str">
        <f>IF(J156&lt;&gt;1,"",IF(I156="SBJ","CB","?"))</f>
        <v> </v>
      </c>
      <c r="I156" s="25" t="str">
        <f>IF(OR(E156="",E156="!!!",F156="NEW"),"",INDEX(B155:B$2,-1+SUMPRODUCT(MAX(ROW(E155:E$2)*(E156=E155:E$2)))))</f>
        <v> </v>
      </c>
      <c r="J156" s="25" t="str">
        <f>IF(OR(E156="",E156="!!!",F156="NEW"),"",COUNTBLANK(OFFSET(A$1,,,SUMPRODUCT(MAX(ROW(E$2:E156)*(E156=E$2:E156)))))-COUNTBLANK(OFFSET(A$1,,,SUMPRODUCT(MAX(ROW(E$1:E155)*(E2=E$1:E155))))))</f>
        <v> </v>
      </c>
      <c r="K156" s="25" t="str">
        <f>IF(OR(E156="",E156="!!!",F156="NEW"),"",INDEX(J$1:J155,SUMPRODUCT(MAX(ROW(E$1:E155)*(E156=E$1:E155)))))</f>
        <v> </v>
      </c>
      <c r="L156" s="26"/>
    </row>
    <row r="157" spans="1:12">
      <c r="A157" s="20" t="s">
        <v>582</v>
      </c>
      <c r="E157" s="21">
        <f>IF(D157="?OLD","!!!","")</f>
        <v/>
      </c>
      <c r="F157" s="22" t="str">
        <f>IF(OR(E157="",E157="!!!"),"",IF(NOT(ISNA(VLOOKUP(E157,E$1:E156,1,FALSE()))),"OLD",IF(AND(E157&lt;&gt;"",E157&lt;&gt;"!!!"),"NEW","")))</f>
        <v> </v>
      </c>
      <c r="G157" s="23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4" t="str">
        <f>IF(J157&lt;&gt;1,"",IF(I157="SBJ","CB","?"))</f>
        <v> </v>
      </c>
      <c r="I157" s="25" t="str">
        <f>IF(OR(E157="",E157="!!!",F157="NEW"),"",INDEX(B156:B$2,-1+SUMPRODUCT(MAX(ROW(E156:E$2)*(E157=E156:E$2)))))</f>
        <v> </v>
      </c>
      <c r="J157" s="25" t="str">
        <f>IF(OR(E157="",E157="!!!",F157="NEW"),"",COUNTBLANK(OFFSET(A$1,,,SUMPRODUCT(MAX(ROW(E$2:E157)*(E157=E$2:E157)))))-COUNTBLANK(OFFSET(A$1,,,SUMPRODUCT(MAX(ROW(E$1:E156)*(E2=E$1:E156))))))</f>
        <v> </v>
      </c>
      <c r="K157" s="25" t="str">
        <f>IF(OR(E157="",E157="!!!",F157="NEW"),"",INDEX(J$1:J156,SUMPRODUCT(MAX(ROW(E$1:E156)*(E157=E$1:E156)))))</f>
        <v> </v>
      </c>
      <c r="L157" s="26"/>
    </row>
    <row r="158" spans="1:12">
      <c r="A158" s="20" t="s">
        <v>583</v>
      </c>
      <c r="E158" s="21">
        <f>IF(D158="?OLD","!!!","")</f>
        <v/>
      </c>
      <c r="F158" s="22" t="str">
        <f>IF(OR(E158="",E158="!!!"),"",IF(NOT(ISNA(VLOOKUP(E158,E$1:E157,1,FALSE()))),"OLD",IF(AND(E158&lt;&gt;"",E158&lt;&gt;"!!!"),"NEW","")))</f>
        <v> </v>
      </c>
      <c r="G158" s="23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4" t="str">
        <f>IF(J158&lt;&gt;1,"",IF(I158="SBJ","CB","?"))</f>
        <v> </v>
      </c>
      <c r="I158" s="25" t="str">
        <f>IF(OR(E158="",E158="!!!",F158="NEW"),"",INDEX(B157:B$2,-1+SUMPRODUCT(MAX(ROW(E157:E$2)*(E158=E157:E$2)))))</f>
        <v> </v>
      </c>
      <c r="J158" s="25" t="str">
        <f>IF(OR(E158="",E158="!!!",F158="NEW"),"",COUNTBLANK(OFFSET(A$1,,,SUMPRODUCT(MAX(ROW(E$2:E158)*(E158=E$2:E158)))))-COUNTBLANK(OFFSET(A$1,,,SUMPRODUCT(MAX(ROW(E$1:E157)*(E2=E$1:E157))))))</f>
        <v> </v>
      </c>
      <c r="K158" s="25" t="str">
        <f>IF(OR(E158="",E158="!!!",F158="NEW"),"",INDEX(J$1:J157,SUMPRODUCT(MAX(ROW(E$1:E157)*(E158=E$1:E157)))))</f>
        <v> </v>
      </c>
      <c r="L158" s="26"/>
    </row>
    <row r="159" spans="1:12">
      <c r="A159" s="20" t="s">
        <v>584</v>
      </c>
      <c r="E159" s="21">
        <f>IF(D159="?OLD","!!!","")</f>
        <v/>
      </c>
      <c r="F159" s="22" t="str">
        <f>IF(OR(E159="",E159="!!!"),"",IF(NOT(ISNA(VLOOKUP(E159,E$1:E158,1,FALSE()))),"OLD",IF(AND(E159&lt;&gt;"",E159&lt;&gt;"!!!"),"NEW","")))</f>
        <v> </v>
      </c>
      <c r="G159" s="23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4" t="str">
        <f>IF(J159&lt;&gt;1,"",IF(I159="SBJ","CB","?"))</f>
        <v> </v>
      </c>
      <c r="I159" s="25" t="str">
        <f>IF(OR(E159="",E159="!!!",F159="NEW"),"",INDEX(B158:B$2,-1+SUMPRODUCT(MAX(ROW(E158:E$2)*(E159=E158:E$2)))))</f>
        <v> </v>
      </c>
      <c r="J159" s="25" t="str">
        <f>IF(OR(E159="",E159="!!!",F159="NEW"),"",COUNTBLANK(OFFSET(A$1,,,SUMPRODUCT(MAX(ROW(E$2:E159)*(E159=E$2:E159)))))-COUNTBLANK(OFFSET(A$1,,,SUMPRODUCT(MAX(ROW(E$1:E158)*(E2=E$1:E158))))))</f>
        <v> </v>
      </c>
      <c r="K159" s="25" t="str">
        <f>IF(OR(E159="",E159="!!!",F159="NEW"),"",INDEX(J$1:J158,SUMPRODUCT(MAX(ROW(E$1:E158)*(E159=E$1:E158)))))</f>
        <v> </v>
      </c>
      <c r="L159" s="26"/>
    </row>
    <row r="160" spans="1:12">
      <c r="A160" s="20" t="s">
        <v>484</v>
      </c>
      <c r="E160" s="21">
        <f>IF(D160="?OLD","!!!","")</f>
        <v/>
      </c>
      <c r="F160" s="22" t="str">
        <f>IF(OR(E160="",E160="!!!"),"",IF(NOT(ISNA(VLOOKUP(E160,E$1:E159,1,FALSE()))),"OLD",IF(AND(E160&lt;&gt;"",E160&lt;&gt;"!!!"),"NEW","")))</f>
        <v> </v>
      </c>
      <c r="G160" s="23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4" t="str">
        <f>IF(J160&lt;&gt;1,"",IF(I160="SBJ","CB","?"))</f>
        <v> </v>
      </c>
      <c r="I160" s="25" t="str">
        <f>IF(OR(E160="",E160="!!!",F160="NEW"),"",INDEX(B159:B$2,-1+SUMPRODUCT(MAX(ROW(E159:E$2)*(E160=E159:E$2)))))</f>
        <v> </v>
      </c>
      <c r="J160" s="25" t="str">
        <f>IF(OR(E160="",E160="!!!",F160="NEW"),"",COUNTBLANK(OFFSET(A$1,,,SUMPRODUCT(MAX(ROW(E$2:E160)*(E160=E$2:E160)))))-COUNTBLANK(OFFSET(A$1,,,SUMPRODUCT(MAX(ROW(E$1:E159)*(E2=E$1:E159))))))</f>
        <v> </v>
      </c>
      <c r="K160" s="25" t="str">
        <f>IF(OR(E160="",E160="!!!",F160="NEW"),"",INDEX(J$1:J159,SUMPRODUCT(MAX(ROW(E$1:E159)*(E160=E$1:E159)))))</f>
        <v> </v>
      </c>
      <c r="L160" s="26"/>
    </row>
    <row r="161" spans="1:12">
      <c r="A161" s="20" t="s">
        <v>41</v>
      </c>
      <c r="E161" s="21">
        <f>IF(D161="?OLD","!!!","")</f>
        <v/>
      </c>
      <c r="F161" s="22" t="str">
        <f>IF(OR(E161="",E161="!!!"),"",IF(NOT(ISNA(VLOOKUP(E161,E$1:E160,1,FALSE()))),"OLD",IF(AND(E161&lt;&gt;"",E161&lt;&gt;"!!!"),"NEW","")))</f>
        <v> </v>
      </c>
      <c r="G161" s="23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4" t="str">
        <f>IF(J161&lt;&gt;1,"",IF(I161="SBJ","CB","?"))</f>
        <v> </v>
      </c>
      <c r="I161" s="25" t="str">
        <f>IF(OR(E161="",E161="!!!",F161="NEW"),"",INDEX(B160:B$2,-1+SUMPRODUCT(MAX(ROW(E160:E$2)*(E161=E160:E$2)))))</f>
        <v> </v>
      </c>
      <c r="J161" s="25" t="str">
        <f>IF(OR(E161="",E161="!!!",F161="NEW"),"",COUNTBLANK(OFFSET(A$1,,,SUMPRODUCT(MAX(ROW(E$2:E161)*(E161=E$2:E161)))))-COUNTBLANK(OFFSET(A$1,,,SUMPRODUCT(MAX(ROW(E$1:E160)*(E2=E$1:E160))))))</f>
        <v> </v>
      </c>
      <c r="K161" s="25" t="str">
        <f>IF(OR(E161="",E161="!!!",F161="NEW"),"",INDEX(J$1:J160,SUMPRODUCT(MAX(ROW(E$1:E160)*(E161=E$1:E160)))))</f>
        <v> </v>
      </c>
      <c r="L161" s="26"/>
    </row>
    <row r="162" spans="1:12">
      <c r="A162" s="20" t="s">
        <v>585</v>
      </c>
      <c r="B162" s="27" t="s">
        <v>578</v>
      </c>
      <c r="C162" s="27" t="s">
        <v>482</v>
      </c>
      <c r="D162" s="27" t="s">
        <v>483</v>
      </c>
      <c r="E162" s="21">
        <f>IF(D162="?OLD","!!!","")</f>
        <v/>
      </c>
      <c r="F162" s="22" t="str">
        <f>IF(OR(E162="",E162="!!!"),"",IF(NOT(ISNA(VLOOKUP(E162,E$1:E161,1,FALSE()))),"OLD",IF(AND(E162&lt;&gt;"",E162&lt;&gt;"!!!"),"NEW","")))</f>
        <v> </v>
      </c>
      <c r="G162" s="23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4" t="str">
        <f>IF(J162&lt;&gt;1,"",IF(I162="SBJ","CB","?"))</f>
        <v> </v>
      </c>
      <c r="I162" s="25" t="str">
        <f>IF(OR(E162="",E162="!!!",F162="NEW"),"",INDEX(B161:B$2,-1+SUMPRODUCT(MAX(ROW(E161:E$2)*(E162=E161:E$2)))))</f>
        <v> </v>
      </c>
      <c r="J162" s="25" t="str">
        <f>IF(OR(E162="",E162="!!!",F162="NEW"),"",COUNTBLANK(OFFSET(A$1,,,SUMPRODUCT(MAX(ROW(E$2:E162)*(E162=E$2:E162)))))-COUNTBLANK(OFFSET(A$1,,,SUMPRODUCT(MAX(ROW(E$1:E161)*(E2=E$1:E161))))))</f>
        <v> </v>
      </c>
      <c r="K162" s="25" t="str">
        <f>IF(OR(E162="",E162="!!!",F162="NEW"),"",INDEX(J$1:J161,SUMPRODUCT(MAX(ROW(E$1:E161)*(E162=E$1:E161)))))</f>
        <v> </v>
      </c>
      <c r="L162" s="26"/>
    </row>
    <row r="163" spans="1:12">
      <c r="A163" s="20" t="s">
        <v>380</v>
      </c>
      <c r="E163" s="21">
        <f>IF(D163="?OLD","!!!","")</f>
        <v/>
      </c>
      <c r="F163" s="22" t="str">
        <f>IF(OR(E163="",E163="!!!"),"",IF(NOT(ISNA(VLOOKUP(E163,E$1:E162,1,FALSE()))),"OLD",IF(AND(E163&lt;&gt;"",E163&lt;&gt;"!!!"),"NEW","")))</f>
        <v> </v>
      </c>
      <c r="G163" s="23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4" t="str">
        <f>IF(J163&lt;&gt;1,"",IF(I163="SBJ","CB","?"))</f>
        <v> </v>
      </c>
      <c r="I163" s="25" t="str">
        <f>IF(OR(E163="",E163="!!!",F163="NEW"),"",INDEX(B162:B$2,-1+SUMPRODUCT(MAX(ROW(E162:E$2)*(E163=E162:E$2)))))</f>
        <v> </v>
      </c>
      <c r="J163" s="25" t="str">
        <f>IF(OR(E163="",E163="!!!",F163="NEW"),"",COUNTBLANK(OFFSET(A$1,,,SUMPRODUCT(MAX(ROW(E$2:E163)*(E163=E$2:E163)))))-COUNTBLANK(OFFSET(A$1,,,SUMPRODUCT(MAX(ROW(E$1:E162)*(E2=E$1:E162))))))</f>
        <v> </v>
      </c>
      <c r="K163" s="25" t="str">
        <f>IF(OR(E163="",E163="!!!",F163="NEW"),"",INDEX(J$1:J162,SUMPRODUCT(MAX(ROW(E$1:E162)*(E163=E$1:E162)))))</f>
        <v> </v>
      </c>
      <c r="L163" s="26"/>
    </row>
    <row r="164" spans="1:12">
      <c r="A164" s="20" t="s">
        <v>586</v>
      </c>
      <c r="B164" s="27" t="s">
        <v>578</v>
      </c>
      <c r="C164" s="27" t="s">
        <v>538</v>
      </c>
      <c r="D164" s="27" t="s">
        <v>483</v>
      </c>
      <c r="E164" s="21">
        <f>IF(D164="?OLD","!!!","")</f>
        <v/>
      </c>
      <c r="F164" s="22" t="str">
        <f>IF(OR(E164="",E164="!!!"),"",IF(NOT(ISNA(VLOOKUP(E164,E$1:E163,1,FALSE()))),"OLD",IF(AND(E164&lt;&gt;"",E164&lt;&gt;"!!!"),"NEW","")))</f>
        <v> </v>
      </c>
      <c r="G164" s="23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4" t="str">
        <f>IF(J164&lt;&gt;1,"",IF(I164="SBJ","CB","?"))</f>
        <v> </v>
      </c>
      <c r="I164" s="25" t="str">
        <f>IF(OR(E164="",E164="!!!",F164="NEW"),"",INDEX(B163:B$2,-1+SUMPRODUCT(MAX(ROW(E163:E$2)*(E164=E163:E$2)))))</f>
        <v> </v>
      </c>
      <c r="J164" s="25" t="str">
        <f>IF(OR(E164="",E164="!!!",F164="NEW"),"",COUNTBLANK(OFFSET(A$1,,,SUMPRODUCT(MAX(ROW(E$2:E164)*(E164=E$2:E164)))))-COUNTBLANK(OFFSET(A$1,,,SUMPRODUCT(MAX(ROW(E$1:E163)*(E2=E$1:E163))))))</f>
        <v> </v>
      </c>
      <c r="K164" s="25" t="str">
        <f>IF(OR(E164="",E164="!!!",F164="NEW"),"",INDEX(J$1:J163,SUMPRODUCT(MAX(ROW(E$1:E163)*(E164=E$1:E163)))))</f>
        <v> </v>
      </c>
      <c r="L164" s="26"/>
    </row>
    <row r="165" spans="1:12">
      <c r="A165" s="20" t="s">
        <v>528</v>
      </c>
      <c r="E165" s="21">
        <f>IF(D165="?OLD","!!!","")</f>
        <v/>
      </c>
      <c r="F165" s="22" t="str">
        <f>IF(OR(E165="",E165="!!!"),"",IF(NOT(ISNA(VLOOKUP(E165,E$1:E164,1,FALSE()))),"OLD",IF(AND(E165&lt;&gt;"",E165&lt;&gt;"!!!"),"NEW","")))</f>
        <v> </v>
      </c>
      <c r="G165" s="23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4" t="str">
        <f>IF(J165&lt;&gt;1,"",IF(I165="SBJ","CB","?"))</f>
        <v> </v>
      </c>
      <c r="I165" s="25" t="str">
        <f>IF(OR(E165="",E165="!!!",F165="NEW"),"",INDEX(B164:B$2,-1+SUMPRODUCT(MAX(ROW(E164:E$2)*(E165=E164:E$2)))))</f>
        <v> </v>
      </c>
      <c r="J165" s="25" t="str">
        <f>IF(OR(E165="",E165="!!!",F165="NEW"),"",COUNTBLANK(OFFSET(A$1,,,SUMPRODUCT(MAX(ROW(E$2:E165)*(E165=E$2:E165)))))-COUNTBLANK(OFFSET(A$1,,,SUMPRODUCT(MAX(ROW(E$1:E164)*(E2=E$1:E164))))))</f>
        <v> </v>
      </c>
      <c r="K165" s="25" t="str">
        <f>IF(OR(E165="",E165="!!!",F165="NEW"),"",INDEX(J$1:J164,SUMPRODUCT(MAX(ROW(E$1:E164)*(E165=E$1:E164)))))</f>
        <v> </v>
      </c>
      <c r="L165" s="26"/>
    </row>
    <row r="166" spans="1:12">
      <c r="A166" s="20" t="s">
        <v>587</v>
      </c>
      <c r="B166" s="27" t="s">
        <v>547</v>
      </c>
      <c r="C166" s="27" t="s">
        <v>516</v>
      </c>
      <c r="E166" s="21">
        <f>IF(D166="?OLD","!!!","")</f>
        <v/>
      </c>
      <c r="F166" s="22" t="str">
        <f>IF(OR(E166="",E166="!!!"),"",IF(NOT(ISNA(VLOOKUP(E166,E$1:E165,1,FALSE()))),"OLD",IF(AND(E166&lt;&gt;"",E166&lt;&gt;"!!!"),"NEW","")))</f>
        <v> </v>
      </c>
      <c r="G166" s="23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4" t="str">
        <f>IF(J166&lt;&gt;1,"",IF(I166="SBJ","CB","?"))</f>
        <v> </v>
      </c>
      <c r="I166" s="25" t="str">
        <f>IF(OR(E166="",E166="!!!",F166="NEW"),"",INDEX(B165:B$2,-1+SUMPRODUCT(MAX(ROW(E165:E$2)*(E166=E165:E$2)))))</f>
        <v> </v>
      </c>
      <c r="J166" s="25" t="str">
        <f>IF(OR(E166="",E166="!!!",F166="NEW"),"",COUNTBLANK(OFFSET(A$1,,,SUMPRODUCT(MAX(ROW(E$2:E166)*(E166=E$2:E166)))))-COUNTBLANK(OFFSET(A$1,,,SUMPRODUCT(MAX(ROW(E$1:E165)*(E2=E$1:E165))))))</f>
        <v> </v>
      </c>
      <c r="K166" s="25" t="str">
        <f>IF(OR(E166="",E166="!!!",F166="NEW"),"",INDEX(J$1:J165,SUMPRODUCT(MAX(ROW(E$1:E165)*(E166=E$1:E165)))))</f>
        <v> </v>
      </c>
      <c r="L166" s="26"/>
    </row>
    <row r="167" spans="1:12">
      <c r="A167" s="20" t="s">
        <v>588</v>
      </c>
      <c r="E167" s="21">
        <f>IF(D167="?OLD","!!!","")</f>
        <v/>
      </c>
      <c r="F167" s="22" t="str">
        <f>IF(OR(E167="",E167="!!!"),"",IF(NOT(ISNA(VLOOKUP(E167,E$1:E166,1,FALSE()))),"OLD",IF(AND(E167&lt;&gt;"",E167&lt;&gt;"!!!"),"NEW","")))</f>
        <v> </v>
      </c>
      <c r="G167" s="23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4" t="str">
        <f>IF(J167&lt;&gt;1,"",IF(I167="SBJ","CB","?"))</f>
        <v> </v>
      </c>
      <c r="I167" s="25" t="str">
        <f>IF(OR(E167="",E167="!!!",F167="NEW"),"",INDEX(B166:B$2,-1+SUMPRODUCT(MAX(ROW(E166:E$2)*(E167=E166:E$2)))))</f>
        <v> </v>
      </c>
      <c r="J167" s="25" t="str">
        <f>IF(OR(E167="",E167="!!!",F167="NEW"),"",COUNTBLANK(OFFSET(A$1,,,SUMPRODUCT(MAX(ROW(E$2:E167)*(E167=E$2:E167)))))-COUNTBLANK(OFFSET(A$1,,,SUMPRODUCT(MAX(ROW(E$1:E166)*(E2=E$1:E166))))))</f>
        <v> </v>
      </c>
      <c r="K167" s="25" t="str">
        <f>IF(OR(E167="",E167="!!!",F167="NEW"),"",INDEX(J$1:J166,SUMPRODUCT(MAX(ROW(E$1:E166)*(E167=E$1:E166)))))</f>
        <v> </v>
      </c>
      <c r="L167" s="26"/>
    </row>
    <row r="168" spans="1:12">
      <c r="A168" s="20" t="s">
        <v>531</v>
      </c>
      <c r="E168" s="21">
        <f>IF(D168="?OLD","!!!","")</f>
        <v/>
      </c>
      <c r="F168" s="22" t="str">
        <f>IF(OR(E168="",E168="!!!"),"",IF(NOT(ISNA(VLOOKUP(E168,E$1:E167,1,FALSE()))),"OLD",IF(AND(E168&lt;&gt;"",E168&lt;&gt;"!!!"),"NEW","")))</f>
        <v> </v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4" t="str">
        <f>IF(J168&lt;&gt;1,"",IF(I168="SBJ","CB","?"))</f>
        <v> </v>
      </c>
      <c r="I168" s="25" t="str">
        <f>IF(OR(E168="",E168="!!!",F168="NEW"),"",INDEX(B167:B$2,-1+SUMPRODUCT(MAX(ROW(E167:E$2)*(E168=E167:E$2)))))</f>
        <v> </v>
      </c>
      <c r="J168" s="25" t="str">
        <f>IF(OR(E168="",E168="!!!",F168="NEW"),"",COUNTBLANK(OFFSET(A$1,,,SUMPRODUCT(MAX(ROW(E$2:E168)*(E168=E$2:E168)))))-COUNTBLANK(OFFSET(A$1,,,SUMPRODUCT(MAX(ROW(E$1:E167)*(E2=E$1:E167))))))</f>
        <v> </v>
      </c>
      <c r="K168" s="25" t="str">
        <f>IF(OR(E168="",E168="!!!",F168="NEW"),"",INDEX(J$1:J167,SUMPRODUCT(MAX(ROW(E$1:E167)*(E168=E$1:E167)))))</f>
        <v> </v>
      </c>
      <c r="L168" s="26"/>
    </row>
    <row r="169" spans="1:12">
      <c r="A169" s="20"/>
    </row>
    <row r="170" spans="1:12">
      <c r="A170" s="20" t="s">
        <v>589</v>
      </c>
    </row>
    <row r="171" spans="1:12">
      <c r="A171" s="20" t="s">
        <v>590</v>
      </c>
      <c r="E171" s="21">
        <f>IF(D171="?OLD","!!!","")</f>
        <v/>
      </c>
      <c r="F171" s="22" t="str">
        <f>IF(OR(E171="",E171="!!!"),"",IF(NOT(ISNA(VLOOKUP(E171,E$1:E170,1,FALSE()))),"OLD",IF(AND(E171&lt;&gt;"",E171&lt;&gt;"!!!"),"NEW","")))</f>
        <v> </v>
      </c>
      <c r="G171" s="23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4" t="str">
        <f>IF(J171&lt;&gt;1,"",IF(I171="SBJ","CB","?"))</f>
        <v> </v>
      </c>
      <c r="I171" s="25" t="str">
        <f>IF(OR(E171="",E171="!!!",F171="NEW"),"",INDEX(B170:B$2,-1+SUMPRODUCT(MAX(ROW(E170:E$2)*(E171=E170:E$2)))))</f>
        <v> </v>
      </c>
      <c r="J171" s="25" t="str">
        <f>IF(OR(E171="",E171="!!!",F171="NEW"),"",COUNTBLANK(OFFSET(A$1,,,SUMPRODUCT(MAX(ROW(E$2:E171)*(E171=E$2:E171)))))-COUNTBLANK(OFFSET(A$1,,,SUMPRODUCT(MAX(ROW(E$1:E170)*(E2=E$1:E170))))))</f>
        <v> </v>
      </c>
      <c r="K171" s="25" t="str">
        <f>IF(OR(E171="",E171="!!!",F171="NEW"),"",INDEX(J$1:J170,SUMPRODUCT(MAX(ROW(E$1:E170)*(E171=E$1:E170)))))</f>
        <v> </v>
      </c>
      <c r="L171" s="26"/>
    </row>
    <row r="172" spans="1:12">
      <c r="A172" s="20" t="s">
        <v>37</v>
      </c>
      <c r="E172" s="21">
        <f>IF(D172="?OLD","!!!","")</f>
        <v/>
      </c>
      <c r="F172" s="22" t="str">
        <f>IF(OR(E172="",E172="!!!"),"",IF(NOT(ISNA(VLOOKUP(E172,E$1:E171,1,FALSE()))),"OLD",IF(AND(E172&lt;&gt;"",E172&lt;&gt;"!!!"),"NEW","")))</f>
        <v> </v>
      </c>
      <c r="G172" s="23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4" t="str">
        <f>IF(J172&lt;&gt;1,"",IF(I172="SBJ","CB","?"))</f>
        <v> </v>
      </c>
      <c r="I172" s="25" t="str">
        <f>IF(OR(E172="",E172="!!!",F172="NEW"),"",INDEX(B171:B$2,-1+SUMPRODUCT(MAX(ROW(E171:E$2)*(E172=E171:E$2)))))</f>
        <v> </v>
      </c>
      <c r="J172" s="25" t="str">
        <f>IF(OR(E172="",E172="!!!",F172="NEW"),"",COUNTBLANK(OFFSET(A$1,,,SUMPRODUCT(MAX(ROW(E$2:E172)*(E172=E$2:E172)))))-COUNTBLANK(OFFSET(A$1,,,SUMPRODUCT(MAX(ROW(E$1:E171)*(E2=E$1:E171))))))</f>
        <v> </v>
      </c>
      <c r="K172" s="25" t="str">
        <f>IF(OR(E172="",E172="!!!",F172="NEW"),"",INDEX(J$1:J171,SUMPRODUCT(MAX(ROW(E$1:E171)*(E172=E$1:E171)))))</f>
        <v> </v>
      </c>
      <c r="L172" s="26"/>
    </row>
    <row r="173" spans="1:12">
      <c r="A173" s="20" t="s">
        <v>531</v>
      </c>
      <c r="E173" s="21">
        <f>IF(D173="?OLD","!!!","")</f>
        <v/>
      </c>
      <c r="F173" s="22" t="str">
        <f>IF(OR(E173="",E173="!!!"),"",IF(NOT(ISNA(VLOOKUP(E173,E$1:E172,1,FALSE()))),"OLD",IF(AND(E173&lt;&gt;"",E173&lt;&gt;"!!!"),"NEW","")))</f>
        <v> </v>
      </c>
      <c r="G173" s="23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4" t="str">
        <f>IF(J173&lt;&gt;1,"",IF(I173="SBJ","CB","?"))</f>
        <v> </v>
      </c>
      <c r="I173" s="25" t="str">
        <f>IF(OR(E173="",E173="!!!",F173="NEW"),"",INDEX(B172:B$2,-1+SUMPRODUCT(MAX(ROW(E172:E$2)*(E173=E172:E$2)))))</f>
        <v> </v>
      </c>
      <c r="J173" s="25" t="str">
        <f>IF(OR(E173="",E173="!!!",F173="NEW"),"",COUNTBLANK(OFFSET(A$1,,,SUMPRODUCT(MAX(ROW(E$2:E173)*(E173=E$2:E173)))))-COUNTBLANK(OFFSET(A$1,,,SUMPRODUCT(MAX(ROW(E$1:E172)*(E2=E$1:E172))))))</f>
        <v> </v>
      </c>
      <c r="K173" s="25" t="str">
        <f>IF(OR(E173="",E173="!!!",F173="NEW"),"",INDEX(J$1:J172,SUMPRODUCT(MAX(ROW(E$1:E172)*(E173=E$1:E172)))))</f>
        <v> </v>
      </c>
      <c r="L173" s="26"/>
    </row>
    <row r="174" spans="1:12">
      <c r="A174" s="20"/>
    </row>
    <row r="175" spans="1:12">
      <c r="A175" s="20" t="s">
        <v>591</v>
      </c>
    </row>
    <row r="176" spans="1:12">
      <c r="A176" s="20" t="s">
        <v>592</v>
      </c>
      <c r="E176" s="21">
        <f>IF(D176="?OLD","!!!","")</f>
        <v/>
      </c>
      <c r="F176" s="22" t="str">
        <f>IF(OR(E176="",E176="!!!"),"",IF(NOT(ISNA(VLOOKUP(E176,E$1:E175,1,FALSE()))),"OLD",IF(AND(E176&lt;&gt;"",E176&lt;&gt;"!!!"),"NEW","")))</f>
        <v> </v>
      </c>
      <c r="G176" s="23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4" t="str">
        <f>IF(J176&lt;&gt;1,"",IF(I176="SBJ","CB","?"))</f>
        <v> </v>
      </c>
      <c r="I176" s="25" t="str">
        <f>IF(OR(E176="",E176="!!!",F176="NEW"),"",INDEX(B175:B$2,-1+SUMPRODUCT(MAX(ROW(E175:E$2)*(E176=E175:E$2)))))</f>
        <v> </v>
      </c>
      <c r="J176" s="25" t="str">
        <f>IF(OR(E176="",E176="!!!",F176="NEW"),"",COUNTBLANK(OFFSET(A$1,,,SUMPRODUCT(MAX(ROW(E$2:E176)*(E176=E$2:E176)))))-COUNTBLANK(OFFSET(A$1,,,SUMPRODUCT(MAX(ROW(E$1:E175)*(E2=E$1:E175))))))</f>
        <v> </v>
      </c>
      <c r="K176" s="25" t="str">
        <f>IF(OR(E176="",E176="!!!",F176="NEW"),"",INDEX(J$1:J175,SUMPRODUCT(MAX(ROW(E$1:E175)*(E176=E$1:E175)))))</f>
        <v> </v>
      </c>
      <c r="L176" s="26"/>
    </row>
    <row r="177" spans="1:12">
      <c r="A177" s="20" t="s">
        <v>593</v>
      </c>
      <c r="E177" s="21">
        <f>IF(D177="?OLD","!!!","")</f>
        <v/>
      </c>
      <c r="F177" s="22" t="str">
        <f>IF(OR(E177="",E177="!!!"),"",IF(NOT(ISNA(VLOOKUP(E177,E$1:E176,1,FALSE()))),"OLD",IF(AND(E177&lt;&gt;"",E177&lt;&gt;"!!!"),"NEW","")))</f>
        <v> </v>
      </c>
      <c r="G177" s="23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4" t="str">
        <f>IF(J177&lt;&gt;1,"",IF(I177="SBJ","CB","?"))</f>
        <v> </v>
      </c>
      <c r="I177" s="25" t="str">
        <f>IF(OR(E177="",E177="!!!",F177="NEW"),"",INDEX(B176:B$2,-1+SUMPRODUCT(MAX(ROW(E176:E$2)*(E177=E176:E$2)))))</f>
        <v> </v>
      </c>
      <c r="J177" s="25" t="str">
        <f>IF(OR(E177="",E177="!!!",F177="NEW"),"",COUNTBLANK(OFFSET(A$1,,,SUMPRODUCT(MAX(ROW(E$2:E177)*(E177=E$2:E177)))))-COUNTBLANK(OFFSET(A$1,,,SUMPRODUCT(MAX(ROW(E$1:E176)*(E2=E$1:E176))))))</f>
        <v> </v>
      </c>
      <c r="K177" s="25" t="str">
        <f>IF(OR(E177="",E177="!!!",F177="NEW"),"",INDEX(J$1:J176,SUMPRODUCT(MAX(ROW(E$1:E176)*(E177=E$1:E176)))))</f>
        <v> </v>
      </c>
      <c r="L177" s="26"/>
    </row>
    <row r="178" spans="1:12">
      <c r="A178" s="20" t="s">
        <v>41</v>
      </c>
      <c r="E178" s="21">
        <f>IF(D178="?OLD","!!!","")</f>
        <v/>
      </c>
      <c r="F178" s="22" t="str">
        <f>IF(OR(E178="",E178="!!!"),"",IF(NOT(ISNA(VLOOKUP(E178,E$1:E177,1,FALSE()))),"OLD",IF(AND(E178&lt;&gt;"",E178&lt;&gt;"!!!"),"NEW","")))</f>
        <v> </v>
      </c>
      <c r="G178" s="23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4" t="str">
        <f>IF(J178&lt;&gt;1,"",IF(I178="SBJ","CB","?"))</f>
        <v> </v>
      </c>
      <c r="I178" s="25" t="str">
        <f>IF(OR(E178="",E178="!!!",F178="NEW"),"",INDEX(B177:B$2,-1+SUMPRODUCT(MAX(ROW(E177:E$2)*(E178=E177:E$2)))))</f>
        <v> </v>
      </c>
      <c r="J178" s="25" t="str">
        <f>IF(OR(E178="",E178="!!!",F178="NEW"),"",COUNTBLANK(OFFSET(A$1,,,SUMPRODUCT(MAX(ROW(E$2:E178)*(E178=E$2:E178)))))-COUNTBLANK(OFFSET(A$1,,,SUMPRODUCT(MAX(ROW(E$1:E177)*(E2=E$1:E177))))))</f>
        <v> </v>
      </c>
      <c r="K178" s="25" t="str">
        <f>IF(OR(E178="",E178="!!!",F178="NEW"),"",INDEX(J$1:J177,SUMPRODUCT(MAX(ROW(E$1:E177)*(E178=E$1:E177)))))</f>
        <v> </v>
      </c>
      <c r="L178" s="26"/>
    </row>
    <row r="179" spans="1:12">
      <c r="A179" s="20" t="s">
        <v>585</v>
      </c>
      <c r="B179" s="27" t="s">
        <v>481</v>
      </c>
      <c r="C179" s="27" t="s">
        <v>482</v>
      </c>
      <c r="D179" s="27" t="s">
        <v>483</v>
      </c>
      <c r="E179" s="21">
        <f>IF(D179="?OLD","!!!","")</f>
        <v/>
      </c>
      <c r="F179" s="22" t="str">
        <f>IF(OR(E179="",E179="!!!"),"",IF(NOT(ISNA(VLOOKUP(E179,E$1:E178,1,FALSE()))),"OLD",IF(AND(E179&lt;&gt;"",E179&lt;&gt;"!!!"),"NEW","")))</f>
        <v> </v>
      </c>
      <c r="G179" s="23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4" t="str">
        <f>IF(J179&lt;&gt;1,"",IF(I179="SBJ","CB","?"))</f>
        <v> </v>
      </c>
      <c r="I179" s="25" t="str">
        <f>IF(OR(E179="",E179="!!!",F179="NEW"),"",INDEX(B178:B$2,-1+SUMPRODUCT(MAX(ROW(E178:E$2)*(E179=E178:E$2)))))</f>
        <v> </v>
      </c>
      <c r="J179" s="25" t="str">
        <f>IF(OR(E179="",E179="!!!",F179="NEW"),"",COUNTBLANK(OFFSET(A$1,,,SUMPRODUCT(MAX(ROW(E$2:E179)*(E179=E$2:E179)))))-COUNTBLANK(OFFSET(A$1,,,SUMPRODUCT(MAX(ROW(E$1:E178)*(E2=E$1:E178))))))</f>
        <v> </v>
      </c>
      <c r="K179" s="25" t="str">
        <f>IF(OR(E179="",E179="!!!",F179="NEW"),"",INDEX(J$1:J178,SUMPRODUCT(MAX(ROW(E$1:E178)*(E179=E$1:E178)))))</f>
        <v> </v>
      </c>
      <c r="L179" s="26"/>
    </row>
    <row r="180" spans="1:12">
      <c r="A180" s="20" t="s">
        <v>594</v>
      </c>
      <c r="E180" s="21">
        <f>IF(D180="?OLD","!!!","")</f>
        <v/>
      </c>
      <c r="F180" s="22" t="str">
        <f>IF(OR(E180="",E180="!!!"),"",IF(NOT(ISNA(VLOOKUP(E180,E$1:E179,1,FALSE()))),"OLD",IF(AND(E180&lt;&gt;"",E180&lt;&gt;"!!!"),"NEW","")))</f>
        <v> </v>
      </c>
      <c r="G180" s="23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4" t="str">
        <f>IF(J180&lt;&gt;1,"",IF(I180="SBJ","CB","?"))</f>
        <v> </v>
      </c>
      <c r="I180" s="25" t="str">
        <f>IF(OR(E180="",E180="!!!",F180="NEW"),"",INDEX(B179:B$2,-1+SUMPRODUCT(MAX(ROW(E179:E$2)*(E180=E179:E$2)))))</f>
        <v> </v>
      </c>
      <c r="J180" s="25" t="str">
        <f>IF(OR(E180="",E180="!!!",F180="NEW"),"",COUNTBLANK(OFFSET(A$1,,,SUMPRODUCT(MAX(ROW(E$2:E180)*(E180=E$2:E180)))))-COUNTBLANK(OFFSET(A$1,,,SUMPRODUCT(MAX(ROW(E$1:E179)*(E2=E$1:E179))))))</f>
        <v> </v>
      </c>
      <c r="K180" s="25" t="str">
        <f>IF(OR(E180="",E180="!!!",F180="NEW"),"",INDEX(J$1:J179,SUMPRODUCT(MAX(ROW(E$1:E179)*(E180=E$1:E179)))))</f>
        <v> </v>
      </c>
      <c r="L180" s="26"/>
    </row>
    <row r="181" spans="1:12">
      <c r="A181" s="20" t="s">
        <v>558</v>
      </c>
      <c r="E181" s="21">
        <f>IF(D181="?OLD","!!!","")</f>
        <v/>
      </c>
      <c r="F181" s="22" t="str">
        <f>IF(OR(E181="",E181="!!!"),"",IF(NOT(ISNA(VLOOKUP(E181,E$1:E180,1,FALSE()))),"OLD",IF(AND(E181&lt;&gt;"",E181&lt;&gt;"!!!"),"NEW","")))</f>
        <v> </v>
      </c>
      <c r="G181" s="23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4" t="str">
        <f>IF(J181&lt;&gt;1,"",IF(I181="SBJ","CB","?"))</f>
        <v> </v>
      </c>
      <c r="I181" s="25" t="str">
        <f>IF(OR(E181="",E181="!!!",F181="NEW"),"",INDEX(B180:B$2,-1+SUMPRODUCT(MAX(ROW(E180:E$2)*(E181=E180:E$2)))))</f>
        <v> </v>
      </c>
      <c r="J181" s="25" t="str">
        <f>IF(OR(E181="",E181="!!!",F181="NEW"),"",COUNTBLANK(OFFSET(A$1,,,SUMPRODUCT(MAX(ROW(E$2:E181)*(E181=E$2:E181)))))-COUNTBLANK(OFFSET(A$1,,,SUMPRODUCT(MAX(ROW(E$1:E180)*(E2=E$1:E180))))))</f>
        <v> </v>
      </c>
      <c r="K181" s="25" t="str">
        <f>IF(OR(E181="",E181="!!!",F181="NEW"),"",INDEX(J$1:J180,SUMPRODUCT(MAX(ROW(E$1:E180)*(E181=E$1:E180)))))</f>
        <v> </v>
      </c>
      <c r="L181" s="26"/>
    </row>
    <row r="182" spans="1:12">
      <c r="A182" s="20" t="s">
        <v>492</v>
      </c>
      <c r="E182" s="21">
        <f>IF(D182="?OLD","!!!","")</f>
        <v/>
      </c>
      <c r="F182" s="22" t="str">
        <f>IF(OR(E182="",E182="!!!"),"",IF(NOT(ISNA(VLOOKUP(E182,E$1:E181,1,FALSE()))),"OLD",IF(AND(E182&lt;&gt;"",E182&lt;&gt;"!!!"),"NEW","")))</f>
        <v> </v>
      </c>
      <c r="G182" s="23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4" t="str">
        <f>IF(J182&lt;&gt;1,"",IF(I182="SBJ","CB","?"))</f>
        <v> </v>
      </c>
      <c r="I182" s="25" t="str">
        <f>IF(OR(E182="",E182="!!!",F182="NEW"),"",INDEX(B181:B$2,-1+SUMPRODUCT(MAX(ROW(E181:E$2)*(E182=E181:E$2)))))</f>
        <v> </v>
      </c>
      <c r="J182" s="25" t="str">
        <f>IF(OR(E182="",E182="!!!",F182="NEW"),"",COUNTBLANK(OFFSET(A$1,,,SUMPRODUCT(MAX(ROW(E$2:E182)*(E182=E$2:E182)))))-COUNTBLANK(OFFSET(A$1,,,SUMPRODUCT(MAX(ROW(E$1:E181)*(E2=E$1:E181))))))</f>
        <v> </v>
      </c>
      <c r="K182" s="25" t="str">
        <f>IF(OR(E182="",E182="!!!",F182="NEW"),"",INDEX(J$1:J181,SUMPRODUCT(MAX(ROW(E$1:E181)*(E182=E$1:E181)))))</f>
        <v> </v>
      </c>
      <c r="L182" s="26"/>
    </row>
    <row r="183" spans="1:12">
      <c r="A183" s="20" t="s">
        <v>595</v>
      </c>
      <c r="E183" s="21">
        <f>IF(D183="?OLD","!!!","")</f>
        <v/>
      </c>
      <c r="F183" s="22" t="str">
        <f>IF(OR(E183="",E183="!!!"),"",IF(NOT(ISNA(VLOOKUP(E183,E$1:E182,1,FALSE()))),"OLD",IF(AND(E183&lt;&gt;"",E183&lt;&gt;"!!!"),"NEW","")))</f>
        <v> </v>
      </c>
      <c r="G183" s="23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4" t="str">
        <f>IF(J183&lt;&gt;1,"",IF(I183="SBJ","CB","?"))</f>
        <v> </v>
      </c>
      <c r="I183" s="25" t="str">
        <f>IF(OR(E183="",E183="!!!",F183="NEW"),"",INDEX(B182:B$2,-1+SUMPRODUCT(MAX(ROW(E182:E$2)*(E183=E182:E$2)))))</f>
        <v> </v>
      </c>
      <c r="J183" s="25" t="str">
        <f>IF(OR(E183="",E183="!!!",F183="NEW"),"",COUNTBLANK(OFFSET(A$1,,,SUMPRODUCT(MAX(ROW(E$2:E183)*(E183=E$2:E183)))))-COUNTBLANK(OFFSET(A$1,,,SUMPRODUCT(MAX(ROW(E$1:E182)*(E2=E$1:E182))))))</f>
        <v> </v>
      </c>
      <c r="K183" s="25" t="str">
        <f>IF(OR(E183="",E183="!!!",F183="NEW"),"",INDEX(J$1:J182,SUMPRODUCT(MAX(ROW(E$1:E182)*(E183=E$1:E182)))))</f>
        <v> </v>
      </c>
      <c r="L183" s="26"/>
    </row>
    <row r="184" spans="1:12">
      <c r="A184" s="20" t="s">
        <v>531</v>
      </c>
      <c r="E184" s="21">
        <f>IF(D184="?OLD","!!!","")</f>
        <v/>
      </c>
      <c r="F184" s="22" t="str">
        <f>IF(OR(E184="",E184="!!!"),"",IF(NOT(ISNA(VLOOKUP(E184,E$1:E183,1,FALSE()))),"OLD",IF(AND(E184&lt;&gt;"",E184&lt;&gt;"!!!"),"NEW","")))</f>
        <v> </v>
      </c>
      <c r="G184" s="23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4" t="str">
        <f>IF(J184&lt;&gt;1,"",IF(I184="SBJ","CB","?"))</f>
        <v> </v>
      </c>
      <c r="I184" s="25" t="str">
        <f>IF(OR(E184="",E184="!!!",F184="NEW"),"",INDEX(B183:B$2,-1+SUMPRODUCT(MAX(ROW(E183:E$2)*(E184=E183:E$2)))))</f>
        <v> </v>
      </c>
      <c r="J184" s="25" t="str">
        <f>IF(OR(E184="",E184="!!!",F184="NEW"),"",COUNTBLANK(OFFSET(A$1,,,SUMPRODUCT(MAX(ROW(E$2:E184)*(E184=E$2:E184)))))-COUNTBLANK(OFFSET(A$1,,,SUMPRODUCT(MAX(ROW(E$1:E183)*(E2=E$1:E183))))))</f>
        <v> </v>
      </c>
      <c r="K184" s="25" t="str">
        <f>IF(OR(E184="",E184="!!!",F184="NEW"),"",INDEX(J$1:J183,SUMPRODUCT(MAX(ROW(E$1:E183)*(E184=E$1:E183)))))</f>
        <v> </v>
      </c>
      <c r="L184" s="26"/>
    </row>
    <row r="185" spans="1:12">
      <c r="A185" s="20"/>
    </row>
    <row r="186" spans="1:12">
      <c r="A186" s="20" t="s">
        <v>596</v>
      </c>
    </row>
    <row r="187" spans="1:12">
      <c r="A187" s="20" t="s">
        <v>597</v>
      </c>
      <c r="E187" s="21">
        <f>IF(D187="?OLD","!!!","")</f>
        <v/>
      </c>
      <c r="F187" s="22" t="str">
        <f>IF(OR(E187="",E187="!!!"),"",IF(NOT(ISNA(VLOOKUP(E187,E$1:E186,1,FALSE()))),"OLD",IF(AND(E187&lt;&gt;"",E187&lt;&gt;"!!!"),"NEW","")))</f>
        <v> </v>
      </c>
      <c r="G187" s="23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4" t="str">
        <f>IF(J187&lt;&gt;1,"",IF(I187="SBJ","CB","?"))</f>
        <v> </v>
      </c>
      <c r="I187" s="25" t="str">
        <f>IF(OR(E187="",E187="!!!",F187="NEW"),"",INDEX(B186:B$2,-1+SUMPRODUCT(MAX(ROW(E186:E$2)*(E187=E186:E$2)))))</f>
        <v> </v>
      </c>
      <c r="J187" s="25" t="str">
        <f>IF(OR(E187="",E187="!!!",F187="NEW"),"",COUNTBLANK(OFFSET(A$1,,,SUMPRODUCT(MAX(ROW(E$2:E187)*(E187=E$2:E187)))))-COUNTBLANK(OFFSET(A$1,,,SUMPRODUCT(MAX(ROW(E$1:E186)*(E2=E$1:E186))))))</f>
        <v> </v>
      </c>
      <c r="K187" s="25" t="str">
        <f>IF(OR(E187="",E187="!!!",F187="NEW"),"",INDEX(J$1:J186,SUMPRODUCT(MAX(ROW(E$1:E186)*(E187=E$1:E186)))))</f>
        <v> </v>
      </c>
      <c r="L187" s="26"/>
    </row>
    <row r="188" spans="1:12">
      <c r="A188" s="20" t="s">
        <v>586</v>
      </c>
      <c r="B188" s="27" t="s">
        <v>549</v>
      </c>
      <c r="C188" s="27" t="s">
        <v>598</v>
      </c>
      <c r="D188" s="27" t="s">
        <v>483</v>
      </c>
      <c r="E188" s="21">
        <f>IF(D188="?OLD","!!!","")</f>
        <v/>
      </c>
      <c r="F188" s="22" t="str">
        <f>IF(OR(E188="",E188="!!!"),"",IF(NOT(ISNA(VLOOKUP(E188,E$1:E187,1,FALSE()))),"OLD",IF(AND(E188&lt;&gt;"",E188&lt;&gt;"!!!"),"NEW","")))</f>
        <v> </v>
      </c>
      <c r="G188" s="23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4" t="str">
        <f>IF(J188&lt;&gt;1,"",IF(I188="SBJ","CB","?"))</f>
        <v> </v>
      </c>
      <c r="I188" s="25" t="str">
        <f>IF(OR(E188="",E188="!!!",F188="NEW"),"",INDEX(B187:B$2,-1+SUMPRODUCT(MAX(ROW(E187:E$2)*(E188=E187:E$2)))))</f>
        <v> </v>
      </c>
      <c r="J188" s="25" t="str">
        <f>IF(OR(E188="",E188="!!!",F188="NEW"),"",COUNTBLANK(OFFSET(A$1,,,SUMPRODUCT(MAX(ROW(E$2:E188)*(E188=E$2:E188)))))-COUNTBLANK(OFFSET(A$1,,,SUMPRODUCT(MAX(ROW(E$1:E187)*(E2=E$1:E187))))))</f>
        <v> </v>
      </c>
      <c r="K188" s="25" t="str">
        <f>IF(OR(E188="",E188="!!!",F188="NEW"),"",INDEX(J$1:J187,SUMPRODUCT(MAX(ROW(E$1:E187)*(E188=E$1:E187)))))</f>
        <v> </v>
      </c>
      <c r="L188" s="26"/>
    </row>
    <row r="189" spans="1:12">
      <c r="A189" s="20" t="s">
        <v>599</v>
      </c>
      <c r="E189" s="21">
        <f>IF(D189="?OLD","!!!","")</f>
        <v/>
      </c>
      <c r="F189" s="22" t="str">
        <f>IF(OR(E189="",E189="!!!"),"",IF(NOT(ISNA(VLOOKUP(E189,E$1:E188,1,FALSE()))),"OLD",IF(AND(E189&lt;&gt;"",E189&lt;&gt;"!!!"),"NEW","")))</f>
        <v> </v>
      </c>
      <c r="G189" s="23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4" t="str">
        <f>IF(J189&lt;&gt;1,"",IF(I189="SBJ","CB","?"))</f>
        <v> </v>
      </c>
      <c r="I189" s="25" t="str">
        <f>IF(OR(E189="",E189="!!!",F189="NEW"),"",INDEX(B188:B$2,-1+SUMPRODUCT(MAX(ROW(E188:E$2)*(E189=E188:E$2)))))</f>
        <v> </v>
      </c>
      <c r="J189" s="25" t="str">
        <f>IF(OR(E189="",E189="!!!",F189="NEW"),"",COUNTBLANK(OFFSET(A$1,,,SUMPRODUCT(MAX(ROW(E$2:E189)*(E189=E$2:E189)))))-COUNTBLANK(OFFSET(A$1,,,SUMPRODUCT(MAX(ROW(E$1:E188)*(E2=E$1:E188))))))</f>
        <v> </v>
      </c>
      <c r="K189" s="25" t="str">
        <f>IF(OR(E189="",E189="!!!",F189="NEW"),"",INDEX(J$1:J188,SUMPRODUCT(MAX(ROW(E$1:E188)*(E189=E$1:E188)))))</f>
        <v> </v>
      </c>
      <c r="L189" s="26"/>
    </row>
    <row r="190" spans="1:12">
      <c r="A190" s="20" t="s">
        <v>507</v>
      </c>
      <c r="E190" s="21">
        <f>IF(D190="?OLD","!!!","")</f>
        <v/>
      </c>
      <c r="F190" s="22" t="str">
        <f>IF(OR(E190="",E190="!!!"),"",IF(NOT(ISNA(VLOOKUP(E190,E$1:E189,1,FALSE()))),"OLD",IF(AND(E190&lt;&gt;"",E190&lt;&gt;"!!!"),"NEW","")))</f>
        <v> </v>
      </c>
      <c r="G190" s="23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4" t="str">
        <f>IF(J190&lt;&gt;1,"",IF(I190="SBJ","CB","?"))</f>
        <v> </v>
      </c>
      <c r="I190" s="25" t="str">
        <f>IF(OR(E190="",E190="!!!",F190="NEW"),"",INDEX(B189:B$2,-1+SUMPRODUCT(MAX(ROW(E189:E$2)*(E190=E189:E$2)))))</f>
        <v> </v>
      </c>
      <c r="J190" s="25" t="str">
        <f>IF(OR(E190="",E190="!!!",F190="NEW"),"",COUNTBLANK(OFFSET(A$1,,,SUMPRODUCT(MAX(ROW(E$2:E190)*(E190=E$2:E190)))))-COUNTBLANK(OFFSET(A$1,,,SUMPRODUCT(MAX(ROW(E$1:E189)*(E2=E$1:E189))))))</f>
        <v> </v>
      </c>
      <c r="K190" s="25" t="str">
        <f>IF(OR(E190="",E190="!!!",F190="NEW"),"",INDEX(J$1:J189,SUMPRODUCT(MAX(ROW(E$1:E189)*(E190=E$1:E189)))))</f>
        <v> </v>
      </c>
      <c r="L190" s="26"/>
    </row>
    <row r="191" spans="1:12">
      <c r="A191" s="20" t="s">
        <v>600</v>
      </c>
      <c r="E191" s="21">
        <f>IF(D191="?OLD","!!!","")</f>
        <v/>
      </c>
      <c r="F191" s="22" t="str">
        <f>IF(OR(E191="",E191="!!!"),"",IF(NOT(ISNA(VLOOKUP(E191,E$1:E190,1,FALSE()))),"OLD",IF(AND(E191&lt;&gt;"",E191&lt;&gt;"!!!"),"NEW","")))</f>
        <v> </v>
      </c>
      <c r="G191" s="23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4" t="str">
        <f>IF(J191&lt;&gt;1,"",IF(I191="SBJ","CB","?"))</f>
        <v> </v>
      </c>
      <c r="I191" s="25" t="str">
        <f>IF(OR(E191="",E191="!!!",F191="NEW"),"",INDEX(B190:B$2,-1+SUMPRODUCT(MAX(ROW(E190:E$2)*(E191=E190:E$2)))))</f>
        <v> </v>
      </c>
      <c r="J191" s="25" t="str">
        <f>IF(OR(E191="",E191="!!!",F191="NEW"),"",COUNTBLANK(OFFSET(A$1,,,SUMPRODUCT(MAX(ROW(E$2:E191)*(E191=E$2:E191)))))-COUNTBLANK(OFFSET(A$1,,,SUMPRODUCT(MAX(ROW(E$1:E190)*(E2=E$1:E190))))))</f>
        <v> </v>
      </c>
      <c r="K191" s="25" t="str">
        <f>IF(OR(E191="",E191="!!!",F191="NEW"),"",INDEX(J$1:J190,SUMPRODUCT(MAX(ROW(E$1:E190)*(E191=E$1:E190)))))</f>
        <v> </v>
      </c>
      <c r="L191" s="26"/>
    </row>
    <row r="192" spans="1:12">
      <c r="A192" s="20" t="s">
        <v>508</v>
      </c>
      <c r="E192" s="21">
        <f>IF(D192="?OLD","!!!","")</f>
        <v/>
      </c>
      <c r="F192" s="22" t="str">
        <f>IF(OR(E192="",E192="!!!"),"",IF(NOT(ISNA(VLOOKUP(E192,E$1:E191,1,FALSE()))),"OLD",IF(AND(E192&lt;&gt;"",E192&lt;&gt;"!!!"),"NEW","")))</f>
        <v> </v>
      </c>
      <c r="G192" s="23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4" t="str">
        <f>IF(J192&lt;&gt;1,"",IF(I192="SBJ","CB","?"))</f>
        <v> </v>
      </c>
      <c r="I192" s="25" t="str">
        <f>IF(OR(E192="",E192="!!!",F192="NEW"),"",INDEX(B191:B$2,-1+SUMPRODUCT(MAX(ROW(E191:E$2)*(E192=E191:E$2)))))</f>
        <v> </v>
      </c>
      <c r="J192" s="25" t="str">
        <f>IF(OR(E192="",E192="!!!",F192="NEW"),"",COUNTBLANK(OFFSET(A$1,,,SUMPRODUCT(MAX(ROW(E$2:E192)*(E192=E$2:E192)))))-COUNTBLANK(OFFSET(A$1,,,SUMPRODUCT(MAX(ROW(E$1:E191)*(E2=E$1:E191))))))</f>
        <v> </v>
      </c>
      <c r="K192" s="25" t="str">
        <f>IF(OR(E192="",E192="!!!",F192="NEW"),"",INDEX(J$1:J191,SUMPRODUCT(MAX(ROW(E$1:E191)*(E192=E$1:E191)))))</f>
        <v> </v>
      </c>
      <c r="L192" s="26"/>
    </row>
    <row r="193" spans="1:12">
      <c r="A193" s="20" t="s">
        <v>601</v>
      </c>
      <c r="B193" s="27" t="s">
        <v>477</v>
      </c>
      <c r="C193" s="27" t="s">
        <v>538</v>
      </c>
      <c r="D193" s="27" t="s">
        <v>483</v>
      </c>
      <c r="E193" s="21">
        <f>IF(D193="?OLD","!!!","")</f>
        <v/>
      </c>
      <c r="F193" s="22" t="str">
        <f>IF(OR(E193="",E193="!!!"),"",IF(NOT(ISNA(VLOOKUP(E193,E$1:E192,1,FALSE()))),"OLD",IF(AND(E193&lt;&gt;"",E193&lt;&gt;"!!!"),"NEW","")))</f>
        <v> </v>
      </c>
      <c r="G193" s="23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4" t="str">
        <f>IF(J193&lt;&gt;1,"",IF(I193="SBJ","CB","?"))</f>
        <v> </v>
      </c>
      <c r="I193" s="25" t="str">
        <f>IF(OR(E193="",E193="!!!",F193="NEW"),"",INDEX(B192:B$2,-1+SUMPRODUCT(MAX(ROW(E192:E$2)*(E193=E192:E$2)))))</f>
        <v> </v>
      </c>
      <c r="J193" s="25" t="str">
        <f>IF(OR(E193="",E193="!!!",F193="NEW"),"",COUNTBLANK(OFFSET(A$1,,,SUMPRODUCT(MAX(ROW(E$2:E193)*(E193=E$2:E193)))))-COUNTBLANK(OFFSET(A$1,,,SUMPRODUCT(MAX(ROW(E$1:E192)*(E2=E$1:E192))))))</f>
        <v> </v>
      </c>
      <c r="K193" s="25" t="str">
        <f>IF(OR(E193="",E193="!!!",F193="NEW"),"",INDEX(J$1:J192,SUMPRODUCT(MAX(ROW(E$1:E192)*(E193=E$1:E192)))))</f>
        <v> </v>
      </c>
      <c r="L193" s="26"/>
    </row>
    <row r="194" spans="1:12">
      <c r="A194" s="20" t="s">
        <v>528</v>
      </c>
      <c r="E194" s="21">
        <f>IF(D194="?OLD","!!!","")</f>
        <v/>
      </c>
      <c r="F194" s="22" t="str">
        <f>IF(OR(E194="",E194="!!!"),"",IF(NOT(ISNA(VLOOKUP(E194,E$1:E193,1,FALSE()))),"OLD",IF(AND(E194&lt;&gt;"",E194&lt;&gt;"!!!"),"NEW","")))</f>
        <v> </v>
      </c>
      <c r="G194" s="23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4" t="str">
        <f>IF(J194&lt;&gt;1,"",IF(I194="SBJ","CB","?"))</f>
        <v> </v>
      </c>
      <c r="I194" s="25" t="str">
        <f>IF(OR(E194="",E194="!!!",F194="NEW"),"",INDEX(B193:B$2,-1+SUMPRODUCT(MAX(ROW(E193:E$2)*(E194=E193:E$2)))))</f>
        <v> </v>
      </c>
      <c r="J194" s="25" t="str">
        <f>IF(OR(E194="",E194="!!!",F194="NEW"),"",COUNTBLANK(OFFSET(A$1,,,SUMPRODUCT(MAX(ROW(E$2:E194)*(E194=E$2:E194)))))-COUNTBLANK(OFFSET(A$1,,,SUMPRODUCT(MAX(ROW(E$1:E193)*(E2=E$1:E193))))))</f>
        <v> </v>
      </c>
      <c r="K194" s="25" t="str">
        <f>IF(OR(E194="",E194="!!!",F194="NEW"),"",INDEX(J$1:J193,SUMPRODUCT(MAX(ROW(E$1:E193)*(E194=E$1:E193)))))</f>
        <v> </v>
      </c>
      <c r="L194" s="26"/>
    </row>
    <row r="195" spans="1:12">
      <c r="A195" s="20" t="s">
        <v>587</v>
      </c>
      <c r="B195" s="27" t="s">
        <v>490</v>
      </c>
      <c r="C195" s="27" t="s">
        <v>516</v>
      </c>
      <c r="E195" s="21">
        <f>IF(D195="?OLD","!!!","")</f>
        <v/>
      </c>
      <c r="F195" s="22" t="str">
        <f>IF(OR(E195="",E195="!!!"),"",IF(NOT(ISNA(VLOOKUP(E195,E$1:E194,1,FALSE()))),"OLD",IF(AND(E195&lt;&gt;"",E195&lt;&gt;"!!!"),"NEW","")))</f>
        <v> </v>
      </c>
      <c r="G195" s="23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4" t="str">
        <f>IF(J195&lt;&gt;1,"",IF(I195="SBJ","CB","?"))</f>
        <v> </v>
      </c>
      <c r="I195" s="25" t="str">
        <f>IF(OR(E195="",E195="!!!",F195="NEW"),"",INDEX(B194:B$2,-1+SUMPRODUCT(MAX(ROW(E194:E$2)*(E195=E194:E$2)))))</f>
        <v> </v>
      </c>
      <c r="J195" s="25" t="str">
        <f>IF(OR(E195="",E195="!!!",F195="NEW"),"",COUNTBLANK(OFFSET(A$1,,,SUMPRODUCT(MAX(ROW(E$2:E195)*(E195=E$2:E195)))))-COUNTBLANK(OFFSET(A$1,,,SUMPRODUCT(MAX(ROW(E$1:E194)*(E2=E$1:E194))))))</f>
        <v> </v>
      </c>
      <c r="K195" s="25" t="str">
        <f>IF(OR(E195="",E195="!!!",F195="NEW"),"",INDEX(J$1:J194,SUMPRODUCT(MAX(ROW(E$1:E194)*(E195=E$1:E194)))))</f>
        <v> </v>
      </c>
      <c r="L195" s="26"/>
    </row>
    <row r="196" spans="1:12">
      <c r="A196" s="20" t="s">
        <v>602</v>
      </c>
      <c r="E196" s="21">
        <f>IF(D196="?OLD","!!!","")</f>
        <v/>
      </c>
      <c r="F196" s="22" t="str">
        <f>IF(OR(E196="",E196="!!!"),"",IF(NOT(ISNA(VLOOKUP(E196,E$1:E195,1,FALSE()))),"OLD",IF(AND(E196&lt;&gt;"",E196&lt;&gt;"!!!"),"NEW","")))</f>
        <v> </v>
      </c>
      <c r="G196" s="23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4" t="str">
        <f>IF(J196&lt;&gt;1,"",IF(I196="SBJ","CB","?"))</f>
        <v> </v>
      </c>
      <c r="I196" s="25" t="str">
        <f>IF(OR(E196="",E196="!!!",F196="NEW"),"",INDEX(B195:B$2,-1+SUMPRODUCT(MAX(ROW(E195:E$2)*(E196=E195:E$2)))))</f>
        <v> </v>
      </c>
      <c r="J196" s="25" t="str">
        <f>IF(OR(E196="",E196="!!!",F196="NEW"),"",COUNTBLANK(OFFSET(A$1,,,SUMPRODUCT(MAX(ROW(E$2:E196)*(E196=E$2:E196)))))-COUNTBLANK(OFFSET(A$1,,,SUMPRODUCT(MAX(ROW(E$1:E195)*(E2=E$1:E195))))))</f>
        <v> </v>
      </c>
      <c r="K196" s="25" t="str">
        <f>IF(OR(E196="",E196="!!!",F196="NEW"),"",INDEX(J$1:J195,SUMPRODUCT(MAX(ROW(E$1:E195)*(E196=E$1:E195)))))</f>
        <v> </v>
      </c>
      <c r="L196" s="26"/>
    </row>
    <row r="197" spans="1:12">
      <c r="A197" s="20" t="s">
        <v>603</v>
      </c>
      <c r="B197" s="27" t="s">
        <v>542</v>
      </c>
      <c r="C197" s="27" t="s">
        <v>516</v>
      </c>
      <c r="E197" s="21">
        <f>IF(D197="?OLD","!!!","")</f>
        <v/>
      </c>
      <c r="F197" s="22" t="str">
        <f>IF(OR(E197="",E197="!!!"),"",IF(NOT(ISNA(VLOOKUP(E197,E$1:E196,1,FALSE()))),"OLD",IF(AND(E197&lt;&gt;"",E197&lt;&gt;"!!!"),"NEW","")))</f>
        <v> </v>
      </c>
      <c r="G197" s="23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4" t="str">
        <f>IF(J197&lt;&gt;1,"",IF(I197="SBJ","CB","?"))</f>
        <v> </v>
      </c>
      <c r="I197" s="25" t="str">
        <f>IF(OR(E197="",E197="!!!",F197="NEW"),"",INDEX(B196:B$2,-1+SUMPRODUCT(MAX(ROW(E196:E$2)*(E197=E196:E$2)))))</f>
        <v> </v>
      </c>
      <c r="J197" s="25" t="str">
        <f>IF(OR(E197="",E197="!!!",F197="NEW"),"",COUNTBLANK(OFFSET(A$1,,,SUMPRODUCT(MAX(ROW(E$2:E197)*(E197=E$2:E197)))))-COUNTBLANK(OFFSET(A$1,,,SUMPRODUCT(MAX(ROW(E$1:E196)*(E2=E$1:E196))))))</f>
        <v> </v>
      </c>
      <c r="K197" s="25" t="str">
        <f>IF(OR(E197="",E197="!!!",F197="NEW"),"",INDEX(J$1:J196,SUMPRODUCT(MAX(ROW(E$1:E196)*(E197=E$1:E196)))))</f>
        <v> </v>
      </c>
      <c r="L197" s="26"/>
    </row>
    <row r="198" spans="1:12">
      <c r="A198" s="20" t="s">
        <v>489</v>
      </c>
      <c r="E198" s="21">
        <f>IF(D198="?OLD","!!!","")</f>
        <v/>
      </c>
      <c r="F198" s="22" t="str">
        <f>IF(OR(E198="",E198="!!!"),"",IF(NOT(ISNA(VLOOKUP(E198,E$1:E197,1,FALSE()))),"OLD",IF(AND(E198&lt;&gt;"",E198&lt;&gt;"!!!"),"NEW","")))</f>
        <v> </v>
      </c>
      <c r="G198" s="23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4" t="str">
        <f>IF(J198&lt;&gt;1,"",IF(I198="SBJ","CB","?"))</f>
        <v> </v>
      </c>
      <c r="I198" s="25" t="str">
        <f>IF(OR(E198="",E198="!!!",F198="NEW"),"",INDEX(B197:B$2,-1+SUMPRODUCT(MAX(ROW(E197:E$2)*(E198=E197:E$2)))))</f>
        <v> </v>
      </c>
      <c r="J198" s="25" t="str">
        <f>IF(OR(E198="",E198="!!!",F198="NEW"),"",COUNTBLANK(OFFSET(A$1,,,SUMPRODUCT(MAX(ROW(E$2:E198)*(E198=E$2:E198)))))-COUNTBLANK(OFFSET(A$1,,,SUMPRODUCT(MAX(ROW(E$1:E197)*(E2=E$1:E197))))))</f>
        <v> </v>
      </c>
      <c r="K198" s="25" t="str">
        <f>IF(OR(E198="",E198="!!!",F198="NEW"),"",INDEX(J$1:J197,SUMPRODUCT(MAX(ROW(E$1:E197)*(E198=E$1:E197)))))</f>
        <v> </v>
      </c>
      <c r="L198" s="26"/>
    </row>
    <row r="199" spans="1:12">
      <c r="A199" s="20" t="s">
        <v>484</v>
      </c>
      <c r="E199" s="21">
        <f>IF(D199="?OLD","!!!","")</f>
        <v/>
      </c>
      <c r="F199" s="22" t="str">
        <f>IF(OR(E199="",E199="!!!"),"",IF(NOT(ISNA(VLOOKUP(E199,E$1:E198,1,FALSE()))),"OLD",IF(AND(E199&lt;&gt;"",E199&lt;&gt;"!!!"),"NEW","")))</f>
        <v> </v>
      </c>
      <c r="G199" s="23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4" t="str">
        <f>IF(J199&lt;&gt;1,"",IF(I199="SBJ","CB","?"))</f>
        <v> </v>
      </c>
      <c r="I199" s="25" t="str">
        <f>IF(OR(E199="",E199="!!!",F199="NEW"),"",INDEX(B198:B$2,-1+SUMPRODUCT(MAX(ROW(E198:E$2)*(E199=E198:E$2)))))</f>
        <v> </v>
      </c>
      <c r="J199" s="25" t="str">
        <f>IF(OR(E199="",E199="!!!",F199="NEW"),"",COUNTBLANK(OFFSET(A$1,,,SUMPRODUCT(MAX(ROW(E$2:E199)*(E199=E$2:E199)))))-COUNTBLANK(OFFSET(A$1,,,SUMPRODUCT(MAX(ROW(E$1:E198)*(E2=E$1:E198))))))</f>
        <v> </v>
      </c>
      <c r="K199" s="25" t="str">
        <f>IF(OR(E199="",E199="!!!",F199="NEW"),"",INDEX(J$1:J198,SUMPRODUCT(MAX(ROW(E$1:E198)*(E199=E$1:E198)))))</f>
        <v> </v>
      </c>
      <c r="L199" s="26"/>
    </row>
    <row r="200" spans="1:12">
      <c r="A200" s="20" t="s">
        <v>485</v>
      </c>
      <c r="E200" s="21">
        <f>IF(D200="?OLD","!!!","")</f>
        <v/>
      </c>
      <c r="F200" s="22" t="str">
        <f>IF(OR(E200="",E200="!!!"),"",IF(NOT(ISNA(VLOOKUP(E200,E$1:E199,1,FALSE()))),"OLD",IF(AND(E200&lt;&gt;"",E200&lt;&gt;"!!!"),"NEW","")))</f>
        <v> </v>
      </c>
      <c r="G200" s="23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4" t="str">
        <f>IF(J200&lt;&gt;1,"",IF(I200="SBJ","CB","?"))</f>
        <v> </v>
      </c>
      <c r="I200" s="25" t="str">
        <f>IF(OR(E200="",E200="!!!",F200="NEW"),"",INDEX(B199:B$2,-1+SUMPRODUCT(MAX(ROW(E199:E$2)*(E200=E199:E$2)))))</f>
        <v> </v>
      </c>
      <c r="J200" s="25" t="str">
        <f>IF(OR(E200="",E200="!!!",F200="NEW"),"",COUNTBLANK(OFFSET(A$1,,,SUMPRODUCT(MAX(ROW(E$2:E200)*(E200=E$2:E200)))))-COUNTBLANK(OFFSET(A$1,,,SUMPRODUCT(MAX(ROW(E$1:E199)*(E2=E$1:E199))))))</f>
        <v> </v>
      </c>
      <c r="K200" s="25" t="str">
        <f>IF(OR(E200="",E200="!!!",F200="NEW"),"",INDEX(J$1:J199,SUMPRODUCT(MAX(ROW(E$1:E199)*(E200=E$1:E199)))))</f>
        <v> </v>
      </c>
      <c r="L200" s="26"/>
    </row>
    <row r="201" spans="1:12">
      <c r="A201" s="20" t="s">
        <v>504</v>
      </c>
      <c r="B201" s="27" t="s">
        <v>540</v>
      </c>
      <c r="C201" s="27" t="s">
        <v>487</v>
      </c>
      <c r="D201" s="27" t="s">
        <v>483</v>
      </c>
      <c r="E201" s="21">
        <f>IF(D201="?OLD","!!!","")</f>
        <v/>
      </c>
      <c r="F201" s="22" t="str">
        <f>IF(OR(E201="",E201="!!!"),"",IF(NOT(ISNA(VLOOKUP(E201,E$1:E200,1,FALSE()))),"OLD",IF(AND(E201&lt;&gt;"",E201&lt;&gt;"!!!"),"NEW","")))</f>
        <v> </v>
      </c>
      <c r="G201" s="23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4" t="str">
        <f>IF(J201&lt;&gt;1,"",IF(I201="SBJ","CB","?"))</f>
        <v> </v>
      </c>
      <c r="I201" s="25" t="str">
        <f>IF(OR(E201="",E201="!!!",F201="NEW"),"",INDEX(B200:B$2,-1+SUMPRODUCT(MAX(ROW(E200:E$2)*(E201=E200:E$2)))))</f>
        <v> </v>
      </c>
      <c r="J201" s="25" t="str">
        <f>IF(OR(E201="",E201="!!!",F201="NEW"),"",COUNTBLANK(OFFSET(A$1,,,SUMPRODUCT(MAX(ROW(E$2:E201)*(E201=E$2:E201)))))-COUNTBLANK(OFFSET(A$1,,,SUMPRODUCT(MAX(ROW(E$1:E200)*(E2=E$1:E200))))))</f>
        <v> </v>
      </c>
      <c r="K201" s="25" t="str">
        <f>IF(OR(E201="",E201="!!!",F201="NEW"),"",INDEX(J$1:J200,SUMPRODUCT(MAX(ROW(E$1:E200)*(E201=E$1:E200)))))</f>
        <v> </v>
      </c>
      <c r="L201" s="26"/>
    </row>
    <row r="202" spans="1:12">
      <c r="A202" s="20" t="s">
        <v>604</v>
      </c>
      <c r="E202" s="21">
        <f>IF(D202="?OLD","!!!","")</f>
        <v/>
      </c>
      <c r="F202" s="22" t="str">
        <f>IF(OR(E202="",E202="!!!"),"",IF(NOT(ISNA(VLOOKUP(E202,E$1:E201,1,FALSE()))),"OLD",IF(AND(E202&lt;&gt;"",E202&lt;&gt;"!!!"),"NEW","")))</f>
        <v> </v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4" t="str">
        <f>IF(J202&lt;&gt;1,"",IF(I202="SBJ","CB","?"))</f>
        <v> </v>
      </c>
      <c r="I202" s="25" t="str">
        <f>IF(OR(E202="",E202="!!!",F202="NEW"),"",INDEX(B201:B$2,-1+SUMPRODUCT(MAX(ROW(E201:E$2)*(E202=E201:E$2)))))</f>
        <v> </v>
      </c>
      <c r="J202" s="25" t="str">
        <f>IF(OR(E202="",E202="!!!",F202="NEW"),"",COUNTBLANK(OFFSET(A$1,,,SUMPRODUCT(MAX(ROW(E$2:E202)*(E202=E$2:E202)))))-COUNTBLANK(OFFSET(A$1,,,SUMPRODUCT(MAX(ROW(E$1:E201)*(E2=E$1:E201))))))</f>
        <v> </v>
      </c>
      <c r="K202" s="25" t="str">
        <f>IF(OR(E202="",E202="!!!",F202="NEW"),"",INDEX(J$1:J201,SUMPRODUCT(MAX(ROW(E$1:E201)*(E202=E$1:E201)))))</f>
        <v> </v>
      </c>
      <c r="L202" s="26"/>
    </row>
    <row r="203" spans="1:12">
      <c r="A203" s="20" t="s">
        <v>508</v>
      </c>
      <c r="E203" s="21">
        <f>IF(D203="?OLD","!!!","")</f>
        <v/>
      </c>
      <c r="F203" s="22" t="str">
        <f>IF(OR(E203="",E203="!!!"),"",IF(NOT(ISNA(VLOOKUP(E203,E$1:E202,1,FALSE()))),"OLD",IF(AND(E203&lt;&gt;"",E203&lt;&gt;"!!!"),"NEW","")))</f>
        <v> </v>
      </c>
      <c r="G203" s="23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4" t="str">
        <f>IF(J203&lt;&gt;1,"",IF(I203="SBJ","CB","?"))</f>
        <v> </v>
      </c>
      <c r="I203" s="25" t="str">
        <f>IF(OR(E203="",E203="!!!",F203="NEW"),"",INDEX(B202:B$2,-1+SUMPRODUCT(MAX(ROW(E202:E$2)*(E203=E202:E$2)))))</f>
        <v> </v>
      </c>
      <c r="J203" s="25" t="str">
        <f>IF(OR(E203="",E203="!!!",F203="NEW"),"",COUNTBLANK(OFFSET(A$1,,,SUMPRODUCT(MAX(ROW(E$2:E203)*(E203=E$2:E203)))))-COUNTBLANK(OFFSET(A$1,,,SUMPRODUCT(MAX(ROW(E$1:E202)*(E2=E$1:E202))))))</f>
        <v> </v>
      </c>
      <c r="K203" s="25" t="str">
        <f>IF(OR(E203="",E203="!!!",F203="NEW"),"",INDEX(J$1:J202,SUMPRODUCT(MAX(ROW(E$1:E202)*(E203=E$1:E202)))))</f>
        <v> </v>
      </c>
      <c r="L203" s="26"/>
    </row>
    <row r="204" spans="1:12">
      <c r="A204" s="20" t="s">
        <v>605</v>
      </c>
      <c r="B204" s="27" t="s">
        <v>490</v>
      </c>
      <c r="C204" s="27" t="s">
        <v>538</v>
      </c>
      <c r="D204" s="27" t="s">
        <v>483</v>
      </c>
      <c r="E204" s="21">
        <f>IF(D204="?OLD","!!!","")</f>
        <v/>
      </c>
      <c r="F204" s="22" t="str">
        <f>IF(OR(E204="",E204="!!!"),"",IF(NOT(ISNA(VLOOKUP(E204,E$1:E203,1,FALSE()))),"OLD",IF(AND(E204&lt;&gt;"",E204&lt;&gt;"!!!"),"NEW","")))</f>
        <v> </v>
      </c>
      <c r="G204" s="23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4" t="str">
        <f>IF(J204&lt;&gt;1,"",IF(I204="SBJ","CB","?"))</f>
        <v> </v>
      </c>
      <c r="I204" s="25" t="str">
        <f>IF(OR(E204="",E204="!!!",F204="NEW"),"",INDEX(B203:B$2,-1+SUMPRODUCT(MAX(ROW(E203:E$2)*(E204=E203:E$2)))))</f>
        <v> </v>
      </c>
      <c r="J204" s="25" t="str">
        <f>IF(OR(E204="",E204="!!!",F204="NEW"),"",COUNTBLANK(OFFSET(A$1,,,SUMPRODUCT(MAX(ROW(E$2:E204)*(E204=E$2:E204)))))-COUNTBLANK(OFFSET(A$1,,,SUMPRODUCT(MAX(ROW(E$1:E203)*(E2=E$1:E203))))))</f>
        <v> </v>
      </c>
      <c r="K204" s="25" t="str">
        <f>IF(OR(E204="",E204="!!!",F204="NEW"),"",INDEX(J$1:J203,SUMPRODUCT(MAX(ROW(E$1:E203)*(E204=E$1:E203)))))</f>
        <v> </v>
      </c>
      <c r="L204" s="26"/>
    </row>
    <row r="205" spans="1:12">
      <c r="A205" s="20" t="s">
        <v>199</v>
      </c>
      <c r="E205" s="21">
        <f>IF(D205="?OLD","!!!","")</f>
        <v/>
      </c>
      <c r="F205" s="22" t="str">
        <f>IF(OR(E205="",E205="!!!"),"",IF(NOT(ISNA(VLOOKUP(E205,E$1:E204,1,FALSE()))),"OLD",IF(AND(E205&lt;&gt;"",E205&lt;&gt;"!!!"),"NEW","")))</f>
        <v> </v>
      </c>
      <c r="G205" s="23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4" t="str">
        <f>IF(J205&lt;&gt;1,"",IF(I205="SBJ","CB","?"))</f>
        <v> </v>
      </c>
      <c r="I205" s="25" t="str">
        <f>IF(OR(E205="",E205="!!!",F205="NEW"),"",INDEX(B204:B$2,-1+SUMPRODUCT(MAX(ROW(E204:E$2)*(E205=E204:E$2)))))</f>
        <v> </v>
      </c>
      <c r="J205" s="25" t="str">
        <f>IF(OR(E205="",E205="!!!",F205="NEW"),"",COUNTBLANK(OFFSET(A$1,,,SUMPRODUCT(MAX(ROW(E$2:E205)*(E205=E$2:E205)))))-COUNTBLANK(OFFSET(A$1,,,SUMPRODUCT(MAX(ROW(E$1:E204)*(E2=E$1:E204))))))</f>
        <v> </v>
      </c>
      <c r="K205" s="25" t="str">
        <f>IF(OR(E205="",E205="!!!",F205="NEW"),"",INDEX(J$1:J204,SUMPRODUCT(MAX(ROW(E$1:E204)*(E205=E$1:E204)))))</f>
        <v> </v>
      </c>
      <c r="L205" s="26"/>
    </row>
    <row r="206" spans="1:12">
      <c r="A206" s="20" t="s">
        <v>531</v>
      </c>
      <c r="E206" s="21">
        <f>IF(D206="?OLD","!!!","")</f>
        <v/>
      </c>
      <c r="F206" s="22" t="str">
        <f>IF(OR(E206="",E206="!!!"),"",IF(NOT(ISNA(VLOOKUP(E206,E$1:E205,1,FALSE()))),"OLD",IF(AND(E206&lt;&gt;"",E206&lt;&gt;"!!!"),"NEW","")))</f>
        <v> </v>
      </c>
      <c r="G206" s="23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4" t="str">
        <f>IF(J206&lt;&gt;1,"",IF(I206="SBJ","CB","?"))</f>
        <v> </v>
      </c>
      <c r="I206" s="25" t="str">
        <f>IF(OR(E206="",E206="!!!",F206="NEW"),"",INDEX(B205:B$2,-1+SUMPRODUCT(MAX(ROW(E205:E$2)*(E206=E205:E$2)))))</f>
        <v> </v>
      </c>
      <c r="J206" s="25" t="str">
        <f>IF(OR(E206="",E206="!!!",F206="NEW"),"",COUNTBLANK(OFFSET(A$1,,,SUMPRODUCT(MAX(ROW(E$2:E206)*(E206=E$2:E206)))))-COUNTBLANK(OFFSET(A$1,,,SUMPRODUCT(MAX(ROW(E$1:E205)*(E2=E$1:E205))))))</f>
        <v> </v>
      </c>
      <c r="K206" s="25" t="str">
        <f>IF(OR(E206="",E206="!!!",F206="NEW"),"",INDEX(J$1:J205,SUMPRODUCT(MAX(ROW(E$1:E205)*(E206=E$1:E205)))))</f>
        <v> </v>
      </c>
      <c r="L206" s="26"/>
    </row>
    <row r="207" spans="1:12">
      <c r="A207" s="20"/>
    </row>
    <row r="208" spans="1:12">
      <c r="A208" s="20" t="s">
        <v>606</v>
      </c>
      <c r="E208" s="21">
        <f>IF(D208="?OLD","!!!","")</f>
        <v/>
      </c>
      <c r="F208" s="22" t="str">
        <f>IF(OR(E208="",E208="!!!"),"",IF(NOT(ISNA(VLOOKUP(E208,E$1:E207,1,FALSE()))),"OLD",IF(AND(E208&lt;&gt;"",E208&lt;&gt;"!!!"),"NEW","")))</f>
        <v> </v>
      </c>
      <c r="G208" s="23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4" t="str">
        <f>IF(J208&lt;&gt;1,"",IF(I208="SBJ","CB","?"))</f>
        <v> </v>
      </c>
      <c r="I208" s="25" t="str">
        <f>IF(OR(E208="",E208="!!!",F208="NEW"),"",INDEX(B207:B$2,-1+SUMPRODUCT(MAX(ROW(E207:E$2)*(E208=E207:E$2)))))</f>
        <v> </v>
      </c>
      <c r="J208" s="25" t="str">
        <f>IF(OR(E208="",E208="!!!",F208="NEW"),"",COUNTBLANK(OFFSET(A$1,,,SUMPRODUCT(MAX(ROW(E$2:E208)*(E208=E$2:E208)))))-COUNTBLANK(OFFSET(A$1,,,SUMPRODUCT(MAX(ROW(E$1:E207)*(E2=E$1:E207))))))</f>
        <v> </v>
      </c>
      <c r="K208" s="25" t="str">
        <f>IF(OR(E208="",E208="!!!",F208="NEW"),"",INDEX(J$1:J207,SUMPRODUCT(MAX(ROW(E$1:E207)*(E208=E$1:E207)))))</f>
        <v> </v>
      </c>
      <c r="L208" s="26"/>
    </row>
    <row r="209" spans="1:12">
      <c r="A209" s="20" t="s">
        <v>607</v>
      </c>
    </row>
    <row r="210" spans="1:12">
      <c r="A210" s="20" t="s">
        <v>608</v>
      </c>
      <c r="B210" s="27" t="s">
        <v>549</v>
      </c>
      <c r="C210" s="27" t="s">
        <v>482</v>
      </c>
      <c r="D210" s="27" t="s">
        <v>483</v>
      </c>
      <c r="E210" s="21">
        <f>IF(D210="?OLD","!!!","")</f>
        <v/>
      </c>
      <c r="F210" s="22" t="str">
        <f>IF(OR(E210="",E210="!!!"),"",IF(NOT(ISNA(VLOOKUP(E210,E$1:E209,1,FALSE()))),"OLD",IF(AND(E210&lt;&gt;"",E210&lt;&gt;"!!!"),"NEW","")))</f>
        <v> </v>
      </c>
      <c r="G210" s="23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4" t="str">
        <f>IF(J210&lt;&gt;1,"",IF(I210="SBJ","CB","?"))</f>
        <v> </v>
      </c>
      <c r="I210" s="25" t="str">
        <f>IF(OR(E210="",E210="!!!",F210="NEW"),"",INDEX(B209:B$2,-1+SUMPRODUCT(MAX(ROW(E209:E$2)*(E210=E209:E$2)))))</f>
        <v> </v>
      </c>
      <c r="J210" s="25" t="str">
        <f>IF(OR(E210="",E210="!!!",F210="NEW"),"",COUNTBLANK(OFFSET(A$1,,,SUMPRODUCT(MAX(ROW(E$2:E210)*(E210=E$2:E210)))))-COUNTBLANK(OFFSET(A$1,,,SUMPRODUCT(MAX(ROW(E$1:E209)*(E2=E$1:E209))))))</f>
        <v> </v>
      </c>
      <c r="K210" s="25" t="str">
        <f>IF(OR(E210="",E210="!!!",F210="NEW"),"",INDEX(J$1:J209,SUMPRODUCT(MAX(ROW(E$1:E209)*(E210=E$1:E209)))))</f>
        <v> </v>
      </c>
      <c r="L210" s="26"/>
    </row>
    <row r="211" spans="1:12">
      <c r="A211" s="20" t="s">
        <v>609</v>
      </c>
      <c r="E211" s="21">
        <f>IF(D211="?OLD","!!!","")</f>
        <v/>
      </c>
      <c r="F211" s="22" t="str">
        <f>IF(OR(E211="",E211="!!!"),"",IF(NOT(ISNA(VLOOKUP(E211,E$1:E210,1,FALSE()))),"OLD",IF(AND(E211&lt;&gt;"",E211&lt;&gt;"!!!"),"NEW","")))</f>
        <v> </v>
      </c>
      <c r="G211" s="23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4" t="str">
        <f>IF(J211&lt;&gt;1,"",IF(I211="SBJ","CB","?"))</f>
        <v> </v>
      </c>
      <c r="I211" s="25" t="str">
        <f>IF(OR(E211="",E211="!!!",F211="NEW"),"",INDEX(B210:B$2,-1+SUMPRODUCT(MAX(ROW(E210:E$2)*(E211=E210:E$2)))))</f>
        <v> </v>
      </c>
      <c r="J211" s="25" t="str">
        <f>IF(OR(E211="",E211="!!!",F211="NEW"),"",COUNTBLANK(OFFSET(A$1,,,SUMPRODUCT(MAX(ROW(E$2:E211)*(E211=E$2:E211)))))-COUNTBLANK(OFFSET(A$1,,,SUMPRODUCT(MAX(ROW(E$1:E210)*(E2=E$1:E210))))))</f>
        <v> </v>
      </c>
      <c r="K211" s="25" t="str">
        <f>IF(OR(E211="",E211="!!!",F211="NEW"),"",INDEX(J$1:J210,SUMPRODUCT(MAX(ROW(E$1:E210)*(E211=E$1:E210)))))</f>
        <v> </v>
      </c>
      <c r="L211" s="26"/>
    </row>
    <row r="212" spans="1:12">
      <c r="A212" s="20" t="s">
        <v>485</v>
      </c>
      <c r="B212" s="27" t="s">
        <v>481</v>
      </c>
      <c r="C212" s="27" t="s">
        <v>482</v>
      </c>
      <c r="D212" s="27" t="s">
        <v>483</v>
      </c>
      <c r="E212" s="21">
        <f>IF(D212="?OLD","!!!","")</f>
        <v/>
      </c>
      <c r="F212" s="22" t="str">
        <f>IF(OR(E212="",E212="!!!"),"",IF(NOT(ISNA(VLOOKUP(E212,E$1:E211,1,FALSE()))),"OLD",IF(AND(E212&lt;&gt;"",E212&lt;&gt;"!!!"),"NEW","")))</f>
        <v> </v>
      </c>
      <c r="G212" s="23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4" t="str">
        <f>IF(J212&lt;&gt;1,"",IF(I212="SBJ","CB","?"))</f>
        <v> </v>
      </c>
      <c r="I212" s="25" t="str">
        <f>IF(OR(E212="",E212="!!!",F212="NEW"),"",INDEX(B211:B$2,-1+SUMPRODUCT(MAX(ROW(E211:E$2)*(E212=E211:E$2)))))</f>
        <v> </v>
      </c>
      <c r="J212" s="25" t="str">
        <f>IF(OR(E212="",E212="!!!",F212="NEW"),"",COUNTBLANK(OFFSET(A$1,,,SUMPRODUCT(MAX(ROW(E$2:E212)*(E212=E$2:E212)))))-COUNTBLANK(OFFSET(A$1,,,SUMPRODUCT(MAX(ROW(E$1:E211)*(E2=E$1:E211))))))</f>
        <v> </v>
      </c>
      <c r="K212" s="25" t="str">
        <f>IF(OR(E212="",E212="!!!",F212="NEW"),"",INDEX(J$1:J211,SUMPRODUCT(MAX(ROW(E$1:E211)*(E212=E$1:E211)))))</f>
        <v> </v>
      </c>
      <c r="L212" s="26"/>
    </row>
    <row r="213" spans="1:12">
      <c r="A213" s="20" t="s">
        <v>507</v>
      </c>
      <c r="E213" s="21">
        <f>IF(D213="?OLD","!!!","")</f>
        <v/>
      </c>
      <c r="F213" s="22" t="str">
        <f>IF(OR(E213="",E213="!!!"),"",IF(NOT(ISNA(VLOOKUP(E213,E$1:E212,1,FALSE()))),"OLD",IF(AND(E213&lt;&gt;"",E213&lt;&gt;"!!!"),"NEW","")))</f>
        <v> </v>
      </c>
      <c r="G213" s="23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4" t="str">
        <f>IF(J213&lt;&gt;1,"",IF(I213="SBJ","CB","?"))</f>
        <v> </v>
      </c>
      <c r="I213" s="25" t="str">
        <f>IF(OR(E213="",E213="!!!",F213="NEW"),"",INDEX(B212:B$2,-1+SUMPRODUCT(MAX(ROW(E212:E$2)*(E213=E212:E$2)))))</f>
        <v> </v>
      </c>
      <c r="J213" s="25" t="str">
        <f>IF(OR(E213="",E213="!!!",F213="NEW"),"",COUNTBLANK(OFFSET(A$1,,,SUMPRODUCT(MAX(ROW(E$2:E213)*(E213=E$2:E213)))))-COUNTBLANK(OFFSET(A$1,,,SUMPRODUCT(MAX(ROW(E$1:E212)*(E2=E$1:E212))))))</f>
        <v> </v>
      </c>
      <c r="K213" s="25" t="str">
        <f>IF(OR(E213="",E213="!!!",F213="NEW"),"",INDEX(J$1:J212,SUMPRODUCT(MAX(ROW(E$1:E212)*(E213=E$1:E212)))))</f>
        <v> </v>
      </c>
      <c r="L213" s="26"/>
    </row>
    <row r="214" spans="1:12">
      <c r="A214" s="20" t="s">
        <v>485</v>
      </c>
      <c r="E214" s="21">
        <f>IF(D214="?OLD","!!!","")</f>
        <v/>
      </c>
      <c r="F214" s="22" t="str">
        <f>IF(OR(E214="",E214="!!!"),"",IF(NOT(ISNA(VLOOKUP(E214,E$1:E213,1,FALSE()))),"OLD",IF(AND(E214&lt;&gt;"",E214&lt;&gt;"!!!"),"NEW","")))</f>
        <v> </v>
      </c>
      <c r="G214" s="23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4" t="str">
        <f>IF(J214&lt;&gt;1,"",IF(I214="SBJ","CB","?"))</f>
        <v> </v>
      </c>
      <c r="I214" s="25" t="str">
        <f>IF(OR(E214="",E214="!!!",F214="NEW"),"",INDEX(B213:B$2,-1+SUMPRODUCT(MAX(ROW(E213:E$2)*(E214=E213:E$2)))))</f>
        <v> </v>
      </c>
      <c r="J214" s="25" t="str">
        <f>IF(OR(E214="",E214="!!!",F214="NEW"),"",COUNTBLANK(OFFSET(A$1,,,SUMPRODUCT(MAX(ROW(E$2:E214)*(E214=E$2:E214)))))-COUNTBLANK(OFFSET(A$1,,,SUMPRODUCT(MAX(ROW(E$1:E213)*(E2=E$1:E213))))))</f>
        <v> </v>
      </c>
      <c r="K214" s="25" t="str">
        <f>IF(OR(E214="",E214="!!!",F214="NEW"),"",INDEX(J$1:J213,SUMPRODUCT(MAX(ROW(E$1:E213)*(E214=E$1:E213)))))</f>
        <v> </v>
      </c>
      <c r="L214" s="26"/>
    </row>
    <row r="215" spans="1:12">
      <c r="A215" s="20" t="s">
        <v>610</v>
      </c>
      <c r="E215" s="21">
        <f>IF(D215="?OLD","!!!","")</f>
        <v/>
      </c>
      <c r="F215" s="22" t="str">
        <f>IF(OR(E215="",E215="!!!"),"",IF(NOT(ISNA(VLOOKUP(E215,E$1:E214,1,FALSE()))),"OLD",IF(AND(E215&lt;&gt;"",E215&lt;&gt;"!!!"),"NEW","")))</f>
        <v> </v>
      </c>
      <c r="G215" s="23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4" t="str">
        <f>IF(J215&lt;&gt;1,"",IF(I215="SBJ","CB","?"))</f>
        <v> </v>
      </c>
      <c r="I215" s="25" t="str">
        <f>IF(OR(E215="",E215="!!!",F215="NEW"),"",INDEX(B214:B$2,-1+SUMPRODUCT(MAX(ROW(E214:E$2)*(E215=E214:E$2)))))</f>
        <v> </v>
      </c>
      <c r="J215" s="25" t="str">
        <f>IF(OR(E215="",E215="!!!",F215="NEW"),"",COUNTBLANK(OFFSET(A$1,,,SUMPRODUCT(MAX(ROW(E$2:E215)*(E215=E$2:E215)))))-COUNTBLANK(OFFSET(A$1,,,SUMPRODUCT(MAX(ROW(E$1:E214)*(E2=E$1:E214))))))</f>
        <v> </v>
      </c>
      <c r="K215" s="25" t="str">
        <f>IF(OR(E215="",E215="!!!",F215="NEW"),"",INDEX(J$1:J214,SUMPRODUCT(MAX(ROW(E$1:E214)*(E215=E$1:E214)))))</f>
        <v> </v>
      </c>
      <c r="L215" s="26"/>
    </row>
    <row r="216" spans="1:12">
      <c r="A216" s="20" t="s">
        <v>611</v>
      </c>
      <c r="B216" s="27" t="s">
        <v>477</v>
      </c>
      <c r="C216" s="27" t="s">
        <v>612</v>
      </c>
      <c r="D216" s="27" t="s">
        <v>483</v>
      </c>
      <c r="E216" s="21">
        <f>IF(D216="?OLD","!!!","")</f>
        <v/>
      </c>
      <c r="F216" s="22" t="str">
        <f>IF(OR(E216="",E216="!!!"),"",IF(NOT(ISNA(VLOOKUP(E216,E$1:E215,1,FALSE()))),"OLD",IF(AND(E216&lt;&gt;"",E216&lt;&gt;"!!!"),"NEW","")))</f>
        <v> </v>
      </c>
      <c r="G216" s="23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4" t="str">
        <f>IF(J216&lt;&gt;1,"",IF(I216="SBJ","CB","?"))</f>
        <v> </v>
      </c>
      <c r="I216" s="25" t="str">
        <f>IF(OR(E216="",E216="!!!",F216="NEW"),"",INDEX(B215:B$2,-1+SUMPRODUCT(MAX(ROW(E215:E$2)*(E216=E215:E$2)))))</f>
        <v> </v>
      </c>
      <c r="J216" s="25" t="str">
        <f>IF(OR(E216="",E216="!!!",F216="NEW"),"",COUNTBLANK(OFFSET(A$1,,,SUMPRODUCT(MAX(ROW(E$2:E216)*(E216=E$2:E216)))))-COUNTBLANK(OFFSET(A$1,,,SUMPRODUCT(MAX(ROW(E$1:E215)*(E2=E$1:E215))))))</f>
        <v> </v>
      </c>
      <c r="K216" s="25" t="str">
        <f>IF(OR(E216="",E216="!!!",F216="NEW"),"",INDEX(J$1:J215,SUMPRODUCT(MAX(ROW(E$1:E215)*(E216=E$1:E215)))))</f>
        <v> </v>
      </c>
      <c r="L216" s="26"/>
    </row>
    <row r="217" spans="1:12">
      <c r="A217" s="20" t="s">
        <v>613</v>
      </c>
      <c r="B217" s="27" t="s">
        <v>490</v>
      </c>
      <c r="C217" s="27" t="s">
        <v>612</v>
      </c>
      <c r="D217" s="27" t="s">
        <v>483</v>
      </c>
      <c r="E217" s="21">
        <f>IF(D217="?OLD","!!!","")</f>
        <v/>
      </c>
      <c r="F217" s="22" t="str">
        <f>IF(OR(E217="",E217="!!!"),"",IF(NOT(ISNA(VLOOKUP(E217,E$1:E216,1,FALSE()))),"OLD",IF(AND(E217&lt;&gt;"",E217&lt;&gt;"!!!"),"NEW","")))</f>
        <v> </v>
      </c>
      <c r="G217" s="23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4" t="str">
        <f>IF(J217&lt;&gt;1,"",IF(I217="SBJ","CB","?"))</f>
        <v> </v>
      </c>
      <c r="I217" s="25" t="str">
        <f>IF(OR(E217="",E217="!!!",F217="NEW"),"",INDEX(B216:B$2,-1+SUMPRODUCT(MAX(ROW(E216:E$2)*(E217=E216:E$2)))))</f>
        <v> </v>
      </c>
      <c r="J217" s="25" t="str">
        <f>IF(OR(E217="",E217="!!!",F217="NEW"),"",COUNTBLANK(OFFSET(A$1,,,SUMPRODUCT(MAX(ROW(E$2:E217)*(E217=E$2:E217)))))-COUNTBLANK(OFFSET(A$1,,,SUMPRODUCT(MAX(ROW(E$1:E216)*(E2=E$1:E216))))))</f>
        <v> </v>
      </c>
      <c r="K217" s="25" t="str">
        <f>IF(OR(E217="",E217="!!!",F217="NEW"),"",INDEX(J$1:J216,SUMPRODUCT(MAX(ROW(E$1:E216)*(E217=E$1:E216)))))</f>
        <v> </v>
      </c>
      <c r="L217" s="26"/>
    </row>
    <row r="218" spans="1:12">
      <c r="A218" s="20" t="s">
        <v>614</v>
      </c>
      <c r="B218" s="27" t="s">
        <v>490</v>
      </c>
      <c r="C218" s="27" t="s">
        <v>612</v>
      </c>
      <c r="D218" s="27" t="s">
        <v>483</v>
      </c>
      <c r="E218" s="21">
        <f>IF(D218="?OLD","!!!","")</f>
        <v/>
      </c>
      <c r="F218" s="22" t="str">
        <f>IF(OR(E218="",E218="!!!"),"",IF(NOT(ISNA(VLOOKUP(E218,E$1:E217,1,FALSE()))),"OLD",IF(AND(E218&lt;&gt;"",E218&lt;&gt;"!!!"),"NEW","")))</f>
        <v> </v>
      </c>
      <c r="G218" s="23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4" t="str">
        <f>IF(J218&lt;&gt;1,"",IF(I218="SBJ","CB","?"))</f>
        <v> </v>
      </c>
      <c r="I218" s="25" t="str">
        <f>IF(OR(E218="",E218="!!!",F218="NEW"),"",INDEX(B217:B$2,-1+SUMPRODUCT(MAX(ROW(E217:E$2)*(E218=E217:E$2)))))</f>
        <v> </v>
      </c>
      <c r="J218" s="25" t="str">
        <f>IF(OR(E218="",E218="!!!",F218="NEW"),"",COUNTBLANK(OFFSET(A$1,,,SUMPRODUCT(MAX(ROW(E$2:E218)*(E218=E$2:E218)))))-COUNTBLANK(OFFSET(A$1,,,SUMPRODUCT(MAX(ROW(E$1:E217)*(E2=E$1:E217))))))</f>
        <v> </v>
      </c>
      <c r="K218" s="25" t="str">
        <f>IF(OR(E218="",E218="!!!",F218="NEW"),"",INDEX(J$1:J217,SUMPRODUCT(MAX(ROW(E$1:E217)*(E218=E$1:E217)))))</f>
        <v> </v>
      </c>
      <c r="L218" s="26"/>
    </row>
    <row r="219" spans="1:12">
      <c r="A219" s="20" t="s">
        <v>610</v>
      </c>
      <c r="E219" s="21">
        <f>IF(D219="?OLD","!!!","")</f>
        <v/>
      </c>
      <c r="F219" s="22" t="str">
        <f>IF(OR(E219="",E219="!!!"),"",IF(NOT(ISNA(VLOOKUP(E219,E$1:E218,1,FALSE()))),"OLD",IF(AND(E219&lt;&gt;"",E219&lt;&gt;"!!!"),"NEW","")))</f>
        <v> </v>
      </c>
      <c r="G219" s="23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4" t="str">
        <f>IF(J219&lt;&gt;1,"",IF(I219="SBJ","CB","?"))</f>
        <v> </v>
      </c>
      <c r="I219" s="25" t="str">
        <f>IF(OR(E219="",E219="!!!",F219="NEW"),"",INDEX(B218:B$2,-1+SUMPRODUCT(MAX(ROW(E218:E$2)*(E219=E218:E$2)))))</f>
        <v> </v>
      </c>
      <c r="J219" s="25" t="str">
        <f>IF(OR(E219="",E219="!!!",F219="NEW"),"",COUNTBLANK(OFFSET(A$1,,,SUMPRODUCT(MAX(ROW(E$2:E219)*(E219=E$2:E219)))))-COUNTBLANK(OFFSET(A$1,,,SUMPRODUCT(MAX(ROW(E$1:E218)*(E2=E$1:E218))))))</f>
        <v> </v>
      </c>
      <c r="K219" s="25" t="str">
        <f>IF(OR(E219="",E219="!!!",F219="NEW"),"",INDEX(J$1:J218,SUMPRODUCT(MAX(ROW(E$1:E218)*(E219=E$1:E218)))))</f>
        <v> </v>
      </c>
      <c r="L219" s="26"/>
    </row>
    <row r="220" spans="1:12">
      <c r="A220" s="20" t="s">
        <v>507</v>
      </c>
      <c r="E220" s="21">
        <f>IF(D220="?OLD","!!!","")</f>
        <v/>
      </c>
      <c r="F220" s="22" t="str">
        <f>IF(OR(E220="",E220="!!!"),"",IF(NOT(ISNA(VLOOKUP(E220,E$1:E219,1,FALSE()))),"OLD",IF(AND(E220&lt;&gt;"",E220&lt;&gt;"!!!"),"NEW","")))</f>
        <v> </v>
      </c>
      <c r="G220" s="23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4" t="str">
        <f>IF(J220&lt;&gt;1,"",IF(I220="SBJ","CB","?"))</f>
        <v> </v>
      </c>
      <c r="I220" s="25" t="str">
        <f>IF(OR(E220="",E220="!!!",F220="NEW"),"",INDEX(B219:B$2,-1+SUMPRODUCT(MAX(ROW(E219:E$2)*(E220=E219:E$2)))))</f>
        <v> </v>
      </c>
      <c r="J220" s="25" t="str">
        <f>IF(OR(E220="",E220="!!!",F220="NEW"),"",COUNTBLANK(OFFSET(A$1,,,SUMPRODUCT(MAX(ROW(E$2:E220)*(E220=E$2:E220)))))-COUNTBLANK(OFFSET(A$1,,,SUMPRODUCT(MAX(ROW(E$1:E219)*(E2=E$1:E219))))))</f>
        <v> </v>
      </c>
      <c r="K220" s="25" t="str">
        <f>IF(OR(E220="",E220="!!!",F220="NEW"),"",INDEX(J$1:J219,SUMPRODUCT(MAX(ROW(E$1:E219)*(E220=E$1:E219)))))</f>
        <v> </v>
      </c>
      <c r="L220" s="26"/>
    </row>
    <row r="221" spans="1:12">
      <c r="A221" s="20" t="s">
        <v>508</v>
      </c>
      <c r="E221" s="21">
        <f>IF(D221="?OLD","!!!","")</f>
        <v/>
      </c>
      <c r="F221" s="22" t="str">
        <f>IF(OR(E221="",E221="!!!"),"",IF(NOT(ISNA(VLOOKUP(E221,E$1:E220,1,FALSE()))),"OLD",IF(AND(E221&lt;&gt;"",E221&lt;&gt;"!!!"),"NEW","")))</f>
        <v> </v>
      </c>
      <c r="G221" s="23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4" t="str">
        <f>IF(J221&lt;&gt;1,"",IF(I221="SBJ","CB","?"))</f>
        <v> </v>
      </c>
      <c r="I221" s="25" t="str">
        <f>IF(OR(E221="",E221="!!!",F221="NEW"),"",INDEX(B220:B$2,-1+SUMPRODUCT(MAX(ROW(E220:E$2)*(E221=E220:E$2)))))</f>
        <v> </v>
      </c>
      <c r="J221" s="25" t="str">
        <f>IF(OR(E221="",E221="!!!",F221="NEW"),"",COUNTBLANK(OFFSET(A$1,,,SUMPRODUCT(MAX(ROW(E$2:E221)*(E221=E$2:E221)))))-COUNTBLANK(OFFSET(A$1,,,SUMPRODUCT(MAX(ROW(E$1:E220)*(E2=E$1:E220))))))</f>
        <v> </v>
      </c>
      <c r="K221" s="25" t="str">
        <f>IF(OR(E221="",E221="!!!",F221="NEW"),"",INDEX(J$1:J220,SUMPRODUCT(MAX(ROW(E$1:E220)*(E221=E$1:E220)))))</f>
        <v> </v>
      </c>
      <c r="L221" s="26"/>
    </row>
    <row r="222" spans="1:12">
      <c r="A222" s="20" t="s">
        <v>605</v>
      </c>
      <c r="B222" s="27" t="s">
        <v>490</v>
      </c>
      <c r="C222" s="27" t="s">
        <v>615</v>
      </c>
      <c r="D222" s="27" t="s">
        <v>483</v>
      </c>
      <c r="E222" s="21">
        <f>IF(D222="?OLD","!!!","")</f>
        <v/>
      </c>
      <c r="F222" s="22" t="str">
        <f>IF(OR(E222="",E222="!!!"),"",IF(NOT(ISNA(VLOOKUP(E222,E$1:E221,1,FALSE()))),"OLD",IF(AND(E222&lt;&gt;"",E222&lt;&gt;"!!!"),"NEW","")))</f>
        <v> </v>
      </c>
      <c r="G222" s="23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4" t="str">
        <f>IF(J222&lt;&gt;1,"",IF(I222="SBJ","CB","?"))</f>
        <v> </v>
      </c>
      <c r="I222" s="25" t="str">
        <f>IF(OR(E222="",E222="!!!",F222="NEW"),"",INDEX(B221:B$2,-1+SUMPRODUCT(MAX(ROW(E221:E$2)*(E222=E221:E$2)))))</f>
        <v> </v>
      </c>
      <c r="J222" s="25" t="str">
        <f>IF(OR(E222="",E222="!!!",F222="NEW"),"",COUNTBLANK(OFFSET(A$1,,,SUMPRODUCT(MAX(ROW(E$2:E222)*(E222=E$2:E222)))))-COUNTBLANK(OFFSET(A$1,,,SUMPRODUCT(MAX(ROW(E$1:E221)*(E2=E$1:E221))))))</f>
        <v> </v>
      </c>
      <c r="K222" s="25" t="str">
        <f>IF(OR(E222="",E222="!!!",F222="NEW"),"",INDEX(J$1:J221,SUMPRODUCT(MAX(ROW(E$1:E221)*(E222=E$1:E221)))))</f>
        <v> </v>
      </c>
      <c r="L222" s="26"/>
    </row>
    <row r="223" spans="1:12">
      <c r="A223" s="20" t="s">
        <v>270</v>
      </c>
      <c r="E223" s="21">
        <f>IF(D223="?OLD","!!!","")</f>
        <v/>
      </c>
      <c r="F223" s="22" t="str">
        <f>IF(OR(E223="",E223="!!!"),"",IF(NOT(ISNA(VLOOKUP(E223,E$1:E222,1,FALSE()))),"OLD",IF(AND(E223&lt;&gt;"",E223&lt;&gt;"!!!"),"NEW","")))</f>
        <v> </v>
      </c>
      <c r="G223" s="23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4" t="str">
        <f>IF(J223&lt;&gt;1,"",IF(I223="SBJ","CB","?"))</f>
        <v> </v>
      </c>
      <c r="I223" s="25" t="str">
        <f>IF(OR(E223="",E223="!!!",F223="NEW"),"",INDEX(B222:B$2,-1+SUMPRODUCT(MAX(ROW(E222:E$2)*(E223=E222:E$2)))))</f>
        <v> </v>
      </c>
      <c r="J223" s="25" t="str">
        <f>IF(OR(E223="",E223="!!!",F223="NEW"),"",COUNTBLANK(OFFSET(A$1,,,SUMPRODUCT(MAX(ROW(E$2:E223)*(E223=E$2:E223)))))-COUNTBLANK(OFFSET(A$1,,,SUMPRODUCT(MAX(ROW(E$1:E222)*(E2=E$1:E222))))))</f>
        <v> </v>
      </c>
      <c r="K223" s="25" t="str">
        <f>IF(OR(E223="",E223="!!!",F223="NEW"),"",INDEX(J$1:J222,SUMPRODUCT(MAX(ROW(E$1:E222)*(E223=E$1:E222)))))</f>
        <v> </v>
      </c>
      <c r="L223" s="26"/>
    </row>
    <row r="224" spans="1:12">
      <c r="A224" s="20" t="s">
        <v>531</v>
      </c>
      <c r="E224" s="21">
        <f>IF(D224="?OLD","!!!","")</f>
        <v/>
      </c>
      <c r="F224" s="22" t="str">
        <f>IF(OR(E224="",E224="!!!"),"",IF(NOT(ISNA(VLOOKUP(E224,E$1:E223,1,FALSE()))),"OLD",IF(AND(E224&lt;&gt;"",E224&lt;&gt;"!!!"),"NEW","")))</f>
        <v> </v>
      </c>
      <c r="G224" s="23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4" t="str">
        <f>IF(J224&lt;&gt;1,"",IF(I224="SBJ","CB","?"))</f>
        <v> </v>
      </c>
      <c r="I224" s="25" t="str">
        <f>IF(OR(E224="",E224="!!!",F224="NEW"),"",INDEX(B223:B$2,-1+SUMPRODUCT(MAX(ROW(E223:E$2)*(E224=E223:E$2)))))</f>
        <v> </v>
      </c>
      <c r="J224" s="25" t="str">
        <f>IF(OR(E224="",E224="!!!",F224="NEW"),"",COUNTBLANK(OFFSET(A$1,,,SUMPRODUCT(MAX(ROW(E$2:E224)*(E224=E$2:E224)))))-COUNTBLANK(OFFSET(A$1,,,SUMPRODUCT(MAX(ROW(E$1:E223)*(E2=E$1:E223))))))</f>
        <v> </v>
      </c>
      <c r="K224" s="25" t="str">
        <f>IF(OR(E224="",E224="!!!",F224="NEW"),"",INDEX(J$1:J223,SUMPRODUCT(MAX(ROW(E$1:E223)*(E224=E$1:E223)))))</f>
        <v> </v>
      </c>
      <c r="L224" s="26"/>
    </row>
    <row r="225" spans="1:12">
      <c r="A225" s="20"/>
    </row>
    <row r="226" spans="1:12">
      <c r="A226" s="20" t="s">
        <v>616</v>
      </c>
    </row>
    <row r="227" spans="1:12">
      <c r="A227" s="20" t="s">
        <v>617</v>
      </c>
      <c r="E227" s="21">
        <f>IF(D227="?OLD","!!!","")</f>
        <v/>
      </c>
      <c r="F227" s="22" t="str">
        <f>IF(OR(E227="",E227="!!!"),"",IF(NOT(ISNA(VLOOKUP(E227,E$1:E226,1,FALSE()))),"OLD",IF(AND(E227&lt;&gt;"",E227&lt;&gt;"!!!"),"NEW","")))</f>
        <v> </v>
      </c>
      <c r="G227" s="23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4" t="str">
        <f>IF(J227&lt;&gt;1,"",IF(I227="SBJ","CB","?"))</f>
        <v> </v>
      </c>
      <c r="I227" s="25" t="str">
        <f>IF(OR(E227="",E227="!!!",F227="NEW"),"",INDEX(B226:B$2,-1+SUMPRODUCT(MAX(ROW(E226:E$2)*(E227=E226:E$2)))))</f>
        <v> </v>
      </c>
      <c r="J227" s="25" t="str">
        <f>IF(OR(E227="",E227="!!!",F227="NEW"),"",COUNTBLANK(OFFSET(A$1,,,SUMPRODUCT(MAX(ROW(E$2:E227)*(E227=E$2:E227)))))-COUNTBLANK(OFFSET(A$1,,,SUMPRODUCT(MAX(ROW(E$1:E226)*(E2=E$1:E226))))))</f>
        <v> </v>
      </c>
      <c r="K227" s="25" t="str">
        <f>IF(OR(E227="",E227="!!!",F227="NEW"),"",INDEX(J$1:J226,SUMPRODUCT(MAX(ROW(E$1:E226)*(E227=E$1:E226)))))</f>
        <v> </v>
      </c>
      <c r="L227" s="26"/>
    </row>
    <row r="228" spans="1:12">
      <c r="A228" s="20" t="s">
        <v>618</v>
      </c>
      <c r="E228" s="21">
        <f>IF(D228="?OLD","!!!","")</f>
        <v/>
      </c>
      <c r="F228" s="22" t="str">
        <f>IF(OR(E228="",E228="!!!"),"",IF(NOT(ISNA(VLOOKUP(E228,E$1:E227,1,FALSE()))),"OLD",IF(AND(E228&lt;&gt;"",E228&lt;&gt;"!!!"),"NEW","")))</f>
        <v> </v>
      </c>
      <c r="G228" s="23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4" t="str">
        <f>IF(J228&lt;&gt;1,"",IF(I228="SBJ","CB","?"))</f>
        <v> </v>
      </c>
      <c r="I228" s="25" t="str">
        <f>IF(OR(E228="",E228="!!!",F228="NEW"),"",INDEX(B227:B$2,-1+SUMPRODUCT(MAX(ROW(E227:E$2)*(E228=E227:E$2)))))</f>
        <v> </v>
      </c>
      <c r="J228" s="25" t="str">
        <f>IF(OR(E228="",E228="!!!",F228="NEW"),"",COUNTBLANK(OFFSET(A$1,,,SUMPRODUCT(MAX(ROW(E$2:E228)*(E228=E$2:E228)))))-COUNTBLANK(OFFSET(A$1,,,SUMPRODUCT(MAX(ROW(E$1:E227)*(E2=E$1:E227))))))</f>
        <v> </v>
      </c>
      <c r="K228" s="25" t="str">
        <f>IF(OR(E228="",E228="!!!",F228="NEW"),"",INDEX(J$1:J227,SUMPRODUCT(MAX(ROW(E$1:E227)*(E228=E$1:E227)))))</f>
        <v> </v>
      </c>
      <c r="L228" s="26"/>
    </row>
    <row r="229" spans="1:12">
      <c r="A229" s="20" t="s">
        <v>619</v>
      </c>
      <c r="B229" s="27" t="s">
        <v>542</v>
      </c>
      <c r="C229" s="27" t="s">
        <v>482</v>
      </c>
      <c r="D229" s="27" t="s">
        <v>483</v>
      </c>
      <c r="E229" s="21">
        <f>IF(D229="?OLD","!!!","")</f>
        <v/>
      </c>
      <c r="F229" s="22" t="str">
        <f>IF(OR(E229="",E229="!!!"),"",IF(NOT(ISNA(VLOOKUP(E229,E$1:E228,1,FALSE()))),"OLD",IF(AND(E229&lt;&gt;"",E229&lt;&gt;"!!!"),"NEW","")))</f>
        <v> </v>
      </c>
      <c r="G229" s="23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4" t="str">
        <f>IF(J229&lt;&gt;1,"",IF(I229="SBJ","CB","?"))</f>
        <v> </v>
      </c>
      <c r="I229" s="25" t="str">
        <f>IF(OR(E229="",E229="!!!",F229="NEW"),"",INDEX(B228:B$2,-1+SUMPRODUCT(MAX(ROW(E228:E$2)*(E229=E228:E$2)))))</f>
        <v> </v>
      </c>
      <c r="J229" s="25" t="str">
        <f>IF(OR(E229="",E229="!!!",F229="NEW"),"",COUNTBLANK(OFFSET(A$1,,,SUMPRODUCT(MAX(ROW(E$2:E229)*(E229=E$2:E229)))))-COUNTBLANK(OFFSET(A$1,,,SUMPRODUCT(MAX(ROW(E$1:E228)*(E2=E$1:E228))))))</f>
        <v> </v>
      </c>
      <c r="K229" s="25" t="str">
        <f>IF(OR(E229="",E229="!!!",F229="NEW"),"",INDEX(J$1:J228,SUMPRODUCT(MAX(ROW(E$1:E228)*(E229=E$1:E228)))))</f>
        <v> </v>
      </c>
      <c r="L229" s="26"/>
    </row>
    <row r="230" spans="1:12">
      <c r="A230" s="20" t="s">
        <v>620</v>
      </c>
      <c r="E230" s="21">
        <f>IF(D230="?OLD","!!!","")</f>
        <v/>
      </c>
      <c r="F230" s="22" t="str">
        <f>IF(OR(E230="",E230="!!!"),"",IF(NOT(ISNA(VLOOKUP(E230,E$1:E229,1,FALSE()))),"OLD",IF(AND(E230&lt;&gt;"",E230&lt;&gt;"!!!"),"NEW","")))</f>
        <v> </v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4" t="str">
        <f>IF(J230&lt;&gt;1,"",IF(I230="SBJ","CB","?"))</f>
        <v> </v>
      </c>
      <c r="I230" s="25" t="str">
        <f>IF(OR(E230="",E230="!!!",F230="NEW"),"",INDEX(B229:B$2,-1+SUMPRODUCT(MAX(ROW(E229:E$2)*(E230=E229:E$2)))))</f>
        <v> </v>
      </c>
      <c r="J230" s="25" t="str">
        <f>IF(OR(E230="",E230="!!!",F230="NEW"),"",COUNTBLANK(OFFSET(A$1,,,SUMPRODUCT(MAX(ROW(E$2:E230)*(E230=E$2:E230)))))-COUNTBLANK(OFFSET(A$1,,,SUMPRODUCT(MAX(ROW(E$1:E229)*(E2=E$1:E229))))))</f>
        <v> </v>
      </c>
      <c r="K230" s="25" t="str">
        <f>IF(OR(E230="",E230="!!!",F230="NEW"),"",INDEX(J$1:J229,SUMPRODUCT(MAX(ROW(E$1:E229)*(E230=E$1:E229)))))</f>
        <v> </v>
      </c>
      <c r="L230" s="26"/>
    </row>
    <row r="231" spans="1:12">
      <c r="A231" s="20" t="s">
        <v>489</v>
      </c>
      <c r="E231" s="21">
        <f>IF(D231="?OLD","!!!","")</f>
        <v/>
      </c>
      <c r="F231" s="22" t="str">
        <f>IF(OR(E231="",E231="!!!"),"",IF(NOT(ISNA(VLOOKUP(E231,E$1:E230,1,FALSE()))),"OLD",IF(AND(E231&lt;&gt;"",E231&lt;&gt;"!!!"),"NEW","")))</f>
        <v> </v>
      </c>
      <c r="G231" s="23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4" t="str">
        <f>IF(J231&lt;&gt;1,"",IF(I231="SBJ","CB","?"))</f>
        <v> </v>
      </c>
      <c r="I231" s="25" t="str">
        <f>IF(OR(E231="",E231="!!!",F231="NEW"),"",INDEX(B230:B$2,-1+SUMPRODUCT(MAX(ROW(E230:E$2)*(E231=E230:E$2)))))</f>
        <v> </v>
      </c>
      <c r="J231" s="25" t="str">
        <f>IF(OR(E231="",E231="!!!",F231="NEW"),"",COUNTBLANK(OFFSET(A$1,,,SUMPRODUCT(MAX(ROW(E$2:E231)*(E231=E$2:E231)))))-COUNTBLANK(OFFSET(A$1,,,SUMPRODUCT(MAX(ROW(E$1:E230)*(E2=E$1:E230))))))</f>
        <v> </v>
      </c>
      <c r="K231" s="25" t="str">
        <f>IF(OR(E231="",E231="!!!",F231="NEW"),"",INDEX(J$1:J230,SUMPRODUCT(MAX(ROW(E$1:E230)*(E231=E$1:E230)))))</f>
        <v> </v>
      </c>
      <c r="L231" s="26"/>
    </row>
    <row r="232" spans="1:12">
      <c r="A232" s="20" t="s">
        <v>621</v>
      </c>
      <c r="E232" s="21">
        <f>IF(D232="?OLD","!!!","")</f>
        <v/>
      </c>
      <c r="F232" s="22" t="str">
        <f>IF(OR(E232="",E232="!!!"),"",IF(NOT(ISNA(VLOOKUP(E232,E$1:E231,1,FALSE()))),"OLD",IF(AND(E232&lt;&gt;"",E232&lt;&gt;"!!!"),"NEW","")))</f>
        <v> </v>
      </c>
      <c r="G232" s="23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4" t="str">
        <f>IF(J232&lt;&gt;1,"",IF(I232="SBJ","CB","?"))</f>
        <v> </v>
      </c>
      <c r="I232" s="25" t="str">
        <f>IF(OR(E232="",E232="!!!",F232="NEW"),"",INDEX(B231:B$2,-1+SUMPRODUCT(MAX(ROW(E231:E$2)*(E232=E231:E$2)))))</f>
        <v> </v>
      </c>
      <c r="J232" s="25" t="str">
        <f>IF(OR(E232="",E232="!!!",F232="NEW"),"",COUNTBLANK(OFFSET(A$1,,,SUMPRODUCT(MAX(ROW(E$2:E232)*(E232=E$2:E232)))))-COUNTBLANK(OFFSET(A$1,,,SUMPRODUCT(MAX(ROW(E$1:E231)*(E2=E$1:E231))))))</f>
        <v> </v>
      </c>
      <c r="K232" s="25" t="str">
        <f>IF(OR(E232="",E232="!!!",F232="NEW"),"",INDEX(J$1:J231,SUMPRODUCT(MAX(ROW(E$1:E231)*(E232=E$1:E231)))))</f>
        <v> </v>
      </c>
      <c r="L232" s="26"/>
    </row>
    <row r="233" spans="1:12">
      <c r="A233" s="20" t="s">
        <v>593</v>
      </c>
      <c r="E233" s="21">
        <f>IF(D233="?OLD","!!!","")</f>
        <v/>
      </c>
      <c r="F233" s="22" t="str">
        <f>IF(OR(E233="",E233="!!!"),"",IF(NOT(ISNA(VLOOKUP(E233,E$1:E232,1,FALSE()))),"OLD",IF(AND(E233&lt;&gt;"",E233&lt;&gt;"!!!"),"NEW","")))</f>
        <v> </v>
      </c>
      <c r="G233" s="23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4" t="str">
        <f>IF(J233&lt;&gt;1,"",IF(I233="SBJ","CB","?"))</f>
        <v> </v>
      </c>
      <c r="I233" s="25" t="str">
        <f>IF(OR(E233="",E233="!!!",F233="NEW"),"",INDEX(B232:B$2,-1+SUMPRODUCT(MAX(ROW(E232:E$2)*(E233=E232:E$2)))))</f>
        <v> </v>
      </c>
      <c r="J233" s="25" t="str">
        <f>IF(OR(E233="",E233="!!!",F233="NEW"),"",COUNTBLANK(OFFSET(A$1,,,SUMPRODUCT(MAX(ROW(E$2:E233)*(E233=E$2:E233)))))-COUNTBLANK(OFFSET(A$1,,,SUMPRODUCT(MAX(ROW(E$1:E232)*(E2=E$1:E232))))))</f>
        <v> </v>
      </c>
      <c r="K233" s="25" t="str">
        <f>IF(OR(E233="",E233="!!!",F233="NEW"),"",INDEX(J$1:J232,SUMPRODUCT(MAX(ROW(E$1:E232)*(E233=E$1:E232)))))</f>
        <v> </v>
      </c>
      <c r="L233" s="26"/>
    </row>
    <row r="234" spans="1:12">
      <c r="A234" s="20" t="s">
        <v>622</v>
      </c>
      <c r="E234" s="21">
        <f>IF(D234="?OLD","!!!","")</f>
        <v/>
      </c>
      <c r="F234" s="22" t="str">
        <f>IF(OR(E234="",E234="!!!"),"",IF(NOT(ISNA(VLOOKUP(E234,E$1:E233,1,FALSE()))),"OLD",IF(AND(E234&lt;&gt;"",E234&lt;&gt;"!!!"),"NEW","")))</f>
        <v> </v>
      </c>
      <c r="G234" s="23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4" t="str">
        <f>IF(J234&lt;&gt;1,"",IF(I234="SBJ","CB","?"))</f>
        <v> </v>
      </c>
      <c r="I234" s="25" t="str">
        <f>IF(OR(E234="",E234="!!!",F234="NEW"),"",INDEX(B233:B$2,-1+SUMPRODUCT(MAX(ROW(E233:E$2)*(E234=E233:E$2)))))</f>
        <v> </v>
      </c>
      <c r="J234" s="25" t="str">
        <f>IF(OR(E234="",E234="!!!",F234="NEW"),"",COUNTBLANK(OFFSET(A$1,,,SUMPRODUCT(MAX(ROW(E$2:E234)*(E234=E$2:E234)))))-COUNTBLANK(OFFSET(A$1,,,SUMPRODUCT(MAX(ROW(E$1:E233)*(E2=E$1:E233))))))</f>
        <v> </v>
      </c>
      <c r="K234" s="25" t="str">
        <f>IF(OR(E234="",E234="!!!",F234="NEW"),"",INDEX(J$1:J233,SUMPRODUCT(MAX(ROW(E$1:E233)*(E234=E$1:E233)))))</f>
        <v> </v>
      </c>
      <c r="L234" s="26"/>
    </row>
    <row r="235" spans="1:12">
      <c r="A235" s="20" t="s">
        <v>619</v>
      </c>
      <c r="B235" s="27" t="s">
        <v>578</v>
      </c>
      <c r="C235" s="27" t="s">
        <v>482</v>
      </c>
      <c r="D235" s="27" t="s">
        <v>483</v>
      </c>
      <c r="E235" s="21">
        <f>IF(D235="?OLD","!!!","")</f>
        <v/>
      </c>
      <c r="F235" s="22" t="str">
        <f>IF(OR(E235="",E235="!!!"),"",IF(NOT(ISNA(VLOOKUP(E235,E$1:E234,1,FALSE()))),"OLD",IF(AND(E235&lt;&gt;"",E235&lt;&gt;"!!!"),"NEW","")))</f>
        <v> </v>
      </c>
      <c r="G235" s="23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4" t="str">
        <f>IF(J235&lt;&gt;1,"",IF(I235="SBJ","CB","?"))</f>
        <v> </v>
      </c>
      <c r="I235" s="25" t="str">
        <f>IF(OR(E235="",E235="!!!",F235="NEW"),"",INDEX(B234:B$2,-1+SUMPRODUCT(MAX(ROW(E234:E$2)*(E235=E234:E$2)))))</f>
        <v> </v>
      </c>
      <c r="J235" s="25" t="str">
        <f>IF(OR(E235="",E235="!!!",F235="NEW"),"",COUNTBLANK(OFFSET(A$1,,,SUMPRODUCT(MAX(ROW(E$2:E235)*(E235=E$2:E235)))))-COUNTBLANK(OFFSET(A$1,,,SUMPRODUCT(MAX(ROW(E$1:E234)*(E2=E$1:E234))))))</f>
        <v> </v>
      </c>
      <c r="K235" s="25" t="str">
        <f>IF(OR(E235="",E235="!!!",F235="NEW"),"",INDEX(J$1:J234,SUMPRODUCT(MAX(ROW(E$1:E234)*(E235=E$1:E234)))))</f>
        <v> </v>
      </c>
      <c r="L235" s="26"/>
    </row>
    <row r="236" spans="1:12">
      <c r="A236" s="20" t="s">
        <v>489</v>
      </c>
      <c r="E236" s="21">
        <f>IF(D236="?OLD","!!!","")</f>
        <v/>
      </c>
      <c r="F236" s="22" t="str">
        <f>IF(OR(E236="",E236="!!!"),"",IF(NOT(ISNA(VLOOKUP(E236,E$1:E235,1,FALSE()))),"OLD",IF(AND(E236&lt;&gt;"",E236&lt;&gt;"!!!"),"NEW","")))</f>
        <v> </v>
      </c>
      <c r="G236" s="23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4" t="str">
        <f>IF(J236&lt;&gt;1,"",IF(I236="SBJ","CB","?"))</f>
        <v> </v>
      </c>
      <c r="I236" s="25" t="str">
        <f>IF(OR(E236="",E236="!!!",F236="NEW"),"",INDEX(B235:B$2,-1+SUMPRODUCT(MAX(ROW(E235:E$2)*(E236=E235:E$2)))))</f>
        <v> </v>
      </c>
      <c r="J236" s="25" t="str">
        <f>IF(OR(E236="",E236="!!!",F236="NEW"),"",COUNTBLANK(OFFSET(A$1,,,SUMPRODUCT(MAX(ROW(E$2:E236)*(E236=E$2:E236)))))-COUNTBLANK(OFFSET(A$1,,,SUMPRODUCT(MAX(ROW(E$1:E235)*(E2=E$1:E235))))))</f>
        <v> </v>
      </c>
      <c r="K236" s="25" t="str">
        <f>IF(OR(E236="",E236="!!!",F236="NEW"),"",INDEX(J$1:J235,SUMPRODUCT(MAX(ROW(E$1:E235)*(E236=E$1:E235)))))</f>
        <v> </v>
      </c>
      <c r="L236" s="26"/>
    </row>
    <row r="237" spans="1:12">
      <c r="A237" s="20" t="s">
        <v>592</v>
      </c>
      <c r="E237" s="21">
        <f>IF(D237="?OLD","!!!","")</f>
        <v/>
      </c>
      <c r="F237" s="22" t="str">
        <f>IF(OR(E237="",E237="!!!"),"",IF(NOT(ISNA(VLOOKUP(E237,E$1:E236,1,FALSE()))),"OLD",IF(AND(E237&lt;&gt;"",E237&lt;&gt;"!!!"),"NEW","")))</f>
        <v> </v>
      </c>
      <c r="G237" s="23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4" t="str">
        <f>IF(J237&lt;&gt;1,"",IF(I237="SBJ","CB","?"))</f>
        <v> </v>
      </c>
      <c r="I237" s="25" t="str">
        <f>IF(OR(E237="",E237="!!!",F237="NEW"),"",INDEX(B236:B$2,-1+SUMPRODUCT(MAX(ROW(E236:E$2)*(E237=E236:E$2)))))</f>
        <v> </v>
      </c>
      <c r="J237" s="25" t="str">
        <f>IF(OR(E237="",E237="!!!",F237="NEW"),"",COUNTBLANK(OFFSET(A$1,,,SUMPRODUCT(MAX(ROW(E$2:E237)*(E237=E$2:E237)))))-COUNTBLANK(OFFSET(A$1,,,SUMPRODUCT(MAX(ROW(E$1:E236)*(E2=E$1:E236))))))</f>
        <v> </v>
      </c>
      <c r="K237" s="25" t="str">
        <f>IF(OR(E237="",E237="!!!",F237="NEW"),"",INDEX(J$1:J236,SUMPRODUCT(MAX(ROW(E$1:E236)*(E237=E$1:E236)))))</f>
        <v> </v>
      </c>
      <c r="L237" s="26"/>
    </row>
    <row r="238" spans="1:12">
      <c r="A238" s="20" t="s">
        <v>503</v>
      </c>
      <c r="E238" s="21">
        <f>IF(D238="?OLD","!!!","")</f>
        <v/>
      </c>
      <c r="F238" s="22" t="str">
        <f>IF(OR(E238="",E238="!!!"),"",IF(NOT(ISNA(VLOOKUP(E238,E$1:E237,1,FALSE()))),"OLD",IF(AND(E238&lt;&gt;"",E238&lt;&gt;"!!!"),"NEW","")))</f>
        <v> </v>
      </c>
      <c r="G238" s="23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4" t="str">
        <f>IF(J238&lt;&gt;1,"",IF(I238="SBJ","CB","?"))</f>
        <v> </v>
      </c>
      <c r="I238" s="25" t="str">
        <f>IF(OR(E238="",E238="!!!",F238="NEW"),"",INDEX(B237:B$2,-1+SUMPRODUCT(MAX(ROW(E237:E$2)*(E238=E237:E$2)))))</f>
        <v> </v>
      </c>
      <c r="J238" s="25" t="str">
        <f>IF(OR(E238="",E238="!!!",F238="NEW"),"",COUNTBLANK(OFFSET(A$1,,,SUMPRODUCT(MAX(ROW(E$2:E238)*(E238=E$2:E238)))))-COUNTBLANK(OFFSET(A$1,,,SUMPRODUCT(MAX(ROW(E$1:E237)*(E2=E$1:E237))))))</f>
        <v> </v>
      </c>
      <c r="K238" s="25" t="str">
        <f>IF(OR(E238="",E238="!!!",F238="NEW"),"",INDEX(J$1:J237,SUMPRODUCT(MAX(ROW(E$1:E237)*(E238=E$1:E237)))))</f>
        <v> </v>
      </c>
      <c r="L238" s="26"/>
    </row>
    <row r="239" spans="1:12">
      <c r="A239" s="20" t="s">
        <v>623</v>
      </c>
      <c r="E239" s="21">
        <f>IF(D239="?OLD","!!!","")</f>
        <v/>
      </c>
      <c r="F239" s="22" t="str">
        <f>IF(OR(E239="",E239="!!!"),"",IF(NOT(ISNA(VLOOKUP(E239,E$1:E238,1,FALSE()))),"OLD",IF(AND(E239&lt;&gt;"",E239&lt;&gt;"!!!"),"NEW","")))</f>
        <v> </v>
      </c>
      <c r="G239" s="23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4" t="str">
        <f>IF(J239&lt;&gt;1,"",IF(I239="SBJ","CB","?"))</f>
        <v> </v>
      </c>
      <c r="I239" s="25" t="str">
        <f>IF(OR(E239="",E239="!!!",F239="NEW"),"",INDEX(B238:B$2,-1+SUMPRODUCT(MAX(ROW(E238:E$2)*(E239=E238:E$2)))))</f>
        <v> </v>
      </c>
      <c r="J239" s="25" t="str">
        <f>IF(OR(E239="",E239="!!!",F239="NEW"),"",COUNTBLANK(OFFSET(A$1,,,SUMPRODUCT(MAX(ROW(E$2:E239)*(E239=E$2:E239)))))-COUNTBLANK(OFFSET(A$1,,,SUMPRODUCT(MAX(ROW(E$1:E238)*(E2=E$1:E238))))))</f>
        <v> </v>
      </c>
      <c r="K239" s="25" t="str">
        <f>IF(OR(E239="",E239="!!!",F239="NEW"),"",INDEX(J$1:J238,SUMPRODUCT(MAX(ROW(E$1:E238)*(E239=E$1:E238)))))</f>
        <v> </v>
      </c>
      <c r="L239" s="26"/>
    </row>
    <row r="240" spans="1:12">
      <c r="A240" s="20" t="s">
        <v>593</v>
      </c>
      <c r="E240" s="21">
        <f>IF(D240="?OLD","!!!","")</f>
        <v/>
      </c>
      <c r="F240" s="22" t="str">
        <f>IF(OR(E240="",E240="!!!"),"",IF(NOT(ISNA(VLOOKUP(E240,E$1:E239,1,FALSE()))),"OLD",IF(AND(E240&lt;&gt;"",E240&lt;&gt;"!!!"),"NEW","")))</f>
        <v> </v>
      </c>
      <c r="G240" s="23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4" t="str">
        <f>IF(J240&lt;&gt;1,"",IF(I240="SBJ","CB","?"))</f>
        <v> </v>
      </c>
      <c r="I240" s="25" t="str">
        <f>IF(OR(E240="",E240="!!!",F240="NEW"),"",INDEX(B239:B$2,-1+SUMPRODUCT(MAX(ROW(E239:E$2)*(E240=E239:E$2)))))</f>
        <v> </v>
      </c>
      <c r="J240" s="25" t="str">
        <f>IF(OR(E240="",E240="!!!",F240="NEW"),"",COUNTBLANK(OFFSET(A$1,,,SUMPRODUCT(MAX(ROW(E$2:E240)*(E240=E$2:E240)))))-COUNTBLANK(OFFSET(A$1,,,SUMPRODUCT(MAX(ROW(E$1:E239)*(E2=E$1:E239))))))</f>
        <v> </v>
      </c>
      <c r="K240" s="25" t="str">
        <f>IF(OR(E240="",E240="!!!",F240="NEW"),"",INDEX(J$1:J239,SUMPRODUCT(MAX(ROW(E$1:E239)*(E240=E$1:E239)))))</f>
        <v> </v>
      </c>
      <c r="L240" s="26"/>
    </row>
    <row r="241" spans="1:12">
      <c r="A241" s="20" t="s">
        <v>624</v>
      </c>
      <c r="B241" s="27" t="s">
        <v>578</v>
      </c>
      <c r="E241" s="21">
        <f>IF(D241="?OLD","!!!","")</f>
        <v/>
      </c>
      <c r="F241" s="22" t="str">
        <f>IF(OR(E241="",E241="!!!"),"",IF(NOT(ISNA(VLOOKUP(E241,E$1:E240,1,FALSE()))),"OLD",IF(AND(E241&lt;&gt;"",E241&lt;&gt;"!!!"),"NEW","")))</f>
        <v> </v>
      </c>
      <c r="G241" s="23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4" t="str">
        <f>IF(J241&lt;&gt;1,"",IF(I241="SBJ","CB","?"))</f>
        <v> </v>
      </c>
      <c r="I241" s="25" t="str">
        <f>IF(OR(E241="",E241="!!!",F241="NEW"),"",INDEX(B240:B$2,-1+SUMPRODUCT(MAX(ROW(E240:E$2)*(E241=E240:E$2)))))</f>
        <v> </v>
      </c>
      <c r="J241" s="25" t="str">
        <f>IF(OR(E241="",E241="!!!",F241="NEW"),"",COUNTBLANK(OFFSET(A$1,,,SUMPRODUCT(MAX(ROW(E$2:E241)*(E241=E$2:E241)))))-COUNTBLANK(OFFSET(A$1,,,SUMPRODUCT(MAX(ROW(E$1:E240)*(E2=E$1:E240))))))</f>
        <v> </v>
      </c>
      <c r="K241" s="25" t="str">
        <f>IF(OR(E241="",E241="!!!",F241="NEW"),"",INDEX(J$1:J240,SUMPRODUCT(MAX(ROW(E$1:E240)*(E241=E$1:E240)))))</f>
        <v> </v>
      </c>
      <c r="L241" s="26"/>
    </row>
    <row r="242" spans="1:12">
      <c r="A242" s="20" t="s">
        <v>551</v>
      </c>
      <c r="E242" s="21">
        <f>IF(D242="?OLD","!!!","")</f>
        <v/>
      </c>
      <c r="F242" s="22" t="str">
        <f>IF(OR(E242="",E242="!!!"),"",IF(NOT(ISNA(VLOOKUP(E242,E$1:E241,1,FALSE()))),"OLD",IF(AND(E242&lt;&gt;"",E242&lt;&gt;"!!!"),"NEW","")))</f>
        <v> </v>
      </c>
      <c r="G242" s="23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4" t="str">
        <f>IF(J242&lt;&gt;1,"",IF(I242="SBJ","CB","?"))</f>
        <v> </v>
      </c>
      <c r="I242" s="25" t="str">
        <f>IF(OR(E242="",E242="!!!",F242="NEW"),"",INDEX(B241:B$2,-1+SUMPRODUCT(MAX(ROW(E241:E$2)*(E242=E241:E$2)))))</f>
        <v> </v>
      </c>
      <c r="J242" s="25" t="str">
        <f>IF(OR(E242="",E242="!!!",F242="NEW"),"",COUNTBLANK(OFFSET(A$1,,,SUMPRODUCT(MAX(ROW(E$2:E242)*(E242=E$2:E242)))))-COUNTBLANK(OFFSET(A$1,,,SUMPRODUCT(MAX(ROW(E$1:E241)*(E2=E$1:E241))))))</f>
        <v> </v>
      </c>
      <c r="K242" s="25" t="str">
        <f>IF(OR(E242="",E242="!!!",F242="NEW"),"",INDEX(J$1:J241,SUMPRODUCT(MAX(ROW(E$1:E241)*(E242=E$1:E241)))))</f>
        <v> </v>
      </c>
      <c r="L242" s="26"/>
    </row>
    <row r="243" spans="1:12">
      <c r="A243" s="20" t="s">
        <v>558</v>
      </c>
      <c r="E243" s="21">
        <f>IF(D243="?OLD","!!!","")</f>
        <v/>
      </c>
      <c r="F243" s="22" t="str">
        <f>IF(OR(E243="",E243="!!!"),"",IF(NOT(ISNA(VLOOKUP(E243,E$1:E242,1,FALSE()))),"OLD",IF(AND(E243&lt;&gt;"",E243&lt;&gt;"!!!"),"NEW","")))</f>
        <v> </v>
      </c>
      <c r="G243" s="23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4" t="str">
        <f>IF(J243&lt;&gt;1,"",IF(I243="SBJ","CB","?"))</f>
        <v> </v>
      </c>
      <c r="I243" s="25" t="str">
        <f>IF(OR(E243="",E243="!!!",F243="NEW"),"",INDEX(B242:B$2,-1+SUMPRODUCT(MAX(ROW(E242:E$2)*(E243=E242:E$2)))))</f>
        <v> </v>
      </c>
      <c r="J243" s="25" t="str">
        <f>IF(OR(E243="",E243="!!!",F243="NEW"),"",COUNTBLANK(OFFSET(A$1,,,SUMPRODUCT(MAX(ROW(E$2:E243)*(E243=E$2:E243)))))-COUNTBLANK(OFFSET(A$1,,,SUMPRODUCT(MAX(ROW(E$1:E242)*(E2=E$1:E242))))))</f>
        <v> </v>
      </c>
      <c r="K243" s="25" t="str">
        <f>IF(OR(E243="",E243="!!!",F243="NEW"),"",INDEX(J$1:J242,SUMPRODUCT(MAX(ROW(E$1:E242)*(E243=E$1:E242)))))</f>
        <v> </v>
      </c>
      <c r="L243" s="26"/>
    </row>
    <row r="244" spans="1:12">
      <c r="A244" s="20" t="s">
        <v>492</v>
      </c>
      <c r="E244" s="21">
        <f>IF(D244="?OLD","!!!","")</f>
        <v/>
      </c>
      <c r="F244" s="22" t="str">
        <f>IF(OR(E244="",E244="!!!"),"",IF(NOT(ISNA(VLOOKUP(E244,E$1:E243,1,FALSE()))),"OLD",IF(AND(E244&lt;&gt;"",E244&lt;&gt;"!!!"),"NEW","")))</f>
        <v> </v>
      </c>
      <c r="G244" s="23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4" t="str">
        <f>IF(J244&lt;&gt;1,"",IF(I244="SBJ","CB","?"))</f>
        <v> </v>
      </c>
      <c r="I244" s="25" t="str">
        <f>IF(OR(E244="",E244="!!!",F244="NEW"),"",INDEX(B243:B$2,-1+SUMPRODUCT(MAX(ROW(E243:E$2)*(E244=E243:E$2)))))</f>
        <v> </v>
      </c>
      <c r="J244" s="25" t="str">
        <f>IF(OR(E244="",E244="!!!",F244="NEW"),"",COUNTBLANK(OFFSET(A$1,,,SUMPRODUCT(MAX(ROW(E$2:E244)*(E244=E$2:E244)))))-COUNTBLANK(OFFSET(A$1,,,SUMPRODUCT(MAX(ROW(E$1:E243)*(E2=E$1:E243))))))</f>
        <v> </v>
      </c>
      <c r="K244" s="25" t="str">
        <f>IF(OR(E244="",E244="!!!",F244="NEW"),"",INDEX(J$1:J243,SUMPRODUCT(MAX(ROW(E$1:E243)*(E244=E$1:E243)))))</f>
        <v> </v>
      </c>
      <c r="L244" s="26"/>
    </row>
    <row r="245" spans="1:12">
      <c r="A245" s="20" t="s">
        <v>625</v>
      </c>
      <c r="E245" s="21">
        <f>IF(D245="?OLD","!!!","")</f>
        <v/>
      </c>
      <c r="F245" s="22" t="str">
        <f>IF(OR(E245="",E245="!!!"),"",IF(NOT(ISNA(VLOOKUP(E245,E$1:E244,1,FALSE()))),"OLD",IF(AND(E245&lt;&gt;"",E245&lt;&gt;"!!!"),"NEW","")))</f>
        <v> </v>
      </c>
      <c r="G245" s="23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4" t="str">
        <f>IF(J245&lt;&gt;1,"",IF(I245="SBJ","CB","?"))</f>
        <v> </v>
      </c>
      <c r="I245" s="25" t="str">
        <f>IF(OR(E245="",E245="!!!",F245="NEW"),"",INDEX(B244:B$2,-1+SUMPRODUCT(MAX(ROW(E244:E$2)*(E245=E244:E$2)))))</f>
        <v> </v>
      </c>
      <c r="J245" s="25" t="str">
        <f>IF(OR(E245="",E245="!!!",F245="NEW"),"",COUNTBLANK(OFFSET(A$1,,,SUMPRODUCT(MAX(ROW(E$2:E245)*(E245=E$2:E245)))))-COUNTBLANK(OFFSET(A$1,,,SUMPRODUCT(MAX(ROW(E$1:E244)*(E2=E$1:E244))))))</f>
        <v> </v>
      </c>
      <c r="K245" s="25" t="str">
        <f>IF(OR(E245="",E245="!!!",F245="NEW"),"",INDEX(J$1:J244,SUMPRODUCT(MAX(ROW(E$1:E244)*(E245=E$1:E244)))))</f>
        <v> </v>
      </c>
      <c r="L245" s="26"/>
    </row>
    <row r="246" spans="1:12">
      <c r="A246" s="20" t="s">
        <v>531</v>
      </c>
      <c r="E246" s="21">
        <f>IF(D246="?OLD","!!!","")</f>
        <v/>
      </c>
      <c r="F246" s="22" t="str">
        <f>IF(OR(E246="",E246="!!!"),"",IF(NOT(ISNA(VLOOKUP(E246,E$1:E245,1,FALSE()))),"OLD",IF(AND(E246&lt;&gt;"",E246&lt;&gt;"!!!"),"NEW","")))</f>
        <v> </v>
      </c>
      <c r="G246" s="23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4" t="str">
        <f>IF(J246&lt;&gt;1,"",IF(I246="SBJ","CB","?"))</f>
        <v> </v>
      </c>
      <c r="I246" s="25" t="str">
        <f>IF(OR(E246="",E246="!!!",F246="NEW"),"",INDEX(B245:B$2,-1+SUMPRODUCT(MAX(ROW(E245:E$2)*(E246=E245:E$2)))))</f>
        <v> </v>
      </c>
      <c r="J246" s="25" t="str">
        <f>IF(OR(E246="",E246="!!!",F246="NEW"),"",COUNTBLANK(OFFSET(A$1,,,SUMPRODUCT(MAX(ROW(E$2:E246)*(E246=E$2:E246)))))-COUNTBLANK(OFFSET(A$1,,,SUMPRODUCT(MAX(ROW(E$1:E245)*(E2=E$1:E245))))))</f>
        <v> </v>
      </c>
      <c r="K246" s="25" t="str">
        <f>IF(OR(E246="",E246="!!!",F246="NEW"),"",INDEX(J$1:J245,SUMPRODUCT(MAX(ROW(E$1:E245)*(E246=E$1:E245)))))</f>
        <v> </v>
      </c>
      <c r="L246" s="26"/>
    </row>
    <row r="247" spans="1:12">
      <c r="A247" s="20"/>
    </row>
    <row r="248" spans="1:12">
      <c r="A248" s="20" t="s">
        <v>626</v>
      </c>
    </row>
    <row r="249" spans="1:12">
      <c r="A249" s="20" t="s">
        <v>627</v>
      </c>
      <c r="E249" s="21">
        <f>IF(D249="?OLD","!!!","")</f>
        <v/>
      </c>
      <c r="F249" s="22" t="str">
        <f>IF(OR(E249="",E249="!!!"),"",IF(NOT(ISNA(VLOOKUP(E249,E$1:E248,1,FALSE()))),"OLD",IF(AND(E249&lt;&gt;"",E249&lt;&gt;"!!!"),"NEW","")))</f>
        <v> </v>
      </c>
      <c r="G249" s="23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4" t="str">
        <f>IF(J249&lt;&gt;1,"",IF(I249="SBJ","CB","?"))</f>
        <v> </v>
      </c>
      <c r="I249" s="25" t="str">
        <f>IF(OR(E249="",E249="!!!",F249="NEW"),"",INDEX(B248:B$2,-1+SUMPRODUCT(MAX(ROW(E248:E$2)*(E249=E248:E$2)))))</f>
        <v> </v>
      </c>
      <c r="J249" s="25" t="str">
        <f>IF(OR(E249="",E249="!!!",F249="NEW"),"",COUNTBLANK(OFFSET(A$1,,,SUMPRODUCT(MAX(ROW(E$2:E249)*(E249=E$2:E249)))))-COUNTBLANK(OFFSET(A$1,,,SUMPRODUCT(MAX(ROW(E$1:E248)*(E2=E$1:E248))))))</f>
        <v> </v>
      </c>
      <c r="K249" s="25" t="str">
        <f>IF(OR(E249="",E249="!!!",F249="NEW"),"",INDEX(J$1:J248,SUMPRODUCT(MAX(ROW(E$1:E248)*(E249=E$1:E248)))))</f>
        <v> </v>
      </c>
      <c r="L249" s="26"/>
    </row>
    <row r="250" spans="1:12">
      <c r="A250" s="20" t="s">
        <v>489</v>
      </c>
      <c r="E250" s="21">
        <f>IF(D250="?OLD","!!!","")</f>
        <v/>
      </c>
      <c r="F250" s="22" t="str">
        <f>IF(OR(E250="",E250="!!!"),"",IF(NOT(ISNA(VLOOKUP(E250,E$1:E249,1,FALSE()))),"OLD",IF(AND(E250&lt;&gt;"",E250&lt;&gt;"!!!"),"NEW","")))</f>
        <v> </v>
      </c>
      <c r="G250" s="23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4" t="str">
        <f>IF(J250&lt;&gt;1,"",IF(I250="SBJ","CB","?"))</f>
        <v> </v>
      </c>
      <c r="I250" s="25" t="str">
        <f>IF(OR(E250="",E250="!!!",F250="NEW"),"",INDEX(B249:B$2,-1+SUMPRODUCT(MAX(ROW(E249:E$2)*(E250=E249:E$2)))))</f>
        <v> </v>
      </c>
      <c r="J250" s="25" t="str">
        <f>IF(OR(E250="",E250="!!!",F250="NEW"),"",COUNTBLANK(OFFSET(A$1,,,SUMPRODUCT(MAX(ROW(E$2:E250)*(E250=E$2:E250)))))-COUNTBLANK(OFFSET(A$1,,,SUMPRODUCT(MAX(ROW(E$1:E249)*(E2=E$1:E249))))))</f>
        <v> </v>
      </c>
      <c r="K250" s="25" t="str">
        <f>IF(OR(E250="",E250="!!!",F250="NEW"),"",INDEX(J$1:J249,SUMPRODUCT(MAX(ROW(E$1:E249)*(E250=E$1:E249)))))</f>
        <v> </v>
      </c>
      <c r="L250" s="26"/>
    </row>
    <row r="251" spans="1:12">
      <c r="A251" s="20" t="s">
        <v>558</v>
      </c>
      <c r="E251" s="21">
        <f>IF(D251="?OLD","!!!","")</f>
        <v/>
      </c>
      <c r="F251" s="22" t="str">
        <f>IF(OR(E251="",E251="!!!"),"",IF(NOT(ISNA(VLOOKUP(E251,E$1:E250,1,FALSE()))),"OLD",IF(AND(E251&lt;&gt;"",E251&lt;&gt;"!!!"),"NEW","")))</f>
        <v> </v>
      </c>
      <c r="G251" s="23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4" t="str">
        <f>IF(J251&lt;&gt;1,"",IF(I251="SBJ","CB","?"))</f>
        <v> </v>
      </c>
      <c r="I251" s="25" t="str">
        <f>IF(OR(E251="",E251="!!!",F251="NEW"),"",INDEX(B250:B$2,-1+SUMPRODUCT(MAX(ROW(E250:E$2)*(E251=E250:E$2)))))</f>
        <v> </v>
      </c>
      <c r="J251" s="25" t="str">
        <f>IF(OR(E251="",E251="!!!",F251="NEW"),"",COUNTBLANK(OFFSET(A$1,,,SUMPRODUCT(MAX(ROW(E$2:E251)*(E251=E$2:E251)))))-COUNTBLANK(OFFSET(A$1,,,SUMPRODUCT(MAX(ROW(E$1:E250)*(E2=E$1:E250))))))</f>
        <v> </v>
      </c>
      <c r="K251" s="25" t="str">
        <f>IF(OR(E251="",E251="!!!",F251="NEW"),"",INDEX(J$1:J250,SUMPRODUCT(MAX(ROW(E$1:E250)*(E251=E$1:E250)))))</f>
        <v> </v>
      </c>
      <c r="L251" s="26"/>
    </row>
    <row r="252" spans="1:12">
      <c r="A252" s="20" t="s">
        <v>628</v>
      </c>
      <c r="E252" s="21">
        <f>IF(D252="?OLD","!!!","")</f>
        <v/>
      </c>
      <c r="F252" s="22" t="str">
        <f>IF(OR(E252="",E252="!!!"),"",IF(NOT(ISNA(VLOOKUP(E252,E$1:E251,1,FALSE()))),"OLD",IF(AND(E252&lt;&gt;"",E252&lt;&gt;"!!!"),"NEW","")))</f>
        <v> </v>
      </c>
      <c r="G252" s="23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4" t="str">
        <f>IF(J252&lt;&gt;1,"",IF(I252="SBJ","CB","?"))</f>
        <v> </v>
      </c>
      <c r="I252" s="25" t="str">
        <f>IF(OR(E252="",E252="!!!",F252="NEW"),"",INDEX(B251:B$2,-1+SUMPRODUCT(MAX(ROW(E251:E$2)*(E252=E251:E$2)))))</f>
        <v> </v>
      </c>
      <c r="J252" s="25" t="str">
        <f>IF(OR(E252="",E252="!!!",F252="NEW"),"",COUNTBLANK(OFFSET(A$1,,,SUMPRODUCT(MAX(ROW(E$2:E252)*(E252=E$2:E252)))))-COUNTBLANK(OFFSET(A$1,,,SUMPRODUCT(MAX(ROW(E$1:E251)*(E2=E$1:E251))))))</f>
        <v> </v>
      </c>
      <c r="K252" s="25" t="str">
        <f>IF(OR(E252="",E252="!!!",F252="NEW"),"",INDEX(J$1:J251,SUMPRODUCT(MAX(ROW(E$1:E251)*(E252=E$1:E251)))))</f>
        <v> </v>
      </c>
      <c r="L252" s="26"/>
    </row>
    <row r="253" spans="1:12">
      <c r="A253" s="20" t="s">
        <v>531</v>
      </c>
      <c r="E253" s="21">
        <f>IF(D253="?OLD","!!!","")</f>
        <v/>
      </c>
      <c r="F253" s="22" t="str">
        <f>IF(OR(E253="",E253="!!!"),"",IF(NOT(ISNA(VLOOKUP(E253,E$1:E252,1,FALSE()))),"OLD",IF(AND(E253&lt;&gt;"",E253&lt;&gt;"!!!"),"NEW","")))</f>
        <v> </v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4" t="str">
        <f>IF(J253&lt;&gt;1,"",IF(I253="SBJ","CB","?"))</f>
        <v> </v>
      </c>
      <c r="I253" s="25" t="str">
        <f>IF(OR(E253="",E253="!!!",F253="NEW"),"",INDEX(B252:B$2,-1+SUMPRODUCT(MAX(ROW(E252:E$2)*(E253=E252:E$2)))))</f>
        <v> </v>
      </c>
      <c r="J253" s="25" t="str">
        <f>IF(OR(E253="",E253="!!!",F253="NEW"),"",COUNTBLANK(OFFSET(A$1,,,SUMPRODUCT(MAX(ROW(E$2:E253)*(E253=E$2:E253)))))-COUNTBLANK(OFFSET(A$1,,,SUMPRODUCT(MAX(ROW(E$1:E252)*(E2=E$1:E252))))))</f>
        <v> </v>
      </c>
      <c r="K253" s="25" t="str">
        <f>IF(OR(E253="",E253="!!!",F253="NEW"),"",INDEX(J$1:J252,SUMPRODUCT(MAX(ROW(E$1:E252)*(E253=E$1:E252)))))</f>
        <v> </v>
      </c>
      <c r="L253" s="26"/>
    </row>
    <row r="254" spans="1:12">
      <c r="A254" s="20"/>
    </row>
    <row r="255" spans="1:12">
      <c r="A255" s="20" t="s">
        <v>629</v>
      </c>
    </row>
    <row r="256" spans="1:12">
      <c r="A256" s="20" t="s">
        <v>573</v>
      </c>
      <c r="E256" s="21">
        <f>IF(D256="?OLD","!!!","")</f>
        <v/>
      </c>
      <c r="F256" s="22" t="str">
        <f>IF(OR(E256="",E256="!!!"),"",IF(NOT(ISNA(VLOOKUP(E256,E$1:E255,1,FALSE()))),"OLD",IF(AND(E256&lt;&gt;"",E256&lt;&gt;"!!!"),"NEW","")))</f>
        <v> </v>
      </c>
      <c r="G256" s="23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4" t="str">
        <f>IF(J256&lt;&gt;1,"",IF(I256="SBJ","CB","?"))</f>
        <v> </v>
      </c>
      <c r="I256" s="25" t="str">
        <f>IF(OR(E256="",E256="!!!",F256="NEW"),"",INDEX(B255:B$2,-1+SUMPRODUCT(MAX(ROW(E255:E$2)*(E256=E255:E$2)))))</f>
        <v> </v>
      </c>
      <c r="J256" s="25" t="str">
        <f>IF(OR(E256="",E256="!!!",F256="NEW"),"",COUNTBLANK(OFFSET(A$1,,,SUMPRODUCT(MAX(ROW(E$2:E256)*(E256=E$2:E256)))))-COUNTBLANK(OFFSET(A$1,,,SUMPRODUCT(MAX(ROW(E$1:E255)*(E2=E$1:E255))))))</f>
        <v> </v>
      </c>
      <c r="K256" s="25" t="str">
        <f>IF(OR(E256="",E256="!!!",F256="NEW"),"",INDEX(J$1:J255,SUMPRODUCT(MAX(ROW(E$1:E255)*(E256=E$1:E255)))))</f>
        <v> </v>
      </c>
      <c r="L256" s="26"/>
    </row>
    <row r="257" spans="1:12">
      <c r="A257" s="20" t="s">
        <v>61</v>
      </c>
      <c r="B257" s="27" t="s">
        <v>477</v>
      </c>
      <c r="C257" s="27" t="s">
        <v>498</v>
      </c>
      <c r="E257" s="21">
        <f>IF(D257="?OLD","!!!","")</f>
        <v/>
      </c>
      <c r="F257" s="22" t="str">
        <f>IF(OR(E257="",E257="!!!"),"",IF(NOT(ISNA(VLOOKUP(E257,E$1:E256,1,FALSE()))),"OLD",IF(AND(E257&lt;&gt;"",E257&lt;&gt;"!!!"),"NEW","")))</f>
        <v> </v>
      </c>
      <c r="G257" s="23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4" t="str">
        <f>IF(J257&lt;&gt;1,"",IF(I257="SBJ","CB","?"))</f>
        <v> </v>
      </c>
      <c r="I257" s="25" t="str">
        <f>IF(OR(E257="",E257="!!!",F257="NEW"),"",INDEX(B256:B$2,-1+SUMPRODUCT(MAX(ROW(E256:E$2)*(E257=E256:E$2)))))</f>
        <v> </v>
      </c>
      <c r="J257" s="25" t="str">
        <f>IF(OR(E257="",E257="!!!",F257="NEW"),"",COUNTBLANK(OFFSET(A$1,,,SUMPRODUCT(MAX(ROW(E$2:E257)*(E257=E$2:E257)))))-COUNTBLANK(OFFSET(A$1,,,SUMPRODUCT(MAX(ROW(E$1:E256)*(E2=E$1:E256))))))</f>
        <v> </v>
      </c>
      <c r="K257" s="25" t="str">
        <f>IF(OR(E257="",E257="!!!",F257="NEW"),"",INDEX(J$1:J256,SUMPRODUCT(MAX(ROW(E$1:E256)*(E257=E$1:E256)))))</f>
        <v> </v>
      </c>
      <c r="L257" s="26"/>
    </row>
    <row r="258" spans="1:12">
      <c r="A258" s="20" t="s">
        <v>489</v>
      </c>
      <c r="E258" s="21">
        <f>IF(D258="?OLD","!!!","")</f>
        <v/>
      </c>
      <c r="F258" s="22" t="str">
        <f>IF(OR(E258="",E258="!!!"),"",IF(NOT(ISNA(VLOOKUP(E258,E$1:E257,1,FALSE()))),"OLD",IF(AND(E258&lt;&gt;"",E258&lt;&gt;"!!!"),"NEW","")))</f>
        <v> </v>
      </c>
      <c r="G258" s="23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4" t="str">
        <f>IF(J258&lt;&gt;1,"",IF(I258="SBJ","CB","?"))</f>
        <v> </v>
      </c>
      <c r="I258" s="25" t="str">
        <f>IF(OR(E258="",E258="!!!",F258="NEW"),"",INDEX(B257:B$2,-1+SUMPRODUCT(MAX(ROW(E257:E$2)*(E258=E257:E$2)))))</f>
        <v> </v>
      </c>
      <c r="J258" s="25" t="str">
        <f>IF(OR(E258="",E258="!!!",F258="NEW"),"",COUNTBLANK(OFFSET(A$1,,,SUMPRODUCT(MAX(ROW(E$2:E258)*(E258=E$2:E258)))))-COUNTBLANK(OFFSET(A$1,,,SUMPRODUCT(MAX(ROW(E$1:E257)*(E2=E$1:E257))))))</f>
        <v> </v>
      </c>
      <c r="K258" s="25" t="str">
        <f>IF(OR(E258="",E258="!!!",F258="NEW"),"",INDEX(J$1:J257,SUMPRODUCT(MAX(ROW(E$1:E257)*(E258=E$1:E257)))))</f>
        <v> </v>
      </c>
      <c r="L258" s="26"/>
    </row>
    <row r="259" spans="1:12">
      <c r="A259" s="20" t="s">
        <v>492</v>
      </c>
      <c r="B259" s="27" t="s">
        <v>553</v>
      </c>
      <c r="E259" s="21">
        <f>IF(D259="?OLD","!!!","")</f>
        <v/>
      </c>
      <c r="F259" s="22" t="str">
        <f>IF(OR(E259="",E259="!!!"),"",IF(NOT(ISNA(VLOOKUP(E259,E$1:E258,1,FALSE()))),"OLD",IF(AND(E259&lt;&gt;"",E259&lt;&gt;"!!!"),"NEW","")))</f>
        <v> </v>
      </c>
      <c r="G259" s="23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4" t="str">
        <f>IF(J259&lt;&gt;1,"",IF(I259="SBJ","CB","?"))</f>
        <v> </v>
      </c>
      <c r="I259" s="25" t="str">
        <f>IF(OR(E259="",E259="!!!",F259="NEW"),"",INDEX(B258:B$2,-1+SUMPRODUCT(MAX(ROW(E258:E$2)*(E259=E258:E$2)))))</f>
        <v> </v>
      </c>
      <c r="J259" s="25" t="str">
        <f>IF(OR(E259="",E259="!!!",F259="NEW"),"",COUNTBLANK(OFFSET(A$1,,,SUMPRODUCT(MAX(ROW(E$2:E259)*(E259=E$2:E259)))))-COUNTBLANK(OFFSET(A$1,,,SUMPRODUCT(MAX(ROW(E$1:E258)*(E2=E$1:E258))))))</f>
        <v> </v>
      </c>
      <c r="K259" s="25" t="str">
        <f>IF(OR(E259="",E259="!!!",F259="NEW"),"",INDEX(J$1:J258,SUMPRODUCT(MAX(ROW(E$1:E258)*(E259=E$1:E258)))))</f>
        <v> </v>
      </c>
      <c r="L259" s="26"/>
    </row>
    <row r="260" spans="1:12">
      <c r="A260" s="20" t="s">
        <v>630</v>
      </c>
      <c r="E260" s="21">
        <f>IF(D260="?OLD","!!!","")</f>
        <v/>
      </c>
      <c r="F260" s="22" t="str">
        <f>IF(OR(E260="",E260="!!!"),"",IF(NOT(ISNA(VLOOKUP(E260,E$1:E259,1,FALSE()))),"OLD",IF(AND(E260&lt;&gt;"",E260&lt;&gt;"!!!"),"NEW","")))</f>
        <v> </v>
      </c>
      <c r="G260" s="23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4" t="str">
        <f>IF(J260&lt;&gt;1,"",IF(I260="SBJ","CB","?"))</f>
        <v> </v>
      </c>
      <c r="I260" s="25" t="str">
        <f>IF(OR(E260="",E260="!!!",F260="NEW"),"",INDEX(B259:B$2,-1+SUMPRODUCT(MAX(ROW(E259:E$2)*(E260=E259:E$2)))))</f>
        <v> </v>
      </c>
      <c r="J260" s="25" t="str">
        <f>IF(OR(E260="",E260="!!!",F260="NEW"),"",COUNTBLANK(OFFSET(A$1,,,SUMPRODUCT(MAX(ROW(E$2:E260)*(E260=E$2:E260)))))-COUNTBLANK(OFFSET(A$1,,,SUMPRODUCT(MAX(ROW(E$1:E259)*(E2=E$1:E259))))))</f>
        <v> </v>
      </c>
      <c r="K260" s="25" t="str">
        <f>IF(OR(E260="",E260="!!!",F260="NEW"),"",INDEX(J$1:J259,SUMPRODUCT(MAX(ROW(E$1:E259)*(E260=E$1:E259)))))</f>
        <v> </v>
      </c>
      <c r="L260" s="26"/>
    </row>
    <row r="261" spans="1:12">
      <c r="A261" s="20" t="s">
        <v>631</v>
      </c>
      <c r="E261" s="21">
        <f>IF(D261="?OLD","!!!","")</f>
        <v/>
      </c>
      <c r="F261" s="22" t="str">
        <f>IF(OR(E261="",E261="!!!"),"",IF(NOT(ISNA(VLOOKUP(E261,E$1:E260,1,FALSE()))),"OLD",IF(AND(E261&lt;&gt;"",E261&lt;&gt;"!!!"),"NEW","")))</f>
        <v> </v>
      </c>
      <c r="G261" s="23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4" t="str">
        <f>IF(J261&lt;&gt;1,"",IF(I261="SBJ","CB","?"))</f>
        <v> </v>
      </c>
      <c r="I261" s="25" t="str">
        <f>IF(OR(E261="",E261="!!!",F261="NEW"),"",INDEX(B260:B$2,-1+SUMPRODUCT(MAX(ROW(E260:E$2)*(E261=E260:E$2)))))</f>
        <v> </v>
      </c>
      <c r="J261" s="25" t="str">
        <f>IF(OR(E261="",E261="!!!",F261="NEW"),"",COUNTBLANK(OFFSET(A$1,,,SUMPRODUCT(MAX(ROW(E$2:E261)*(E261=E$2:E261)))))-COUNTBLANK(OFFSET(A$1,,,SUMPRODUCT(MAX(ROW(E$1:E260)*(E2=E$1:E260))))))</f>
        <v> </v>
      </c>
      <c r="K261" s="25" t="str">
        <f>IF(OR(E261="",E261="!!!",F261="NEW"),"",INDEX(J$1:J260,SUMPRODUCT(MAX(ROW(E$1:E260)*(E261=E$1:E260)))))</f>
        <v> </v>
      </c>
      <c r="L261" s="26"/>
    </row>
    <row r="262" spans="1:12">
      <c r="A262" s="20" t="s">
        <v>531</v>
      </c>
      <c r="E262" s="21">
        <f>IF(D262="?OLD","!!!","")</f>
        <v/>
      </c>
      <c r="F262" s="22" t="str">
        <f>IF(OR(E262="",E262="!!!"),"",IF(NOT(ISNA(VLOOKUP(E262,E$1:E261,1,FALSE()))),"OLD",IF(AND(E262&lt;&gt;"",E262&lt;&gt;"!!!"),"NEW","")))</f>
        <v> </v>
      </c>
      <c r="G262" s="23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4" t="str">
        <f>IF(J262&lt;&gt;1,"",IF(I262="SBJ","CB","?"))</f>
        <v> </v>
      </c>
      <c r="I262" s="25" t="str">
        <f>IF(OR(E262="",E262="!!!",F262="NEW"),"",INDEX(B261:B$2,-1+SUMPRODUCT(MAX(ROW(E261:E$2)*(E262=E261:E$2)))))</f>
        <v> </v>
      </c>
      <c r="J262" s="25" t="str">
        <f>IF(OR(E262="",E262="!!!",F262="NEW"),"",COUNTBLANK(OFFSET(A$1,,,SUMPRODUCT(MAX(ROW(E$2:E262)*(E262=E$2:E262)))))-COUNTBLANK(OFFSET(A$1,,,SUMPRODUCT(MAX(ROW(E$1:E261)*(E2=E$1:E261))))))</f>
        <v> </v>
      </c>
      <c r="K262" s="25" t="str">
        <f>IF(OR(E262="",E262="!!!",F262="NEW"),"",INDEX(J$1:J261,SUMPRODUCT(MAX(ROW(E$1:E261)*(E262=E$1:E261)))))</f>
        <v> </v>
      </c>
      <c r="L262" s="26"/>
    </row>
    <row r="263" spans="1:12">
      <c r="A263" s="20"/>
    </row>
    <row r="264" spans="1:12">
      <c r="A264" s="20" t="s">
        <v>632</v>
      </c>
    </row>
    <row r="265" spans="1:12">
      <c r="A265" s="20" t="s">
        <v>633</v>
      </c>
      <c r="E265" s="21">
        <f>IF(D265="?OLD","!!!","")</f>
        <v/>
      </c>
      <c r="F265" s="22" t="str">
        <f>IF(OR(E265="",E265="!!!"),"",IF(NOT(ISNA(VLOOKUP(E265,E$1:E264,1,FALSE()))),"OLD",IF(AND(E265&lt;&gt;"",E265&lt;&gt;"!!!"),"NEW","")))</f>
        <v> </v>
      </c>
      <c r="G265" s="23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4" t="str">
        <f>IF(J265&lt;&gt;1,"",IF(I265="SBJ","CB","?"))</f>
        <v> </v>
      </c>
      <c r="I265" s="25" t="str">
        <f>IF(OR(E265="",E265="!!!",F265="NEW"),"",INDEX(B264:B$2,-1+SUMPRODUCT(MAX(ROW(E264:E$2)*(E265=E264:E$2)))))</f>
        <v> </v>
      </c>
      <c r="J265" s="25" t="str">
        <f>IF(OR(E265="",E265="!!!",F265="NEW"),"",COUNTBLANK(OFFSET(A$1,,,SUMPRODUCT(MAX(ROW(E$2:E265)*(E265=E$2:E265)))))-COUNTBLANK(OFFSET(A$1,,,SUMPRODUCT(MAX(ROW(E$1:E264)*(E2=E$1:E264))))))</f>
        <v> </v>
      </c>
      <c r="K265" s="25" t="str">
        <f>IF(OR(E265="",E265="!!!",F265="NEW"),"",INDEX(J$1:J264,SUMPRODUCT(MAX(ROW(E$1:E264)*(E265=E$1:E264)))))</f>
        <v> </v>
      </c>
      <c r="L265" s="26"/>
    </row>
    <row r="266" spans="1:12">
      <c r="A266" s="20" t="s">
        <v>634</v>
      </c>
      <c r="B266" s="27" t="s">
        <v>477</v>
      </c>
      <c r="C266" s="27" t="s">
        <v>635</v>
      </c>
      <c r="D266" s="27" t="s">
        <v>483</v>
      </c>
      <c r="E266" s="21">
        <f>IF(D266="?OLD","!!!","")</f>
        <v/>
      </c>
      <c r="F266" s="22" t="str">
        <f>IF(OR(E266="",E266="!!!"),"",IF(NOT(ISNA(VLOOKUP(E266,E$1:E265,1,FALSE()))),"OLD",IF(AND(E266&lt;&gt;"",E266&lt;&gt;"!!!"),"NEW","")))</f>
        <v> </v>
      </c>
      <c r="G266" s="23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4" t="str">
        <f>IF(J266&lt;&gt;1,"",IF(I266="SBJ","CB","?"))</f>
        <v> </v>
      </c>
      <c r="I266" s="25" t="str">
        <f>IF(OR(E266="",E266="!!!",F266="NEW"),"",INDEX(B265:B$2,-1+SUMPRODUCT(MAX(ROW(E265:E$2)*(E266=E265:E$2)))))</f>
        <v> </v>
      </c>
      <c r="J266" s="25" t="str">
        <f>IF(OR(E266="",E266="!!!",F266="NEW"),"",COUNTBLANK(OFFSET(A$1,,,SUMPRODUCT(MAX(ROW(E$2:E266)*(E266=E$2:E266)))))-COUNTBLANK(OFFSET(A$1,,,SUMPRODUCT(MAX(ROW(E$1:E265)*(E2=E$1:E265))))))</f>
        <v> </v>
      </c>
      <c r="K266" s="25" t="str">
        <f>IF(OR(E266="",E266="!!!",F266="NEW"),"",INDEX(J$1:J265,SUMPRODUCT(MAX(ROW(E$1:E265)*(E266=E$1:E265)))))</f>
        <v> </v>
      </c>
      <c r="L266" s="26"/>
    </row>
    <row r="267" spans="1:12">
      <c r="A267" s="20" t="s">
        <v>65</v>
      </c>
      <c r="B267" s="27" t="s">
        <v>477</v>
      </c>
      <c r="C267" s="27" t="s">
        <v>487</v>
      </c>
      <c r="D267" s="27" t="s">
        <v>483</v>
      </c>
      <c r="E267" s="21">
        <f>IF(D267="?OLD","!!!","")</f>
        <v/>
      </c>
      <c r="F267" s="22" t="str">
        <f>IF(OR(E267="",E267="!!!"),"",IF(NOT(ISNA(VLOOKUP(E267,E$1:E266,1,FALSE()))),"OLD",IF(AND(E267&lt;&gt;"",E267&lt;&gt;"!!!"),"NEW","")))</f>
        <v> </v>
      </c>
      <c r="G267" s="23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4" t="str">
        <f>IF(J267&lt;&gt;1,"",IF(I267="SBJ","CB","?"))</f>
        <v> </v>
      </c>
      <c r="I267" s="25" t="str">
        <f>IF(OR(E267="",E267="!!!",F267="NEW"),"",INDEX(B266:B$2,-1+SUMPRODUCT(MAX(ROW(E266:E$2)*(E267=E266:E$2)))))</f>
        <v> </v>
      </c>
      <c r="J267" s="25" t="str">
        <f>IF(OR(E267="",E267="!!!",F267="NEW"),"",COUNTBLANK(OFFSET(A$1,,,SUMPRODUCT(MAX(ROW(E$2:E267)*(E267=E$2:E267)))))-COUNTBLANK(OFFSET(A$1,,,SUMPRODUCT(MAX(ROW(E$1:E266)*(E2=E$1:E266))))))</f>
        <v> </v>
      </c>
      <c r="K267" s="25" t="str">
        <f>IF(OR(E267="",E267="!!!",F267="NEW"),"",INDEX(J$1:J266,SUMPRODUCT(MAX(ROW(E$1:E266)*(E267=E$1:E266)))))</f>
        <v> </v>
      </c>
      <c r="L267" s="26"/>
    </row>
    <row r="268" spans="1:12">
      <c r="A268" s="20" t="s">
        <v>489</v>
      </c>
      <c r="E268" s="21">
        <f>IF(D268="?OLD","!!!","")</f>
        <v/>
      </c>
      <c r="F268" s="22" t="str">
        <f>IF(OR(E268="",E268="!!!"),"",IF(NOT(ISNA(VLOOKUP(E268,E$1:E267,1,FALSE()))),"OLD",IF(AND(E268&lt;&gt;"",E268&lt;&gt;"!!!"),"NEW","")))</f>
        <v> </v>
      </c>
      <c r="G268" s="23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4" t="str">
        <f>IF(J268&lt;&gt;1,"",IF(I268="SBJ","CB","?"))</f>
        <v> </v>
      </c>
      <c r="I268" s="25" t="str">
        <f>IF(OR(E268="",E268="!!!",F268="NEW"),"",INDEX(B267:B$2,-1+SUMPRODUCT(MAX(ROW(E267:E$2)*(E268=E267:E$2)))))</f>
        <v> </v>
      </c>
      <c r="J268" s="25" t="str">
        <f>IF(OR(E268="",E268="!!!",F268="NEW"),"",COUNTBLANK(OFFSET(A$1,,,SUMPRODUCT(MAX(ROW(E$2:E268)*(E268=E$2:E268)))))-COUNTBLANK(OFFSET(A$1,,,SUMPRODUCT(MAX(ROW(E$1:E267)*(E2=E$1:E267))))))</f>
        <v> </v>
      </c>
      <c r="K268" s="25" t="str">
        <f>IF(OR(E268="",E268="!!!",F268="NEW"),"",INDEX(J$1:J267,SUMPRODUCT(MAX(ROW(E$1:E267)*(E268=E$1:E267)))))</f>
        <v> </v>
      </c>
      <c r="L268" s="26"/>
    </row>
    <row r="269" spans="1:12">
      <c r="A269" s="20" t="s">
        <v>492</v>
      </c>
      <c r="B269" s="27" t="s">
        <v>553</v>
      </c>
      <c r="E269" s="21">
        <f>IF(D269="?OLD","!!!","")</f>
        <v/>
      </c>
      <c r="F269" s="22" t="str">
        <f>IF(OR(E269="",E269="!!!"),"",IF(NOT(ISNA(VLOOKUP(E269,E$1:E268,1,FALSE()))),"OLD",IF(AND(E269&lt;&gt;"",E269&lt;&gt;"!!!"),"NEW","")))</f>
        <v> </v>
      </c>
      <c r="G269" s="23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4" t="str">
        <f>IF(J269&lt;&gt;1,"",IF(I269="SBJ","CB","?"))</f>
        <v> </v>
      </c>
      <c r="I269" s="25" t="str">
        <f>IF(OR(E269="",E269="!!!",F269="NEW"),"",INDEX(B268:B$2,-1+SUMPRODUCT(MAX(ROW(E268:E$2)*(E269=E268:E$2)))))</f>
        <v> </v>
      </c>
      <c r="J269" s="25" t="str">
        <f>IF(OR(E269="",E269="!!!",F269="NEW"),"",COUNTBLANK(OFFSET(A$1,,,SUMPRODUCT(MAX(ROW(E$2:E269)*(E269=E$2:E269)))))-COUNTBLANK(OFFSET(A$1,,,SUMPRODUCT(MAX(ROW(E$1:E268)*(E2=E$1:E268))))))</f>
        <v> </v>
      </c>
      <c r="K269" s="25" t="str">
        <f>IF(OR(E269="",E269="!!!",F269="NEW"),"",INDEX(J$1:J268,SUMPRODUCT(MAX(ROW(E$1:E268)*(E269=E$1:E268)))))</f>
        <v> </v>
      </c>
      <c r="L269" s="26"/>
    </row>
    <row r="270" spans="1:12">
      <c r="A270" s="20" t="s">
        <v>630</v>
      </c>
      <c r="E270" s="21">
        <f>IF(D270="?OLD","!!!","")</f>
        <v/>
      </c>
      <c r="F270" s="22" t="str">
        <f>IF(OR(E270="",E270="!!!"),"",IF(NOT(ISNA(VLOOKUP(E270,E$1:E269,1,FALSE()))),"OLD",IF(AND(E270&lt;&gt;"",E270&lt;&gt;"!!!"),"NEW","")))</f>
        <v> </v>
      </c>
      <c r="G270" s="23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4" t="str">
        <f>IF(J270&lt;&gt;1,"",IF(I270="SBJ","CB","?"))</f>
        <v> </v>
      </c>
      <c r="I270" s="25" t="str">
        <f>IF(OR(E270="",E270="!!!",F270="NEW"),"",INDEX(B269:B$2,-1+SUMPRODUCT(MAX(ROW(E269:E$2)*(E270=E269:E$2)))))</f>
        <v> </v>
      </c>
      <c r="J270" s="25" t="str">
        <f>IF(OR(E270="",E270="!!!",F270="NEW"),"",COUNTBLANK(OFFSET(A$1,,,SUMPRODUCT(MAX(ROW(E$2:E270)*(E270=E$2:E270)))))-COUNTBLANK(OFFSET(A$1,,,SUMPRODUCT(MAX(ROW(E$1:E269)*(E2=E$1:E269))))))</f>
        <v> </v>
      </c>
      <c r="K270" s="25" t="str">
        <f>IF(OR(E270="",E270="!!!",F270="NEW"),"",INDEX(J$1:J269,SUMPRODUCT(MAX(ROW(E$1:E269)*(E270=E$1:E269)))))</f>
        <v> </v>
      </c>
      <c r="L270" s="26"/>
    </row>
    <row r="271" spans="1:12">
      <c r="A271" s="20" t="s">
        <v>631</v>
      </c>
      <c r="E271" s="21">
        <f>IF(D271="?OLD","!!!","")</f>
        <v/>
      </c>
      <c r="F271" s="22" t="str">
        <f>IF(OR(E271="",E271="!!!"),"",IF(NOT(ISNA(VLOOKUP(E271,E$1:E270,1,FALSE()))),"OLD",IF(AND(E271&lt;&gt;"",E271&lt;&gt;"!!!"),"NEW","")))</f>
        <v> </v>
      </c>
      <c r="G271" s="23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4" t="str">
        <f>IF(J271&lt;&gt;1,"",IF(I271="SBJ","CB","?"))</f>
        <v> </v>
      </c>
      <c r="I271" s="25" t="str">
        <f>IF(OR(E271="",E271="!!!",F271="NEW"),"",INDEX(B270:B$2,-1+SUMPRODUCT(MAX(ROW(E270:E$2)*(E271=E270:E$2)))))</f>
        <v> </v>
      </c>
      <c r="J271" s="25" t="str">
        <f>IF(OR(E271="",E271="!!!",F271="NEW"),"",COUNTBLANK(OFFSET(A$1,,,SUMPRODUCT(MAX(ROW(E$2:E271)*(E271=E$2:E271)))))-COUNTBLANK(OFFSET(A$1,,,SUMPRODUCT(MAX(ROW(E$1:E270)*(E2=E$1:E270))))))</f>
        <v> </v>
      </c>
      <c r="K271" s="25" t="str">
        <f>IF(OR(E271="",E271="!!!",F271="NEW"),"",INDEX(J$1:J270,SUMPRODUCT(MAX(ROW(E$1:E270)*(E271=E$1:E270)))))</f>
        <v> </v>
      </c>
      <c r="L271" s="26"/>
    </row>
    <row r="272" spans="1:12">
      <c r="A272" s="20" t="s">
        <v>531</v>
      </c>
      <c r="E272" s="21">
        <f>IF(D272="?OLD","!!!","")</f>
        <v/>
      </c>
      <c r="F272" s="22" t="str">
        <f>IF(OR(E272="",E272="!!!"),"",IF(NOT(ISNA(VLOOKUP(E272,E$1:E271,1,FALSE()))),"OLD",IF(AND(E272&lt;&gt;"",E272&lt;&gt;"!!!"),"NEW","")))</f>
        <v> </v>
      </c>
      <c r="G272" s="23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4" t="str">
        <f>IF(J272&lt;&gt;1,"",IF(I272="SBJ","CB","?"))</f>
        <v> </v>
      </c>
      <c r="I272" s="25" t="str">
        <f>IF(OR(E272="",E272="!!!",F272="NEW"),"",INDEX(B271:B$2,-1+SUMPRODUCT(MAX(ROW(E271:E$2)*(E272=E271:E$2)))))</f>
        <v> </v>
      </c>
      <c r="J272" s="25" t="str">
        <f>IF(OR(E272="",E272="!!!",F272="NEW"),"",COUNTBLANK(OFFSET(A$1,,,SUMPRODUCT(MAX(ROW(E$2:E272)*(E272=E$2:E272)))))-COUNTBLANK(OFFSET(A$1,,,SUMPRODUCT(MAX(ROW(E$1:E271)*(E2=E$1:E271))))))</f>
        <v> </v>
      </c>
      <c r="K272" s="25" t="str">
        <f>IF(OR(E272="",E272="!!!",F272="NEW"),"",INDEX(J$1:J271,SUMPRODUCT(MAX(ROW(E$1:E271)*(E272=E$1:E271)))))</f>
        <v> </v>
      </c>
      <c r="L272" s="26"/>
    </row>
    <row r="273" spans="1:12">
      <c r="A273" s="20"/>
    </row>
    <row r="274" spans="1:12">
      <c r="A274" s="20" t="s">
        <v>636</v>
      </c>
    </row>
    <row r="275" spans="1:12">
      <c r="A275" s="20" t="s">
        <v>617</v>
      </c>
      <c r="E275" s="21">
        <f>IF(D275="?OLD","!!!","")</f>
        <v/>
      </c>
      <c r="F275" s="22" t="str">
        <f>IF(OR(E275="",E275="!!!"),"",IF(NOT(ISNA(VLOOKUP(E275,E$1:E274,1,FALSE()))),"OLD",IF(AND(E275&lt;&gt;"",E275&lt;&gt;"!!!"),"NEW","")))</f>
        <v> </v>
      </c>
      <c r="G275" s="23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4" t="str">
        <f>IF(J275&lt;&gt;1,"",IF(I275="SBJ","CB","?"))</f>
        <v> </v>
      </c>
      <c r="I275" s="25" t="str">
        <f>IF(OR(E275="",E275="!!!",F275="NEW"),"",INDEX(B274:B$2,-1+SUMPRODUCT(MAX(ROW(E274:E$2)*(E275=E274:E$2)))))</f>
        <v> </v>
      </c>
      <c r="J275" s="25" t="str">
        <f>IF(OR(E275="",E275="!!!",F275="NEW"),"",COUNTBLANK(OFFSET(A$1,,,SUMPRODUCT(MAX(ROW(E$2:E275)*(E275=E$2:E275)))))-COUNTBLANK(OFFSET(A$1,,,SUMPRODUCT(MAX(ROW(E$1:E274)*(E2=E$1:E274))))))</f>
        <v> </v>
      </c>
      <c r="K275" s="25" t="str">
        <f>IF(OR(E275="",E275="!!!",F275="NEW"),"",INDEX(J$1:J274,SUMPRODUCT(MAX(ROW(E$1:E274)*(E275=E$1:E274)))))</f>
        <v> </v>
      </c>
      <c r="L275" s="26"/>
    </row>
    <row r="276" spans="1:12">
      <c r="A276" s="20" t="s">
        <v>637</v>
      </c>
      <c r="E276" s="21">
        <f>IF(D276="?OLD","!!!","")</f>
        <v/>
      </c>
      <c r="F276" s="22" t="str">
        <f>IF(OR(E276="",E276="!!!"),"",IF(NOT(ISNA(VLOOKUP(E276,E$1:E275,1,FALSE()))),"OLD",IF(AND(E276&lt;&gt;"",E276&lt;&gt;"!!!"),"NEW","")))</f>
        <v> </v>
      </c>
      <c r="G276" s="23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4" t="str">
        <f>IF(J276&lt;&gt;1,"",IF(I276="SBJ","CB","?"))</f>
        <v> </v>
      </c>
      <c r="I276" s="25" t="str">
        <f>IF(OR(E276="",E276="!!!",F276="NEW"),"",INDEX(B275:B$2,-1+SUMPRODUCT(MAX(ROW(E275:E$2)*(E276=E275:E$2)))))</f>
        <v> </v>
      </c>
      <c r="J276" s="25" t="str">
        <f>IF(OR(E276="",E276="!!!",F276="NEW"),"",COUNTBLANK(OFFSET(A$1,,,SUMPRODUCT(MAX(ROW(E$2:E276)*(E276=E$2:E276)))))-COUNTBLANK(OFFSET(A$1,,,SUMPRODUCT(MAX(ROW(E$1:E275)*(E2=E$1:E275))))))</f>
        <v> </v>
      </c>
      <c r="K276" s="25" t="str">
        <f>IF(OR(E276="",E276="!!!",F276="NEW"),"",INDEX(J$1:J275,SUMPRODUCT(MAX(ROW(E$1:E275)*(E276=E$1:E275)))))</f>
        <v> </v>
      </c>
      <c r="L276" s="26"/>
    </row>
    <row r="277" spans="1:12">
      <c r="A277" s="20" t="s">
        <v>120</v>
      </c>
      <c r="E277" s="21">
        <f>IF(D277="?OLD","!!!","")</f>
        <v/>
      </c>
      <c r="F277" s="22" t="str">
        <f>IF(OR(E277="",E277="!!!"),"",IF(NOT(ISNA(VLOOKUP(E277,E$1:E276,1,FALSE()))),"OLD",IF(AND(E277&lt;&gt;"",E277&lt;&gt;"!!!"),"NEW","")))</f>
        <v> </v>
      </c>
      <c r="G277" s="23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4" t="str">
        <f>IF(J277&lt;&gt;1,"",IF(I277="SBJ","CB","?"))</f>
        <v> </v>
      </c>
      <c r="I277" s="25" t="str">
        <f>IF(OR(E277="",E277="!!!",F277="NEW"),"",INDEX(B276:B$2,-1+SUMPRODUCT(MAX(ROW(E276:E$2)*(E277=E276:E$2)))))</f>
        <v> </v>
      </c>
      <c r="J277" s="25" t="str">
        <f>IF(OR(E277="",E277="!!!",F277="NEW"),"",COUNTBLANK(OFFSET(A$1,,,SUMPRODUCT(MAX(ROW(E$2:E277)*(E277=E$2:E277)))))-COUNTBLANK(OFFSET(A$1,,,SUMPRODUCT(MAX(ROW(E$1:E276)*(E2=E$1:E276))))))</f>
        <v> </v>
      </c>
      <c r="K277" s="25" t="str">
        <f>IF(OR(E277="",E277="!!!",F277="NEW"),"",INDEX(J$1:J276,SUMPRODUCT(MAX(ROW(E$1:E276)*(E277=E$1:E276)))))</f>
        <v> </v>
      </c>
      <c r="L277" s="26"/>
    </row>
    <row r="278" spans="1:12">
      <c r="A278" s="20" t="s">
        <v>503</v>
      </c>
      <c r="E278" s="21">
        <f>IF(D278="?OLD","!!!","")</f>
        <v/>
      </c>
      <c r="F278" s="22" t="str">
        <f>IF(OR(E278="",E278="!!!"),"",IF(NOT(ISNA(VLOOKUP(E278,E$1:E277,1,FALSE()))),"OLD",IF(AND(E278&lt;&gt;"",E278&lt;&gt;"!!!"),"NEW","")))</f>
        <v> </v>
      </c>
      <c r="G278" s="23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4" t="str">
        <f>IF(J278&lt;&gt;1,"",IF(I278="SBJ","CB","?"))</f>
        <v> </v>
      </c>
      <c r="I278" s="25" t="str">
        <f>IF(OR(E278="",E278="!!!",F278="NEW"),"",INDEX(B277:B$2,-1+SUMPRODUCT(MAX(ROW(E277:E$2)*(E278=E277:E$2)))))</f>
        <v> </v>
      </c>
      <c r="J278" s="25" t="str">
        <f>IF(OR(E278="",E278="!!!",F278="NEW"),"",COUNTBLANK(OFFSET(A$1,,,SUMPRODUCT(MAX(ROW(E$2:E278)*(E278=E$2:E278)))))-COUNTBLANK(OFFSET(A$1,,,SUMPRODUCT(MAX(ROW(E$1:E277)*(E2=E$1:E277))))))</f>
        <v> </v>
      </c>
      <c r="K278" s="25" t="str">
        <f>IF(OR(E278="",E278="!!!",F278="NEW"),"",INDEX(J$1:J277,SUMPRODUCT(MAX(ROW(E$1:E277)*(E278=E$1:E277)))))</f>
        <v> </v>
      </c>
      <c r="L278" s="26"/>
    </row>
    <row r="279" spans="1:12">
      <c r="A279" s="20" t="s">
        <v>61</v>
      </c>
      <c r="B279" s="27" t="s">
        <v>542</v>
      </c>
      <c r="C279" s="27" t="s">
        <v>487</v>
      </c>
      <c r="D279" s="27" t="s">
        <v>483</v>
      </c>
      <c r="E279" s="21">
        <f>IF(D279="?OLD","!!!","")</f>
        <v/>
      </c>
      <c r="F279" s="22" t="str">
        <f>IF(OR(E279="",E279="!!!"),"",IF(NOT(ISNA(VLOOKUP(E279,E$1:E278,1,FALSE()))),"OLD",IF(AND(E279&lt;&gt;"",E279&lt;&gt;"!!!"),"NEW","")))</f>
        <v> </v>
      </c>
      <c r="G279" s="23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4" t="str">
        <f>IF(J279&lt;&gt;1,"",IF(I279="SBJ","CB","?"))</f>
        <v> </v>
      </c>
      <c r="I279" s="25" t="str">
        <f>IF(OR(E279="",E279="!!!",F279="NEW"),"",INDEX(B278:B$2,-1+SUMPRODUCT(MAX(ROW(E278:E$2)*(E279=E278:E$2)))))</f>
        <v> </v>
      </c>
      <c r="J279" s="25" t="str">
        <f>IF(OR(E279="",E279="!!!",F279="NEW"),"",COUNTBLANK(OFFSET(A$1,,,SUMPRODUCT(MAX(ROW(E$2:E279)*(E279=E$2:E279)))))-COUNTBLANK(OFFSET(A$1,,,SUMPRODUCT(MAX(ROW(E$1:E278)*(E2=E$1:E278))))))</f>
        <v> </v>
      </c>
      <c r="K279" s="25" t="str">
        <f>IF(OR(E279="",E279="!!!",F279="NEW"),"",INDEX(J$1:J278,SUMPRODUCT(MAX(ROW(E$1:E278)*(E279=E$1:E278)))))</f>
        <v> </v>
      </c>
      <c r="L279" s="26"/>
    </row>
    <row r="280" spans="1:12">
      <c r="A280" s="20" t="s">
        <v>628</v>
      </c>
      <c r="E280" s="21">
        <f>IF(D280="?OLD","!!!","")</f>
        <v/>
      </c>
      <c r="F280" s="22" t="str">
        <f>IF(OR(E280="",E280="!!!"),"",IF(NOT(ISNA(VLOOKUP(E280,E$1:E279,1,FALSE()))),"OLD",IF(AND(E280&lt;&gt;"",E280&lt;&gt;"!!!"),"NEW","")))</f>
        <v> </v>
      </c>
      <c r="G280" s="23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4" t="str">
        <f>IF(J280&lt;&gt;1,"",IF(I280="SBJ","CB","?"))</f>
        <v> </v>
      </c>
      <c r="I280" s="25" t="str">
        <f>IF(OR(E280="",E280="!!!",F280="NEW"),"",INDEX(B279:B$2,-1+SUMPRODUCT(MAX(ROW(E279:E$2)*(E280=E279:E$2)))))</f>
        <v> </v>
      </c>
      <c r="J280" s="25" t="str">
        <f>IF(OR(E280="",E280="!!!",F280="NEW"),"",COUNTBLANK(OFFSET(A$1,,,SUMPRODUCT(MAX(ROW(E$2:E280)*(E280=E$2:E280)))))-COUNTBLANK(OFFSET(A$1,,,SUMPRODUCT(MAX(ROW(E$1:E279)*(E2=E$1:E279))))))</f>
        <v> </v>
      </c>
      <c r="K280" s="25" t="str">
        <f>IF(OR(E280="",E280="!!!",F280="NEW"),"",INDEX(J$1:J279,SUMPRODUCT(MAX(ROW(E$1:E279)*(E280=E$1:E279)))))</f>
        <v> </v>
      </c>
      <c r="L280" s="26"/>
    </row>
    <row r="281" spans="1:12">
      <c r="A281" s="20" t="s">
        <v>507</v>
      </c>
      <c r="E281" s="21">
        <f>IF(D281="?OLD","!!!","")</f>
        <v/>
      </c>
      <c r="F281" s="22" t="str">
        <f>IF(OR(E281="",E281="!!!"),"",IF(NOT(ISNA(VLOOKUP(E281,E$1:E280,1,FALSE()))),"OLD",IF(AND(E281&lt;&gt;"",E281&lt;&gt;"!!!"),"NEW","")))</f>
        <v> </v>
      </c>
      <c r="G281" s="23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4" t="str">
        <f>IF(J281&lt;&gt;1,"",IF(I281="SBJ","CB","?"))</f>
        <v> </v>
      </c>
      <c r="I281" s="25" t="str">
        <f>IF(OR(E281="",E281="!!!",F281="NEW"),"",INDEX(B280:B$2,-1+SUMPRODUCT(MAX(ROW(E280:E$2)*(E281=E280:E$2)))))</f>
        <v> </v>
      </c>
      <c r="J281" s="25" t="str">
        <f>IF(OR(E281="",E281="!!!",F281="NEW"),"",COUNTBLANK(OFFSET(A$1,,,SUMPRODUCT(MAX(ROW(E$2:E281)*(E281=E$2:E281)))))-COUNTBLANK(OFFSET(A$1,,,SUMPRODUCT(MAX(ROW(E$1:E280)*(E2=E$1:E280))))))</f>
        <v> </v>
      </c>
      <c r="K281" s="25" t="str">
        <f>IF(OR(E281="",E281="!!!",F281="NEW"),"",INDEX(J$1:J280,SUMPRODUCT(MAX(ROW(E$1:E280)*(E281=E$1:E280)))))</f>
        <v> </v>
      </c>
      <c r="L281" s="26"/>
    </row>
    <row r="282" spans="1:12">
      <c r="A282" s="20" t="s">
        <v>503</v>
      </c>
      <c r="E282" s="21">
        <f>IF(D282="?OLD","!!!","")</f>
        <v/>
      </c>
      <c r="F282" s="22" t="str">
        <f>IF(OR(E282="",E282="!!!"),"",IF(NOT(ISNA(VLOOKUP(E282,E$1:E281,1,FALSE()))),"OLD",IF(AND(E282&lt;&gt;"",E282&lt;&gt;"!!!"),"NEW","")))</f>
        <v> </v>
      </c>
      <c r="G282" s="23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4" t="str">
        <f>IF(J282&lt;&gt;1,"",IF(I282="SBJ","CB","?"))</f>
        <v> </v>
      </c>
      <c r="I282" s="25" t="str">
        <f>IF(OR(E282="",E282="!!!",F282="NEW"),"",INDEX(B281:B$2,-1+SUMPRODUCT(MAX(ROW(E281:E$2)*(E282=E281:E$2)))))</f>
        <v> </v>
      </c>
      <c r="J282" s="25" t="str">
        <f>IF(OR(E282="",E282="!!!",F282="NEW"),"",COUNTBLANK(OFFSET(A$1,,,SUMPRODUCT(MAX(ROW(E$2:E282)*(E282=E$2:E282)))))-COUNTBLANK(OFFSET(A$1,,,SUMPRODUCT(MAX(ROW(E$1:E281)*(E2=E$1:E281))))))</f>
        <v> </v>
      </c>
      <c r="K282" s="25" t="str">
        <f>IF(OR(E282="",E282="!!!",F282="NEW"),"",INDEX(J$1:J281,SUMPRODUCT(MAX(ROW(E$1:E281)*(E282=E$1:E281)))))</f>
        <v> </v>
      </c>
      <c r="L282" s="26"/>
    </row>
    <row r="283" spans="1:12">
      <c r="A283" s="20" t="s">
        <v>634</v>
      </c>
      <c r="B283" s="27" t="s">
        <v>540</v>
      </c>
      <c r="C283" s="27" t="s">
        <v>635</v>
      </c>
      <c r="D283" s="27" t="s">
        <v>483</v>
      </c>
      <c r="E283" s="21">
        <f>IF(D283="?OLD","!!!","")</f>
        <v/>
      </c>
      <c r="F283" s="22" t="str">
        <f>IF(OR(E283="",E283="!!!"),"",IF(NOT(ISNA(VLOOKUP(E283,E$1:E282,1,FALSE()))),"OLD",IF(AND(E283&lt;&gt;"",E283&lt;&gt;"!!!"),"NEW","")))</f>
        <v> </v>
      </c>
      <c r="G283" s="23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4" t="str">
        <f>IF(J283&lt;&gt;1,"",IF(I283="SBJ","CB","?"))</f>
        <v> </v>
      </c>
      <c r="I283" s="25" t="str">
        <f>IF(OR(E283="",E283="!!!",F283="NEW"),"",INDEX(B282:B$2,-1+SUMPRODUCT(MAX(ROW(E282:E$2)*(E283=E282:E$2)))))</f>
        <v> </v>
      </c>
      <c r="J283" s="25" t="str">
        <f>IF(OR(E283="",E283="!!!",F283="NEW"),"",COUNTBLANK(OFFSET(A$1,,,SUMPRODUCT(MAX(ROW(E$2:E283)*(E283=E$2:E283)))))-COUNTBLANK(OFFSET(A$1,,,SUMPRODUCT(MAX(ROW(E$1:E282)*(E2=E$1:E282))))))</f>
        <v> </v>
      </c>
      <c r="K283" s="25" t="str">
        <f>IF(OR(E283="",E283="!!!",F283="NEW"),"",INDEX(J$1:J282,SUMPRODUCT(MAX(ROW(E$1:E282)*(E283=E$1:E282)))))</f>
        <v> </v>
      </c>
      <c r="L283" s="26"/>
    </row>
    <row r="284" spans="1:12">
      <c r="A284" s="20" t="s">
        <v>65</v>
      </c>
      <c r="B284" s="27" t="s">
        <v>490</v>
      </c>
      <c r="C284" s="27" t="s">
        <v>487</v>
      </c>
      <c r="D284" s="27" t="s">
        <v>483</v>
      </c>
      <c r="E284" s="21">
        <f>IF(D284="?OLD","!!!","")</f>
        <v/>
      </c>
      <c r="F284" s="22" t="str">
        <f>IF(OR(E284="",E284="!!!"),"",IF(NOT(ISNA(VLOOKUP(E284,E$1:E283,1,FALSE()))),"OLD",IF(AND(E284&lt;&gt;"",E284&lt;&gt;"!!!"),"NEW","")))</f>
        <v> </v>
      </c>
      <c r="G284" s="23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4" t="str">
        <f>IF(J284&lt;&gt;1,"",IF(I284="SBJ","CB","?"))</f>
        <v> </v>
      </c>
      <c r="I284" s="25" t="str">
        <f>IF(OR(E284="",E284="!!!",F284="NEW"),"",INDEX(B283:B$2,-1+SUMPRODUCT(MAX(ROW(E283:E$2)*(E284=E283:E$2)))))</f>
        <v> </v>
      </c>
      <c r="J284" s="25" t="str">
        <f>IF(OR(E284="",E284="!!!",F284="NEW"),"",COUNTBLANK(OFFSET(A$1,,,SUMPRODUCT(MAX(ROW(E$2:E284)*(E284=E$2:E284)))))-COUNTBLANK(OFFSET(A$1,,,SUMPRODUCT(MAX(ROW(E$1:E283)*(E2=E$1:E283))))))</f>
        <v> </v>
      </c>
      <c r="K284" s="25" t="str">
        <f>IF(OR(E284="",E284="!!!",F284="NEW"),"",INDEX(J$1:J283,SUMPRODUCT(MAX(ROW(E$1:E283)*(E284=E$1:E283)))))</f>
        <v> </v>
      </c>
      <c r="L284" s="26"/>
    </row>
    <row r="285" spans="1:12">
      <c r="A285" s="20" t="s">
        <v>531</v>
      </c>
      <c r="E285" s="21">
        <f>IF(D285="?OLD","!!!","")</f>
        <v/>
      </c>
      <c r="F285" s="22" t="str">
        <f>IF(OR(E285="",E285="!!!"),"",IF(NOT(ISNA(VLOOKUP(E285,E$1:E284,1,FALSE()))),"OLD",IF(AND(E285&lt;&gt;"",E285&lt;&gt;"!!!"),"NEW","")))</f>
        <v> </v>
      </c>
      <c r="G285" s="23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4" t="str">
        <f>IF(J285&lt;&gt;1,"",IF(I285="SBJ","CB","?"))</f>
        <v> </v>
      </c>
      <c r="I285" s="25" t="str">
        <f>IF(OR(E285="",E285="!!!",F285="NEW"),"",INDEX(B284:B$2,-1+SUMPRODUCT(MAX(ROW(E284:E$2)*(E285=E284:E$2)))))</f>
        <v> </v>
      </c>
      <c r="J285" s="25" t="str">
        <f>IF(OR(E285="",E285="!!!",F285="NEW"),"",COUNTBLANK(OFFSET(A$1,,,SUMPRODUCT(MAX(ROW(E$2:E285)*(E285=E$2:E285)))))-COUNTBLANK(OFFSET(A$1,,,SUMPRODUCT(MAX(ROW(E$1:E284)*(E2=E$1:E284))))))</f>
        <v> </v>
      </c>
      <c r="K285" s="25" t="str">
        <f>IF(OR(E285="",E285="!!!",F285="NEW"),"",INDEX(J$1:J284,SUMPRODUCT(MAX(ROW(E$1:E284)*(E285=E$1:E284)))))</f>
        <v> </v>
      </c>
      <c r="L285" s="26"/>
    </row>
    <row r="286" spans="1:12">
      <c r="A286" s="20"/>
    </row>
    <row r="287" spans="1:12">
      <c r="A287" s="20" t="s">
        <v>638</v>
      </c>
    </row>
    <row r="288" spans="1:12">
      <c r="A288" s="20" t="s">
        <v>617</v>
      </c>
      <c r="E288" s="21">
        <f>IF(D288="?OLD","!!!","")</f>
        <v/>
      </c>
      <c r="F288" s="22" t="str">
        <f>IF(OR(E288="",E288="!!!"),"",IF(NOT(ISNA(VLOOKUP(E288,E$1:E287,1,FALSE()))),"OLD",IF(AND(E288&lt;&gt;"",E288&lt;&gt;"!!!"),"NEW","")))</f>
        <v> </v>
      </c>
      <c r="G288" s="23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4" t="str">
        <f>IF(J288&lt;&gt;1,"",IF(I288="SBJ","CB","?"))</f>
        <v> </v>
      </c>
      <c r="I288" s="25" t="str">
        <f>IF(OR(E288="",E288="!!!",F288="NEW"),"",INDEX(B287:B$2,-1+SUMPRODUCT(MAX(ROW(E287:E$2)*(E288=E287:E$2)))))</f>
        <v> </v>
      </c>
      <c r="J288" s="25" t="str">
        <f>IF(OR(E288="",E288="!!!",F288="NEW"),"",COUNTBLANK(OFFSET(A$1,,,SUMPRODUCT(MAX(ROW(E$2:E288)*(E288=E$2:E288)))))-COUNTBLANK(OFFSET(A$1,,,SUMPRODUCT(MAX(ROW(E$1:E287)*(E2=E$1:E287))))))</f>
        <v> </v>
      </c>
      <c r="K288" s="25" t="str">
        <f>IF(OR(E288="",E288="!!!",F288="NEW"),"",INDEX(J$1:J287,SUMPRODUCT(MAX(ROW(E$1:E287)*(E288=E$1:E287)))))</f>
        <v> </v>
      </c>
      <c r="L288" s="26"/>
    </row>
    <row r="289" spans="1:12">
      <c r="A289" s="20" t="s">
        <v>639</v>
      </c>
      <c r="E289" s="21">
        <f>IF(D289="?OLD","!!!","")</f>
        <v/>
      </c>
      <c r="F289" s="22" t="str">
        <f>IF(OR(E289="",E289="!!!"),"",IF(NOT(ISNA(VLOOKUP(E289,E$1:E288,1,FALSE()))),"OLD",IF(AND(E289&lt;&gt;"",E289&lt;&gt;"!!!"),"NEW","")))</f>
        <v> </v>
      </c>
      <c r="G289" s="23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4" t="str">
        <f>IF(J289&lt;&gt;1,"",IF(I289="SBJ","CB","?"))</f>
        <v> </v>
      </c>
      <c r="I289" s="25" t="str">
        <f>IF(OR(E289="",E289="!!!",F289="NEW"),"",INDEX(B288:B$2,-1+SUMPRODUCT(MAX(ROW(E288:E$2)*(E289=E288:E$2)))))</f>
        <v> </v>
      </c>
      <c r="J289" s="25" t="str">
        <f>IF(OR(E289="",E289="!!!",F289="NEW"),"",COUNTBLANK(OFFSET(A$1,,,SUMPRODUCT(MAX(ROW(E$2:E289)*(E289=E$2:E289)))))-COUNTBLANK(OFFSET(A$1,,,SUMPRODUCT(MAX(ROW(E$1:E288)*(E2=E$1:E288))))))</f>
        <v> </v>
      </c>
      <c r="K289" s="25" t="str">
        <f>IF(OR(E289="",E289="!!!",F289="NEW"),"",INDEX(J$1:J288,SUMPRODUCT(MAX(ROW(E$1:E288)*(E289=E$1:E288)))))</f>
        <v> </v>
      </c>
      <c r="L289" s="26"/>
    </row>
    <row r="290" spans="1:12">
      <c r="A290" s="20" t="s">
        <v>503</v>
      </c>
      <c r="E290" s="21">
        <f>IF(D290="?OLD","!!!","")</f>
        <v/>
      </c>
      <c r="F290" s="22" t="str">
        <f>IF(OR(E290="",E290="!!!"),"",IF(NOT(ISNA(VLOOKUP(E290,E$1:E289,1,FALSE()))),"OLD",IF(AND(E290&lt;&gt;"",E290&lt;&gt;"!!!"),"NEW","")))</f>
        <v> </v>
      </c>
      <c r="G290" s="23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4" t="str">
        <f>IF(J290&lt;&gt;1,"",IF(I290="SBJ","CB","?"))</f>
        <v> </v>
      </c>
      <c r="I290" s="25" t="str">
        <f>IF(OR(E290="",E290="!!!",F290="NEW"),"",INDEX(B289:B$2,-1+SUMPRODUCT(MAX(ROW(E289:E$2)*(E290=E289:E$2)))))</f>
        <v> </v>
      </c>
      <c r="J290" s="25" t="str">
        <f>IF(OR(E290="",E290="!!!",F290="NEW"),"",COUNTBLANK(OFFSET(A$1,,,SUMPRODUCT(MAX(ROW(E$2:E290)*(E290=E$2:E290)))))-COUNTBLANK(OFFSET(A$1,,,SUMPRODUCT(MAX(ROW(E$1:E289)*(E2=E$1:E289))))))</f>
        <v> </v>
      </c>
      <c r="K290" s="25" t="str">
        <f>IF(OR(E290="",E290="!!!",F290="NEW"),"",INDEX(J$1:J289,SUMPRODUCT(MAX(ROW(E$1:E289)*(E290=E$1:E289)))))</f>
        <v> </v>
      </c>
      <c r="L290" s="26"/>
    </row>
    <row r="291" spans="1:12">
      <c r="A291" s="20" t="s">
        <v>640</v>
      </c>
      <c r="B291" s="27" t="s">
        <v>542</v>
      </c>
      <c r="C291" s="27" t="s">
        <v>487</v>
      </c>
      <c r="D291" s="27" t="s">
        <v>483</v>
      </c>
      <c r="E291" s="21">
        <f>IF(D291="?OLD","!!!","")</f>
        <v/>
      </c>
      <c r="F291" s="22" t="str">
        <f>IF(OR(E291="",E291="!!!"),"",IF(NOT(ISNA(VLOOKUP(E291,E$1:E290,1,FALSE()))),"OLD",IF(AND(E291&lt;&gt;"",E291&lt;&gt;"!!!"),"NEW","")))</f>
        <v> </v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4" t="str">
        <f>IF(J291&lt;&gt;1,"",IF(I291="SBJ","CB","?"))</f>
        <v> </v>
      </c>
      <c r="I291" s="25" t="str">
        <f>IF(OR(E291="",E291="!!!",F291="NEW"),"",INDEX(B290:B$2,-1+SUMPRODUCT(MAX(ROW(E290:E$2)*(E291=E290:E$2)))))</f>
        <v> </v>
      </c>
      <c r="J291" s="25" t="str">
        <f>IF(OR(E291="",E291="!!!",F291="NEW"),"",COUNTBLANK(OFFSET(A$1,,,SUMPRODUCT(MAX(ROW(E$2:E291)*(E291=E$2:E291)))))-COUNTBLANK(OFFSET(A$1,,,SUMPRODUCT(MAX(ROW(E$1:E290)*(E2=E$1:E290))))))</f>
        <v> </v>
      </c>
      <c r="K291" s="25" t="str">
        <f>IF(OR(E291="",E291="!!!",F291="NEW"),"",INDEX(J$1:J290,SUMPRODUCT(MAX(ROW(E$1:E290)*(E291=E$1:E290)))))</f>
        <v> </v>
      </c>
      <c r="L291" s="26"/>
    </row>
    <row r="292" spans="1:12">
      <c r="A292" s="20" t="s">
        <v>500</v>
      </c>
      <c r="E292" s="21">
        <f>IF(D292="?OLD","!!!","")</f>
        <v/>
      </c>
      <c r="F292" s="22" t="str">
        <f>IF(OR(E292="",E292="!!!"),"",IF(NOT(ISNA(VLOOKUP(E292,E$1:E291,1,FALSE()))),"OLD",IF(AND(E292&lt;&gt;"",E292&lt;&gt;"!!!"),"NEW","")))</f>
        <v> </v>
      </c>
      <c r="G292" s="23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4" t="str">
        <f>IF(J292&lt;&gt;1,"",IF(I292="SBJ","CB","?"))</f>
        <v> </v>
      </c>
      <c r="I292" s="25" t="str">
        <f>IF(OR(E292="",E292="!!!",F292="NEW"),"",INDEX(B291:B$2,-1+SUMPRODUCT(MAX(ROW(E291:E$2)*(E292=E291:E$2)))))</f>
        <v> </v>
      </c>
      <c r="J292" s="25" t="str">
        <f>IF(OR(E292="",E292="!!!",F292="NEW"),"",COUNTBLANK(OFFSET(A$1,,,SUMPRODUCT(MAX(ROW(E$2:E292)*(E292=E$2:E292)))))-COUNTBLANK(OFFSET(A$1,,,SUMPRODUCT(MAX(ROW(E$1:E291)*(E2=E$1:E291))))))</f>
        <v> </v>
      </c>
      <c r="K292" s="25" t="str">
        <f>IF(OR(E292="",E292="!!!",F292="NEW"),"",INDEX(J$1:J291,SUMPRODUCT(MAX(ROW(E$1:E291)*(E292=E$1:E291)))))</f>
        <v> </v>
      </c>
      <c r="L292" s="26"/>
    </row>
    <row r="293" spans="1:12">
      <c r="A293" s="20" t="s">
        <v>641</v>
      </c>
      <c r="B293" s="27" t="s">
        <v>490</v>
      </c>
      <c r="C293" s="27" t="s">
        <v>516</v>
      </c>
      <c r="E293" s="21">
        <f>IF(D293="?OLD","!!!","")</f>
        <v/>
      </c>
      <c r="F293" s="22" t="str">
        <f>IF(OR(E293="",E293="!!!"),"",IF(NOT(ISNA(VLOOKUP(E293,E$1:E292,1,FALSE()))),"OLD",IF(AND(E293&lt;&gt;"",E293&lt;&gt;"!!!"),"NEW","")))</f>
        <v> </v>
      </c>
      <c r="G293" s="23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4" t="str">
        <f>IF(J293&lt;&gt;1,"",IF(I293="SBJ","CB","?"))</f>
        <v> </v>
      </c>
      <c r="I293" s="25" t="str">
        <f>IF(OR(E293="",E293="!!!",F293="NEW"),"",INDEX(B292:B$2,-1+SUMPRODUCT(MAX(ROW(E292:E$2)*(E293=E292:E$2)))))</f>
        <v> </v>
      </c>
      <c r="J293" s="25" t="str">
        <f>IF(OR(E293="",E293="!!!",F293="NEW"),"",COUNTBLANK(OFFSET(A$1,,,SUMPRODUCT(MAX(ROW(E$2:E293)*(E293=E$2:E293)))))-COUNTBLANK(OFFSET(A$1,,,SUMPRODUCT(MAX(ROW(E$1:E292)*(E2=E$1:E292))))))</f>
        <v> </v>
      </c>
      <c r="K293" s="25" t="str">
        <f>IF(OR(E293="",E293="!!!",F293="NEW"),"",INDEX(J$1:J292,SUMPRODUCT(MAX(ROW(E$1:E292)*(E293=E$1:E292)))))</f>
        <v> </v>
      </c>
      <c r="L293" s="26"/>
    </row>
    <row r="294" spans="1:12">
      <c r="A294" s="20" t="s">
        <v>531</v>
      </c>
      <c r="E294" s="21">
        <f>IF(D294="?OLD","!!!","")</f>
        <v/>
      </c>
      <c r="F294" s="22" t="str">
        <f>IF(OR(E294="",E294="!!!"),"",IF(NOT(ISNA(VLOOKUP(E294,E$1:E293,1,FALSE()))),"OLD",IF(AND(E294&lt;&gt;"",E294&lt;&gt;"!!!"),"NEW","")))</f>
        <v> </v>
      </c>
      <c r="G294" s="23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4" t="str">
        <f>IF(J294&lt;&gt;1,"",IF(I294="SBJ","CB","?"))</f>
        <v> </v>
      </c>
      <c r="I294" s="25" t="str">
        <f>IF(OR(E294="",E294="!!!",F294="NEW"),"",INDEX(B293:B$2,-1+SUMPRODUCT(MAX(ROW(E293:E$2)*(E294=E293:E$2)))))</f>
        <v> </v>
      </c>
      <c r="J294" s="25" t="str">
        <f>IF(OR(E294="",E294="!!!",F294="NEW"),"",COUNTBLANK(OFFSET(A$1,,,SUMPRODUCT(MAX(ROW(E$2:E294)*(E294=E$2:E294)))))-COUNTBLANK(OFFSET(A$1,,,SUMPRODUCT(MAX(ROW(E$1:E293)*(E2=E$1:E293))))))</f>
        <v> </v>
      </c>
      <c r="K294" s="25" t="str">
        <f>IF(OR(E294="",E294="!!!",F294="NEW"),"",INDEX(J$1:J293,SUMPRODUCT(MAX(ROW(E$1:E293)*(E294=E$1:E293)))))</f>
        <v> </v>
      </c>
      <c r="L294" s="26"/>
    </row>
    <row r="295" spans="1:12">
      <c r="A295" s="20"/>
    </row>
    <row r="296" spans="1:12">
      <c r="A296" s="20" t="s">
        <v>642</v>
      </c>
    </row>
    <row r="297" spans="1:12">
      <c r="A297" s="20" t="s">
        <v>580</v>
      </c>
      <c r="E297" s="21">
        <f>IF(D297="?OLD","!!!","")</f>
        <v/>
      </c>
      <c r="F297" s="22" t="str">
        <f>IF(OR(E297="",E297="!!!"),"",IF(NOT(ISNA(VLOOKUP(E297,E$1:E296,1,FALSE()))),"OLD",IF(AND(E297&lt;&gt;"",E297&lt;&gt;"!!!"),"NEW","")))</f>
        <v> </v>
      </c>
      <c r="G297" s="23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4" t="str">
        <f>IF(J297&lt;&gt;1,"",IF(I297="SBJ","CB","?"))</f>
        <v> </v>
      </c>
      <c r="I297" s="25" t="str">
        <f>IF(OR(E297="",E297="!!!",F297="NEW"),"",INDEX(B296:B$2,-1+SUMPRODUCT(MAX(ROW(E296:E$2)*(E297=E296:E$2)))))</f>
        <v> </v>
      </c>
      <c r="J297" s="25" t="str">
        <f>IF(OR(E297="",E297="!!!",F297="NEW"),"",COUNTBLANK(OFFSET(A$1,,,SUMPRODUCT(MAX(ROW(E$2:E297)*(E297=E$2:E297)))))-COUNTBLANK(OFFSET(A$1,,,SUMPRODUCT(MAX(ROW(E$1:E296)*(E2=E$1:E296))))))</f>
        <v> </v>
      </c>
      <c r="K297" s="25" t="str">
        <f>IF(OR(E297="",E297="!!!",F297="NEW"),"",INDEX(J$1:J296,SUMPRODUCT(MAX(ROW(E$1:E296)*(E297=E$1:E296)))))</f>
        <v> </v>
      </c>
      <c r="L297" s="26"/>
    </row>
    <row r="298" spans="1:12">
      <c r="A298" s="20" t="s">
        <v>643</v>
      </c>
      <c r="E298" s="21">
        <f>IF(D298="?OLD","!!!","")</f>
        <v/>
      </c>
      <c r="F298" s="22" t="str">
        <f>IF(OR(E298="",E298="!!!"),"",IF(NOT(ISNA(VLOOKUP(E298,E$1:E297,1,FALSE()))),"OLD",IF(AND(E298&lt;&gt;"",E298&lt;&gt;"!!!"),"NEW","")))</f>
        <v> </v>
      </c>
      <c r="G298" s="23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4" t="str">
        <f>IF(J298&lt;&gt;1,"",IF(I298="SBJ","CB","?"))</f>
        <v> </v>
      </c>
      <c r="I298" s="25" t="str">
        <f>IF(OR(E298="",E298="!!!",F298="NEW"),"",INDEX(B297:B$2,-1+SUMPRODUCT(MAX(ROW(E297:E$2)*(E298=E297:E$2)))))</f>
        <v> </v>
      </c>
      <c r="J298" s="25" t="str">
        <f>IF(OR(E298="",E298="!!!",F298="NEW"),"",COUNTBLANK(OFFSET(A$1,,,SUMPRODUCT(MAX(ROW(E$2:E298)*(E298=E$2:E298)))))-COUNTBLANK(OFFSET(A$1,,,SUMPRODUCT(MAX(ROW(E$1:E297)*(E2=E$1:E297))))))</f>
        <v> </v>
      </c>
      <c r="K298" s="25" t="str">
        <f>IF(OR(E298="",E298="!!!",F298="NEW"),"",INDEX(J$1:J297,SUMPRODUCT(MAX(ROW(E$1:E297)*(E298=E$1:E297)))))</f>
        <v> </v>
      </c>
      <c r="L298" s="26"/>
    </row>
    <row r="299" spans="1:12">
      <c r="A299" s="20" t="s">
        <v>492</v>
      </c>
      <c r="E299" s="21">
        <f>IF(D299="?OLD","!!!","")</f>
        <v/>
      </c>
      <c r="F299" s="22" t="str">
        <f>IF(OR(E299="",E299="!!!"),"",IF(NOT(ISNA(VLOOKUP(E299,E$1:E298,1,FALSE()))),"OLD",IF(AND(E299&lt;&gt;"",E299&lt;&gt;"!!!"),"NEW","")))</f>
        <v> </v>
      </c>
      <c r="G299" s="23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4" t="str">
        <f>IF(J299&lt;&gt;1,"",IF(I299="SBJ","CB","?"))</f>
        <v> </v>
      </c>
      <c r="I299" s="25" t="str">
        <f>IF(OR(E299="",E299="!!!",F299="NEW"),"",INDEX(B298:B$2,-1+SUMPRODUCT(MAX(ROW(E298:E$2)*(E299=E298:E$2)))))</f>
        <v> </v>
      </c>
      <c r="J299" s="25" t="str">
        <f>IF(OR(E299="",E299="!!!",F299="NEW"),"",COUNTBLANK(OFFSET(A$1,,,SUMPRODUCT(MAX(ROW(E$2:E299)*(E299=E$2:E299)))))-COUNTBLANK(OFFSET(A$1,,,SUMPRODUCT(MAX(ROW(E$1:E298)*(E2=E$1:E298))))))</f>
        <v> </v>
      </c>
      <c r="K299" s="25" t="str">
        <f>IF(OR(E299="",E299="!!!",F299="NEW"),"",INDEX(J$1:J298,SUMPRODUCT(MAX(ROW(E$1:E298)*(E299=E$1:E298)))))</f>
        <v> </v>
      </c>
      <c r="L299" s="26"/>
    </row>
    <row r="300" spans="1:12">
      <c r="A300" s="20" t="s">
        <v>644</v>
      </c>
      <c r="B300" s="27" t="s">
        <v>553</v>
      </c>
      <c r="C300" s="27" t="s">
        <v>523</v>
      </c>
      <c r="E300" s="21">
        <f>IF(D300="?OLD","!!!","")</f>
        <v/>
      </c>
      <c r="F300" s="22" t="str">
        <f>IF(OR(E300="",E300="!!!"),"",IF(NOT(ISNA(VLOOKUP(E300,E$1:E299,1,FALSE()))),"OLD",IF(AND(E300&lt;&gt;"",E300&lt;&gt;"!!!"),"NEW","")))</f>
        <v> </v>
      </c>
      <c r="G300" s="23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4" t="str">
        <f>IF(J300&lt;&gt;1,"",IF(I300="SBJ","CB","?"))</f>
        <v> </v>
      </c>
      <c r="I300" s="25" t="str">
        <f>IF(OR(E300="",E300="!!!",F300="NEW"),"",INDEX(B299:B$2,-1+SUMPRODUCT(MAX(ROW(E299:E$2)*(E300=E299:E$2)))))</f>
        <v> </v>
      </c>
      <c r="J300" s="25" t="str">
        <f>IF(OR(E300="",E300="!!!",F300="NEW"),"",COUNTBLANK(OFFSET(A$1,,,SUMPRODUCT(MAX(ROW(E$2:E300)*(E300=E$2:E300)))))-COUNTBLANK(OFFSET(A$1,,,SUMPRODUCT(MAX(ROW(E$1:E299)*(E2=E$1:E299))))))</f>
        <v> </v>
      </c>
      <c r="K300" s="25" t="str">
        <f>IF(OR(E300="",E300="!!!",F300="NEW"),"",INDEX(J$1:J299,SUMPRODUCT(MAX(ROW(E$1:E299)*(E300=E$1:E299)))))</f>
        <v> </v>
      </c>
      <c r="L300" s="26"/>
    </row>
    <row r="301" spans="1:12">
      <c r="A301" s="20" t="s">
        <v>645</v>
      </c>
      <c r="E301" s="21">
        <f>IF(D301="?OLD","!!!","")</f>
        <v/>
      </c>
      <c r="F301" s="22" t="str">
        <f>IF(OR(E301="",E301="!!!"),"",IF(NOT(ISNA(VLOOKUP(E301,E$1:E300,1,FALSE()))),"OLD",IF(AND(E301&lt;&gt;"",E301&lt;&gt;"!!!"),"NEW","")))</f>
        <v> </v>
      </c>
      <c r="G301" s="23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4" t="str">
        <f>IF(J301&lt;&gt;1,"",IF(I301="SBJ","CB","?"))</f>
        <v> </v>
      </c>
      <c r="I301" s="25" t="str">
        <f>IF(OR(E301="",E301="!!!",F301="NEW"),"",INDEX(B300:B$2,-1+SUMPRODUCT(MAX(ROW(E300:E$2)*(E301=E300:E$2)))))</f>
        <v> </v>
      </c>
      <c r="J301" s="25" t="str">
        <f>IF(OR(E301="",E301="!!!",F301="NEW"),"",COUNTBLANK(OFFSET(A$1,,,SUMPRODUCT(MAX(ROW(E$2:E301)*(E301=E$2:E301)))))-COUNTBLANK(OFFSET(A$1,,,SUMPRODUCT(MAX(ROW(E$1:E300)*(E2=E$1:E300))))))</f>
        <v> </v>
      </c>
      <c r="K301" s="25" t="str">
        <f>IF(OR(E301="",E301="!!!",F301="NEW"),"",INDEX(J$1:J300,SUMPRODUCT(MAX(ROW(E$1:E300)*(E301=E$1:E300)))))</f>
        <v> </v>
      </c>
      <c r="L301" s="26"/>
    </row>
    <row r="302" spans="1:12">
      <c r="A302" s="20" t="s">
        <v>646</v>
      </c>
      <c r="E302" s="21">
        <f>IF(D302="?OLD","!!!","")</f>
        <v/>
      </c>
      <c r="F302" s="22" t="str">
        <f>IF(OR(E302="",E302="!!!"),"",IF(NOT(ISNA(VLOOKUP(E302,E$1:E301,1,FALSE()))),"OLD",IF(AND(E302&lt;&gt;"",E302&lt;&gt;"!!!"),"NEW","")))</f>
        <v> </v>
      </c>
      <c r="G302" s="23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4" t="str">
        <f>IF(J302&lt;&gt;1,"",IF(I302="SBJ","CB","?"))</f>
        <v> </v>
      </c>
      <c r="I302" s="25" t="str">
        <f>IF(OR(E302="",E302="!!!",F302="NEW"),"",INDEX(B301:B$2,-1+SUMPRODUCT(MAX(ROW(E301:E$2)*(E302=E301:E$2)))))</f>
        <v> </v>
      </c>
      <c r="J302" s="25" t="str">
        <f>IF(OR(E302="",E302="!!!",F302="NEW"),"",COUNTBLANK(OFFSET(A$1,,,SUMPRODUCT(MAX(ROW(E$2:E302)*(E302=E$2:E302)))))-COUNTBLANK(OFFSET(A$1,,,SUMPRODUCT(MAX(ROW(E$1:E301)*(E2=E$1:E301))))))</f>
        <v> </v>
      </c>
      <c r="K302" s="25" t="str">
        <f>IF(OR(E302="",E302="!!!",F302="NEW"),"",INDEX(J$1:J301,SUMPRODUCT(MAX(ROW(E$1:E301)*(E302=E$1:E301)))))</f>
        <v> </v>
      </c>
      <c r="L302" s="26"/>
    </row>
    <row r="303" spans="1:12">
      <c r="A303" s="20" t="s">
        <v>647</v>
      </c>
      <c r="E303" s="21">
        <f>IF(D303="?OLD","!!!","")</f>
        <v/>
      </c>
      <c r="F303" s="22" t="str">
        <f>IF(OR(E303="",E303="!!!"),"",IF(NOT(ISNA(VLOOKUP(E303,E$1:E302,1,FALSE()))),"OLD",IF(AND(E303&lt;&gt;"",E303&lt;&gt;"!!!"),"NEW","")))</f>
        <v> </v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4" t="str">
        <f>IF(J303&lt;&gt;1,"",IF(I303="SBJ","CB","?"))</f>
        <v> </v>
      </c>
      <c r="I303" s="25" t="str">
        <f>IF(OR(E303="",E303="!!!",F303="NEW"),"",INDEX(B302:B$2,-1+SUMPRODUCT(MAX(ROW(E302:E$2)*(E303=E302:E$2)))))</f>
        <v> </v>
      </c>
      <c r="J303" s="25" t="str">
        <f>IF(OR(E303="",E303="!!!",F303="NEW"),"",COUNTBLANK(OFFSET(A$1,,,SUMPRODUCT(MAX(ROW(E$2:E303)*(E303=E$2:E303)))))-COUNTBLANK(OFFSET(A$1,,,SUMPRODUCT(MAX(ROW(E$1:E302)*(E2=E$1:E302))))))</f>
        <v> </v>
      </c>
      <c r="K303" s="25" t="str">
        <f>IF(OR(E303="",E303="!!!",F303="NEW"),"",INDEX(J$1:J302,SUMPRODUCT(MAX(ROW(E$1:E302)*(E303=E$1:E302)))))</f>
        <v> </v>
      </c>
      <c r="L303" s="26"/>
    </row>
    <row r="304" spans="1:12">
      <c r="A304" s="20" t="s">
        <v>484</v>
      </c>
      <c r="E304" s="21">
        <f>IF(D304="?OLD","!!!","")</f>
        <v/>
      </c>
      <c r="F304" s="22" t="str">
        <f>IF(OR(E304="",E304="!!!"),"",IF(NOT(ISNA(VLOOKUP(E304,E$1:E303,1,FALSE()))),"OLD",IF(AND(E304&lt;&gt;"",E304&lt;&gt;"!!!"),"NEW","")))</f>
        <v> </v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4" t="str">
        <f>IF(J304&lt;&gt;1,"",IF(I304="SBJ","CB","?"))</f>
        <v> </v>
      </c>
      <c r="I304" s="25" t="str">
        <f>IF(OR(E304="",E304="!!!",F304="NEW"),"",INDEX(B303:B$2,-1+SUMPRODUCT(MAX(ROW(E303:E$2)*(E304=E303:E$2)))))</f>
        <v> </v>
      </c>
      <c r="J304" s="25" t="str">
        <f>IF(OR(E304="",E304="!!!",F304="NEW"),"",COUNTBLANK(OFFSET(A$1,,,SUMPRODUCT(MAX(ROW(E$2:E304)*(E304=E$2:E304)))))-COUNTBLANK(OFFSET(A$1,,,SUMPRODUCT(MAX(ROW(E$1:E303)*(E2=E$1:E303))))))</f>
        <v> </v>
      </c>
      <c r="K304" s="25" t="str">
        <f>IF(OR(E304="",E304="!!!",F304="NEW"),"",INDEX(J$1:J303,SUMPRODUCT(MAX(ROW(E$1:E303)*(E304=E$1:E303)))))</f>
        <v> </v>
      </c>
      <c r="L304" s="26"/>
    </row>
    <row r="305" spans="1:12">
      <c r="A305" s="20" t="s">
        <v>503</v>
      </c>
      <c r="E305" s="21">
        <f>IF(D305="?OLD","!!!","")</f>
        <v/>
      </c>
      <c r="F305" s="22" t="str">
        <f>IF(OR(E305="",E305="!!!"),"",IF(NOT(ISNA(VLOOKUP(E305,E$1:E304,1,FALSE()))),"OLD",IF(AND(E305&lt;&gt;"",E305&lt;&gt;"!!!"),"NEW","")))</f>
        <v> </v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4" t="str">
        <f>IF(J305&lt;&gt;1,"",IF(I305="SBJ","CB","?"))</f>
        <v> </v>
      </c>
      <c r="I305" s="25" t="str">
        <f>IF(OR(E305="",E305="!!!",F305="NEW"),"",INDEX(B304:B$2,-1+SUMPRODUCT(MAX(ROW(E304:E$2)*(E305=E304:E$2)))))</f>
        <v> </v>
      </c>
      <c r="J305" s="25" t="str">
        <f>IF(OR(E305="",E305="!!!",F305="NEW"),"",COUNTBLANK(OFFSET(A$1,,,SUMPRODUCT(MAX(ROW(E$2:E305)*(E305=E$2:E305)))))-COUNTBLANK(OFFSET(A$1,,,SUMPRODUCT(MAX(ROW(E$1:E304)*(E2=E$1:E304))))))</f>
        <v> </v>
      </c>
      <c r="K305" s="25" t="str">
        <f>IF(OR(E305="",E305="!!!",F305="NEW"),"",INDEX(J$1:J304,SUMPRODUCT(MAX(ROW(E$1:E304)*(E305=E$1:E304)))))</f>
        <v> </v>
      </c>
      <c r="L305" s="26"/>
    </row>
    <row r="306" spans="1:12">
      <c r="A306" s="20" t="s">
        <v>640</v>
      </c>
      <c r="B306" s="27" t="s">
        <v>540</v>
      </c>
      <c r="C306" s="27" t="s">
        <v>487</v>
      </c>
      <c r="D306" s="27" t="s">
        <v>483</v>
      </c>
      <c r="E306" s="21">
        <f>IF(D306="?OLD","!!!","")</f>
        <v/>
      </c>
      <c r="F306" s="22" t="str">
        <f>IF(OR(E306="",E306="!!!"),"",IF(NOT(ISNA(VLOOKUP(E306,E$1:E305,1,FALSE()))),"OLD",IF(AND(E306&lt;&gt;"",E306&lt;&gt;"!!!"),"NEW","")))</f>
        <v> </v>
      </c>
      <c r="G306" s="23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4" t="str">
        <f>IF(J306&lt;&gt;1,"",IF(I306="SBJ","CB","?"))</f>
        <v> </v>
      </c>
      <c r="I306" s="25" t="str">
        <f>IF(OR(E306="",E306="!!!",F306="NEW"),"",INDEX(B305:B$2,-1+SUMPRODUCT(MAX(ROW(E305:E$2)*(E306=E305:E$2)))))</f>
        <v> </v>
      </c>
      <c r="J306" s="25" t="str">
        <f>IF(OR(E306="",E306="!!!",F306="NEW"),"",COUNTBLANK(OFFSET(A$1,,,SUMPRODUCT(MAX(ROW(E$2:E306)*(E306=E$2:E306)))))-COUNTBLANK(OFFSET(A$1,,,SUMPRODUCT(MAX(ROW(E$1:E305)*(E2=E$1:E305))))))</f>
        <v> </v>
      </c>
      <c r="K306" s="25" t="str">
        <f>IF(OR(E306="",E306="!!!",F306="NEW"),"",INDEX(J$1:J305,SUMPRODUCT(MAX(ROW(E$1:E305)*(E306=E$1:E305)))))</f>
        <v> </v>
      </c>
      <c r="L306" s="26"/>
    </row>
    <row r="307" spans="1:12">
      <c r="A307" s="20" t="s">
        <v>593</v>
      </c>
      <c r="E307" s="21">
        <f>IF(D307="?OLD","!!!","")</f>
        <v/>
      </c>
      <c r="F307" s="22" t="str">
        <f>IF(OR(E307="",E307="!!!"),"",IF(NOT(ISNA(VLOOKUP(E307,E$1:E306,1,FALSE()))),"OLD",IF(AND(E307&lt;&gt;"",E307&lt;&gt;"!!!"),"NEW","")))</f>
        <v> </v>
      </c>
      <c r="G307" s="23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4" t="str">
        <f>IF(J307&lt;&gt;1,"",IF(I307="SBJ","CB","?"))</f>
        <v> </v>
      </c>
      <c r="I307" s="25" t="str">
        <f>IF(OR(E307="",E307="!!!",F307="NEW"),"",INDEX(B306:B$2,-1+SUMPRODUCT(MAX(ROW(E306:E$2)*(E307=E306:E$2)))))</f>
        <v> </v>
      </c>
      <c r="J307" s="25" t="str">
        <f>IF(OR(E307="",E307="!!!",F307="NEW"),"",COUNTBLANK(OFFSET(A$1,,,SUMPRODUCT(MAX(ROW(E$2:E307)*(E307=E$2:E307)))))-COUNTBLANK(OFFSET(A$1,,,SUMPRODUCT(MAX(ROW(E$1:E306)*(E2=E$1:E306))))))</f>
        <v> </v>
      </c>
      <c r="K307" s="25" t="str">
        <f>IF(OR(E307="",E307="!!!",F307="NEW"),"",INDEX(J$1:J306,SUMPRODUCT(MAX(ROW(E$1:E306)*(E307=E$1:E306)))))</f>
        <v> </v>
      </c>
      <c r="L307" s="26"/>
    </row>
    <row r="308" spans="1:12">
      <c r="A308" s="20" t="s">
        <v>76</v>
      </c>
      <c r="E308" s="21">
        <f>IF(D308="?OLD","!!!","")</f>
        <v/>
      </c>
      <c r="F308" s="22" t="str">
        <f>IF(OR(E308="",E308="!!!"),"",IF(NOT(ISNA(VLOOKUP(E308,E$1:E307,1,FALSE()))),"OLD",IF(AND(E308&lt;&gt;"",E308&lt;&gt;"!!!"),"NEW","")))</f>
        <v> </v>
      </c>
      <c r="G308" s="23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4" t="str">
        <f>IF(J308&lt;&gt;1,"",IF(I308="SBJ","CB","?"))</f>
        <v> </v>
      </c>
      <c r="I308" s="25" t="str">
        <f>IF(OR(E308="",E308="!!!",F308="NEW"),"",INDEX(B307:B$2,-1+SUMPRODUCT(MAX(ROW(E307:E$2)*(E308=E307:E$2)))))</f>
        <v> </v>
      </c>
      <c r="J308" s="25" t="str">
        <f>IF(OR(E308="",E308="!!!",F308="NEW"),"",COUNTBLANK(OFFSET(A$1,,,SUMPRODUCT(MAX(ROW(E$2:E308)*(E308=E$2:E308)))))-COUNTBLANK(OFFSET(A$1,,,SUMPRODUCT(MAX(ROW(E$1:E307)*(E2=E$1:E307))))))</f>
        <v> </v>
      </c>
      <c r="K308" s="25" t="str">
        <f>IF(OR(E308="",E308="!!!",F308="NEW"),"",INDEX(J$1:J307,SUMPRODUCT(MAX(ROW(E$1:E307)*(E308=E$1:E307)))))</f>
        <v> </v>
      </c>
      <c r="L308" s="26"/>
    </row>
    <row r="309" spans="1:12">
      <c r="A309" s="20" t="s">
        <v>485</v>
      </c>
      <c r="E309" s="21">
        <f>IF(D309="?OLD","!!!","")</f>
        <v/>
      </c>
      <c r="F309" s="22" t="str">
        <f>IF(OR(E309="",E309="!!!"),"",IF(NOT(ISNA(VLOOKUP(E309,E$1:E308,1,FALSE()))),"OLD",IF(AND(E309&lt;&gt;"",E309&lt;&gt;"!!!"),"NEW","")))</f>
        <v> </v>
      </c>
      <c r="G309" s="23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4" t="str">
        <f>IF(J309&lt;&gt;1,"",IF(I309="SBJ","CB","?"))</f>
        <v> </v>
      </c>
      <c r="I309" s="25" t="str">
        <f>IF(OR(E309="",E309="!!!",F309="NEW"),"",INDEX(B308:B$2,-1+SUMPRODUCT(MAX(ROW(E308:E$2)*(E309=E308:E$2)))))</f>
        <v> </v>
      </c>
      <c r="J309" s="25" t="str">
        <f>IF(OR(E309="",E309="!!!",F309="NEW"),"",COUNTBLANK(OFFSET(A$1,,,SUMPRODUCT(MAX(ROW(E$2:E309)*(E309=E$2:E309)))))-COUNTBLANK(OFFSET(A$1,,,SUMPRODUCT(MAX(ROW(E$1:E308)*(E2=E$1:E308))))))</f>
        <v> </v>
      </c>
      <c r="K309" s="25" t="str">
        <f>IF(OR(E309="",E309="!!!",F309="NEW"),"",INDEX(J$1:J308,SUMPRODUCT(MAX(ROW(E$1:E308)*(E309=E$1:E308)))))</f>
        <v> </v>
      </c>
      <c r="L309" s="26"/>
    </row>
    <row r="310" spans="1:12">
      <c r="A310" s="20" t="s">
        <v>648</v>
      </c>
      <c r="B310" s="27" t="s">
        <v>481</v>
      </c>
      <c r="C310" s="27" t="s">
        <v>487</v>
      </c>
      <c r="D310" s="27" t="s">
        <v>483</v>
      </c>
      <c r="E310" s="21">
        <f>IF(D310="?OLD","!!!","")</f>
        <v/>
      </c>
      <c r="F310" s="22" t="str">
        <f>IF(OR(E310="",E310="!!!"),"",IF(NOT(ISNA(VLOOKUP(E310,E$1:E309,1,FALSE()))),"OLD",IF(AND(E310&lt;&gt;"",E310&lt;&gt;"!!!"),"NEW","")))</f>
        <v> </v>
      </c>
      <c r="G310" s="23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4" t="str">
        <f>IF(J310&lt;&gt;1,"",IF(I310="SBJ","CB","?"))</f>
        <v> </v>
      </c>
      <c r="I310" s="25" t="str">
        <f>IF(OR(E310="",E310="!!!",F310="NEW"),"",INDEX(B309:B$2,-1+SUMPRODUCT(MAX(ROW(E309:E$2)*(E310=E309:E$2)))))</f>
        <v> </v>
      </c>
      <c r="J310" s="25" t="str">
        <f>IF(OR(E310="",E310="!!!",F310="NEW"),"",COUNTBLANK(OFFSET(A$1,,,SUMPRODUCT(MAX(ROW(E$2:E310)*(E310=E$2:E310)))))-COUNTBLANK(OFFSET(A$1,,,SUMPRODUCT(MAX(ROW(E$1:E309)*(E2=E$1:E309))))))</f>
        <v> </v>
      </c>
      <c r="K310" s="25" t="str">
        <f>IF(OR(E310="",E310="!!!",F310="NEW"),"",INDEX(J$1:J309,SUMPRODUCT(MAX(ROW(E$1:E309)*(E310=E$1:E309)))))</f>
        <v> </v>
      </c>
      <c r="L310" s="26"/>
    </row>
    <row r="311" spans="1:12">
      <c r="A311" s="20" t="s">
        <v>649</v>
      </c>
      <c r="E311" s="21">
        <f>IF(D311="?OLD","!!!","")</f>
        <v/>
      </c>
      <c r="F311" s="22" t="str">
        <f>IF(OR(E311="",E311="!!!"),"",IF(NOT(ISNA(VLOOKUP(E311,E$1:E310,1,FALSE()))),"OLD",IF(AND(E311&lt;&gt;"",E311&lt;&gt;"!!!"),"NEW","")))</f>
        <v> </v>
      </c>
      <c r="G311" s="23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4" t="str">
        <f>IF(J311&lt;&gt;1,"",IF(I311="SBJ","CB","?"))</f>
        <v> </v>
      </c>
      <c r="I311" s="25" t="str">
        <f>IF(OR(E311="",E311="!!!",F311="NEW"),"",INDEX(B310:B$2,-1+SUMPRODUCT(MAX(ROW(E310:E$2)*(E311=E310:E$2)))))</f>
        <v> </v>
      </c>
      <c r="J311" s="25" t="str">
        <f>IF(OR(E311="",E311="!!!",F311="NEW"),"",COUNTBLANK(OFFSET(A$1,,,SUMPRODUCT(MAX(ROW(E$2:E311)*(E311=E$2:E311)))))-COUNTBLANK(OFFSET(A$1,,,SUMPRODUCT(MAX(ROW(E$1:E310)*(E2=E$1:E310))))))</f>
        <v> </v>
      </c>
      <c r="K311" s="25" t="str">
        <f>IF(OR(E311="",E311="!!!",F311="NEW"),"",INDEX(J$1:J310,SUMPRODUCT(MAX(ROW(E$1:E310)*(E311=E$1:E310)))))</f>
        <v> </v>
      </c>
      <c r="L311" s="26"/>
    </row>
    <row r="312" spans="1:12">
      <c r="A312" s="20" t="s">
        <v>531</v>
      </c>
      <c r="E312" s="21">
        <f>IF(D312="?OLD","!!!","")</f>
        <v/>
      </c>
      <c r="F312" s="22" t="str">
        <f>IF(OR(E312="",E312="!!!"),"",IF(NOT(ISNA(VLOOKUP(E312,E$1:E311,1,FALSE()))),"OLD",IF(AND(E312&lt;&gt;"",E312&lt;&gt;"!!!"),"NEW","")))</f>
        <v> </v>
      </c>
      <c r="G312" s="23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4" t="str">
        <f>IF(J312&lt;&gt;1,"",IF(I312="SBJ","CB","?"))</f>
        <v> </v>
      </c>
      <c r="I312" s="25" t="str">
        <f>IF(OR(E312="",E312="!!!",F312="NEW"),"",INDEX(B311:B$2,-1+SUMPRODUCT(MAX(ROW(E311:E$2)*(E312=E311:E$2)))))</f>
        <v> </v>
      </c>
      <c r="J312" s="25" t="str">
        <f>IF(OR(E312="",E312="!!!",F312="NEW"),"",COUNTBLANK(OFFSET(A$1,,,SUMPRODUCT(MAX(ROW(E$2:E312)*(E312=E$2:E312)))))-COUNTBLANK(OFFSET(A$1,,,SUMPRODUCT(MAX(ROW(E$1:E311)*(E2=E$1:E311))))))</f>
        <v> </v>
      </c>
      <c r="K312" s="25" t="str">
        <f>IF(OR(E312="",E312="!!!",F312="NEW"),"",INDEX(J$1:J311,SUMPRODUCT(MAX(ROW(E$1:E311)*(E312=E$1:E311)))))</f>
        <v> </v>
      </c>
      <c r="L312" s="26"/>
    </row>
    <row r="313" spans="1:12">
      <c r="A313" s="20"/>
    </row>
    <row r="314" spans="1:12">
      <c r="A314" s="20" t="s">
        <v>650</v>
      </c>
    </row>
    <row r="315" spans="1:12">
      <c r="A315" s="20" t="s">
        <v>651</v>
      </c>
      <c r="E315" s="21">
        <f>IF(D315="?OLD","!!!","")</f>
        <v/>
      </c>
      <c r="F315" s="22" t="str">
        <f>IF(OR(E315="",E315="!!!"),"",IF(NOT(ISNA(VLOOKUP(E315,E$1:E314,1,FALSE()))),"OLD",IF(AND(E315&lt;&gt;"",E315&lt;&gt;"!!!"),"NEW","")))</f>
        <v> </v>
      </c>
      <c r="G315" s="23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4" t="str">
        <f>IF(J315&lt;&gt;1,"",IF(I315="SBJ","CB","?"))</f>
        <v> </v>
      </c>
      <c r="I315" s="25" t="str">
        <f>IF(OR(E315="",E315="!!!",F315="NEW"),"",INDEX(B314:B$2,-1+SUMPRODUCT(MAX(ROW(E314:E$2)*(E315=E314:E$2)))))</f>
        <v> </v>
      </c>
      <c r="J315" s="25" t="str">
        <f>IF(OR(E315="",E315="!!!",F315="NEW"),"",COUNTBLANK(OFFSET(A$1,,,SUMPRODUCT(MAX(ROW(E$2:E315)*(E315=E$2:E315)))))-COUNTBLANK(OFFSET(A$1,,,SUMPRODUCT(MAX(ROW(E$1:E314)*(E2=E$1:E314))))))</f>
        <v> </v>
      </c>
      <c r="K315" s="25" t="str">
        <f>IF(OR(E315="",E315="!!!",F315="NEW"),"",INDEX(J$1:J314,SUMPRODUCT(MAX(ROW(E$1:E314)*(E315=E$1:E314)))))</f>
        <v> </v>
      </c>
      <c r="L315" s="26"/>
    </row>
    <row r="316" spans="1:12">
      <c r="A316" s="20" t="s">
        <v>652</v>
      </c>
      <c r="E316" s="21">
        <f>IF(D316="?OLD","!!!","")</f>
        <v/>
      </c>
      <c r="F316" s="22" t="str">
        <f>IF(OR(E316="",E316="!!!"),"",IF(NOT(ISNA(VLOOKUP(E316,E$1:E315,1,FALSE()))),"OLD",IF(AND(E316&lt;&gt;"",E316&lt;&gt;"!!!"),"NEW","")))</f>
        <v> </v>
      </c>
      <c r="G316" s="23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4" t="str">
        <f>IF(J316&lt;&gt;1,"",IF(I316="SBJ","CB","?"))</f>
        <v> </v>
      </c>
      <c r="I316" s="25" t="str">
        <f>IF(OR(E316="",E316="!!!",F316="NEW"),"",INDEX(B315:B$2,-1+SUMPRODUCT(MAX(ROW(E315:E$2)*(E316=E315:E$2)))))</f>
        <v> </v>
      </c>
      <c r="J316" s="25" t="str">
        <f>IF(OR(E316="",E316="!!!",F316="NEW"),"",COUNTBLANK(OFFSET(A$1,,,SUMPRODUCT(MAX(ROW(E$2:E316)*(E316=E$2:E316)))))-COUNTBLANK(OFFSET(A$1,,,SUMPRODUCT(MAX(ROW(E$1:E315)*(E2=E$1:E315))))))</f>
        <v> </v>
      </c>
      <c r="K316" s="25" t="str">
        <f>IF(OR(E316="",E316="!!!",F316="NEW"),"",INDEX(J$1:J315,SUMPRODUCT(MAX(ROW(E$1:E315)*(E316=E$1:E315)))))</f>
        <v> </v>
      </c>
      <c r="L316" s="26"/>
    </row>
    <row r="317" spans="1:12">
      <c r="A317" s="20" t="s">
        <v>653</v>
      </c>
      <c r="B317" s="27" t="s">
        <v>537</v>
      </c>
      <c r="C317" s="27" t="s">
        <v>598</v>
      </c>
      <c r="D317" s="27" t="s">
        <v>483</v>
      </c>
      <c r="E317" s="21">
        <f>IF(D317="?OLD","!!!","")</f>
        <v/>
      </c>
      <c r="F317" s="22" t="str">
        <f>IF(OR(E317="",E317="!!!"),"",IF(NOT(ISNA(VLOOKUP(E317,E$1:E316,1,FALSE()))),"OLD",IF(AND(E317&lt;&gt;"",E317&lt;&gt;"!!!"),"NEW","")))</f>
        <v> </v>
      </c>
      <c r="G317" s="23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4" t="str">
        <f>IF(J317&lt;&gt;1,"",IF(I317="SBJ","CB","?"))</f>
        <v> </v>
      </c>
      <c r="I317" s="25" t="str">
        <f>IF(OR(E317="",E317="!!!",F317="NEW"),"",INDEX(B316:B$2,-1+SUMPRODUCT(MAX(ROW(E316:E$2)*(E317=E316:E$2)))))</f>
        <v> </v>
      </c>
      <c r="J317" s="25" t="str">
        <f>IF(OR(E317="",E317="!!!",F317="NEW"),"",COUNTBLANK(OFFSET(A$1,,,SUMPRODUCT(MAX(ROW(E$2:E317)*(E317=E$2:E317)))))-COUNTBLANK(OFFSET(A$1,,,SUMPRODUCT(MAX(ROW(E$1:E316)*(E2=E$1:E316))))))</f>
        <v> </v>
      </c>
      <c r="K317" s="25" t="str">
        <f>IF(OR(E317="",E317="!!!",F317="NEW"),"",INDEX(J$1:J316,SUMPRODUCT(MAX(ROW(E$1:E316)*(E317=E$1:E316)))))</f>
        <v> </v>
      </c>
      <c r="L317" s="26"/>
    </row>
    <row r="318" spans="1:12">
      <c r="A318" s="20" t="s">
        <v>630</v>
      </c>
      <c r="E318" s="21">
        <f>IF(D318="?OLD","!!!","")</f>
        <v/>
      </c>
      <c r="F318" s="22" t="str">
        <f>IF(OR(E318="",E318="!!!"),"",IF(NOT(ISNA(VLOOKUP(E318,E$1:E317,1,FALSE()))),"OLD",IF(AND(E318&lt;&gt;"",E318&lt;&gt;"!!!"),"NEW","")))</f>
        <v> </v>
      </c>
      <c r="G318" s="23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4" t="str">
        <f>IF(J318&lt;&gt;1,"",IF(I318="SBJ","CB","?"))</f>
        <v> </v>
      </c>
      <c r="I318" s="25" t="str">
        <f>IF(OR(E318="",E318="!!!",F318="NEW"),"",INDEX(B317:B$2,-1+SUMPRODUCT(MAX(ROW(E317:E$2)*(E318=E317:E$2)))))</f>
        <v> </v>
      </c>
      <c r="J318" s="25" t="str">
        <f>IF(OR(E318="",E318="!!!",F318="NEW"),"",COUNTBLANK(OFFSET(A$1,,,SUMPRODUCT(MAX(ROW(E$2:E318)*(E318=E$2:E318)))))-COUNTBLANK(OFFSET(A$1,,,SUMPRODUCT(MAX(ROW(E$1:E317)*(E2=E$1:E317))))))</f>
        <v> </v>
      </c>
      <c r="K318" s="25" t="str">
        <f>IF(OR(E318="",E318="!!!",F318="NEW"),"",INDEX(J$1:J317,SUMPRODUCT(MAX(ROW(E$1:E317)*(E318=E$1:E317)))))</f>
        <v> </v>
      </c>
      <c r="L318" s="26"/>
    </row>
    <row r="319" spans="1:12">
      <c r="A319" s="20" t="s">
        <v>72</v>
      </c>
      <c r="E319" s="21">
        <f>IF(D319="?OLD","!!!","")</f>
        <v/>
      </c>
      <c r="F319" s="22" t="str">
        <f>IF(OR(E319="",E319="!!!"),"",IF(NOT(ISNA(VLOOKUP(E319,E$1:E318,1,FALSE()))),"OLD",IF(AND(E319&lt;&gt;"",E319&lt;&gt;"!!!"),"NEW","")))</f>
        <v> </v>
      </c>
      <c r="G319" s="23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4" t="str">
        <f>IF(J319&lt;&gt;1,"",IF(I319="SBJ","CB","?"))</f>
        <v> </v>
      </c>
      <c r="I319" s="25" t="str">
        <f>IF(OR(E319="",E319="!!!",F319="NEW"),"",INDEX(B318:B$2,-1+SUMPRODUCT(MAX(ROW(E318:E$2)*(E319=E318:E$2)))))</f>
        <v> </v>
      </c>
      <c r="J319" s="25" t="str">
        <f>IF(OR(E319="",E319="!!!",F319="NEW"),"",COUNTBLANK(OFFSET(A$1,,,SUMPRODUCT(MAX(ROW(E$2:E319)*(E319=E$2:E319)))))-COUNTBLANK(OFFSET(A$1,,,SUMPRODUCT(MAX(ROW(E$1:E318)*(E2=E$1:E318))))))</f>
        <v> </v>
      </c>
      <c r="K319" s="25" t="str">
        <f>IF(OR(E319="",E319="!!!",F319="NEW"),"",INDEX(J$1:J318,SUMPRODUCT(MAX(ROW(E$1:E318)*(E319=E$1:E318)))))</f>
        <v> </v>
      </c>
      <c r="L319" s="26"/>
    </row>
    <row r="320" spans="1:12">
      <c r="A320" s="20" t="s">
        <v>492</v>
      </c>
      <c r="E320" s="21">
        <f>IF(D320="?OLD","!!!","")</f>
        <v/>
      </c>
      <c r="F320" s="22" t="str">
        <f>IF(OR(E320="",E320="!!!"),"",IF(NOT(ISNA(VLOOKUP(E320,E$1:E319,1,FALSE()))),"OLD",IF(AND(E320&lt;&gt;"",E320&lt;&gt;"!!!"),"NEW","")))</f>
        <v> </v>
      </c>
      <c r="G320" s="23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4" t="str">
        <f>IF(J320&lt;&gt;1,"",IF(I320="SBJ","CB","?"))</f>
        <v> </v>
      </c>
      <c r="I320" s="25" t="str">
        <f>IF(OR(E320="",E320="!!!",F320="NEW"),"",INDEX(B319:B$2,-1+SUMPRODUCT(MAX(ROW(E319:E$2)*(E320=E319:E$2)))))</f>
        <v> </v>
      </c>
      <c r="J320" s="25" t="str">
        <f>IF(OR(E320="",E320="!!!",F320="NEW"),"",COUNTBLANK(OFFSET(A$1,,,SUMPRODUCT(MAX(ROW(E$2:E320)*(E320=E$2:E320)))))-COUNTBLANK(OFFSET(A$1,,,SUMPRODUCT(MAX(ROW(E$1:E319)*(E2=E$1:E319))))))</f>
        <v> </v>
      </c>
      <c r="K320" s="25" t="str">
        <f>IF(OR(E320="",E320="!!!",F320="NEW"),"",INDEX(J$1:J319,SUMPRODUCT(MAX(ROW(E$1:E319)*(E320=E$1:E319)))))</f>
        <v> </v>
      </c>
      <c r="L320" s="26"/>
    </row>
    <row r="321" spans="1:12">
      <c r="A321" s="20" t="s">
        <v>644</v>
      </c>
      <c r="B321" s="27" t="s">
        <v>547</v>
      </c>
      <c r="C321" s="27" t="s">
        <v>523</v>
      </c>
      <c r="E321" s="21">
        <f>IF(D321="?OLD","!!!","")</f>
        <v/>
      </c>
      <c r="F321" s="22" t="str">
        <f>IF(OR(E321="",E321="!!!"),"",IF(NOT(ISNA(VLOOKUP(E321,E$1:E320,1,FALSE()))),"OLD",IF(AND(E321&lt;&gt;"",E321&lt;&gt;"!!!"),"NEW","")))</f>
        <v> </v>
      </c>
      <c r="G321" s="23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4" t="str">
        <f>IF(J321&lt;&gt;1,"",IF(I321="SBJ","CB","?"))</f>
        <v> </v>
      </c>
      <c r="I321" s="25" t="str">
        <f>IF(OR(E321="",E321="!!!",F321="NEW"),"",INDEX(B320:B$2,-1+SUMPRODUCT(MAX(ROW(E320:E$2)*(E321=E320:E$2)))))</f>
        <v> </v>
      </c>
      <c r="J321" s="25" t="str">
        <f>IF(OR(E321="",E321="!!!",F321="NEW"),"",COUNTBLANK(OFFSET(A$1,,,SUMPRODUCT(MAX(ROW(E$2:E321)*(E321=E$2:E321)))))-COUNTBLANK(OFFSET(A$1,,,SUMPRODUCT(MAX(ROW(E$1:E320)*(E2=E$1:E320))))))</f>
        <v> </v>
      </c>
      <c r="K321" s="25" t="str">
        <f>IF(OR(E321="",E321="!!!",F321="NEW"),"",INDEX(J$1:J320,SUMPRODUCT(MAX(ROW(E$1:E320)*(E321=E$1:E320)))))</f>
        <v> </v>
      </c>
      <c r="L321" s="26"/>
    </row>
    <row r="322" spans="1:12">
      <c r="A322" s="20" t="s">
        <v>529</v>
      </c>
      <c r="B322" s="27" t="s">
        <v>654</v>
      </c>
      <c r="C322" s="27" t="s">
        <v>482</v>
      </c>
      <c r="D322" s="27" t="s">
        <v>483</v>
      </c>
      <c r="E322" s="21">
        <f>IF(D322="?OLD","!!!","")</f>
        <v/>
      </c>
      <c r="F322" s="22" t="str">
        <f>IF(OR(E322="",E322="!!!"),"",IF(NOT(ISNA(VLOOKUP(E322,E$1:E321,1,FALSE()))),"OLD",IF(AND(E322&lt;&gt;"",E322&lt;&gt;"!!!"),"NEW","")))</f>
        <v> </v>
      </c>
      <c r="G322" s="23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4" t="str">
        <f>IF(J322&lt;&gt;1,"",IF(I322="SBJ","CB","?"))</f>
        <v> </v>
      </c>
      <c r="I322" s="25" t="str">
        <f>IF(OR(E322="",E322="!!!",F322="NEW"),"",INDEX(B321:B$2,-1+SUMPRODUCT(MAX(ROW(E321:E$2)*(E322=E321:E$2)))))</f>
        <v> </v>
      </c>
      <c r="J322" s="25" t="str">
        <f>IF(OR(E322="",E322="!!!",F322="NEW"),"",COUNTBLANK(OFFSET(A$1,,,SUMPRODUCT(MAX(ROW(E$2:E322)*(E322=E$2:E322)))))-COUNTBLANK(OFFSET(A$1,,,SUMPRODUCT(MAX(ROW(E$1:E321)*(E2=E$1:E321))))))</f>
        <v> </v>
      </c>
      <c r="K322" s="25" t="str">
        <f>IF(OR(E322="",E322="!!!",F322="NEW"),"",INDEX(J$1:J321,SUMPRODUCT(MAX(ROW(E$1:E321)*(E322=E$1:E321)))))</f>
        <v> </v>
      </c>
      <c r="L322" s="26"/>
    </row>
    <row r="323" spans="1:12">
      <c r="A323" s="20" t="s">
        <v>494</v>
      </c>
      <c r="E323" s="21">
        <f>IF(D323="?OLD","!!!","")</f>
        <v/>
      </c>
      <c r="F323" s="22" t="str">
        <f>IF(OR(E323="",E323="!!!"),"",IF(NOT(ISNA(VLOOKUP(E323,E$1:E322,1,FALSE()))),"OLD",IF(AND(E323&lt;&gt;"",E323&lt;&gt;"!!!"),"NEW","")))</f>
        <v> </v>
      </c>
      <c r="G323" s="23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4" t="str">
        <f>IF(J323&lt;&gt;1,"",IF(I323="SBJ","CB","?"))</f>
        <v> </v>
      </c>
      <c r="I323" s="25" t="str">
        <f>IF(OR(E323="",E323="!!!",F323="NEW"),"",INDEX(B322:B$2,-1+SUMPRODUCT(MAX(ROW(E322:E$2)*(E323=E322:E$2)))))</f>
        <v> </v>
      </c>
      <c r="J323" s="25" t="str">
        <f>IF(OR(E323="",E323="!!!",F323="NEW"),"",COUNTBLANK(OFFSET(A$1,,,SUMPRODUCT(MAX(ROW(E$2:E323)*(E323=E$2:E323)))))-COUNTBLANK(OFFSET(A$1,,,SUMPRODUCT(MAX(ROW(E$1:E322)*(E2=E$1:E322))))))</f>
        <v> </v>
      </c>
      <c r="K323" s="25" t="str">
        <f>IF(OR(E323="",E323="!!!",F323="NEW"),"",INDEX(J$1:J322,SUMPRODUCT(MAX(ROW(E$1:E322)*(E323=E$1:E322)))))</f>
        <v> </v>
      </c>
      <c r="L323" s="26"/>
    </row>
    <row r="324" spans="1:12">
      <c r="A324" s="20" t="s">
        <v>655</v>
      </c>
      <c r="E324" s="21">
        <f>IF(D324="?OLD","!!!","")</f>
        <v/>
      </c>
      <c r="F324" s="22" t="str">
        <f>IF(OR(E324="",E324="!!!"),"",IF(NOT(ISNA(VLOOKUP(E324,E$1:E323,1,FALSE()))),"OLD",IF(AND(E324&lt;&gt;"",E324&lt;&gt;"!!!"),"NEW","")))</f>
        <v> </v>
      </c>
      <c r="G324" s="23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4" t="str">
        <f>IF(J324&lt;&gt;1,"",IF(I324="SBJ","CB","?"))</f>
        <v> </v>
      </c>
      <c r="I324" s="25" t="str">
        <f>IF(OR(E324="",E324="!!!",F324="NEW"),"",INDEX(B323:B$2,-1+SUMPRODUCT(MAX(ROW(E323:E$2)*(E324=E323:E$2)))))</f>
        <v> </v>
      </c>
      <c r="J324" s="25" t="str">
        <f>IF(OR(E324="",E324="!!!",F324="NEW"),"",COUNTBLANK(OFFSET(A$1,,,SUMPRODUCT(MAX(ROW(E$2:E324)*(E324=E$2:E324)))))-COUNTBLANK(OFFSET(A$1,,,SUMPRODUCT(MAX(ROW(E$1:E323)*(E2=E$1:E323))))))</f>
        <v> </v>
      </c>
      <c r="K324" s="25" t="str">
        <f>IF(OR(E324="",E324="!!!",F324="NEW"),"",INDEX(J$1:J323,SUMPRODUCT(MAX(ROW(E$1:E323)*(E324=E$1:E323)))))</f>
        <v> </v>
      </c>
      <c r="L324" s="26"/>
    </row>
    <row r="325" spans="1:12">
      <c r="A325" s="20" t="s">
        <v>531</v>
      </c>
      <c r="E325" s="21">
        <f>IF(D325="?OLD","!!!","")</f>
        <v/>
      </c>
      <c r="F325" s="22" t="str">
        <f>IF(OR(E325="",E325="!!!"),"",IF(NOT(ISNA(VLOOKUP(E325,E$1:E324,1,FALSE()))),"OLD",IF(AND(E325&lt;&gt;"",E325&lt;&gt;"!!!"),"NEW","")))</f>
        <v> </v>
      </c>
      <c r="G325" s="23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4" t="str">
        <f>IF(J325&lt;&gt;1,"",IF(I325="SBJ","CB","?"))</f>
        <v> </v>
      </c>
      <c r="I325" s="25" t="str">
        <f>IF(OR(E325="",E325="!!!",F325="NEW"),"",INDEX(B324:B$2,-1+SUMPRODUCT(MAX(ROW(E324:E$2)*(E325=E324:E$2)))))</f>
        <v> </v>
      </c>
      <c r="J325" s="25" t="str">
        <f>IF(OR(E325="",E325="!!!",F325="NEW"),"",COUNTBLANK(OFFSET(A$1,,,SUMPRODUCT(MAX(ROW(E$2:E325)*(E325=E$2:E325)))))-COUNTBLANK(OFFSET(A$1,,,SUMPRODUCT(MAX(ROW(E$1:E324)*(E2=E$1:E324))))))</f>
        <v> </v>
      </c>
      <c r="K325" s="25" t="str">
        <f>IF(OR(E325="",E325="!!!",F325="NEW"),"",INDEX(J$1:J324,SUMPRODUCT(MAX(ROW(E$1:E324)*(E325=E$1:E324)))))</f>
        <v> </v>
      </c>
      <c r="L325" s="26"/>
    </row>
    <row r="326" spans="1:12">
      <c r="A326" s="20"/>
    </row>
    <row r="327" spans="1:12">
      <c r="A327" s="20" t="s">
        <v>656</v>
      </c>
    </row>
    <row r="328" spans="1:12">
      <c r="A328" s="20" t="s">
        <v>657</v>
      </c>
      <c r="E328" s="21">
        <f>IF(D328="?OLD","!!!","")</f>
        <v/>
      </c>
      <c r="F328" s="22" t="str">
        <f>IF(OR(E328="",E328="!!!"),"",IF(NOT(ISNA(VLOOKUP(E328,E$1:E327,1,FALSE()))),"OLD",IF(AND(E328&lt;&gt;"",E328&lt;&gt;"!!!"),"NEW","")))</f>
        <v> </v>
      </c>
      <c r="G328" s="23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4" t="str">
        <f>IF(J328&lt;&gt;1,"",IF(I328="SBJ","CB","?"))</f>
        <v> </v>
      </c>
      <c r="I328" s="25" t="str">
        <f>IF(OR(E328="",E328="!!!",F328="NEW"),"",INDEX(B327:B$2,-1+SUMPRODUCT(MAX(ROW(E327:E$2)*(E328=E327:E$2)))))</f>
        <v> </v>
      </c>
      <c r="J328" s="25" t="str">
        <f>IF(OR(E328="",E328="!!!",F328="NEW"),"",COUNTBLANK(OFFSET(A$1,,,SUMPRODUCT(MAX(ROW(E$2:E328)*(E328=E$2:E328)))))-COUNTBLANK(OFFSET(A$1,,,SUMPRODUCT(MAX(ROW(E$1:E327)*(E2=E$1:E327))))))</f>
        <v> </v>
      </c>
      <c r="K328" s="25" t="str">
        <f>IF(OR(E328="",E328="!!!",F328="NEW"),"",INDEX(J$1:J327,SUMPRODUCT(MAX(ROW(E$1:E327)*(E328=E$1:E327)))))</f>
        <v> </v>
      </c>
      <c r="L328" s="26"/>
    </row>
    <row r="329" spans="1:12">
      <c r="A329" s="20" t="s">
        <v>512</v>
      </c>
      <c r="B329" s="27" t="s">
        <v>549</v>
      </c>
      <c r="C329" s="27" t="s">
        <v>482</v>
      </c>
      <c r="D329" s="27" t="s">
        <v>483</v>
      </c>
      <c r="E329" s="21">
        <f>IF(D329="?OLD","!!!","")</f>
        <v/>
      </c>
      <c r="F329" s="22" t="str">
        <f>IF(OR(E329="",E329="!!!"),"",IF(NOT(ISNA(VLOOKUP(E329,E$1:E328,1,FALSE()))),"OLD",IF(AND(E329&lt;&gt;"",E329&lt;&gt;"!!!"),"NEW","")))</f>
        <v> </v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4" t="str">
        <f>IF(J329&lt;&gt;1,"",IF(I329="SBJ","CB","?"))</f>
        <v> </v>
      </c>
      <c r="I329" s="25" t="str">
        <f>IF(OR(E329="",E329="!!!",F329="NEW"),"",INDEX(B328:B$2,-1+SUMPRODUCT(MAX(ROW(E328:E$2)*(E329=E328:E$2)))))</f>
        <v> </v>
      </c>
      <c r="J329" s="25" t="str">
        <f>IF(OR(E329="",E329="!!!",F329="NEW"),"",COUNTBLANK(OFFSET(A$1,,,SUMPRODUCT(MAX(ROW(E$2:E329)*(E329=E$2:E329)))))-COUNTBLANK(OFFSET(A$1,,,SUMPRODUCT(MAX(ROW(E$1:E328)*(E2=E$1:E328))))))</f>
        <v> </v>
      </c>
      <c r="K329" s="25" t="str">
        <f>IF(OR(E329="",E329="!!!",F329="NEW"),"",INDEX(J$1:J328,SUMPRODUCT(MAX(ROW(E$1:E328)*(E329=E$1:E328)))))</f>
        <v> </v>
      </c>
      <c r="L329" s="26"/>
    </row>
    <row r="330" spans="1:12">
      <c r="A330" s="20" t="s">
        <v>80</v>
      </c>
      <c r="E330" s="21">
        <f>IF(D330="?OLD","!!!","")</f>
        <v/>
      </c>
      <c r="F330" s="22" t="str">
        <f>IF(OR(E330="",E330="!!!"),"",IF(NOT(ISNA(VLOOKUP(E330,E$1:E329,1,FALSE()))),"OLD",IF(AND(E330&lt;&gt;"",E330&lt;&gt;"!!!"),"NEW","")))</f>
        <v> </v>
      </c>
      <c r="G330" s="23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4" t="str">
        <f>IF(J330&lt;&gt;1,"",IF(I330="SBJ","CB","?"))</f>
        <v> </v>
      </c>
      <c r="I330" s="25" t="str">
        <f>IF(OR(E330="",E330="!!!",F330="NEW"),"",INDEX(B329:B$2,-1+SUMPRODUCT(MAX(ROW(E329:E$2)*(E330=E329:E$2)))))</f>
        <v> </v>
      </c>
      <c r="J330" s="25" t="str">
        <f>IF(OR(E330="",E330="!!!",F330="NEW"),"",COUNTBLANK(OFFSET(A$1,,,SUMPRODUCT(MAX(ROW(E$2:E330)*(E330=E$2:E330)))))-COUNTBLANK(OFFSET(A$1,,,SUMPRODUCT(MAX(ROW(E$1:E329)*(E2=E$1:E329))))))</f>
        <v> </v>
      </c>
      <c r="K330" s="25" t="str">
        <f>IF(OR(E330="",E330="!!!",F330="NEW"),"",INDEX(J$1:J329,SUMPRODUCT(MAX(ROW(E$1:E329)*(E330=E$1:E329)))))</f>
        <v> </v>
      </c>
      <c r="L330" s="26"/>
    </row>
    <row r="331" spans="1:12">
      <c r="A331" s="20" t="s">
        <v>503</v>
      </c>
      <c r="E331" s="21">
        <f>IF(D331="?OLD","!!!","")</f>
        <v/>
      </c>
      <c r="F331" s="22" t="str">
        <f>IF(OR(E331="",E331="!!!"),"",IF(NOT(ISNA(VLOOKUP(E331,E$1:E330,1,FALSE()))),"OLD",IF(AND(E331&lt;&gt;"",E331&lt;&gt;"!!!"),"NEW","")))</f>
        <v> </v>
      </c>
      <c r="G331" s="23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4" t="str">
        <f>IF(J331&lt;&gt;1,"",IF(I331="SBJ","CB","?"))</f>
        <v> </v>
      </c>
      <c r="I331" s="25" t="str">
        <f>IF(OR(E331="",E331="!!!",F331="NEW"),"",INDEX(B330:B$2,-1+SUMPRODUCT(MAX(ROW(E330:E$2)*(E331=E330:E$2)))))</f>
        <v> </v>
      </c>
      <c r="J331" s="25" t="str">
        <f>IF(OR(E331="",E331="!!!",F331="NEW"),"",COUNTBLANK(OFFSET(A$1,,,SUMPRODUCT(MAX(ROW(E$2:E331)*(E331=E$2:E331)))))-COUNTBLANK(OFFSET(A$1,,,SUMPRODUCT(MAX(ROW(E$1:E330)*(E2=E$1:E330))))))</f>
        <v> </v>
      </c>
      <c r="K331" s="25" t="str">
        <f>IF(OR(E331="",E331="!!!",F331="NEW"),"",INDEX(J$1:J330,SUMPRODUCT(MAX(ROW(E$1:E330)*(E331=E$1:E330)))))</f>
        <v> </v>
      </c>
      <c r="L331" s="26"/>
    </row>
    <row r="332" spans="1:12">
      <c r="A332" s="20" t="s">
        <v>76</v>
      </c>
      <c r="E332" s="21">
        <f>IF(D332="?OLD","!!!","")</f>
        <v/>
      </c>
      <c r="F332" s="22" t="str">
        <f>IF(OR(E332="",E332="!!!"),"",IF(NOT(ISNA(VLOOKUP(E332,E$1:E331,1,FALSE()))),"OLD",IF(AND(E332&lt;&gt;"",E332&lt;&gt;"!!!"),"NEW","")))</f>
        <v> </v>
      </c>
      <c r="G332" s="23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4" t="str">
        <f>IF(J332&lt;&gt;1,"",IF(I332="SBJ","CB","?"))</f>
        <v> </v>
      </c>
      <c r="I332" s="25" t="str">
        <f>IF(OR(E332="",E332="!!!",F332="NEW"),"",INDEX(B331:B$2,-1+SUMPRODUCT(MAX(ROW(E331:E$2)*(E332=E331:E$2)))))</f>
        <v> </v>
      </c>
      <c r="J332" s="25" t="str">
        <f>IF(OR(E332="",E332="!!!",F332="NEW"),"",COUNTBLANK(OFFSET(A$1,,,SUMPRODUCT(MAX(ROW(E$2:E332)*(E332=E$2:E332)))))-COUNTBLANK(OFFSET(A$1,,,SUMPRODUCT(MAX(ROW(E$1:E331)*(E2=E$1:E331))))))</f>
        <v> </v>
      </c>
      <c r="K332" s="25" t="str">
        <f>IF(OR(E332="",E332="!!!",F332="NEW"),"",INDEX(J$1:J331,SUMPRODUCT(MAX(ROW(E$1:E331)*(E332=E$1:E331)))))</f>
        <v> </v>
      </c>
      <c r="L332" s="26"/>
    </row>
    <row r="333" spans="1:12">
      <c r="A333" s="20" t="s">
        <v>649</v>
      </c>
      <c r="E333" s="21">
        <f>IF(D333="?OLD","!!!","")</f>
        <v/>
      </c>
      <c r="F333" s="22" t="str">
        <f>IF(OR(E333="",E333="!!!"),"",IF(NOT(ISNA(VLOOKUP(E333,E$1:E332,1,FALSE()))),"OLD",IF(AND(E333&lt;&gt;"",E333&lt;&gt;"!!!"),"NEW","")))</f>
        <v> </v>
      </c>
      <c r="G333" s="23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4" t="str">
        <f>IF(J333&lt;&gt;1,"",IF(I333="SBJ","CB","?"))</f>
        <v> </v>
      </c>
      <c r="I333" s="25" t="str">
        <f>IF(OR(E333="",E333="!!!",F333="NEW"),"",INDEX(B332:B$2,-1+SUMPRODUCT(MAX(ROW(E332:E$2)*(E333=E332:E$2)))))</f>
        <v> </v>
      </c>
      <c r="J333" s="25" t="str">
        <f>IF(OR(E333="",E333="!!!",F333="NEW"),"",COUNTBLANK(OFFSET(A$1,,,SUMPRODUCT(MAX(ROW(E$2:E333)*(E333=E$2:E333)))))-COUNTBLANK(OFFSET(A$1,,,SUMPRODUCT(MAX(ROW(E$1:E332)*(E2=E$1:E332))))))</f>
        <v> </v>
      </c>
      <c r="K333" s="25" t="str">
        <f>IF(OR(E333="",E333="!!!",F333="NEW"),"",INDEX(J$1:J332,SUMPRODUCT(MAX(ROW(E$1:E332)*(E333=E$1:E332)))))</f>
        <v> </v>
      </c>
      <c r="L333" s="26"/>
    </row>
    <row r="334" spans="1:12">
      <c r="A334" s="20" t="s">
        <v>644</v>
      </c>
      <c r="B334" s="27" t="s">
        <v>556</v>
      </c>
      <c r="C334" s="27" t="s">
        <v>523</v>
      </c>
      <c r="E334" s="21">
        <f>IF(D334="?OLD","!!!","")</f>
        <v/>
      </c>
      <c r="F334" s="22" t="str">
        <f>IF(OR(E334="",E334="!!!"),"",IF(NOT(ISNA(VLOOKUP(E334,E$1:E333,1,FALSE()))),"OLD",IF(AND(E334&lt;&gt;"",E334&lt;&gt;"!!!"),"NEW","")))</f>
        <v> </v>
      </c>
      <c r="G334" s="23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4" t="str">
        <f>IF(J334&lt;&gt;1,"",IF(I334="SBJ","CB","?"))</f>
        <v> </v>
      </c>
      <c r="I334" s="25" t="str">
        <f>IF(OR(E334="",E334="!!!",F334="NEW"),"",INDEX(B333:B$2,-1+SUMPRODUCT(MAX(ROW(E333:E$2)*(E334=E333:E$2)))))</f>
        <v> </v>
      </c>
      <c r="J334" s="25" t="str">
        <f>IF(OR(E334="",E334="!!!",F334="NEW"),"",COUNTBLANK(OFFSET(A$1,,,SUMPRODUCT(MAX(ROW(E$2:E334)*(E334=E$2:E334)))))-COUNTBLANK(OFFSET(A$1,,,SUMPRODUCT(MAX(ROW(E$1:E333)*(E2=E$1:E333))))))</f>
        <v> </v>
      </c>
      <c r="K334" s="25" t="str">
        <f>IF(OR(E334="",E334="!!!",F334="NEW"),"",INDEX(J$1:J333,SUMPRODUCT(MAX(ROW(E$1:E333)*(E334=E$1:E333)))))</f>
        <v> </v>
      </c>
      <c r="L334" s="26"/>
    </row>
    <row r="335" spans="1:12">
      <c r="A335" s="20" t="s">
        <v>494</v>
      </c>
      <c r="E335" s="21">
        <f>IF(D335="?OLD","!!!","")</f>
        <v/>
      </c>
      <c r="F335" s="22" t="str">
        <f>IF(OR(E335="",E335="!!!"),"",IF(NOT(ISNA(VLOOKUP(E335,E$1:E334,1,FALSE()))),"OLD",IF(AND(E335&lt;&gt;"",E335&lt;&gt;"!!!"),"NEW","")))</f>
        <v> </v>
      </c>
      <c r="G335" s="23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4" t="str">
        <f>IF(J335&lt;&gt;1,"",IF(I335="SBJ","CB","?"))</f>
        <v> </v>
      </c>
      <c r="I335" s="25" t="str">
        <f>IF(OR(E335="",E335="!!!",F335="NEW"),"",INDEX(B334:B$2,-1+SUMPRODUCT(MAX(ROW(E334:E$2)*(E335=E334:E$2)))))</f>
        <v> </v>
      </c>
      <c r="J335" s="25" t="str">
        <f>IF(OR(E335="",E335="!!!",F335="NEW"),"",COUNTBLANK(OFFSET(A$1,,,SUMPRODUCT(MAX(ROW(E$2:E335)*(E335=E$2:E335)))))-COUNTBLANK(OFFSET(A$1,,,SUMPRODUCT(MAX(ROW(E$1:E334)*(E2=E$1:E334))))))</f>
        <v> </v>
      </c>
      <c r="K335" s="25" t="str">
        <f>IF(OR(E335="",E335="!!!",F335="NEW"),"",INDEX(J$1:J334,SUMPRODUCT(MAX(ROW(E$1:E334)*(E335=E$1:E334)))))</f>
        <v> </v>
      </c>
      <c r="L335" s="26"/>
    </row>
    <row r="336" spans="1:12">
      <c r="A336" s="20" t="s">
        <v>96</v>
      </c>
      <c r="E336" s="21">
        <f>IF(D336="?OLD","!!!","")</f>
        <v/>
      </c>
      <c r="F336" s="22" t="str">
        <f>IF(OR(E336="",E336="!!!"),"",IF(NOT(ISNA(VLOOKUP(E336,E$1:E335,1,FALSE()))),"OLD",IF(AND(E336&lt;&gt;"",E336&lt;&gt;"!!!"),"NEW","")))</f>
        <v> </v>
      </c>
      <c r="G336" s="23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4" t="str">
        <f>IF(J336&lt;&gt;1,"",IF(I336="SBJ","CB","?"))</f>
        <v> </v>
      </c>
      <c r="I336" s="25" t="str">
        <f>IF(OR(E336="",E336="!!!",F336="NEW"),"",INDEX(B335:B$2,-1+SUMPRODUCT(MAX(ROW(E335:E$2)*(E336=E335:E$2)))))</f>
        <v> </v>
      </c>
      <c r="J336" s="25" t="str">
        <f>IF(OR(E336="",E336="!!!",F336="NEW"),"",COUNTBLANK(OFFSET(A$1,,,SUMPRODUCT(MAX(ROW(E$2:E336)*(E336=E$2:E336)))))-COUNTBLANK(OFFSET(A$1,,,SUMPRODUCT(MAX(ROW(E$1:E335)*(E2=E$1:E335))))))</f>
        <v> </v>
      </c>
      <c r="K336" s="25" t="str">
        <f>IF(OR(E336="",E336="!!!",F336="NEW"),"",INDEX(J$1:J335,SUMPRODUCT(MAX(ROW(E$1:E335)*(E336=E$1:E335)))))</f>
        <v> </v>
      </c>
      <c r="L336" s="26"/>
    </row>
    <row r="337" spans="1:12">
      <c r="A337" s="20" t="s">
        <v>517</v>
      </c>
      <c r="E337" s="21">
        <f>IF(D337="?OLD","!!!","")</f>
        <v/>
      </c>
      <c r="F337" s="22" t="str">
        <f>IF(OR(E337="",E337="!!!"),"",IF(NOT(ISNA(VLOOKUP(E337,E$1:E336,1,FALSE()))),"OLD",IF(AND(E337&lt;&gt;"",E337&lt;&gt;"!!!"),"NEW","")))</f>
        <v> </v>
      </c>
      <c r="G337" s="23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4" t="str">
        <f>IF(J337&lt;&gt;1,"",IF(I337="SBJ","CB","?"))</f>
        <v> </v>
      </c>
      <c r="I337" s="25" t="str">
        <f>IF(OR(E337="",E337="!!!",F337="NEW"),"",INDEX(B336:B$2,-1+SUMPRODUCT(MAX(ROW(E336:E$2)*(E337=E336:E$2)))))</f>
        <v> </v>
      </c>
      <c r="J337" s="25" t="str">
        <f>IF(OR(E337="",E337="!!!",F337="NEW"),"",COUNTBLANK(OFFSET(A$1,,,SUMPRODUCT(MAX(ROW(E$2:E337)*(E337=E$2:E337)))))-COUNTBLANK(OFFSET(A$1,,,SUMPRODUCT(MAX(ROW(E$1:E336)*(E2=E$1:E336))))))</f>
        <v> </v>
      </c>
      <c r="K337" s="25" t="str">
        <f>IF(OR(E337="",E337="!!!",F337="NEW"),"",INDEX(J$1:J336,SUMPRODUCT(MAX(ROW(E$1:E336)*(E337=E$1:E336)))))</f>
        <v> </v>
      </c>
      <c r="L337" s="26"/>
    </row>
    <row r="338" spans="1:12">
      <c r="A338" s="20" t="s">
        <v>658</v>
      </c>
      <c r="E338" s="21">
        <f>IF(D338="?OLD","!!!","")</f>
        <v/>
      </c>
      <c r="F338" s="22" t="str">
        <f>IF(OR(E338="",E338="!!!"),"",IF(NOT(ISNA(VLOOKUP(E338,E$1:E337,1,FALSE()))),"OLD",IF(AND(E338&lt;&gt;"",E338&lt;&gt;"!!!"),"NEW","")))</f>
        <v> </v>
      </c>
      <c r="G338" s="23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4" t="str">
        <f>IF(J338&lt;&gt;1,"",IF(I338="SBJ","CB","?"))</f>
        <v> </v>
      </c>
      <c r="I338" s="25" t="str">
        <f>IF(OR(E338="",E338="!!!",F338="NEW"),"",INDEX(B337:B$2,-1+SUMPRODUCT(MAX(ROW(E337:E$2)*(E338=E337:E$2)))))</f>
        <v> </v>
      </c>
      <c r="J338" s="25" t="str">
        <f>IF(OR(E338="",E338="!!!",F338="NEW"),"",COUNTBLANK(OFFSET(A$1,,,SUMPRODUCT(MAX(ROW(E$2:E338)*(E338=E$2:E338)))))-COUNTBLANK(OFFSET(A$1,,,SUMPRODUCT(MAX(ROW(E$1:E337)*(E2=E$1:E337))))))</f>
        <v> </v>
      </c>
      <c r="K338" s="25" t="str">
        <f>IF(OR(E338="",E338="!!!",F338="NEW"),"",INDEX(J$1:J337,SUMPRODUCT(MAX(ROW(E$1:E337)*(E338=E$1:E337)))))</f>
        <v> </v>
      </c>
      <c r="L338" s="26"/>
    </row>
    <row r="339" spans="1:12">
      <c r="A339" s="20" t="s">
        <v>484</v>
      </c>
      <c r="E339" s="21">
        <f>IF(D339="?OLD","!!!","")</f>
        <v/>
      </c>
      <c r="F339" s="22" t="str">
        <f>IF(OR(E339="",E339="!!!"),"",IF(NOT(ISNA(VLOOKUP(E339,E$1:E338,1,FALSE()))),"OLD",IF(AND(E339&lt;&gt;"",E339&lt;&gt;"!!!"),"NEW","")))</f>
        <v> </v>
      </c>
      <c r="G339" s="23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4" t="str">
        <f>IF(J339&lt;&gt;1,"",IF(I339="SBJ","CB","?"))</f>
        <v> </v>
      </c>
      <c r="I339" s="25" t="str">
        <f>IF(OR(E339="",E339="!!!",F339="NEW"),"",INDEX(B338:B$2,-1+SUMPRODUCT(MAX(ROW(E338:E$2)*(E339=E338:E$2)))))</f>
        <v> </v>
      </c>
      <c r="J339" s="25" t="str">
        <f>IF(OR(E339="",E339="!!!",F339="NEW"),"",COUNTBLANK(OFFSET(A$1,,,SUMPRODUCT(MAX(ROW(E$2:E339)*(E339=E$2:E339)))))-COUNTBLANK(OFFSET(A$1,,,SUMPRODUCT(MAX(ROW(E$1:E338)*(E2=E$1:E338))))))</f>
        <v> </v>
      </c>
      <c r="K339" s="25" t="str">
        <f>IF(OR(E339="",E339="!!!",F339="NEW"),"",INDEX(J$1:J338,SUMPRODUCT(MAX(ROW(E$1:E338)*(E339=E$1:E338)))))</f>
        <v> </v>
      </c>
      <c r="L339" s="26"/>
    </row>
    <row r="340" spans="1:12">
      <c r="A340" s="20" t="s">
        <v>503</v>
      </c>
      <c r="E340" s="21">
        <f>IF(D340="?OLD","!!!","")</f>
        <v/>
      </c>
      <c r="F340" s="22" t="str">
        <f>IF(OR(E340="",E340="!!!"),"",IF(NOT(ISNA(VLOOKUP(E340,E$1:E339,1,FALSE()))),"OLD",IF(AND(E340&lt;&gt;"",E340&lt;&gt;"!!!"),"NEW","")))</f>
        <v> </v>
      </c>
      <c r="G340" s="23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4" t="str">
        <f>IF(J340&lt;&gt;1,"",IF(I340="SBJ","CB","?"))</f>
        <v> </v>
      </c>
      <c r="I340" s="25" t="str">
        <f>IF(OR(E340="",E340="!!!",F340="NEW"),"",INDEX(B339:B$2,-1+SUMPRODUCT(MAX(ROW(E339:E$2)*(E340=E339:E$2)))))</f>
        <v> </v>
      </c>
      <c r="J340" s="25" t="str">
        <f>IF(OR(E340="",E340="!!!",F340="NEW"),"",COUNTBLANK(OFFSET(A$1,,,SUMPRODUCT(MAX(ROW(E$2:E340)*(E340=E$2:E340)))))-COUNTBLANK(OFFSET(A$1,,,SUMPRODUCT(MAX(ROW(E$1:E339)*(E2=E$1:E339))))))</f>
        <v> </v>
      </c>
      <c r="K340" s="25" t="str">
        <f>IF(OR(E340="",E340="!!!",F340="NEW"),"",INDEX(J$1:J339,SUMPRODUCT(MAX(ROW(E$1:E339)*(E340=E$1:E339)))))</f>
        <v> </v>
      </c>
      <c r="L340" s="26"/>
    </row>
    <row r="341" spans="1:12">
      <c r="A341" s="20" t="s">
        <v>634</v>
      </c>
      <c r="B341" s="27" t="s">
        <v>659</v>
      </c>
      <c r="C341" s="27" t="s">
        <v>635</v>
      </c>
      <c r="D341" s="27" t="s">
        <v>483</v>
      </c>
      <c r="E341" s="21">
        <f>IF(D341="?OLD","!!!","")</f>
        <v/>
      </c>
      <c r="F341" s="22" t="str">
        <f>IF(OR(E341="",E341="!!!"),"",IF(NOT(ISNA(VLOOKUP(E341,E$1:E340,1,FALSE()))),"OLD",IF(AND(E341&lt;&gt;"",E341&lt;&gt;"!!!"),"NEW","")))</f>
        <v> </v>
      </c>
      <c r="G341" s="23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4" t="str">
        <f>IF(J341&lt;&gt;1,"",IF(I341="SBJ","CB","?"))</f>
        <v> </v>
      </c>
      <c r="I341" s="25" t="str">
        <f>IF(OR(E341="",E341="!!!",F341="NEW"),"",INDEX(B340:B$2,-1+SUMPRODUCT(MAX(ROW(E340:E$2)*(E341=E340:E$2)))))</f>
        <v> </v>
      </c>
      <c r="J341" s="25" t="str">
        <f>IF(OR(E341="",E341="!!!",F341="NEW"),"",COUNTBLANK(OFFSET(A$1,,,SUMPRODUCT(MAX(ROW(E$2:E341)*(E341=E$2:E341)))))-COUNTBLANK(OFFSET(A$1,,,SUMPRODUCT(MAX(ROW(E$1:E340)*(E2=E$1:E340))))))</f>
        <v> </v>
      </c>
      <c r="K341" s="25" t="str">
        <f>IF(OR(E341="",E341="!!!",F341="NEW"),"",INDEX(J$1:J340,SUMPRODUCT(MAX(ROW(E$1:E340)*(E341=E$1:E340)))))</f>
        <v> </v>
      </c>
      <c r="L341" s="26"/>
    </row>
    <row r="342" spans="1:12">
      <c r="A342" s="20" t="s">
        <v>640</v>
      </c>
      <c r="B342" s="27" t="s">
        <v>556</v>
      </c>
      <c r="C342" s="27" t="s">
        <v>487</v>
      </c>
      <c r="D342" s="27" t="s">
        <v>483</v>
      </c>
      <c r="E342" s="21">
        <f>IF(D342="?OLD","!!!","")</f>
        <v/>
      </c>
      <c r="F342" s="22" t="str">
        <f>IF(OR(E342="",E342="!!!"),"",IF(NOT(ISNA(VLOOKUP(E342,E$1:E341,1,FALSE()))),"OLD",IF(AND(E342&lt;&gt;"",E342&lt;&gt;"!!!"),"NEW","")))</f>
        <v> </v>
      </c>
      <c r="G342" s="23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4" t="str">
        <f>IF(J342&lt;&gt;1,"",IF(I342="SBJ","CB","?"))</f>
        <v> </v>
      </c>
      <c r="I342" s="25" t="str">
        <f>IF(OR(E342="",E342="!!!",F342="NEW"),"",INDEX(B341:B$2,-1+SUMPRODUCT(MAX(ROW(E341:E$2)*(E342=E341:E$2)))))</f>
        <v> </v>
      </c>
      <c r="J342" s="25" t="str">
        <f>IF(OR(E342="",E342="!!!",F342="NEW"),"",COUNTBLANK(OFFSET(A$1,,,SUMPRODUCT(MAX(ROW(E$2:E342)*(E342=E$2:E342)))))-COUNTBLANK(OFFSET(A$1,,,SUMPRODUCT(MAX(ROW(E$1:E341)*(E2=E$1:E341))))))</f>
        <v> </v>
      </c>
      <c r="K342" s="25" t="str">
        <f>IF(OR(E342="",E342="!!!",F342="NEW"),"",INDEX(J$1:J341,SUMPRODUCT(MAX(ROW(E$1:E341)*(E342=E$1:E341)))))</f>
        <v> </v>
      </c>
      <c r="L342" s="26"/>
    </row>
    <row r="343" spans="1:12">
      <c r="A343" s="20" t="s">
        <v>531</v>
      </c>
      <c r="E343" s="21">
        <f>IF(D343="?OLD","!!!","")</f>
        <v/>
      </c>
      <c r="F343" s="22" t="str">
        <f>IF(OR(E343="",E343="!!!"),"",IF(NOT(ISNA(VLOOKUP(E343,E$1:E342,1,FALSE()))),"OLD",IF(AND(E343&lt;&gt;"",E343&lt;&gt;"!!!"),"NEW","")))</f>
        <v> </v>
      </c>
      <c r="G343" s="23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4" t="str">
        <f>IF(J343&lt;&gt;1,"",IF(I343="SBJ","CB","?"))</f>
        <v> </v>
      </c>
      <c r="I343" s="25" t="str">
        <f>IF(OR(E343="",E343="!!!",F343="NEW"),"",INDEX(B342:B$2,-1+SUMPRODUCT(MAX(ROW(E342:E$2)*(E343=E342:E$2)))))</f>
        <v> </v>
      </c>
      <c r="J343" s="25" t="str">
        <f>IF(OR(E343="",E343="!!!",F343="NEW"),"",COUNTBLANK(OFFSET(A$1,,,SUMPRODUCT(MAX(ROW(E$2:E343)*(E343=E$2:E343)))))-COUNTBLANK(OFFSET(A$1,,,SUMPRODUCT(MAX(ROW(E$1:E342)*(E2=E$1:E342))))))</f>
        <v> </v>
      </c>
      <c r="K343" s="25" t="str">
        <f>IF(OR(E343="",E343="!!!",F343="NEW"),"",INDEX(J$1:J342,SUMPRODUCT(MAX(ROW(E$1:E342)*(E343=E$1:E342)))))</f>
        <v> </v>
      </c>
      <c r="L343" s="26"/>
    </row>
    <row r="344" spans="1:12">
      <c r="A344" s="20"/>
    </row>
    <row r="345" spans="1:12">
      <c r="A345" s="20" t="s">
        <v>660</v>
      </c>
    </row>
    <row r="346" spans="1:12">
      <c r="A346" s="20" t="s">
        <v>12</v>
      </c>
      <c r="E346" s="21">
        <f>IF(D346="?OLD","!!!","")</f>
        <v/>
      </c>
      <c r="F346" s="22" t="str">
        <f>IF(OR(E346="",E346="!!!"),"",IF(NOT(ISNA(VLOOKUP(E346,E$1:E345,1,FALSE()))),"OLD",IF(AND(E346&lt;&gt;"",E346&lt;&gt;"!!!"),"NEW","")))</f>
        <v> </v>
      </c>
      <c r="G346" s="23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4" t="str">
        <f>IF(J346&lt;&gt;1,"",IF(I346="SBJ","CB","?"))</f>
        <v> </v>
      </c>
      <c r="I346" s="25" t="str">
        <f>IF(OR(E346="",E346="!!!",F346="NEW"),"",INDEX(B345:B$2,-1+SUMPRODUCT(MAX(ROW(E345:E$2)*(E346=E345:E$2)))))</f>
        <v> </v>
      </c>
      <c r="J346" s="25" t="str">
        <f>IF(OR(E346="",E346="!!!",F346="NEW"),"",COUNTBLANK(OFFSET(A$1,,,SUMPRODUCT(MAX(ROW(E$2:E346)*(E346=E$2:E346)))))-COUNTBLANK(OFFSET(A$1,,,SUMPRODUCT(MAX(ROW(E$1:E345)*(E2=E$1:E345))))))</f>
        <v> </v>
      </c>
      <c r="K346" s="25" t="str">
        <f>IF(OR(E346="",E346="!!!",F346="NEW"),"",INDEX(J$1:J345,SUMPRODUCT(MAX(ROW(E$1:E345)*(E346=E$1:E345)))))</f>
        <v> </v>
      </c>
      <c r="L346" s="26"/>
    </row>
    <row r="347" spans="1:12">
      <c r="A347" s="20" t="s">
        <v>661</v>
      </c>
      <c r="B347" s="27" t="s">
        <v>549</v>
      </c>
      <c r="C347" s="27" t="s">
        <v>538</v>
      </c>
      <c r="D347" s="27" t="s">
        <v>483</v>
      </c>
      <c r="E347" s="21">
        <f>IF(D347="?OLD","!!!","")</f>
        <v/>
      </c>
      <c r="F347" s="22" t="str">
        <f>IF(OR(E347="",E347="!!!"),"",IF(NOT(ISNA(VLOOKUP(E347,E$1:E346,1,FALSE()))),"OLD",IF(AND(E347&lt;&gt;"",E347&lt;&gt;"!!!"),"NEW","")))</f>
        <v> </v>
      </c>
      <c r="G347" s="23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4" t="str">
        <f>IF(J347&lt;&gt;1,"",IF(I347="SBJ","CB","?"))</f>
        <v> </v>
      </c>
      <c r="I347" s="25" t="str">
        <f>IF(OR(E347="",E347="!!!",F347="NEW"),"",INDEX(B346:B$2,-1+SUMPRODUCT(MAX(ROW(E346:E$2)*(E347=E346:E$2)))))</f>
        <v> </v>
      </c>
      <c r="J347" s="25" t="str">
        <f>IF(OR(E347="",E347="!!!",F347="NEW"),"",COUNTBLANK(OFFSET(A$1,,,SUMPRODUCT(MAX(ROW(E$2:E347)*(E347=E$2:E347)))))-COUNTBLANK(OFFSET(A$1,,,SUMPRODUCT(MAX(ROW(E$1:E346)*(E2=E$1:E346))))))</f>
        <v> </v>
      </c>
      <c r="K347" s="25" t="str">
        <f>IF(OR(E347="",E347="!!!",F347="NEW"),"",INDEX(J$1:J346,SUMPRODUCT(MAX(ROW(E$1:E346)*(E347=E$1:E346)))))</f>
        <v> </v>
      </c>
      <c r="L347" s="26"/>
    </row>
    <row r="348" spans="1:12">
      <c r="A348" s="20" t="s">
        <v>528</v>
      </c>
      <c r="E348" s="21">
        <f>IF(D348="?OLD","!!!","")</f>
        <v/>
      </c>
      <c r="F348" s="22" t="str">
        <f>IF(OR(E348="",E348="!!!"),"",IF(NOT(ISNA(VLOOKUP(E348,E$1:E347,1,FALSE()))),"OLD",IF(AND(E348&lt;&gt;"",E348&lt;&gt;"!!!"),"NEW","")))</f>
        <v> </v>
      </c>
      <c r="G348" s="23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4" t="str">
        <f>IF(J348&lt;&gt;1,"",IF(I348="SBJ","CB","?"))</f>
        <v> </v>
      </c>
      <c r="I348" s="25" t="str">
        <f>IF(OR(E348="",E348="!!!",F348="NEW"),"",INDEX(B347:B$2,-1+SUMPRODUCT(MAX(ROW(E347:E$2)*(E348=E347:E$2)))))</f>
        <v> </v>
      </c>
      <c r="J348" s="25" t="str">
        <f>IF(OR(E348="",E348="!!!",F348="NEW"),"",COUNTBLANK(OFFSET(A$1,,,SUMPRODUCT(MAX(ROW(E$2:E348)*(E348=E$2:E348)))))-COUNTBLANK(OFFSET(A$1,,,SUMPRODUCT(MAX(ROW(E$1:E347)*(E2=E$1:E347))))))</f>
        <v> </v>
      </c>
      <c r="K348" s="25" t="str">
        <f>IF(OR(E348="",E348="!!!",F348="NEW"),"",INDEX(J$1:J347,SUMPRODUCT(MAX(ROW(E$1:E347)*(E348=E$1:E347)))))</f>
        <v> </v>
      </c>
      <c r="L348" s="26"/>
    </row>
    <row r="349" spans="1:12">
      <c r="A349" s="20" t="s">
        <v>662</v>
      </c>
      <c r="B349" s="27" t="s">
        <v>490</v>
      </c>
      <c r="C349" s="27" t="s">
        <v>491</v>
      </c>
      <c r="D349" s="27" t="s">
        <v>483</v>
      </c>
      <c r="E349" s="21">
        <f>IF(D349="?OLD","!!!","")</f>
        <v/>
      </c>
      <c r="F349" s="22" t="str">
        <f>IF(OR(E349="",E349="!!!"),"",IF(NOT(ISNA(VLOOKUP(E349,E$1:E348,1,FALSE()))),"OLD",IF(AND(E349&lt;&gt;"",E349&lt;&gt;"!!!"),"NEW","")))</f>
        <v> </v>
      </c>
      <c r="G349" s="23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4" t="str">
        <f>IF(J349&lt;&gt;1,"",IF(I349="SBJ","CB","?"))</f>
        <v> </v>
      </c>
      <c r="I349" s="25" t="str">
        <f>IF(OR(E349="",E349="!!!",F349="NEW"),"",INDEX(B348:B$2,-1+SUMPRODUCT(MAX(ROW(E348:E$2)*(E349=E348:E$2)))))</f>
        <v> </v>
      </c>
      <c r="J349" s="25" t="str">
        <f>IF(OR(E349="",E349="!!!",F349="NEW"),"",COUNTBLANK(OFFSET(A$1,,,SUMPRODUCT(MAX(ROW(E$2:E349)*(E349=E$2:E349)))))-COUNTBLANK(OFFSET(A$1,,,SUMPRODUCT(MAX(ROW(E$1:E348)*(E2=E$1:E348))))))</f>
        <v> </v>
      </c>
      <c r="K349" s="25" t="str">
        <f>IF(OR(E349="",E349="!!!",F349="NEW"),"",INDEX(J$1:J348,SUMPRODUCT(MAX(ROW(E$1:E348)*(E349=E$1:E348)))))</f>
        <v> </v>
      </c>
      <c r="L349" s="26"/>
    </row>
    <row r="350" spans="1:12">
      <c r="A350" s="20" t="s">
        <v>558</v>
      </c>
      <c r="E350" s="21">
        <f>IF(D350="?OLD","!!!","")</f>
        <v/>
      </c>
      <c r="F350" s="22" t="str">
        <f>IF(OR(E350="",E350="!!!"),"",IF(NOT(ISNA(VLOOKUP(E350,E$1:E349,1,FALSE()))),"OLD",IF(AND(E350&lt;&gt;"",E350&lt;&gt;"!!!"),"NEW","")))</f>
        <v> </v>
      </c>
      <c r="G350" s="23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4" t="str">
        <f>IF(J350&lt;&gt;1,"",IF(I350="SBJ","CB","?"))</f>
        <v> </v>
      </c>
      <c r="I350" s="25" t="str">
        <f>IF(OR(E350="",E350="!!!",F350="NEW"),"",INDEX(B349:B$2,-1+SUMPRODUCT(MAX(ROW(E349:E$2)*(E350=E349:E$2)))))</f>
        <v> </v>
      </c>
      <c r="J350" s="25" t="str">
        <f>IF(OR(E350="",E350="!!!",F350="NEW"),"",COUNTBLANK(OFFSET(A$1,,,SUMPRODUCT(MAX(ROW(E$2:E350)*(E350=E$2:E350)))))-COUNTBLANK(OFFSET(A$1,,,SUMPRODUCT(MAX(ROW(E$1:E349)*(E2=E$1:E349))))))</f>
        <v> </v>
      </c>
      <c r="K350" s="25" t="str">
        <f>IF(OR(E350="",E350="!!!",F350="NEW"),"",INDEX(J$1:J349,SUMPRODUCT(MAX(ROW(E$1:E349)*(E350=E$1:E349)))))</f>
        <v> </v>
      </c>
      <c r="L350" s="26"/>
    </row>
    <row r="351" spans="1:12">
      <c r="A351" s="20" t="s">
        <v>590</v>
      </c>
      <c r="E351" s="21">
        <f>IF(D351="?OLD","!!!","")</f>
        <v/>
      </c>
      <c r="F351" s="22" t="str">
        <f>IF(OR(E351="",E351="!!!"),"",IF(NOT(ISNA(VLOOKUP(E351,E$1:E350,1,FALSE()))),"OLD",IF(AND(E351&lt;&gt;"",E351&lt;&gt;"!!!"),"NEW","")))</f>
        <v> </v>
      </c>
      <c r="G351" s="23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4" t="str">
        <f>IF(J351&lt;&gt;1,"",IF(I351="SBJ","CB","?"))</f>
        <v> </v>
      </c>
      <c r="I351" s="25" t="str">
        <f>IF(OR(E351="",E351="!!!",F351="NEW"),"",INDEX(B350:B$2,-1+SUMPRODUCT(MAX(ROW(E350:E$2)*(E351=E350:E$2)))))</f>
        <v> </v>
      </c>
      <c r="J351" s="25" t="str">
        <f>IF(OR(E351="",E351="!!!",F351="NEW"),"",COUNTBLANK(OFFSET(A$1,,,SUMPRODUCT(MAX(ROW(E$2:E351)*(E351=E$2:E351)))))-COUNTBLANK(OFFSET(A$1,,,SUMPRODUCT(MAX(ROW(E$1:E350)*(E2=E$1:E350))))))</f>
        <v> </v>
      </c>
      <c r="K351" s="25" t="str">
        <f>IF(OR(E351="",E351="!!!",F351="NEW"),"",INDEX(J$1:J350,SUMPRODUCT(MAX(ROW(E$1:E350)*(E351=E$1:E350)))))</f>
        <v> </v>
      </c>
      <c r="L351" s="26"/>
    </row>
    <row r="352" spans="1:12">
      <c r="A352" s="20" t="s">
        <v>37</v>
      </c>
      <c r="E352" s="21">
        <f>IF(D352="?OLD","!!!","")</f>
        <v/>
      </c>
      <c r="F352" s="22" t="str">
        <f>IF(OR(E352="",E352="!!!"),"",IF(NOT(ISNA(VLOOKUP(E352,E$1:E351,1,FALSE()))),"OLD",IF(AND(E352&lt;&gt;"",E352&lt;&gt;"!!!"),"NEW","")))</f>
        <v> </v>
      </c>
      <c r="G352" s="23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4" t="str">
        <f>IF(J352&lt;&gt;1,"",IF(I352="SBJ","CB","?"))</f>
        <v> </v>
      </c>
      <c r="I352" s="25" t="str">
        <f>IF(OR(E352="",E352="!!!",F352="NEW"),"",INDEX(B351:B$2,-1+SUMPRODUCT(MAX(ROW(E351:E$2)*(E352=E351:E$2)))))</f>
        <v> </v>
      </c>
      <c r="J352" s="25" t="str">
        <f>IF(OR(E352="",E352="!!!",F352="NEW"),"",COUNTBLANK(OFFSET(A$1,,,SUMPRODUCT(MAX(ROW(E$2:E352)*(E352=E$2:E352)))))-COUNTBLANK(OFFSET(A$1,,,SUMPRODUCT(MAX(ROW(E$1:E351)*(E2=E$1:E351))))))</f>
        <v> </v>
      </c>
      <c r="K352" s="25" t="str">
        <f>IF(OR(E352="",E352="!!!",F352="NEW"),"",INDEX(J$1:J351,SUMPRODUCT(MAX(ROW(E$1:E351)*(E352=E$1:E351)))))</f>
        <v> </v>
      </c>
      <c r="L352" s="26"/>
    </row>
    <row r="353" spans="1:12">
      <c r="A353" s="20" t="s">
        <v>531</v>
      </c>
      <c r="E353" s="21">
        <f>IF(D353="?OLD","!!!","")</f>
        <v/>
      </c>
      <c r="F353" s="22" t="str">
        <f>IF(OR(E353="",E353="!!!"),"",IF(NOT(ISNA(VLOOKUP(E353,E$1:E352,1,FALSE()))),"OLD",IF(AND(E353&lt;&gt;"",E353&lt;&gt;"!!!"),"NEW","")))</f>
        <v> </v>
      </c>
      <c r="G353" s="23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4" t="str">
        <f>IF(J353&lt;&gt;1,"",IF(I353="SBJ","CB","?"))</f>
        <v> </v>
      </c>
      <c r="I353" s="25" t="str">
        <f>IF(OR(E353="",E353="!!!",F353="NEW"),"",INDEX(B352:B$2,-1+SUMPRODUCT(MAX(ROW(E352:E$2)*(E353=E352:E$2)))))</f>
        <v> </v>
      </c>
      <c r="J353" s="25" t="str">
        <f>IF(OR(E353="",E353="!!!",F353="NEW"),"",COUNTBLANK(OFFSET(A$1,,,SUMPRODUCT(MAX(ROW(E$2:E353)*(E353=E$2:E353)))))-COUNTBLANK(OFFSET(A$1,,,SUMPRODUCT(MAX(ROW(E$1:E352)*(E2=E$1:E352))))))</f>
        <v> </v>
      </c>
      <c r="K353" s="25" t="str">
        <f>IF(OR(E353="",E353="!!!",F353="NEW"),"",INDEX(J$1:J352,SUMPRODUCT(MAX(ROW(E$1:E352)*(E353=E$1:E352)))))</f>
        <v> </v>
      </c>
      <c r="L353" s="26"/>
    </row>
    <row r="354" spans="1:12">
      <c r="A354" s="20"/>
    </row>
    <row r="355" spans="1:12">
      <c r="A355" s="20" t="s">
        <v>663</v>
      </c>
    </row>
    <row r="356" spans="1:12">
      <c r="A356" s="20" t="s">
        <v>617</v>
      </c>
      <c r="E356" s="21">
        <f>IF(D356="?OLD","!!!","")</f>
        <v/>
      </c>
      <c r="F356" s="22" t="str">
        <f>IF(OR(E356="",E356="!!!"),"",IF(NOT(ISNA(VLOOKUP(E356,E$1:E355,1,FALSE()))),"OLD",IF(AND(E356&lt;&gt;"",E356&lt;&gt;"!!!"),"NEW","")))</f>
        <v> </v>
      </c>
      <c r="G356" s="23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4" t="str">
        <f>IF(J356&lt;&gt;1,"",IF(I356="SBJ","CB","?"))</f>
        <v> </v>
      </c>
      <c r="I356" s="25" t="str">
        <f>IF(OR(E356="",E356="!!!",F356="NEW"),"",INDEX(B355:B$2,-1+SUMPRODUCT(MAX(ROW(E355:E$2)*(E356=E355:E$2)))))</f>
        <v> </v>
      </c>
      <c r="J356" s="25" t="str">
        <f>IF(OR(E356="",E356="!!!",F356="NEW"),"",COUNTBLANK(OFFSET(A$1,,,SUMPRODUCT(MAX(ROW(E$2:E356)*(E356=E$2:E356)))))-COUNTBLANK(OFFSET(A$1,,,SUMPRODUCT(MAX(ROW(E$1:E355)*(E2=E$1:E355))))))</f>
        <v> </v>
      </c>
      <c r="K356" s="25" t="str">
        <f>IF(OR(E356="",E356="!!!",F356="NEW"),"",INDEX(J$1:J355,SUMPRODUCT(MAX(ROW(E$1:E355)*(E356=E$1:E355)))))</f>
        <v> </v>
      </c>
      <c r="L356" s="26"/>
    </row>
    <row r="357" spans="1:12">
      <c r="A357" s="20" t="s">
        <v>664</v>
      </c>
      <c r="E357" s="21">
        <f>IF(D357="?OLD","!!!","")</f>
        <v/>
      </c>
      <c r="F357" s="22" t="str">
        <f>IF(OR(E357="",E357="!!!"),"",IF(NOT(ISNA(VLOOKUP(E357,E$1:E356,1,FALSE()))),"OLD",IF(AND(E357&lt;&gt;"",E357&lt;&gt;"!!!"),"NEW","")))</f>
        <v> </v>
      </c>
      <c r="G357" s="23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4" t="str">
        <f>IF(J357&lt;&gt;1,"",IF(I357="SBJ","CB","?"))</f>
        <v> </v>
      </c>
      <c r="I357" s="25" t="str">
        <f>IF(OR(E357="",E357="!!!",F357="NEW"),"",INDEX(B356:B$2,-1+SUMPRODUCT(MAX(ROW(E356:E$2)*(E357=E356:E$2)))))</f>
        <v> </v>
      </c>
      <c r="J357" s="25" t="str">
        <f>IF(OR(E357="",E357="!!!",F357="NEW"),"",COUNTBLANK(OFFSET(A$1,,,SUMPRODUCT(MAX(ROW(E$2:E357)*(E357=E$2:E357)))))-COUNTBLANK(OFFSET(A$1,,,SUMPRODUCT(MAX(ROW(E$1:E356)*(E2=E$1:E356))))))</f>
        <v> </v>
      </c>
      <c r="K357" s="25" t="str">
        <f>IF(OR(E357="",E357="!!!",F357="NEW"),"",INDEX(J$1:J356,SUMPRODUCT(MAX(ROW(E$1:E356)*(E357=E$1:E356)))))</f>
        <v> </v>
      </c>
      <c r="L357" s="26"/>
    </row>
    <row r="358" spans="1:12">
      <c r="A358" s="20" t="s">
        <v>503</v>
      </c>
      <c r="E358" s="21">
        <f>IF(D358="?OLD","!!!","")</f>
        <v/>
      </c>
      <c r="F358" s="22" t="str">
        <f>IF(OR(E358="",E358="!!!"),"",IF(NOT(ISNA(VLOOKUP(E358,E$1:E357,1,FALSE()))),"OLD",IF(AND(E358&lt;&gt;"",E358&lt;&gt;"!!!"),"NEW","")))</f>
        <v> </v>
      </c>
      <c r="G358" s="23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4" t="str">
        <f>IF(J358&lt;&gt;1,"",IF(I358="SBJ","CB","?"))</f>
        <v> </v>
      </c>
      <c r="I358" s="25" t="str">
        <f>IF(OR(E358="",E358="!!!",F358="NEW"),"",INDEX(B357:B$2,-1+SUMPRODUCT(MAX(ROW(E357:E$2)*(E358=E357:E$2)))))</f>
        <v> </v>
      </c>
      <c r="J358" s="25" t="str">
        <f>IF(OR(E358="",E358="!!!",F358="NEW"),"",COUNTBLANK(OFFSET(A$1,,,SUMPRODUCT(MAX(ROW(E$2:E358)*(E358=E$2:E358)))))-COUNTBLANK(OFFSET(A$1,,,SUMPRODUCT(MAX(ROW(E$1:E357)*(E2=E$1:E357))))))</f>
        <v> </v>
      </c>
      <c r="K358" s="25" t="str">
        <f>IF(OR(E358="",E358="!!!",F358="NEW"),"",INDEX(J$1:J357,SUMPRODUCT(MAX(ROW(E$1:E357)*(E358=E$1:E357)))))</f>
        <v> </v>
      </c>
      <c r="L358" s="26"/>
    </row>
    <row r="359" spans="1:12">
      <c r="A359" s="20" t="s">
        <v>65</v>
      </c>
      <c r="B359" s="27" t="s">
        <v>542</v>
      </c>
      <c r="C359" s="27" t="s">
        <v>487</v>
      </c>
      <c r="D359" s="27" t="s">
        <v>483</v>
      </c>
      <c r="E359" s="21">
        <f>IF(D359="?OLD","!!!","")</f>
        <v/>
      </c>
      <c r="F359" s="22" t="str">
        <f>IF(OR(E359="",E359="!!!"),"",IF(NOT(ISNA(VLOOKUP(E359,E$1:E358,1,FALSE()))),"OLD",IF(AND(E359&lt;&gt;"",E359&lt;&gt;"!!!"),"NEW","")))</f>
        <v> </v>
      </c>
      <c r="G359" s="23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4" t="str">
        <f>IF(J359&lt;&gt;1,"",IF(I359="SBJ","CB","?"))</f>
        <v> </v>
      </c>
      <c r="I359" s="25" t="str">
        <f>IF(OR(E359="",E359="!!!",F359="NEW"),"",INDEX(B358:B$2,-1+SUMPRODUCT(MAX(ROW(E358:E$2)*(E359=E358:E$2)))))</f>
        <v> </v>
      </c>
      <c r="J359" s="25" t="str">
        <f>IF(OR(E359="",E359="!!!",F359="NEW"),"",COUNTBLANK(OFFSET(A$1,,,SUMPRODUCT(MAX(ROW(E$2:E359)*(E359=E$2:E359)))))-COUNTBLANK(OFFSET(A$1,,,SUMPRODUCT(MAX(ROW(E$1:E358)*(E2=E$1:E358))))))</f>
        <v> </v>
      </c>
      <c r="K359" s="25" t="str">
        <f>IF(OR(E359="",E359="!!!",F359="NEW"),"",INDEX(J$1:J358,SUMPRODUCT(MAX(ROW(E$1:E358)*(E359=E$1:E358)))))</f>
        <v> </v>
      </c>
      <c r="L359" s="26"/>
    </row>
    <row r="360" spans="1:12">
      <c r="A360" s="20" t="s">
        <v>489</v>
      </c>
      <c r="E360" s="21">
        <f>IF(D360="?OLD","!!!","")</f>
        <v/>
      </c>
      <c r="F360" s="22" t="str">
        <f>IF(OR(E360="",E360="!!!"),"",IF(NOT(ISNA(VLOOKUP(E360,E$1:E359,1,FALSE()))),"OLD",IF(AND(E360&lt;&gt;"",E360&lt;&gt;"!!!"),"NEW","")))</f>
        <v> </v>
      </c>
      <c r="G360" s="23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4" t="str">
        <f>IF(J360&lt;&gt;1,"",IF(I360="SBJ","CB","?"))</f>
        <v> </v>
      </c>
      <c r="I360" s="25" t="str">
        <f>IF(OR(E360="",E360="!!!",F360="NEW"),"",INDEX(B359:B$2,-1+SUMPRODUCT(MAX(ROW(E359:E$2)*(E360=E359:E$2)))))</f>
        <v> </v>
      </c>
      <c r="J360" s="25" t="str">
        <f>IF(OR(E360="",E360="!!!",F360="NEW"),"",COUNTBLANK(OFFSET(A$1,,,SUMPRODUCT(MAX(ROW(E$2:E360)*(E360=E$2:E360)))))-COUNTBLANK(OFFSET(A$1,,,SUMPRODUCT(MAX(ROW(E$1:E359)*(E2=E$1:E359))))))</f>
        <v> </v>
      </c>
      <c r="K360" s="25" t="str">
        <f>IF(OR(E360="",E360="!!!",F360="NEW"),"",INDEX(J$1:J359,SUMPRODUCT(MAX(ROW(E$1:E359)*(E360=E$1:E359)))))</f>
        <v> </v>
      </c>
      <c r="L360" s="26"/>
    </row>
    <row r="361" spans="1:12">
      <c r="A361" s="20" t="s">
        <v>592</v>
      </c>
      <c r="E361" s="21">
        <f>IF(D361="?OLD","!!!","")</f>
        <v/>
      </c>
      <c r="F361" s="22" t="str">
        <f>IF(OR(E361="",E361="!!!"),"",IF(NOT(ISNA(VLOOKUP(E361,E$1:E360,1,FALSE()))),"OLD",IF(AND(E361&lt;&gt;"",E361&lt;&gt;"!!!"),"NEW","")))</f>
        <v> </v>
      </c>
      <c r="G361" s="23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4" t="str">
        <f>IF(J361&lt;&gt;1,"",IF(I361="SBJ","CB","?"))</f>
        <v> </v>
      </c>
      <c r="I361" s="25" t="str">
        <f>IF(OR(E361="",E361="!!!",F361="NEW"),"",INDEX(B360:B$2,-1+SUMPRODUCT(MAX(ROW(E360:E$2)*(E361=E360:E$2)))))</f>
        <v> </v>
      </c>
      <c r="J361" s="25" t="str">
        <f>IF(OR(E361="",E361="!!!",F361="NEW"),"",COUNTBLANK(OFFSET(A$1,,,SUMPRODUCT(MAX(ROW(E$2:E361)*(E361=E$2:E361)))))-COUNTBLANK(OFFSET(A$1,,,SUMPRODUCT(MAX(ROW(E$1:E360)*(E2=E$1:E360))))))</f>
        <v> </v>
      </c>
      <c r="K361" s="25" t="str">
        <f>IF(OR(E361="",E361="!!!",F361="NEW"),"",INDEX(J$1:J360,SUMPRODUCT(MAX(ROW(E$1:E360)*(E361=E$1:E360)))))</f>
        <v> </v>
      </c>
      <c r="L361" s="26"/>
    </row>
    <row r="362" spans="1:12">
      <c r="A362" s="20" t="s">
        <v>489</v>
      </c>
      <c r="E362" s="21">
        <f>IF(D362="?OLD","!!!","")</f>
        <v/>
      </c>
      <c r="F362" s="22" t="str">
        <f>IF(OR(E362="",E362="!!!"),"",IF(NOT(ISNA(VLOOKUP(E362,E$1:E361,1,FALSE()))),"OLD",IF(AND(E362&lt;&gt;"",E362&lt;&gt;"!!!"),"NEW","")))</f>
        <v> </v>
      </c>
      <c r="G362" s="23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4" t="str">
        <f>IF(J362&lt;&gt;1,"",IF(I362="SBJ","CB","?"))</f>
        <v> </v>
      </c>
      <c r="I362" s="25" t="str">
        <f>IF(OR(E362="",E362="!!!",F362="NEW"),"",INDEX(B361:B$2,-1+SUMPRODUCT(MAX(ROW(E361:E$2)*(E362=E361:E$2)))))</f>
        <v> </v>
      </c>
      <c r="J362" s="25" t="str">
        <f>IF(OR(E362="",E362="!!!",F362="NEW"),"",COUNTBLANK(OFFSET(A$1,,,SUMPRODUCT(MAX(ROW(E$2:E362)*(E362=E$2:E362)))))-COUNTBLANK(OFFSET(A$1,,,SUMPRODUCT(MAX(ROW(E$1:E361)*(E2=E$1:E361))))))</f>
        <v> </v>
      </c>
      <c r="K362" s="25" t="str">
        <f>IF(OR(E362="",E362="!!!",F362="NEW"),"",INDEX(J$1:J361,SUMPRODUCT(MAX(ROW(E$1:E361)*(E362=E$1:E361)))))</f>
        <v> </v>
      </c>
      <c r="L362" s="26"/>
    </row>
    <row r="363" spans="1:12">
      <c r="A363" s="20" t="s">
        <v>665</v>
      </c>
      <c r="B363" s="27" t="s">
        <v>490</v>
      </c>
      <c r="C363" s="27" t="s">
        <v>516</v>
      </c>
      <c r="E363" s="21">
        <f>IF(D363="?OLD","!!!","")</f>
        <v/>
      </c>
      <c r="F363" s="22" t="str">
        <f>IF(OR(E363="",E363="!!!"),"",IF(NOT(ISNA(VLOOKUP(E363,E$1:E362,1,FALSE()))),"OLD",IF(AND(E363&lt;&gt;"",E363&lt;&gt;"!!!"),"NEW","")))</f>
        <v> </v>
      </c>
      <c r="G363" s="23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4" t="str">
        <f>IF(J363&lt;&gt;1,"",IF(I363="SBJ","CB","?"))</f>
        <v> </v>
      </c>
      <c r="I363" s="25" t="str">
        <f>IF(OR(E363="",E363="!!!",F363="NEW"),"",INDEX(B362:B$2,-1+SUMPRODUCT(MAX(ROW(E362:E$2)*(E363=E362:E$2)))))</f>
        <v> </v>
      </c>
      <c r="J363" s="25" t="str">
        <f>IF(OR(E363="",E363="!!!",F363="NEW"),"",COUNTBLANK(OFFSET(A$1,,,SUMPRODUCT(MAX(ROW(E$2:E363)*(E363=E$2:E363)))))-COUNTBLANK(OFFSET(A$1,,,SUMPRODUCT(MAX(ROW(E$1:E362)*(E2=E$1:E362))))))</f>
        <v> </v>
      </c>
      <c r="K363" s="25" t="str">
        <f>IF(OR(E363="",E363="!!!",F363="NEW"),"",INDEX(J$1:J362,SUMPRODUCT(MAX(ROW(E$1:E362)*(E363=E$1:E362)))))</f>
        <v> </v>
      </c>
      <c r="L363" s="26"/>
    </row>
    <row r="364" spans="1:12">
      <c r="A364" s="20" t="s">
        <v>489</v>
      </c>
      <c r="E364" s="21">
        <f>IF(D364="?OLD","!!!","")</f>
        <v/>
      </c>
      <c r="F364" s="22" t="str">
        <f>IF(OR(E364="",E364="!!!"),"",IF(NOT(ISNA(VLOOKUP(E364,E$1:E363,1,FALSE()))),"OLD",IF(AND(E364&lt;&gt;"",E364&lt;&gt;"!!!"),"NEW","")))</f>
        <v> </v>
      </c>
      <c r="G364" s="23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4" t="str">
        <f>IF(J364&lt;&gt;1,"",IF(I364="SBJ","CB","?"))</f>
        <v> </v>
      </c>
      <c r="I364" s="25" t="str">
        <f>IF(OR(E364="",E364="!!!",F364="NEW"),"",INDEX(B363:B$2,-1+SUMPRODUCT(MAX(ROW(E363:E$2)*(E364=E363:E$2)))))</f>
        <v> </v>
      </c>
      <c r="J364" s="25" t="str">
        <f>IF(OR(E364="",E364="!!!",F364="NEW"),"",COUNTBLANK(OFFSET(A$1,,,SUMPRODUCT(MAX(ROW(E$2:E364)*(E364=E$2:E364)))))-COUNTBLANK(OFFSET(A$1,,,SUMPRODUCT(MAX(ROW(E$1:E363)*(E2=E$1:E363))))))</f>
        <v> </v>
      </c>
      <c r="K364" s="25" t="str">
        <f>IF(OR(E364="",E364="!!!",F364="NEW"),"",INDEX(J$1:J363,SUMPRODUCT(MAX(ROW(E$1:E363)*(E364=E$1:E363)))))</f>
        <v> </v>
      </c>
      <c r="L364" s="26"/>
    </row>
    <row r="365" spans="1:12">
      <c r="A365" s="20" t="s">
        <v>529</v>
      </c>
      <c r="E365" s="21">
        <f>IF(D365="?OLD","!!!","")</f>
        <v/>
      </c>
      <c r="F365" s="22" t="str">
        <f>IF(OR(E365="",E365="!!!"),"",IF(NOT(ISNA(VLOOKUP(E365,E$1:E364,1,FALSE()))),"OLD",IF(AND(E365&lt;&gt;"",E365&lt;&gt;"!!!"),"NEW","")))</f>
        <v> </v>
      </c>
      <c r="G365" s="23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4" t="str">
        <f>IF(J365&lt;&gt;1,"",IF(I365="SBJ","CB","?"))</f>
        <v> </v>
      </c>
      <c r="I365" s="25" t="str">
        <f>IF(OR(E365="",E365="!!!",F365="NEW"),"",INDEX(B364:B$2,-1+SUMPRODUCT(MAX(ROW(E364:E$2)*(E365=E364:E$2)))))</f>
        <v> </v>
      </c>
      <c r="J365" s="25" t="str">
        <f>IF(OR(E365="",E365="!!!",F365="NEW"),"",COUNTBLANK(OFFSET(A$1,,,SUMPRODUCT(MAX(ROW(E$2:E365)*(E365=E$2:E365)))))-COUNTBLANK(OFFSET(A$1,,,SUMPRODUCT(MAX(ROW(E$1:E364)*(E2=E$1:E364))))))</f>
        <v> </v>
      </c>
      <c r="K365" s="25" t="str">
        <f>IF(OR(E365="",E365="!!!",F365="NEW"),"",INDEX(J$1:J364,SUMPRODUCT(MAX(ROW(E$1:E364)*(E365=E$1:E364)))))</f>
        <v> </v>
      </c>
      <c r="L365" s="26"/>
    </row>
    <row r="366" spans="1:12">
      <c r="A366" s="20" t="s">
        <v>666</v>
      </c>
      <c r="B366" s="27" t="s">
        <v>654</v>
      </c>
      <c r="C366" s="27" t="s">
        <v>523</v>
      </c>
      <c r="E366" s="21">
        <f>IF(D366="?OLD","!!!","")</f>
        <v/>
      </c>
      <c r="F366" s="22" t="str">
        <f>IF(OR(E366="",E366="!!!"),"",IF(NOT(ISNA(VLOOKUP(E366,E$1:E365,1,FALSE()))),"OLD",IF(AND(E366&lt;&gt;"",E366&lt;&gt;"!!!"),"NEW","")))</f>
        <v> </v>
      </c>
      <c r="G366" s="23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4" t="str">
        <f>IF(J366&lt;&gt;1,"",IF(I366="SBJ","CB","?"))</f>
        <v> </v>
      </c>
      <c r="I366" s="25" t="str">
        <f>IF(OR(E366="",E366="!!!",F366="NEW"),"",INDEX(B365:B$2,-1+SUMPRODUCT(MAX(ROW(E365:E$2)*(E366=E365:E$2)))))</f>
        <v> </v>
      </c>
      <c r="J366" s="25" t="str">
        <f>IF(OR(E366="",E366="!!!",F366="NEW"),"",COUNTBLANK(OFFSET(A$1,,,SUMPRODUCT(MAX(ROW(E$2:E366)*(E366=E$2:E366)))))-COUNTBLANK(OFFSET(A$1,,,SUMPRODUCT(MAX(ROW(E$1:E365)*(E2=E$1:E365))))))</f>
        <v> </v>
      </c>
      <c r="K366" s="25" t="str">
        <f>IF(OR(E366="",E366="!!!",F366="NEW"),"",INDEX(J$1:J365,SUMPRODUCT(MAX(ROW(E$1:E365)*(E366=E$1:E365)))))</f>
        <v> </v>
      </c>
      <c r="L366" s="26"/>
    </row>
    <row r="367" spans="1:12">
      <c r="A367" s="20" t="s">
        <v>667</v>
      </c>
      <c r="E367" s="21">
        <f>IF(D367="?OLD","!!!","")</f>
        <v/>
      </c>
      <c r="F367" s="22" t="str">
        <f>IF(OR(E367="",E367="!!!"),"",IF(NOT(ISNA(VLOOKUP(E367,E$1:E366,1,FALSE()))),"OLD",IF(AND(E367&lt;&gt;"",E367&lt;&gt;"!!!"),"NEW","")))</f>
        <v> </v>
      </c>
      <c r="G367" s="23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4" t="str">
        <f>IF(J367&lt;&gt;1,"",IF(I367="SBJ","CB","?"))</f>
        <v> </v>
      </c>
      <c r="I367" s="25" t="str">
        <f>IF(OR(E367="",E367="!!!",F367="NEW"),"",INDEX(B366:B$2,-1+SUMPRODUCT(MAX(ROW(E366:E$2)*(E367=E366:E$2)))))</f>
        <v> </v>
      </c>
      <c r="J367" s="25" t="str">
        <f>IF(OR(E367="",E367="!!!",F367="NEW"),"",COUNTBLANK(OFFSET(A$1,,,SUMPRODUCT(MAX(ROW(E$2:E367)*(E367=E$2:E367)))))-COUNTBLANK(OFFSET(A$1,,,SUMPRODUCT(MAX(ROW(E$1:E366)*(E2=E$1:E366))))))</f>
        <v> </v>
      </c>
      <c r="K367" s="25" t="str">
        <f>IF(OR(E367="",E367="!!!",F367="NEW"),"",INDEX(J$1:J366,SUMPRODUCT(MAX(ROW(E$1:E366)*(E367=E$1:E366)))))</f>
        <v> </v>
      </c>
      <c r="L367" s="26"/>
    </row>
    <row r="368" spans="1:12">
      <c r="A368" s="20" t="s">
        <v>384</v>
      </c>
      <c r="E368" s="21">
        <f>IF(D368="?OLD","!!!","")</f>
        <v/>
      </c>
      <c r="F368" s="22" t="str">
        <f>IF(OR(E368="",E368="!!!"),"",IF(NOT(ISNA(VLOOKUP(E368,E$1:E367,1,FALSE()))),"OLD",IF(AND(E368&lt;&gt;"",E368&lt;&gt;"!!!"),"NEW","")))</f>
        <v> </v>
      </c>
      <c r="G368" s="23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4" t="str">
        <f>IF(J368&lt;&gt;1,"",IF(I368="SBJ","CB","?"))</f>
        <v> </v>
      </c>
      <c r="I368" s="25" t="str">
        <f>IF(OR(E368="",E368="!!!",F368="NEW"),"",INDEX(B367:B$2,-1+SUMPRODUCT(MAX(ROW(E367:E$2)*(E368=E367:E$2)))))</f>
        <v> </v>
      </c>
      <c r="J368" s="25" t="str">
        <f>IF(OR(E368="",E368="!!!",F368="NEW"),"",COUNTBLANK(OFFSET(A$1,,,SUMPRODUCT(MAX(ROW(E$2:E368)*(E368=E$2:E368)))))-COUNTBLANK(OFFSET(A$1,,,SUMPRODUCT(MAX(ROW(E$1:E367)*(E2=E$1:E367))))))</f>
        <v> </v>
      </c>
      <c r="K368" s="25" t="str">
        <f>IF(OR(E368="",E368="!!!",F368="NEW"),"",INDEX(J$1:J367,SUMPRODUCT(MAX(ROW(E$1:E367)*(E368=E$1:E367)))))</f>
        <v> </v>
      </c>
      <c r="L368" s="26"/>
    </row>
    <row r="369" spans="1:12">
      <c r="A369" s="20" t="s">
        <v>489</v>
      </c>
      <c r="E369" s="21">
        <f>IF(D369="?OLD","!!!","")</f>
        <v/>
      </c>
      <c r="F369" s="22" t="str">
        <f>IF(OR(E369="",E369="!!!"),"",IF(NOT(ISNA(VLOOKUP(E369,E$1:E368,1,FALSE()))),"OLD",IF(AND(E369&lt;&gt;"",E369&lt;&gt;"!!!"),"NEW","")))</f>
        <v> </v>
      </c>
      <c r="G369" s="23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4" t="str">
        <f>IF(J369&lt;&gt;1,"",IF(I369="SBJ","CB","?"))</f>
        <v> </v>
      </c>
      <c r="I369" s="25" t="str">
        <f>IF(OR(E369="",E369="!!!",F369="NEW"),"",INDEX(B368:B$2,-1+SUMPRODUCT(MAX(ROW(E368:E$2)*(E369=E368:E$2)))))</f>
        <v> </v>
      </c>
      <c r="J369" s="25" t="str">
        <f>IF(OR(E369="",E369="!!!",F369="NEW"),"",COUNTBLANK(OFFSET(A$1,,,SUMPRODUCT(MAX(ROW(E$2:E369)*(E369=E$2:E369)))))-COUNTBLANK(OFFSET(A$1,,,SUMPRODUCT(MAX(ROW(E$1:E368)*(E2=E$1:E368))))))</f>
        <v> </v>
      </c>
      <c r="K369" s="25" t="str">
        <f>IF(OR(E369="",E369="!!!",F369="NEW"),"",INDEX(J$1:J368,SUMPRODUCT(MAX(ROW(E$1:E368)*(E369=E$1:E368)))))</f>
        <v> </v>
      </c>
      <c r="L369" s="26"/>
    </row>
    <row r="370" spans="1:12">
      <c r="A370" s="20" t="s">
        <v>485</v>
      </c>
      <c r="E370" s="21">
        <f>IF(D370="?OLD","!!!","")</f>
        <v/>
      </c>
      <c r="F370" s="22" t="str">
        <f>IF(OR(E370="",E370="!!!"),"",IF(NOT(ISNA(VLOOKUP(E370,E$1:E369,1,FALSE()))),"OLD",IF(AND(E370&lt;&gt;"",E370&lt;&gt;"!!!"),"NEW","")))</f>
        <v> </v>
      </c>
      <c r="G370" s="23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4" t="str">
        <f>IF(J370&lt;&gt;1,"",IF(I370="SBJ","CB","?"))</f>
        <v> </v>
      </c>
      <c r="I370" s="25" t="str">
        <f>IF(OR(E370="",E370="!!!",F370="NEW"),"",INDEX(B369:B$2,-1+SUMPRODUCT(MAX(ROW(E369:E$2)*(E370=E369:E$2)))))</f>
        <v> </v>
      </c>
      <c r="J370" s="25" t="str">
        <f>IF(OR(E370="",E370="!!!",F370="NEW"),"",COUNTBLANK(OFFSET(A$1,,,SUMPRODUCT(MAX(ROW(E$2:E370)*(E370=E$2:E370)))))-COUNTBLANK(OFFSET(A$1,,,SUMPRODUCT(MAX(ROW(E$1:E369)*(E2=E$1:E369))))))</f>
        <v> </v>
      </c>
      <c r="K370" s="25" t="str">
        <f>IF(OR(E370="",E370="!!!",F370="NEW"),"",INDEX(J$1:J369,SUMPRODUCT(MAX(ROW(E$1:E369)*(E370=E$1:E369)))))</f>
        <v> </v>
      </c>
      <c r="L370" s="26"/>
    </row>
    <row r="371" spans="1:12">
      <c r="A371" s="20" t="s">
        <v>668</v>
      </c>
      <c r="B371" s="27" t="s">
        <v>547</v>
      </c>
      <c r="C371" s="27" t="s">
        <v>635</v>
      </c>
      <c r="D371" s="27" t="s">
        <v>483</v>
      </c>
      <c r="E371" s="21">
        <f>IF(D371="?OLD","!!!","")</f>
        <v/>
      </c>
      <c r="F371" s="22" t="str">
        <f>IF(OR(E371="",E371="!!!"),"",IF(NOT(ISNA(VLOOKUP(E371,E$1:E370,1,FALSE()))),"OLD",IF(AND(E371&lt;&gt;"",E371&lt;&gt;"!!!"),"NEW","")))</f>
        <v> </v>
      </c>
      <c r="G371" s="23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4" t="str">
        <f>IF(J371&lt;&gt;1,"",IF(I371="SBJ","CB","?"))</f>
        <v> </v>
      </c>
      <c r="I371" s="25" t="str">
        <f>IF(OR(E371="",E371="!!!",F371="NEW"),"",INDEX(B370:B$2,-1+SUMPRODUCT(MAX(ROW(E370:E$2)*(E371=E370:E$2)))))</f>
        <v> </v>
      </c>
      <c r="J371" s="25" t="str">
        <f>IF(OR(E371="",E371="!!!",F371="NEW"),"",COUNTBLANK(OFFSET(A$1,,,SUMPRODUCT(MAX(ROW(E$2:E371)*(E371=E$2:E371)))))-COUNTBLANK(OFFSET(A$1,,,SUMPRODUCT(MAX(ROW(E$1:E370)*(E2=E$1:E370))))))</f>
        <v> </v>
      </c>
      <c r="K371" s="25" t="str">
        <f>IF(OR(E371="",E371="!!!",F371="NEW"),"",INDEX(J$1:J370,SUMPRODUCT(MAX(ROW(E$1:E370)*(E371=E$1:E370)))))</f>
        <v> </v>
      </c>
      <c r="L371" s="26"/>
    </row>
    <row r="372" spans="1:12">
      <c r="A372" s="20" t="s">
        <v>669</v>
      </c>
      <c r="E372" s="21">
        <f>IF(D372="?OLD","!!!","")</f>
        <v/>
      </c>
      <c r="F372" s="22" t="str">
        <f>IF(OR(E372="",E372="!!!"),"",IF(NOT(ISNA(VLOOKUP(E372,E$1:E371,1,FALSE()))),"OLD",IF(AND(E372&lt;&gt;"",E372&lt;&gt;"!!!"),"NEW","")))</f>
        <v> </v>
      </c>
      <c r="G372" s="23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4" t="str">
        <f>IF(J372&lt;&gt;1,"",IF(I372="SBJ","CB","?"))</f>
        <v> </v>
      </c>
      <c r="I372" s="25" t="str">
        <f>IF(OR(E372="",E372="!!!",F372="NEW"),"",INDEX(B371:B$2,-1+SUMPRODUCT(MAX(ROW(E371:E$2)*(E372=E371:E$2)))))</f>
        <v> </v>
      </c>
      <c r="J372" s="25" t="str">
        <f>IF(OR(E372="",E372="!!!",F372="NEW"),"",COUNTBLANK(OFFSET(A$1,,,SUMPRODUCT(MAX(ROW(E$2:E372)*(E372=E$2:E372)))))-COUNTBLANK(OFFSET(A$1,,,SUMPRODUCT(MAX(ROW(E$1:E371)*(E2=E$1:E371))))))</f>
        <v> </v>
      </c>
      <c r="K372" s="25" t="str">
        <f>IF(OR(E372="",E372="!!!",F372="NEW"),"",INDEX(J$1:J371,SUMPRODUCT(MAX(ROW(E$1:E371)*(E372=E$1:E371)))))</f>
        <v> </v>
      </c>
      <c r="L372" s="26"/>
    </row>
    <row r="373" spans="1:12">
      <c r="A373" s="20" t="s">
        <v>670</v>
      </c>
      <c r="B373" s="27" t="s">
        <v>553</v>
      </c>
      <c r="C373" s="27" t="s">
        <v>487</v>
      </c>
      <c r="D373" s="27" t="s">
        <v>483</v>
      </c>
      <c r="E373" s="21">
        <f>IF(D373="?OLD","!!!","")</f>
        <v/>
      </c>
      <c r="F373" s="22" t="str">
        <f>IF(OR(E373="",E373="!!!"),"",IF(NOT(ISNA(VLOOKUP(E373,E$1:E372,1,FALSE()))),"OLD",IF(AND(E373&lt;&gt;"",E373&lt;&gt;"!!!"),"NEW","")))</f>
        <v> </v>
      </c>
      <c r="G373" s="23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4" t="str">
        <f>IF(J373&lt;&gt;1,"",IF(I373="SBJ","CB","?"))</f>
        <v> </v>
      </c>
      <c r="I373" s="25" t="str">
        <f>IF(OR(E373="",E373="!!!",F373="NEW"),"",INDEX(B372:B$2,-1+SUMPRODUCT(MAX(ROW(E372:E$2)*(E373=E372:E$2)))))</f>
        <v> </v>
      </c>
      <c r="J373" s="25" t="str">
        <f>IF(OR(E373="",E373="!!!",F373="NEW"),"",COUNTBLANK(OFFSET(A$1,,,SUMPRODUCT(MAX(ROW(E$2:E373)*(E373=E$2:E373)))))-COUNTBLANK(OFFSET(A$1,,,SUMPRODUCT(MAX(ROW(E$1:E372)*(E2=E$1:E372))))))</f>
        <v> </v>
      </c>
      <c r="K373" s="25" t="str">
        <f>IF(OR(E373="",E373="!!!",F373="NEW"),"",INDEX(J$1:J372,SUMPRODUCT(MAX(ROW(E$1:E372)*(E373=E$1:E372)))))</f>
        <v> </v>
      </c>
      <c r="L373" s="26"/>
    </row>
    <row r="374" spans="1:12">
      <c r="A374" s="20" t="s">
        <v>671</v>
      </c>
      <c r="E374" s="21">
        <f>IF(D374="?OLD","!!!","")</f>
        <v/>
      </c>
      <c r="F374" s="22" t="str">
        <f>IF(OR(E374="",E374="!!!"),"",IF(NOT(ISNA(VLOOKUP(E374,E$1:E373,1,FALSE()))),"OLD",IF(AND(E374&lt;&gt;"",E374&lt;&gt;"!!!"),"NEW","")))</f>
        <v> </v>
      </c>
      <c r="G374" s="23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4" t="str">
        <f>IF(J374&lt;&gt;1,"",IF(I374="SBJ","CB","?"))</f>
        <v> </v>
      </c>
      <c r="I374" s="25" t="str">
        <f>IF(OR(E374="",E374="!!!",F374="NEW"),"",INDEX(B373:B$2,-1+SUMPRODUCT(MAX(ROW(E373:E$2)*(E374=E373:E$2)))))</f>
        <v> </v>
      </c>
      <c r="J374" s="25" t="str">
        <f>IF(OR(E374="",E374="!!!",F374="NEW"),"",COUNTBLANK(OFFSET(A$1,,,SUMPRODUCT(MAX(ROW(E$2:E374)*(E374=E$2:E374)))))-COUNTBLANK(OFFSET(A$1,,,SUMPRODUCT(MAX(ROW(E$1:E373)*(E2=E$1:E373))))))</f>
        <v> </v>
      </c>
      <c r="K374" s="25" t="str">
        <f>IF(OR(E374="",E374="!!!",F374="NEW"),"",INDEX(J$1:J373,SUMPRODUCT(MAX(ROW(E$1:E373)*(E374=E$1:E373)))))</f>
        <v> </v>
      </c>
      <c r="L374" s="26"/>
    </row>
    <row r="375" spans="1:12">
      <c r="A375" s="20" t="s">
        <v>672</v>
      </c>
      <c r="E375" s="21">
        <f>IF(D375="?OLD","!!!","")</f>
        <v/>
      </c>
      <c r="F375" s="22" t="str">
        <f>IF(OR(E375="",E375="!!!"),"",IF(NOT(ISNA(VLOOKUP(E375,E$1:E374,1,FALSE()))),"OLD",IF(AND(E375&lt;&gt;"",E375&lt;&gt;"!!!"),"NEW","")))</f>
        <v> </v>
      </c>
      <c r="G375" s="23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4" t="str">
        <f>IF(J375&lt;&gt;1,"",IF(I375="SBJ","CB","?"))</f>
        <v> </v>
      </c>
      <c r="I375" s="25" t="str">
        <f>IF(OR(E375="",E375="!!!",F375="NEW"),"",INDEX(B374:B$2,-1+SUMPRODUCT(MAX(ROW(E374:E$2)*(E375=E374:E$2)))))</f>
        <v> </v>
      </c>
      <c r="J375" s="25" t="str">
        <f>IF(OR(E375="",E375="!!!",F375="NEW"),"",COUNTBLANK(OFFSET(A$1,,,SUMPRODUCT(MAX(ROW(E$2:E375)*(E375=E$2:E375)))))-COUNTBLANK(OFFSET(A$1,,,SUMPRODUCT(MAX(ROW(E$1:E374)*(E2=E$1:E374))))))</f>
        <v> </v>
      </c>
      <c r="K375" s="25" t="str">
        <f>IF(OR(E375="",E375="!!!",F375="NEW"),"",INDEX(J$1:J374,SUMPRODUCT(MAX(ROW(E$1:E374)*(E375=E$1:E374)))))</f>
        <v> </v>
      </c>
      <c r="L375" s="26"/>
    </row>
    <row r="376" spans="1:12">
      <c r="A376" s="20" t="s">
        <v>120</v>
      </c>
      <c r="E376" s="21">
        <f>IF(D376="?OLD","!!!","")</f>
        <v/>
      </c>
      <c r="F376" s="22" t="str">
        <f>IF(OR(E376="",E376="!!!"),"",IF(NOT(ISNA(VLOOKUP(E376,E$1:E375,1,FALSE()))),"OLD",IF(AND(E376&lt;&gt;"",E376&lt;&gt;"!!!"),"NEW","")))</f>
        <v> </v>
      </c>
      <c r="G376" s="23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4" t="str">
        <f>IF(J376&lt;&gt;1,"",IF(I376="SBJ","CB","?"))</f>
        <v> </v>
      </c>
      <c r="I376" s="25" t="str">
        <f>IF(OR(E376="",E376="!!!",F376="NEW"),"",INDEX(B375:B$2,-1+SUMPRODUCT(MAX(ROW(E375:E$2)*(E376=E375:E$2)))))</f>
        <v> </v>
      </c>
      <c r="J376" s="25" t="str">
        <f>IF(OR(E376="",E376="!!!",F376="NEW"),"",COUNTBLANK(OFFSET(A$1,,,SUMPRODUCT(MAX(ROW(E$2:E376)*(E376=E$2:E376)))))-COUNTBLANK(OFFSET(A$1,,,SUMPRODUCT(MAX(ROW(E$1:E375)*(E2=E$1:E375))))))</f>
        <v> </v>
      </c>
      <c r="K376" s="25" t="str">
        <f>IF(OR(E376="",E376="!!!",F376="NEW"),"",INDEX(J$1:J375,SUMPRODUCT(MAX(ROW(E$1:E375)*(E376=E$1:E375)))))</f>
        <v> </v>
      </c>
      <c r="L376" s="26"/>
    </row>
    <row r="377" spans="1:12">
      <c r="A377" s="20" t="s">
        <v>503</v>
      </c>
      <c r="E377" s="21">
        <f>IF(D377="?OLD","!!!","")</f>
        <v/>
      </c>
      <c r="F377" s="22" t="str">
        <f>IF(OR(E377="",E377="!!!"),"",IF(NOT(ISNA(VLOOKUP(E377,E$1:E376,1,FALSE()))),"OLD",IF(AND(E377&lt;&gt;"",E377&lt;&gt;"!!!"),"NEW","")))</f>
        <v> </v>
      </c>
      <c r="G377" s="23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4" t="str">
        <f>IF(J377&lt;&gt;1,"",IF(I377="SBJ","CB","?"))</f>
        <v> </v>
      </c>
      <c r="I377" s="25" t="str">
        <f>IF(OR(E377="",E377="!!!",F377="NEW"),"",INDEX(B376:B$2,-1+SUMPRODUCT(MAX(ROW(E376:E$2)*(E377=E376:E$2)))))</f>
        <v> </v>
      </c>
      <c r="J377" s="25" t="str">
        <f>IF(OR(E377="",E377="!!!",F377="NEW"),"",COUNTBLANK(OFFSET(A$1,,,SUMPRODUCT(MAX(ROW(E$2:E377)*(E377=E$2:E377)))))-COUNTBLANK(OFFSET(A$1,,,SUMPRODUCT(MAX(ROW(E$1:E376)*(E2=E$1:E376))))))</f>
        <v> </v>
      </c>
      <c r="K377" s="25" t="str">
        <f>IF(OR(E377="",E377="!!!",F377="NEW"),"",INDEX(J$1:J376,SUMPRODUCT(MAX(ROW(E$1:E376)*(E377=E$1:E376)))))</f>
        <v> </v>
      </c>
      <c r="L377" s="26"/>
    </row>
    <row r="378" spans="1:12">
      <c r="A378" s="20" t="s">
        <v>61</v>
      </c>
      <c r="B378" s="27" t="s">
        <v>578</v>
      </c>
      <c r="C378" s="27" t="s">
        <v>487</v>
      </c>
      <c r="D378" s="27" t="s">
        <v>483</v>
      </c>
      <c r="E378" s="21">
        <f>IF(D378="?OLD","!!!","")</f>
        <v/>
      </c>
      <c r="F378" s="22" t="str">
        <f>IF(OR(E378="",E378="!!!"),"",IF(NOT(ISNA(VLOOKUP(E378,E$1:E377,1,FALSE()))),"OLD",IF(AND(E378&lt;&gt;"",E378&lt;&gt;"!!!"),"NEW","")))</f>
        <v> </v>
      </c>
      <c r="G378" s="23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4" t="str">
        <f>IF(J378&lt;&gt;1,"",IF(I378="SBJ","CB","?"))</f>
        <v> </v>
      </c>
      <c r="I378" s="25" t="str">
        <f>IF(OR(E378="",E378="!!!",F378="NEW"),"",INDEX(B377:B$2,-1+SUMPRODUCT(MAX(ROW(E377:E$2)*(E378=E377:E$2)))))</f>
        <v> </v>
      </c>
      <c r="J378" s="25" t="str">
        <f>IF(OR(E378="",E378="!!!",F378="NEW"),"",COUNTBLANK(OFFSET(A$1,,,SUMPRODUCT(MAX(ROW(E$2:E378)*(E378=E$2:E378)))))-COUNTBLANK(OFFSET(A$1,,,SUMPRODUCT(MAX(ROW(E$1:E377)*(E2=E$1:E377))))))</f>
        <v> </v>
      </c>
      <c r="K378" s="25" t="str">
        <f>IF(OR(E378="",E378="!!!",F378="NEW"),"",INDEX(J$1:J377,SUMPRODUCT(MAX(ROW(E$1:E377)*(E378=E$1:E377)))))</f>
        <v> </v>
      </c>
      <c r="L378" s="26"/>
    </row>
    <row r="379" spans="1:12">
      <c r="A379" s="20" t="s">
        <v>531</v>
      </c>
      <c r="E379" s="21">
        <f>IF(D379="?OLD","!!!","")</f>
        <v/>
      </c>
      <c r="F379" s="22" t="str">
        <f>IF(OR(E379="",E379="!!!"),"",IF(NOT(ISNA(VLOOKUP(E379,E$1:E378,1,FALSE()))),"OLD",IF(AND(E379&lt;&gt;"",E379&lt;&gt;"!!!"),"NEW","")))</f>
        <v> </v>
      </c>
      <c r="G379" s="23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4" t="str">
        <f>IF(J379&lt;&gt;1,"",IF(I379="SBJ","CB","?"))</f>
        <v> </v>
      </c>
      <c r="I379" s="25" t="str">
        <f>IF(OR(E379="",E379="!!!",F379="NEW"),"",INDEX(B378:B$2,-1+SUMPRODUCT(MAX(ROW(E378:E$2)*(E379=E378:E$2)))))</f>
        <v> </v>
      </c>
      <c r="J379" s="25" t="str">
        <f>IF(OR(E379="",E379="!!!",F379="NEW"),"",COUNTBLANK(OFFSET(A$1,,,SUMPRODUCT(MAX(ROW(E$2:E379)*(E379=E$2:E379)))))-COUNTBLANK(OFFSET(A$1,,,SUMPRODUCT(MAX(ROW(E$1:E378)*(E2=E$1:E378))))))</f>
        <v> </v>
      </c>
      <c r="K379" s="25" t="str">
        <f>IF(OR(E379="",E379="!!!",F379="NEW"),"",INDEX(J$1:J378,SUMPRODUCT(MAX(ROW(E$1:E378)*(E379=E$1:E378)))))</f>
        <v> </v>
      </c>
      <c r="L379" s="26"/>
    </row>
    <row r="380" spans="1:12">
      <c r="A380" s="20"/>
    </row>
    <row r="381" spans="1:12">
      <c r="A381" s="20" t="s">
        <v>673</v>
      </c>
    </row>
    <row r="382" spans="1:12">
      <c r="A382" s="20" t="s">
        <v>651</v>
      </c>
      <c r="E382" s="21">
        <f>IF(D382="?OLD","!!!","")</f>
        <v/>
      </c>
      <c r="F382" s="22" t="str">
        <f>IF(OR(E382="",E382="!!!"),"",IF(NOT(ISNA(VLOOKUP(E382,E$1:E381,1,FALSE()))),"OLD",IF(AND(E382&lt;&gt;"",E382&lt;&gt;"!!!"),"NEW","")))</f>
        <v> </v>
      </c>
      <c r="G382" s="23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4" t="str">
        <f>IF(J382&lt;&gt;1,"",IF(I382="SBJ","CB","?"))</f>
        <v> </v>
      </c>
      <c r="I382" s="25" t="str">
        <f>IF(OR(E382="",E382="!!!",F382="NEW"),"",INDEX(B381:B$2,-1+SUMPRODUCT(MAX(ROW(E381:E$2)*(E382=E381:E$2)))))</f>
        <v> </v>
      </c>
      <c r="J382" s="25" t="str">
        <f>IF(OR(E382="",E382="!!!",F382="NEW"),"",COUNTBLANK(OFFSET(A$1,,,SUMPRODUCT(MAX(ROW(E$2:E382)*(E382=E$2:E382)))))-COUNTBLANK(OFFSET(A$1,,,SUMPRODUCT(MAX(ROW(E$1:E381)*(E2=E$1:E381))))))</f>
        <v> </v>
      </c>
      <c r="K382" s="25" t="str">
        <f>IF(OR(E382="",E382="!!!",F382="NEW"),"",INDEX(J$1:J381,SUMPRODUCT(MAX(ROW(E$1:E381)*(E382=E$1:E381)))))</f>
        <v> </v>
      </c>
      <c r="L382" s="26"/>
    </row>
    <row r="383" spans="1:12">
      <c r="A383" s="20" t="s">
        <v>674</v>
      </c>
      <c r="B383" s="27" t="s">
        <v>477</v>
      </c>
      <c r="C383" s="27" t="s">
        <v>516</v>
      </c>
      <c r="E383" s="21">
        <f>IF(D383="?OLD","!!!","")</f>
        <v/>
      </c>
      <c r="F383" s="22" t="str">
        <f>IF(OR(E383="",E383="!!!"),"",IF(NOT(ISNA(VLOOKUP(E383,E$1:E382,1,FALSE()))),"OLD",IF(AND(E383&lt;&gt;"",E383&lt;&gt;"!!!"),"NEW","")))</f>
        <v> </v>
      </c>
      <c r="G383" s="23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4" t="str">
        <f>IF(J383&lt;&gt;1,"",IF(I383="SBJ","CB","?"))</f>
        <v> </v>
      </c>
      <c r="I383" s="25" t="str">
        <f>IF(OR(E383="",E383="!!!",F383="NEW"),"",INDEX(B382:B$2,-1+SUMPRODUCT(MAX(ROW(E382:E$2)*(E383=E382:E$2)))))</f>
        <v> </v>
      </c>
      <c r="J383" s="25" t="str">
        <f>IF(OR(E383="",E383="!!!",F383="NEW"),"",COUNTBLANK(OFFSET(A$1,,,SUMPRODUCT(MAX(ROW(E$2:E383)*(E383=E$2:E383)))))-COUNTBLANK(OFFSET(A$1,,,SUMPRODUCT(MAX(ROW(E$1:E382)*(E2=E$1:E382))))))</f>
        <v> </v>
      </c>
      <c r="K383" s="25" t="str">
        <f>IF(OR(E383="",E383="!!!",F383="NEW"),"",INDEX(J$1:J382,SUMPRODUCT(MAX(ROW(E$1:E382)*(E383=E$1:E382)))))</f>
        <v> </v>
      </c>
      <c r="L383" s="26"/>
    </row>
    <row r="384" spans="1:12">
      <c r="A384" s="20" t="s">
        <v>489</v>
      </c>
      <c r="E384" s="21">
        <f>IF(D384="?OLD","!!!","")</f>
        <v/>
      </c>
      <c r="F384" s="22" t="str">
        <f>IF(OR(E384="",E384="!!!"),"",IF(NOT(ISNA(VLOOKUP(E384,E$1:E383,1,FALSE()))),"OLD",IF(AND(E384&lt;&gt;"",E384&lt;&gt;"!!!"),"NEW","")))</f>
        <v> </v>
      </c>
      <c r="G384" s="23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4" t="str">
        <f>IF(J384&lt;&gt;1,"",IF(I384="SBJ","CB","?"))</f>
        <v> </v>
      </c>
      <c r="I384" s="25" t="str">
        <f>IF(OR(E384="",E384="!!!",F384="NEW"),"",INDEX(B383:B$2,-1+SUMPRODUCT(MAX(ROW(E383:E$2)*(E384=E383:E$2)))))</f>
        <v> </v>
      </c>
      <c r="J384" s="25" t="str">
        <f>IF(OR(E384="",E384="!!!",F384="NEW"),"",COUNTBLANK(OFFSET(A$1,,,SUMPRODUCT(MAX(ROW(E$2:E384)*(E384=E$2:E384)))))-COUNTBLANK(OFFSET(A$1,,,SUMPRODUCT(MAX(ROW(E$1:E383)*(E2=E$1:E383))))))</f>
        <v> </v>
      </c>
      <c r="K384" s="25" t="str">
        <f>IF(OR(E384="",E384="!!!",F384="NEW"),"",INDEX(J$1:J383,SUMPRODUCT(MAX(ROW(E$1:E383)*(E384=E$1:E383)))))</f>
        <v> </v>
      </c>
      <c r="L384" s="26"/>
    </row>
    <row r="385" spans="1:12">
      <c r="A385" s="20" t="s">
        <v>557</v>
      </c>
      <c r="E385" s="21">
        <f>IF(D385="?OLD","!!!","")</f>
        <v/>
      </c>
      <c r="F385" s="22" t="str">
        <f>IF(OR(E385="",E385="!!!"),"",IF(NOT(ISNA(VLOOKUP(E385,E$1:E384,1,FALSE()))),"OLD",IF(AND(E385&lt;&gt;"",E385&lt;&gt;"!!!"),"NEW","")))</f>
        <v> </v>
      </c>
      <c r="G385" s="23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4" t="str">
        <f>IF(J385&lt;&gt;1,"",IF(I385="SBJ","CB","?"))</f>
        <v> </v>
      </c>
      <c r="I385" s="25" t="str">
        <f>IF(OR(E385="",E385="!!!",F385="NEW"),"",INDEX(B384:B$2,-1+SUMPRODUCT(MAX(ROW(E384:E$2)*(E385=E384:E$2)))))</f>
        <v> </v>
      </c>
      <c r="J385" s="25" t="str">
        <f>IF(OR(E385="",E385="!!!",F385="NEW"),"",COUNTBLANK(OFFSET(A$1,,,SUMPRODUCT(MAX(ROW(E$2:E385)*(E385=E$2:E385)))))-COUNTBLANK(OFFSET(A$1,,,SUMPRODUCT(MAX(ROW(E$1:E384)*(E2=E$1:E384))))))</f>
        <v> </v>
      </c>
      <c r="K385" s="25" t="str">
        <f>IF(OR(E385="",E385="!!!",F385="NEW"),"",INDEX(J$1:J384,SUMPRODUCT(MAX(ROW(E$1:E384)*(E385=E$1:E384)))))</f>
        <v> </v>
      </c>
      <c r="L385" s="26"/>
    </row>
    <row r="386" spans="1:12">
      <c r="A386" s="20" t="s">
        <v>675</v>
      </c>
      <c r="E386" s="21">
        <f>IF(D386="?OLD","!!!","")</f>
        <v/>
      </c>
      <c r="F386" s="22" t="str">
        <f>IF(OR(E386="",E386="!!!"),"",IF(NOT(ISNA(VLOOKUP(E386,E$1:E385,1,FALSE()))),"OLD",IF(AND(E386&lt;&gt;"",E386&lt;&gt;"!!!"),"NEW","")))</f>
        <v> </v>
      </c>
      <c r="G386" s="23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4" t="str">
        <f>IF(J386&lt;&gt;1,"",IF(I386="SBJ","CB","?"))</f>
        <v> </v>
      </c>
      <c r="I386" s="25" t="str">
        <f>IF(OR(E386="",E386="!!!",F386="NEW"),"",INDEX(B385:B$2,-1+SUMPRODUCT(MAX(ROW(E385:E$2)*(E386=E385:E$2)))))</f>
        <v> </v>
      </c>
      <c r="J386" s="25" t="str">
        <f>IF(OR(E386="",E386="!!!",F386="NEW"),"",COUNTBLANK(OFFSET(A$1,,,SUMPRODUCT(MAX(ROW(E$2:E386)*(E386=E$2:E386)))))-COUNTBLANK(OFFSET(A$1,,,SUMPRODUCT(MAX(ROW(E$1:E385)*(E2=E$1:E385))))))</f>
        <v> </v>
      </c>
      <c r="K386" s="25" t="str">
        <f>IF(OR(E386="",E386="!!!",F386="NEW"),"",INDEX(J$1:J385,SUMPRODUCT(MAX(ROW(E$1:E385)*(E386=E$1:E385)))))</f>
        <v> </v>
      </c>
      <c r="L386" s="26"/>
    </row>
    <row r="387" spans="1:12">
      <c r="A387" s="20" t="s">
        <v>384</v>
      </c>
      <c r="E387" s="21">
        <f>IF(D387="?OLD","!!!","")</f>
        <v/>
      </c>
      <c r="F387" s="22" t="str">
        <f>IF(OR(E387="",E387="!!!"),"",IF(NOT(ISNA(VLOOKUP(E387,E$1:E386,1,FALSE()))),"OLD",IF(AND(E387&lt;&gt;"",E387&lt;&gt;"!!!"),"NEW","")))</f>
        <v> </v>
      </c>
      <c r="G387" s="23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4" t="str">
        <f>IF(J387&lt;&gt;1,"",IF(I387="SBJ","CB","?"))</f>
        <v> </v>
      </c>
      <c r="I387" s="25" t="str">
        <f>IF(OR(E387="",E387="!!!",F387="NEW"),"",INDEX(B386:B$2,-1+SUMPRODUCT(MAX(ROW(E386:E$2)*(E387=E386:E$2)))))</f>
        <v> </v>
      </c>
      <c r="J387" s="25" t="str">
        <f>IF(OR(E387="",E387="!!!",F387="NEW"),"",COUNTBLANK(OFFSET(A$1,,,SUMPRODUCT(MAX(ROW(E$2:E387)*(E387=E$2:E387)))))-COUNTBLANK(OFFSET(A$1,,,SUMPRODUCT(MAX(ROW(E$1:E386)*(E2=E$1:E386))))))</f>
        <v> </v>
      </c>
      <c r="K387" s="25" t="str">
        <f>IF(OR(E387="",E387="!!!",F387="NEW"),"",INDEX(J$1:J386,SUMPRODUCT(MAX(ROW(E$1:E386)*(E387=E$1:E386)))))</f>
        <v> </v>
      </c>
      <c r="L387" s="26"/>
    </row>
    <row r="388" spans="1:12">
      <c r="A388" s="20" t="s">
        <v>676</v>
      </c>
      <c r="E388" s="21">
        <f>IF(D388="?OLD","!!!","")</f>
        <v/>
      </c>
      <c r="F388" s="22" t="str">
        <f>IF(OR(E388="",E388="!!!"),"",IF(NOT(ISNA(VLOOKUP(E388,E$1:E387,1,FALSE()))),"OLD",IF(AND(E388&lt;&gt;"",E388&lt;&gt;"!!!"),"NEW","")))</f>
        <v> </v>
      </c>
      <c r="G388" s="23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4" t="str">
        <f>IF(J388&lt;&gt;1,"",IF(I388="SBJ","CB","?"))</f>
        <v> </v>
      </c>
      <c r="I388" s="25" t="str">
        <f>IF(OR(E388="",E388="!!!",F388="NEW"),"",INDEX(B387:B$2,-1+SUMPRODUCT(MAX(ROW(E387:E$2)*(E388=E387:E$2)))))</f>
        <v> </v>
      </c>
      <c r="J388" s="25" t="str">
        <f>IF(OR(E388="",E388="!!!",F388="NEW"),"",COUNTBLANK(OFFSET(A$1,,,SUMPRODUCT(MAX(ROW(E$2:E388)*(E388=E$2:E388)))))-COUNTBLANK(OFFSET(A$1,,,SUMPRODUCT(MAX(ROW(E$1:E387)*(E2=E$1:E387))))))</f>
        <v> </v>
      </c>
      <c r="K388" s="25" t="str">
        <f>IF(OR(E388="",E388="!!!",F388="NEW"),"",INDEX(J$1:J387,SUMPRODUCT(MAX(ROW(E$1:E387)*(E388=E$1:E387)))))</f>
        <v> </v>
      </c>
      <c r="L388" s="26"/>
    </row>
    <row r="389" spans="1:12">
      <c r="A389" s="20" t="s">
        <v>492</v>
      </c>
      <c r="E389" s="21">
        <f>IF(D389="?OLD","!!!","")</f>
        <v/>
      </c>
      <c r="F389" s="22" t="str">
        <f>IF(OR(E389="",E389="!!!"),"",IF(NOT(ISNA(VLOOKUP(E389,E$1:E388,1,FALSE()))),"OLD",IF(AND(E389&lt;&gt;"",E389&lt;&gt;"!!!"),"NEW","")))</f>
        <v> </v>
      </c>
      <c r="G389" s="23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4" t="str">
        <f>IF(J389&lt;&gt;1,"",IF(I389="SBJ","CB","?"))</f>
        <v> </v>
      </c>
      <c r="I389" s="25" t="str">
        <f>IF(OR(E389="",E389="!!!",F389="NEW"),"",INDEX(B388:B$2,-1+SUMPRODUCT(MAX(ROW(E388:E$2)*(E389=E388:E$2)))))</f>
        <v> </v>
      </c>
      <c r="J389" s="25" t="str">
        <f>IF(OR(E389="",E389="!!!",F389="NEW"),"",COUNTBLANK(OFFSET(A$1,,,SUMPRODUCT(MAX(ROW(E$2:E389)*(E389=E$2:E389)))))-COUNTBLANK(OFFSET(A$1,,,SUMPRODUCT(MAX(ROW(E$1:E388)*(E2=E$1:E388))))))</f>
        <v> </v>
      </c>
      <c r="K389" s="25" t="str">
        <f>IF(OR(E389="",E389="!!!",F389="NEW"),"",INDEX(J$1:J388,SUMPRODUCT(MAX(ROW(E$1:E388)*(E389=E$1:E388)))))</f>
        <v> </v>
      </c>
      <c r="L389" s="26"/>
    </row>
    <row r="390" spans="1:12">
      <c r="A390" s="20" t="s">
        <v>677</v>
      </c>
      <c r="E390" s="21">
        <f>IF(D390="?OLD","!!!","")</f>
        <v/>
      </c>
      <c r="F390" s="22" t="str">
        <f>IF(OR(E390="",E390="!!!"),"",IF(NOT(ISNA(VLOOKUP(E390,E$1:E389,1,FALSE()))),"OLD",IF(AND(E390&lt;&gt;"",E390&lt;&gt;"!!!"),"NEW","")))</f>
        <v> </v>
      </c>
      <c r="G390" s="23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4" t="str">
        <f>IF(J390&lt;&gt;1,"",IF(I390="SBJ","CB","?"))</f>
        <v> </v>
      </c>
      <c r="I390" s="25" t="str">
        <f>IF(OR(E390="",E390="!!!",F390="NEW"),"",INDEX(B389:B$2,-1+SUMPRODUCT(MAX(ROW(E389:E$2)*(E390=E389:E$2)))))</f>
        <v> </v>
      </c>
      <c r="J390" s="25" t="str">
        <f>IF(OR(E390="",E390="!!!",F390="NEW"),"",COUNTBLANK(OFFSET(A$1,,,SUMPRODUCT(MAX(ROW(E$2:E390)*(E390=E$2:E390)))))-COUNTBLANK(OFFSET(A$1,,,SUMPRODUCT(MAX(ROW(E$1:E389)*(E2=E$1:E389))))))</f>
        <v> </v>
      </c>
      <c r="K390" s="25" t="str">
        <f>IF(OR(E390="",E390="!!!",F390="NEW"),"",INDEX(J$1:J389,SUMPRODUCT(MAX(ROW(E$1:E389)*(E390=E$1:E389)))))</f>
        <v> </v>
      </c>
      <c r="L390" s="26"/>
    </row>
    <row r="391" spans="1:12">
      <c r="A391" s="20" t="s">
        <v>678</v>
      </c>
      <c r="E391" s="21">
        <f>IF(D391="?OLD","!!!","")</f>
        <v/>
      </c>
      <c r="F391" s="22" t="str">
        <f>IF(OR(E391="",E391="!!!"),"",IF(NOT(ISNA(VLOOKUP(E391,E$1:E390,1,FALSE()))),"OLD",IF(AND(E391&lt;&gt;"",E391&lt;&gt;"!!!"),"NEW","")))</f>
        <v> </v>
      </c>
      <c r="G391" s="23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4" t="str">
        <f>IF(J391&lt;&gt;1,"",IF(I391="SBJ","CB","?"))</f>
        <v> </v>
      </c>
      <c r="I391" s="25" t="str">
        <f>IF(OR(E391="",E391="!!!",F391="NEW"),"",INDEX(B390:B$2,-1+SUMPRODUCT(MAX(ROW(E390:E$2)*(E391=E390:E$2)))))</f>
        <v> </v>
      </c>
      <c r="J391" s="25" t="str">
        <f>IF(OR(E391="",E391="!!!",F391="NEW"),"",COUNTBLANK(OFFSET(A$1,,,SUMPRODUCT(MAX(ROW(E$2:E391)*(E391=E$2:E391)))))-COUNTBLANK(OFFSET(A$1,,,SUMPRODUCT(MAX(ROW(E$1:E390)*(E2=E$1:E390))))))</f>
        <v> </v>
      </c>
      <c r="K391" s="25" t="str">
        <f>IF(OR(E391="",E391="!!!",F391="NEW"),"",INDEX(J$1:J390,SUMPRODUCT(MAX(ROW(E$1:E390)*(E391=E$1:E390)))))</f>
        <v> </v>
      </c>
      <c r="L391" s="26"/>
    </row>
    <row r="392" spans="1:12">
      <c r="A392" s="20" t="s">
        <v>679</v>
      </c>
      <c r="B392" s="27" t="s">
        <v>578</v>
      </c>
      <c r="C392" s="27" t="s">
        <v>482</v>
      </c>
      <c r="D392" s="27" t="s">
        <v>483</v>
      </c>
      <c r="E392" s="21">
        <f>IF(D392="?OLD","!!!","")</f>
        <v/>
      </c>
      <c r="F392" s="22" t="str">
        <f>IF(OR(E392="",E392="!!!"),"",IF(NOT(ISNA(VLOOKUP(E392,E$1:E391,1,FALSE()))),"OLD",IF(AND(E392&lt;&gt;"",E392&lt;&gt;"!!!"),"NEW","")))</f>
        <v> </v>
      </c>
      <c r="G392" s="23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4" t="str">
        <f>IF(J392&lt;&gt;1,"",IF(I392="SBJ","CB","?"))</f>
        <v> </v>
      </c>
      <c r="I392" s="25" t="str">
        <f>IF(OR(E392="",E392="!!!",F392="NEW"),"",INDEX(B391:B$2,-1+SUMPRODUCT(MAX(ROW(E391:E$2)*(E392=E391:E$2)))))</f>
        <v> </v>
      </c>
      <c r="J392" s="25" t="str">
        <f>IF(OR(E392="",E392="!!!",F392="NEW"),"",COUNTBLANK(OFFSET(A$1,,,SUMPRODUCT(MAX(ROW(E$2:E392)*(E392=E$2:E392)))))-COUNTBLANK(OFFSET(A$1,,,SUMPRODUCT(MAX(ROW(E$1:E391)*(E2=E$1:E391))))))</f>
        <v> </v>
      </c>
      <c r="K392" s="25" t="str">
        <f>IF(OR(E392="",E392="!!!",F392="NEW"),"",INDEX(J$1:J391,SUMPRODUCT(MAX(ROW(E$1:E391)*(E392=E$1:E391)))))</f>
        <v> </v>
      </c>
      <c r="L392" s="26"/>
    </row>
    <row r="393" spans="1:12">
      <c r="A393" s="20" t="s">
        <v>489</v>
      </c>
      <c r="E393" s="21">
        <f>IF(D393="?OLD","!!!","")</f>
        <v/>
      </c>
      <c r="F393" s="22" t="str">
        <f>IF(OR(E393="",E393="!!!"),"",IF(NOT(ISNA(VLOOKUP(E393,E$1:E392,1,FALSE()))),"OLD",IF(AND(E393&lt;&gt;"",E393&lt;&gt;"!!!"),"NEW","")))</f>
        <v> </v>
      </c>
      <c r="G393" s="23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4" t="str">
        <f>IF(J393&lt;&gt;1,"",IF(I393="SBJ","CB","?"))</f>
        <v> </v>
      </c>
      <c r="I393" s="25" t="str">
        <f>IF(OR(E393="",E393="!!!",F393="NEW"),"",INDEX(B392:B$2,-1+SUMPRODUCT(MAX(ROW(E392:E$2)*(E393=E392:E$2)))))</f>
        <v> </v>
      </c>
      <c r="J393" s="25" t="str">
        <f>IF(OR(E393="",E393="!!!",F393="NEW"),"",COUNTBLANK(OFFSET(A$1,,,SUMPRODUCT(MAX(ROW(E$2:E393)*(E393=E$2:E393)))))-COUNTBLANK(OFFSET(A$1,,,SUMPRODUCT(MAX(ROW(E$1:E392)*(E2=E$1:E392))))))</f>
        <v> </v>
      </c>
      <c r="K393" s="25" t="str">
        <f>IF(OR(E393="",E393="!!!",F393="NEW"),"",INDEX(J$1:J392,SUMPRODUCT(MAX(ROW(E$1:E392)*(E393=E$1:E392)))))</f>
        <v> </v>
      </c>
      <c r="L393" s="26"/>
    </row>
    <row r="394" spans="1:12">
      <c r="A394" s="20" t="s">
        <v>592</v>
      </c>
      <c r="E394" s="21">
        <f>IF(D394="?OLD","!!!","")</f>
        <v/>
      </c>
      <c r="F394" s="22" t="str">
        <f>IF(OR(E394="",E394="!!!"),"",IF(NOT(ISNA(VLOOKUP(E394,E$1:E393,1,FALSE()))),"OLD",IF(AND(E394&lt;&gt;"",E394&lt;&gt;"!!!"),"NEW","")))</f>
        <v> </v>
      </c>
      <c r="G394" s="23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4" t="str">
        <f>IF(J394&lt;&gt;1,"",IF(I394="SBJ","CB","?"))</f>
        <v> </v>
      </c>
      <c r="I394" s="25" t="str">
        <f>IF(OR(E394="",E394="!!!",F394="NEW"),"",INDEX(B393:B$2,-1+SUMPRODUCT(MAX(ROW(E393:E$2)*(E394=E393:E$2)))))</f>
        <v> </v>
      </c>
      <c r="J394" s="25" t="str">
        <f>IF(OR(E394="",E394="!!!",F394="NEW"),"",COUNTBLANK(OFFSET(A$1,,,SUMPRODUCT(MAX(ROW(E$2:E394)*(E394=E$2:E394)))))-COUNTBLANK(OFFSET(A$1,,,SUMPRODUCT(MAX(ROW(E$1:E393)*(E2=E$1:E393))))))</f>
        <v> </v>
      </c>
      <c r="K394" s="25" t="str">
        <f>IF(OR(E394="",E394="!!!",F394="NEW"),"",INDEX(J$1:J393,SUMPRODUCT(MAX(ROW(E$1:E393)*(E394=E$1:E393)))))</f>
        <v> </v>
      </c>
      <c r="L394" s="26"/>
    </row>
    <row r="395" spans="1:12">
      <c r="A395" s="20" t="s">
        <v>503</v>
      </c>
      <c r="E395" s="21">
        <f>IF(D395="?OLD","!!!","")</f>
        <v/>
      </c>
      <c r="F395" s="22" t="str">
        <f>IF(OR(E395="",E395="!!!"),"",IF(NOT(ISNA(VLOOKUP(E395,E$1:E394,1,FALSE()))),"OLD",IF(AND(E395&lt;&gt;"",E395&lt;&gt;"!!!"),"NEW","")))</f>
        <v> </v>
      </c>
      <c r="G395" s="23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4" t="str">
        <f>IF(J395&lt;&gt;1,"",IF(I395="SBJ","CB","?"))</f>
        <v> </v>
      </c>
      <c r="I395" s="25" t="str">
        <f>IF(OR(E395="",E395="!!!",F395="NEW"),"",INDEX(B394:B$2,-1+SUMPRODUCT(MAX(ROW(E394:E$2)*(E395=E394:E$2)))))</f>
        <v> </v>
      </c>
      <c r="J395" s="25" t="str">
        <f>IF(OR(E395="",E395="!!!",F395="NEW"),"",COUNTBLANK(OFFSET(A$1,,,SUMPRODUCT(MAX(ROW(E$2:E395)*(E395=E$2:E395)))))-COUNTBLANK(OFFSET(A$1,,,SUMPRODUCT(MAX(ROW(E$1:E394)*(E2=E$1:E394))))))</f>
        <v> </v>
      </c>
      <c r="K395" s="25" t="str">
        <f>IF(OR(E395="",E395="!!!",F395="NEW"),"",INDEX(J$1:J394,SUMPRODUCT(MAX(ROW(E$1:E394)*(E395=E$1:E394)))))</f>
        <v> </v>
      </c>
      <c r="L395" s="26"/>
    </row>
    <row r="396" spans="1:12">
      <c r="A396" s="20" t="s">
        <v>61</v>
      </c>
      <c r="B396" s="27" t="s">
        <v>654</v>
      </c>
      <c r="C396" s="27" t="s">
        <v>487</v>
      </c>
      <c r="D396" s="27" t="s">
        <v>483</v>
      </c>
      <c r="E396" s="21">
        <f>IF(D396="?OLD","!!!","")</f>
        <v/>
      </c>
      <c r="F396" s="22" t="str">
        <f>IF(OR(E396="",E396="!!!"),"",IF(NOT(ISNA(VLOOKUP(E396,E$1:E395,1,FALSE()))),"OLD",IF(AND(E396&lt;&gt;"",E396&lt;&gt;"!!!"),"NEW","")))</f>
        <v> </v>
      </c>
      <c r="G396" s="23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4" t="str">
        <f>IF(J396&lt;&gt;1,"",IF(I396="SBJ","CB","?"))</f>
        <v> </v>
      </c>
      <c r="I396" s="25" t="str">
        <f>IF(OR(E396="",E396="!!!",F396="NEW"),"",INDEX(B395:B$2,-1+SUMPRODUCT(MAX(ROW(E395:E$2)*(E396=E395:E$2)))))</f>
        <v> </v>
      </c>
      <c r="J396" s="25" t="str">
        <f>IF(OR(E396="",E396="!!!",F396="NEW"),"",COUNTBLANK(OFFSET(A$1,,,SUMPRODUCT(MAX(ROW(E$2:E396)*(E396=E$2:E396)))))-COUNTBLANK(OFFSET(A$1,,,SUMPRODUCT(MAX(ROW(E$1:E395)*(E2=E$1:E395))))))</f>
        <v> </v>
      </c>
      <c r="K396" s="25" t="str">
        <f>IF(OR(E396="",E396="!!!",F396="NEW"),"",INDEX(J$1:J395,SUMPRODUCT(MAX(ROW(E$1:E395)*(E396=E$1:E395)))))</f>
        <v> </v>
      </c>
      <c r="L396" s="26"/>
    </row>
    <row r="397" spans="1:12">
      <c r="A397" s="20" t="s">
        <v>680</v>
      </c>
      <c r="E397" s="21">
        <f>IF(D397="?OLD","!!!","")</f>
        <v/>
      </c>
      <c r="F397" s="22" t="str">
        <f>IF(OR(E397="",E397="!!!"),"",IF(NOT(ISNA(VLOOKUP(E397,E$1:E396,1,FALSE()))),"OLD",IF(AND(E397&lt;&gt;"",E397&lt;&gt;"!!!"),"NEW","")))</f>
        <v> </v>
      </c>
      <c r="G397" s="23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4" t="str">
        <f>IF(J397&lt;&gt;1,"",IF(I397="SBJ","CB","?"))</f>
        <v> </v>
      </c>
      <c r="I397" s="25" t="str">
        <f>IF(OR(E397="",E397="!!!",F397="NEW"),"",INDEX(B396:B$2,-1+SUMPRODUCT(MAX(ROW(E396:E$2)*(E397=E396:E$2)))))</f>
        <v> </v>
      </c>
      <c r="J397" s="25" t="str">
        <f>IF(OR(E397="",E397="!!!",F397="NEW"),"",COUNTBLANK(OFFSET(A$1,,,SUMPRODUCT(MAX(ROW(E$2:E397)*(E397=E$2:E397)))))-COUNTBLANK(OFFSET(A$1,,,SUMPRODUCT(MAX(ROW(E$1:E396)*(E2=E$1:E396))))))</f>
        <v> </v>
      </c>
      <c r="K397" s="25" t="str">
        <f>IF(OR(E397="",E397="!!!",F397="NEW"),"",INDEX(J$1:J396,SUMPRODUCT(MAX(ROW(E$1:E396)*(E397=E$1:E396)))))</f>
        <v> </v>
      </c>
      <c r="L397" s="26"/>
    </row>
    <row r="398" spans="1:12">
      <c r="A398" s="20" t="s">
        <v>681</v>
      </c>
      <c r="E398" s="21">
        <f>IF(D398="?OLD","!!!","")</f>
        <v/>
      </c>
      <c r="F398" s="22" t="str">
        <f>IF(OR(E398="",E398="!!!"),"",IF(NOT(ISNA(VLOOKUP(E398,E$1:E397,1,FALSE()))),"OLD",IF(AND(E398&lt;&gt;"",E398&lt;&gt;"!!!"),"NEW","")))</f>
        <v> </v>
      </c>
      <c r="G398" s="23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4" t="str">
        <f>IF(J398&lt;&gt;1,"",IF(I398="SBJ","CB","?"))</f>
        <v> </v>
      </c>
      <c r="I398" s="25" t="str">
        <f>IF(OR(E398="",E398="!!!",F398="NEW"),"",INDEX(B397:B$2,-1+SUMPRODUCT(MAX(ROW(E397:E$2)*(E398=E397:E$2)))))</f>
        <v> </v>
      </c>
      <c r="J398" s="25" t="str">
        <f>IF(OR(E398="",E398="!!!",F398="NEW"),"",COUNTBLANK(OFFSET(A$1,,,SUMPRODUCT(MAX(ROW(E$2:E398)*(E398=E$2:E398)))))-COUNTBLANK(OFFSET(A$1,,,SUMPRODUCT(MAX(ROW(E$1:E397)*(E2=E$1:E397))))))</f>
        <v> </v>
      </c>
      <c r="K398" s="25" t="str">
        <f>IF(OR(E398="",E398="!!!",F398="NEW"),"",INDEX(J$1:J397,SUMPRODUCT(MAX(ROW(E$1:E397)*(E398=E$1:E397)))))</f>
        <v> </v>
      </c>
      <c r="L398" s="26"/>
    </row>
    <row r="399" spans="1:12">
      <c r="A399" s="20" t="s">
        <v>531</v>
      </c>
      <c r="E399" s="21">
        <f>IF(D399="?OLD","!!!","")</f>
        <v/>
      </c>
      <c r="F399" s="22" t="str">
        <f>IF(OR(E399="",E399="!!!"),"",IF(NOT(ISNA(VLOOKUP(E399,E$1:E398,1,FALSE()))),"OLD",IF(AND(E399&lt;&gt;"",E399&lt;&gt;"!!!"),"NEW","")))</f>
        <v> </v>
      </c>
      <c r="G399" s="23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4" t="str">
        <f>IF(J399&lt;&gt;1,"",IF(I399="SBJ","CB","?"))</f>
        <v> </v>
      </c>
      <c r="I399" s="25" t="str">
        <f>IF(OR(E399="",E399="!!!",F399="NEW"),"",INDEX(B398:B$2,-1+SUMPRODUCT(MAX(ROW(E398:E$2)*(E399=E398:E$2)))))</f>
        <v> </v>
      </c>
      <c r="J399" s="25" t="str">
        <f>IF(OR(E399="",E399="!!!",F399="NEW"),"",COUNTBLANK(OFFSET(A$1,,,SUMPRODUCT(MAX(ROW(E$2:E399)*(E399=E$2:E399)))))-COUNTBLANK(OFFSET(A$1,,,SUMPRODUCT(MAX(ROW(E$1:E398)*(E2=E$1:E398))))))</f>
        <v> </v>
      </c>
      <c r="K399" s="25" t="str">
        <f>IF(OR(E399="",E399="!!!",F399="NEW"),"",INDEX(J$1:J398,SUMPRODUCT(MAX(ROW(E$1:E398)*(E399=E$1:E398)))))</f>
        <v> </v>
      </c>
      <c r="L399" s="26"/>
    </row>
    <row r="400" spans="1:12">
      <c r="A400" s="20"/>
    </row>
    <row r="401" spans="1:12">
      <c r="A401" s="20" t="s">
        <v>682</v>
      </c>
    </row>
    <row r="402" spans="1:12">
      <c r="A402" s="20" t="s">
        <v>683</v>
      </c>
      <c r="B402" s="27" t="s">
        <v>549</v>
      </c>
      <c r="C402" s="27" t="s">
        <v>523</v>
      </c>
      <c r="E402" s="21">
        <f>IF(D402="?OLD","!!!","")</f>
        <v/>
      </c>
      <c r="F402" s="22" t="str">
        <f>IF(OR(E402="",E402="!!!"),"",IF(NOT(ISNA(VLOOKUP(E402,E$1:E401,1,FALSE()))),"OLD",IF(AND(E402&lt;&gt;"",E402&lt;&gt;"!!!"),"NEW","")))</f>
        <v> </v>
      </c>
      <c r="G402" s="23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4" t="str">
        <f>IF(J402&lt;&gt;1,"",IF(I402="SBJ","CB","?"))</f>
        <v> </v>
      </c>
      <c r="I402" s="25" t="str">
        <f>IF(OR(E402="",E402="!!!",F402="NEW"),"",INDEX(B401:B$2,-1+SUMPRODUCT(MAX(ROW(E401:E$2)*(E402=E401:E$2)))))</f>
        <v> </v>
      </c>
      <c r="J402" s="25" t="str">
        <f>IF(OR(E402="",E402="!!!",F402="NEW"),"",COUNTBLANK(OFFSET(A$1,,,SUMPRODUCT(MAX(ROW(E$2:E402)*(E402=E$2:E402)))))-COUNTBLANK(OFFSET(A$1,,,SUMPRODUCT(MAX(ROW(E$1:E401)*(E2=E$1:E401))))))</f>
        <v> </v>
      </c>
      <c r="K402" s="25" t="str">
        <f>IF(OR(E402="",E402="!!!",F402="NEW"),"",INDEX(J$1:J401,SUMPRODUCT(MAX(ROW(E$1:E401)*(E402=E$1:E401)))))</f>
        <v> </v>
      </c>
      <c r="L402" s="26"/>
    </row>
    <row r="403" spans="1:12">
      <c r="A403" s="20" t="s">
        <v>645</v>
      </c>
      <c r="E403" s="21">
        <f>IF(D403="?OLD","!!!","")</f>
        <v/>
      </c>
      <c r="F403" s="22" t="str">
        <f>IF(OR(E403="",E403="!!!"),"",IF(NOT(ISNA(VLOOKUP(E403,E$1:E402,1,FALSE()))),"OLD",IF(AND(E403&lt;&gt;"",E403&lt;&gt;"!!!"),"NEW","")))</f>
        <v> </v>
      </c>
      <c r="G403" s="23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4" t="str">
        <f>IF(J403&lt;&gt;1,"",IF(I403="SBJ","CB","?"))</f>
        <v> </v>
      </c>
      <c r="I403" s="25" t="str">
        <f>IF(OR(E403="",E403="!!!",F403="NEW"),"",INDEX(B402:B$2,-1+SUMPRODUCT(MAX(ROW(E402:E$2)*(E403=E402:E$2)))))</f>
        <v> </v>
      </c>
      <c r="J403" s="25" t="str">
        <f>IF(OR(E403="",E403="!!!",F403="NEW"),"",COUNTBLANK(OFFSET(A$1,,,SUMPRODUCT(MAX(ROW(E$2:E403)*(E403=E$2:E403)))))-COUNTBLANK(OFFSET(A$1,,,SUMPRODUCT(MAX(ROW(E$1:E402)*(E2=E$1:E402))))))</f>
        <v> </v>
      </c>
      <c r="K403" s="25" t="str">
        <f>IF(OR(E403="",E403="!!!",F403="NEW"),"",INDEX(J$1:J402,SUMPRODUCT(MAX(ROW(E$1:E402)*(E403=E$1:E402)))))</f>
        <v> </v>
      </c>
      <c r="L403" s="26"/>
    </row>
    <row r="404" spans="1:12">
      <c r="A404" s="20" t="s">
        <v>517</v>
      </c>
      <c r="E404" s="21">
        <f>IF(D404="?OLD","!!!","")</f>
        <v/>
      </c>
      <c r="F404" s="22" t="str">
        <f>IF(OR(E404="",E404="!!!"),"",IF(NOT(ISNA(VLOOKUP(E404,E$1:E403,1,FALSE()))),"OLD",IF(AND(E404&lt;&gt;"",E404&lt;&gt;"!!!"),"NEW","")))</f>
        <v> </v>
      </c>
      <c r="G404" s="23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4" t="str">
        <f>IF(J404&lt;&gt;1,"",IF(I404="SBJ","CB","?"))</f>
        <v> </v>
      </c>
      <c r="I404" s="25" t="str">
        <f>IF(OR(E404="",E404="!!!",F404="NEW"),"",INDEX(B403:B$2,-1+SUMPRODUCT(MAX(ROW(E403:E$2)*(E404=E403:E$2)))))</f>
        <v> </v>
      </c>
      <c r="J404" s="25" t="str">
        <f>IF(OR(E404="",E404="!!!",F404="NEW"),"",COUNTBLANK(OFFSET(A$1,,,SUMPRODUCT(MAX(ROW(E$2:E404)*(E404=E$2:E404)))))-COUNTBLANK(OFFSET(A$1,,,SUMPRODUCT(MAX(ROW(E$1:E403)*(E2=E$1:E403))))))</f>
        <v> </v>
      </c>
      <c r="K404" s="25" t="str">
        <f>IF(OR(E404="",E404="!!!",F404="NEW"),"",INDEX(J$1:J403,SUMPRODUCT(MAX(ROW(E$1:E403)*(E404=E$1:E403)))))</f>
        <v> </v>
      </c>
      <c r="L404" s="26"/>
    </row>
    <row r="405" spans="1:12">
      <c r="A405" s="20" t="s">
        <v>647</v>
      </c>
      <c r="E405" s="21">
        <f>IF(D405="?OLD","!!!","")</f>
        <v/>
      </c>
      <c r="F405" s="22" t="str">
        <f>IF(OR(E405="",E405="!!!"),"",IF(NOT(ISNA(VLOOKUP(E405,E$1:E404,1,FALSE()))),"OLD",IF(AND(E405&lt;&gt;"",E405&lt;&gt;"!!!"),"NEW","")))</f>
        <v> </v>
      </c>
      <c r="G405" s="23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4" t="str">
        <f>IF(J405&lt;&gt;1,"",IF(I405="SBJ","CB","?"))</f>
        <v> </v>
      </c>
      <c r="I405" s="25" t="str">
        <f>IF(OR(E405="",E405="!!!",F405="NEW"),"",INDEX(B404:B$2,-1+SUMPRODUCT(MAX(ROW(E404:E$2)*(E405=E404:E$2)))))</f>
        <v> </v>
      </c>
      <c r="J405" s="25" t="str">
        <f>IF(OR(E405="",E405="!!!",F405="NEW"),"",COUNTBLANK(OFFSET(A$1,,,SUMPRODUCT(MAX(ROW(E$2:E405)*(E405=E$2:E405)))))-COUNTBLANK(OFFSET(A$1,,,SUMPRODUCT(MAX(ROW(E$1:E404)*(E2=E$1:E404))))))</f>
        <v> </v>
      </c>
      <c r="K405" s="25" t="str">
        <f>IF(OR(E405="",E405="!!!",F405="NEW"),"",INDEX(J$1:J404,SUMPRODUCT(MAX(ROW(E$1:E404)*(E405=E$1:E404)))))</f>
        <v> </v>
      </c>
      <c r="L405" s="26"/>
    </row>
    <row r="406" spans="1:12">
      <c r="A406" s="20" t="s">
        <v>484</v>
      </c>
      <c r="E406" s="21">
        <f>IF(D406="?OLD","!!!","")</f>
        <v/>
      </c>
      <c r="F406" s="22" t="str">
        <f>IF(OR(E406="",E406="!!!"),"",IF(NOT(ISNA(VLOOKUP(E406,E$1:E405,1,FALSE()))),"OLD",IF(AND(E406&lt;&gt;"",E406&lt;&gt;"!!!"),"NEW","")))</f>
        <v> </v>
      </c>
      <c r="G406" s="23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4" t="str">
        <f>IF(J406&lt;&gt;1,"",IF(I406="SBJ","CB","?"))</f>
        <v> </v>
      </c>
      <c r="I406" s="25" t="str">
        <f>IF(OR(E406="",E406="!!!",F406="NEW"),"",INDEX(B405:B$2,-1+SUMPRODUCT(MAX(ROW(E405:E$2)*(E406=E405:E$2)))))</f>
        <v> </v>
      </c>
      <c r="J406" s="25" t="str">
        <f>IF(OR(E406="",E406="!!!",F406="NEW"),"",COUNTBLANK(OFFSET(A$1,,,SUMPRODUCT(MAX(ROW(E$2:E406)*(E406=E$2:E406)))))-COUNTBLANK(OFFSET(A$1,,,SUMPRODUCT(MAX(ROW(E$1:E405)*(E2=E$1:E405))))))</f>
        <v> </v>
      </c>
      <c r="K406" s="25" t="str">
        <f>IF(OR(E406="",E406="!!!",F406="NEW"),"",INDEX(J$1:J405,SUMPRODUCT(MAX(ROW(E$1:E405)*(E406=E$1:E405)))))</f>
        <v> </v>
      </c>
      <c r="L406" s="26"/>
    </row>
    <row r="407" spans="1:12">
      <c r="A407" s="20" t="s">
        <v>503</v>
      </c>
      <c r="E407" s="21">
        <f>IF(D407="?OLD","!!!","")</f>
        <v/>
      </c>
      <c r="F407" s="22" t="str">
        <f>IF(OR(E407="",E407="!!!"),"",IF(NOT(ISNA(VLOOKUP(E407,E$1:E406,1,FALSE()))),"OLD",IF(AND(E407&lt;&gt;"",E407&lt;&gt;"!!!"),"NEW","")))</f>
        <v> </v>
      </c>
      <c r="G407" s="23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4" t="str">
        <f>IF(J407&lt;&gt;1,"",IF(I407="SBJ","CB","?"))</f>
        <v> </v>
      </c>
      <c r="I407" s="25" t="str">
        <f>IF(OR(E407="",E407="!!!",F407="NEW"),"",INDEX(B406:B$2,-1+SUMPRODUCT(MAX(ROW(E406:E$2)*(E407=E406:E$2)))))</f>
        <v> </v>
      </c>
      <c r="J407" s="25" t="str">
        <f>IF(OR(E407="",E407="!!!",F407="NEW"),"",COUNTBLANK(OFFSET(A$1,,,SUMPRODUCT(MAX(ROW(E$2:E407)*(E407=E$2:E407)))))-COUNTBLANK(OFFSET(A$1,,,SUMPRODUCT(MAX(ROW(E$1:E406)*(E2=E$1:E406))))))</f>
        <v> </v>
      </c>
      <c r="K407" s="25" t="str">
        <f>IF(OR(E407="",E407="!!!",F407="NEW"),"",INDEX(J$1:J406,SUMPRODUCT(MAX(ROW(E$1:E406)*(E407=E$1:E406)))))</f>
        <v> </v>
      </c>
      <c r="L407" s="26"/>
    </row>
    <row r="408" spans="1:12">
      <c r="A408" s="20" t="s">
        <v>634</v>
      </c>
      <c r="B408" s="27" t="s">
        <v>490</v>
      </c>
      <c r="C408" s="27" t="s">
        <v>635</v>
      </c>
      <c r="D408" s="27" t="s">
        <v>483</v>
      </c>
      <c r="E408" s="21">
        <f>IF(D408="?OLD","!!!","")</f>
        <v/>
      </c>
      <c r="F408" s="22" t="str">
        <f>IF(OR(E408="",E408="!!!"),"",IF(NOT(ISNA(VLOOKUP(E408,E$1:E407,1,FALSE()))),"OLD",IF(AND(E408&lt;&gt;"",E408&lt;&gt;"!!!"),"NEW","")))</f>
        <v> </v>
      </c>
      <c r="G408" s="23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4" t="str">
        <f>IF(J408&lt;&gt;1,"",IF(I408="SBJ","CB","?"))</f>
        <v> </v>
      </c>
      <c r="I408" s="25" t="str">
        <f>IF(OR(E408="",E408="!!!",F408="NEW"),"",INDEX(B407:B$2,-1+SUMPRODUCT(MAX(ROW(E407:E$2)*(E408=E407:E$2)))))</f>
        <v> </v>
      </c>
      <c r="J408" s="25" t="str">
        <f>IF(OR(E408="",E408="!!!",F408="NEW"),"",COUNTBLANK(OFFSET(A$1,,,SUMPRODUCT(MAX(ROW(E$2:E408)*(E408=E$2:E408)))))-COUNTBLANK(OFFSET(A$1,,,SUMPRODUCT(MAX(ROW(E$1:E407)*(E2=E$1:E407))))))</f>
        <v> </v>
      </c>
      <c r="K408" s="25" t="str">
        <f>IF(OR(E408="",E408="!!!",F408="NEW"),"",INDEX(J$1:J407,SUMPRODUCT(MAX(ROW(E$1:E407)*(E408=E$1:E407)))))</f>
        <v> </v>
      </c>
      <c r="L408" s="26"/>
    </row>
    <row r="409" spans="1:12">
      <c r="A409" s="20" t="s">
        <v>640</v>
      </c>
      <c r="B409" s="27" t="s">
        <v>477</v>
      </c>
      <c r="C409" s="27" t="s">
        <v>487</v>
      </c>
      <c r="D409" s="27" t="s">
        <v>483</v>
      </c>
      <c r="E409" s="21">
        <f>IF(D409="?OLD","!!!","")</f>
        <v/>
      </c>
      <c r="F409" s="22" t="str">
        <f>IF(OR(E409="",E409="!!!"),"",IF(NOT(ISNA(VLOOKUP(E409,E$1:E408,1,FALSE()))),"OLD",IF(AND(E409&lt;&gt;"",E409&lt;&gt;"!!!"),"NEW","")))</f>
        <v> </v>
      </c>
      <c r="G409" s="23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4" t="str">
        <f>IF(J409&lt;&gt;1,"",IF(I409="SBJ","CB","?"))</f>
        <v> </v>
      </c>
      <c r="I409" s="25" t="str">
        <f>IF(OR(E409="",E409="!!!",F409="NEW"),"",INDEX(B408:B$2,-1+SUMPRODUCT(MAX(ROW(E408:E$2)*(E409=E408:E$2)))))</f>
        <v> </v>
      </c>
      <c r="J409" s="25" t="str">
        <f>IF(OR(E409="",E409="!!!",F409="NEW"),"",COUNTBLANK(OFFSET(A$1,,,SUMPRODUCT(MAX(ROW(E$2:E409)*(E409=E$2:E409)))))-COUNTBLANK(OFFSET(A$1,,,SUMPRODUCT(MAX(ROW(E$1:E408)*(E2=E$1:E408))))))</f>
        <v> </v>
      </c>
      <c r="K409" s="25" t="str">
        <f>IF(OR(E409="",E409="!!!",F409="NEW"),"",INDEX(J$1:J408,SUMPRODUCT(MAX(ROW(E$1:E408)*(E409=E$1:E408)))))</f>
        <v> </v>
      </c>
      <c r="L409" s="26"/>
    </row>
    <row r="410" spans="1:12">
      <c r="A410" s="20" t="s">
        <v>489</v>
      </c>
      <c r="E410" s="21">
        <f>IF(D410="?OLD","!!!","")</f>
        <v/>
      </c>
      <c r="F410" s="22" t="str">
        <f>IF(OR(E410="",E410="!!!"),"",IF(NOT(ISNA(VLOOKUP(E410,E$1:E409,1,FALSE()))),"OLD",IF(AND(E410&lt;&gt;"",E410&lt;&gt;"!!!"),"NEW","")))</f>
        <v> </v>
      </c>
      <c r="G410" s="23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4" t="str">
        <f>IF(J410&lt;&gt;1,"",IF(I410="SBJ","CB","?"))</f>
        <v> </v>
      </c>
      <c r="I410" s="25" t="str">
        <f>IF(OR(E410="",E410="!!!",F410="NEW"),"",INDEX(B409:B$2,-1+SUMPRODUCT(MAX(ROW(E409:E$2)*(E410=E409:E$2)))))</f>
        <v> </v>
      </c>
      <c r="J410" s="25" t="str">
        <f>IF(OR(E410="",E410="!!!",F410="NEW"),"",COUNTBLANK(OFFSET(A$1,,,SUMPRODUCT(MAX(ROW(E$2:E410)*(E410=E$2:E410)))))-COUNTBLANK(OFFSET(A$1,,,SUMPRODUCT(MAX(ROW(E$1:E409)*(E2=E$1:E409))))))</f>
        <v> </v>
      </c>
      <c r="K410" s="25" t="str">
        <f>IF(OR(E410="",E410="!!!",F410="NEW"),"",INDEX(J$1:J409,SUMPRODUCT(MAX(ROW(E$1:E409)*(E410=E$1:E409)))))</f>
        <v> </v>
      </c>
      <c r="L410" s="26"/>
    </row>
    <row r="411" spans="1:12">
      <c r="A411" s="20" t="s">
        <v>644</v>
      </c>
      <c r="B411" s="27" t="s">
        <v>490</v>
      </c>
      <c r="C411" s="27" t="s">
        <v>523</v>
      </c>
      <c r="E411" s="21">
        <f>IF(D411="?OLD","!!!","")</f>
        <v/>
      </c>
      <c r="F411" s="22" t="str">
        <f>IF(OR(E411="",E411="!!!"),"",IF(NOT(ISNA(VLOOKUP(E411,E$1:E410,1,FALSE()))),"OLD",IF(AND(E411&lt;&gt;"",E411&lt;&gt;"!!!"),"NEW","")))</f>
        <v> </v>
      </c>
      <c r="G411" s="23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4" t="str">
        <f>IF(J411&lt;&gt;1,"",IF(I411="SBJ","CB","?"))</f>
        <v> </v>
      </c>
      <c r="I411" s="25" t="str">
        <f>IF(OR(E411="",E411="!!!",F411="NEW"),"",INDEX(B410:B$2,-1+SUMPRODUCT(MAX(ROW(E410:E$2)*(E411=E410:E$2)))))</f>
        <v> </v>
      </c>
      <c r="J411" s="25" t="str">
        <f>IF(OR(E411="",E411="!!!",F411="NEW"),"",COUNTBLANK(OFFSET(A$1,,,SUMPRODUCT(MAX(ROW(E$2:E411)*(E411=E$2:E411)))))-COUNTBLANK(OFFSET(A$1,,,SUMPRODUCT(MAX(ROW(E$1:E410)*(E2=E$1:E410))))))</f>
        <v> </v>
      </c>
      <c r="K411" s="25" t="str">
        <f>IF(OR(E411="",E411="!!!",F411="NEW"),"",INDEX(J$1:J410,SUMPRODUCT(MAX(ROW(E$1:E410)*(E411=E$1:E410)))))</f>
        <v> </v>
      </c>
      <c r="L411" s="26"/>
    </row>
    <row r="412" spans="1:12">
      <c r="A412" s="20" t="s">
        <v>528</v>
      </c>
      <c r="E412" s="21">
        <f>IF(D412="?OLD","!!!","")</f>
        <v/>
      </c>
      <c r="F412" s="22" t="str">
        <f>IF(OR(E412="",E412="!!!"),"",IF(NOT(ISNA(VLOOKUP(E412,E$1:E411,1,FALSE()))),"OLD",IF(AND(E412&lt;&gt;"",E412&lt;&gt;"!!!"),"NEW","")))</f>
        <v> </v>
      </c>
      <c r="G412" s="23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4" t="str">
        <f>IF(J412&lt;&gt;1,"",IF(I412="SBJ","CB","?"))</f>
        <v> </v>
      </c>
      <c r="I412" s="25" t="str">
        <f>IF(OR(E412="",E412="!!!",F412="NEW"),"",INDEX(B411:B$2,-1+SUMPRODUCT(MAX(ROW(E411:E$2)*(E412=E411:E$2)))))</f>
        <v> </v>
      </c>
      <c r="J412" s="25" t="str">
        <f>IF(OR(E412="",E412="!!!",F412="NEW"),"",COUNTBLANK(OFFSET(A$1,,,SUMPRODUCT(MAX(ROW(E$2:E412)*(E412=E$2:E412)))))-COUNTBLANK(OFFSET(A$1,,,SUMPRODUCT(MAX(ROW(E$1:E411)*(E2=E$1:E411))))))</f>
        <v> </v>
      </c>
      <c r="K412" s="25" t="str">
        <f>IF(OR(E412="",E412="!!!",F412="NEW"),"",INDEX(J$1:J411,SUMPRODUCT(MAX(ROW(E$1:E411)*(E412=E$1:E411)))))</f>
        <v> </v>
      </c>
      <c r="L412" s="26"/>
    </row>
    <row r="413" spans="1:12">
      <c r="A413" s="20" t="s">
        <v>684</v>
      </c>
      <c r="B413" s="27" t="s">
        <v>540</v>
      </c>
      <c r="C413" s="27" t="s">
        <v>516</v>
      </c>
      <c r="E413" s="21">
        <f>IF(D413="?OLD","!!!","")</f>
        <v/>
      </c>
      <c r="F413" s="22" t="str">
        <f>IF(OR(E413="",E413="!!!"),"",IF(NOT(ISNA(VLOOKUP(E413,E$1:E412,1,FALSE()))),"OLD",IF(AND(E413&lt;&gt;"",E413&lt;&gt;"!!!"),"NEW","")))</f>
        <v> </v>
      </c>
      <c r="G413" s="23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4" t="str">
        <f>IF(J413&lt;&gt;1,"",IF(I413="SBJ","CB","?"))</f>
        <v> </v>
      </c>
      <c r="I413" s="25" t="str">
        <f>IF(OR(E413="",E413="!!!",F413="NEW"),"",INDEX(B412:B$2,-1+SUMPRODUCT(MAX(ROW(E412:E$2)*(E413=E412:E$2)))))</f>
        <v> </v>
      </c>
      <c r="J413" s="25" t="str">
        <f>IF(OR(E413="",E413="!!!",F413="NEW"),"",COUNTBLANK(OFFSET(A$1,,,SUMPRODUCT(MAX(ROW(E$2:E413)*(E413=E$2:E413)))))-COUNTBLANK(OFFSET(A$1,,,SUMPRODUCT(MAX(ROW(E$1:E412)*(E2=E$1:E412))))))</f>
        <v> </v>
      </c>
      <c r="K413" s="25" t="str">
        <f>IF(OR(E413="",E413="!!!",F413="NEW"),"",INDEX(J$1:J412,SUMPRODUCT(MAX(ROW(E$1:E412)*(E413=E$1:E412)))))</f>
        <v> </v>
      </c>
      <c r="L413" s="26"/>
    </row>
    <row r="414" spans="1:12">
      <c r="A414" s="20" t="s">
        <v>531</v>
      </c>
      <c r="E414" s="21">
        <f>IF(D414="?OLD","!!!","")</f>
        <v/>
      </c>
      <c r="F414" s="22" t="str">
        <f>IF(OR(E414="",E414="!!!"),"",IF(NOT(ISNA(VLOOKUP(E414,E$1:E413,1,FALSE()))),"OLD",IF(AND(E414&lt;&gt;"",E414&lt;&gt;"!!!"),"NEW","")))</f>
        <v> </v>
      </c>
      <c r="G414" s="23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4" t="str">
        <f>IF(J414&lt;&gt;1,"",IF(I414="SBJ","CB","?"))</f>
        <v> </v>
      </c>
      <c r="I414" s="25" t="str">
        <f>IF(OR(E414="",E414="!!!",F414="NEW"),"",INDEX(B413:B$2,-1+SUMPRODUCT(MAX(ROW(E413:E$2)*(E414=E413:E$2)))))</f>
        <v> </v>
      </c>
      <c r="J414" s="25" t="str">
        <f>IF(OR(E414="",E414="!!!",F414="NEW"),"",COUNTBLANK(OFFSET(A$1,,,SUMPRODUCT(MAX(ROW(E$2:E414)*(E414=E$2:E414)))))-COUNTBLANK(OFFSET(A$1,,,SUMPRODUCT(MAX(ROW(E$1:E413)*(E2=E$1:E413))))))</f>
        <v> </v>
      </c>
      <c r="K414" s="25" t="str">
        <f>IF(OR(E414="",E414="!!!",F414="NEW"),"",INDEX(J$1:J413,SUMPRODUCT(MAX(ROW(E$1:E413)*(E414=E$1:E413)))))</f>
        <v> </v>
      </c>
      <c r="L414" s="26"/>
    </row>
    <row r="415" spans="1:12">
      <c r="A415" s="20"/>
    </row>
    <row r="416" spans="1:12">
      <c r="A416" s="20" t="s">
        <v>685</v>
      </c>
    </row>
    <row r="417" spans="1:12">
      <c r="A417" s="20" t="s">
        <v>686</v>
      </c>
      <c r="E417" s="21">
        <f>IF(D417="?OLD","!!!","")</f>
        <v/>
      </c>
      <c r="F417" s="22" t="str">
        <f>IF(OR(E417="",E417="!!!"),"",IF(NOT(ISNA(VLOOKUP(E417,E$1:E416,1,FALSE()))),"OLD",IF(AND(E417&lt;&gt;"",E417&lt;&gt;"!!!"),"NEW","")))</f>
        <v> </v>
      </c>
      <c r="G417" s="23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4" t="str">
        <f>IF(J417&lt;&gt;1,"",IF(I417="SBJ","CB","?"))</f>
        <v> </v>
      </c>
      <c r="I417" s="25" t="str">
        <f>IF(OR(E417="",E417="!!!",F417="NEW"),"",INDEX(B416:B$2,-1+SUMPRODUCT(MAX(ROW(E416:E$2)*(E417=E416:E$2)))))</f>
        <v> </v>
      </c>
      <c r="J417" s="25" t="str">
        <f>IF(OR(E417="",E417="!!!",F417="NEW"),"",COUNTBLANK(OFFSET(A$1,,,SUMPRODUCT(MAX(ROW(E$2:E417)*(E417=E$2:E417)))))-COUNTBLANK(OFFSET(A$1,,,SUMPRODUCT(MAX(ROW(E$1:E416)*(E2=E$1:E416))))))</f>
        <v> </v>
      </c>
      <c r="K417" s="25" t="str">
        <f>IF(OR(E417="",E417="!!!",F417="NEW"),"",INDEX(J$1:J416,SUMPRODUCT(MAX(ROW(E$1:E416)*(E417=E$1:E416)))))</f>
        <v> </v>
      </c>
      <c r="L417" s="26"/>
    </row>
    <row r="418" spans="1:12">
      <c r="A418" s="20" t="s">
        <v>630</v>
      </c>
      <c r="E418" s="21">
        <f>IF(D418="?OLD","!!!","")</f>
        <v/>
      </c>
      <c r="F418" s="22" t="str">
        <f>IF(OR(E418="",E418="!!!"),"",IF(NOT(ISNA(VLOOKUP(E418,E$1:E417,1,FALSE()))),"OLD",IF(AND(E418&lt;&gt;"",E418&lt;&gt;"!!!"),"NEW","")))</f>
        <v> </v>
      </c>
      <c r="G418" s="23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4" t="str">
        <f>IF(J418&lt;&gt;1,"",IF(I418="SBJ","CB","?"))</f>
        <v> </v>
      </c>
      <c r="I418" s="25" t="str">
        <f>IF(OR(E418="",E418="!!!",F418="NEW"),"",INDEX(B417:B$2,-1+SUMPRODUCT(MAX(ROW(E417:E$2)*(E418=E417:E$2)))))</f>
        <v> </v>
      </c>
      <c r="J418" s="25" t="str">
        <f>IF(OR(E418="",E418="!!!",F418="NEW"),"",COUNTBLANK(OFFSET(A$1,,,SUMPRODUCT(MAX(ROW(E$2:E418)*(E418=E$2:E418)))))-COUNTBLANK(OFFSET(A$1,,,SUMPRODUCT(MAX(ROW(E$1:E417)*(E2=E$1:E417))))))</f>
        <v> </v>
      </c>
      <c r="K418" s="25" t="str">
        <f>IF(OR(E418="",E418="!!!",F418="NEW"),"",INDEX(J$1:J417,SUMPRODUCT(MAX(ROW(E$1:E417)*(E418=E$1:E417)))))</f>
        <v> </v>
      </c>
      <c r="L418" s="26"/>
    </row>
    <row r="419" spans="1:12">
      <c r="A419" s="20" t="s">
        <v>631</v>
      </c>
      <c r="E419" s="21">
        <f>IF(D419="?OLD","!!!","")</f>
        <v/>
      </c>
      <c r="F419" s="22" t="str">
        <f>IF(OR(E419="",E419="!!!"),"",IF(NOT(ISNA(VLOOKUP(E419,E$1:E418,1,FALSE()))),"OLD",IF(AND(E419&lt;&gt;"",E419&lt;&gt;"!!!"),"NEW","")))</f>
        <v> </v>
      </c>
      <c r="G419" s="23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4" t="str">
        <f>IF(J419&lt;&gt;1,"",IF(I419="SBJ","CB","?"))</f>
        <v> </v>
      </c>
      <c r="I419" s="25" t="str">
        <f>IF(OR(E419="",E419="!!!",F419="NEW"),"",INDEX(B418:B$2,-1+SUMPRODUCT(MAX(ROW(E418:E$2)*(E419=E418:E$2)))))</f>
        <v> </v>
      </c>
      <c r="J419" s="25" t="str">
        <f>IF(OR(E419="",E419="!!!",F419="NEW"),"",COUNTBLANK(OFFSET(A$1,,,SUMPRODUCT(MAX(ROW(E$2:E419)*(E419=E$2:E419)))))-COUNTBLANK(OFFSET(A$1,,,SUMPRODUCT(MAX(ROW(E$1:E418)*(E2=E$1:E418))))))</f>
        <v> </v>
      </c>
      <c r="K419" s="25" t="str">
        <f>IF(OR(E419="",E419="!!!",F419="NEW"),"",INDEX(J$1:J418,SUMPRODUCT(MAX(ROW(E$1:E418)*(E419=E$1:E418)))))</f>
        <v> </v>
      </c>
      <c r="L419" s="26"/>
    </row>
    <row r="420" spans="1:12">
      <c r="A420" s="20" t="s">
        <v>666</v>
      </c>
      <c r="B420" s="27" t="s">
        <v>542</v>
      </c>
      <c r="C420" s="27" t="s">
        <v>523</v>
      </c>
      <c r="E420" s="21">
        <f>IF(D420="?OLD","!!!","")</f>
        <v/>
      </c>
      <c r="F420" s="22" t="str">
        <f>IF(OR(E420="",E420="!!!"),"",IF(NOT(ISNA(VLOOKUP(E420,E$1:E419,1,FALSE()))),"OLD",IF(AND(E420&lt;&gt;"",E420&lt;&gt;"!!!"),"NEW","")))</f>
        <v> </v>
      </c>
      <c r="G420" s="23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4" t="str">
        <f>IF(J420&lt;&gt;1,"",IF(I420="SBJ","CB","?"))</f>
        <v> </v>
      </c>
      <c r="I420" s="25" t="str">
        <f>IF(OR(E420="",E420="!!!",F420="NEW"),"",INDEX(B419:B$2,-1+SUMPRODUCT(MAX(ROW(E419:E$2)*(E420=E419:E$2)))))</f>
        <v> </v>
      </c>
      <c r="J420" s="25" t="str">
        <f>IF(OR(E420="",E420="!!!",F420="NEW"),"",COUNTBLANK(OFFSET(A$1,,,SUMPRODUCT(MAX(ROW(E$2:E420)*(E420=E$2:E420)))))-COUNTBLANK(OFFSET(A$1,,,SUMPRODUCT(MAX(ROW(E$1:E419)*(E2=E$1:E419))))))</f>
        <v> </v>
      </c>
      <c r="K420" s="25" t="str">
        <f>IF(OR(E420="",E420="!!!",F420="NEW"),"",INDEX(J$1:J419,SUMPRODUCT(MAX(ROW(E$1:E419)*(E420=E$1:E419)))))</f>
        <v> </v>
      </c>
      <c r="L420" s="26"/>
    </row>
    <row r="421" spans="1:12">
      <c r="A421" s="20" t="s">
        <v>531</v>
      </c>
      <c r="E421" s="21">
        <f>IF(D421="?OLD","!!!","")</f>
        <v/>
      </c>
      <c r="F421" s="22" t="str">
        <f>IF(OR(E421="",E421="!!!"),"",IF(NOT(ISNA(VLOOKUP(E421,E$1:E420,1,FALSE()))),"OLD",IF(AND(E421&lt;&gt;"",E421&lt;&gt;"!!!"),"NEW","")))</f>
        <v> </v>
      </c>
      <c r="G421" s="23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4" t="str">
        <f>IF(J421&lt;&gt;1,"",IF(I421="SBJ","CB","?"))</f>
        <v> </v>
      </c>
      <c r="I421" s="25" t="str">
        <f>IF(OR(E421="",E421="!!!",F421="NEW"),"",INDEX(B420:B$2,-1+SUMPRODUCT(MAX(ROW(E420:E$2)*(E421=E420:E$2)))))</f>
        <v> </v>
      </c>
      <c r="J421" s="25" t="str">
        <f>IF(OR(E421="",E421="!!!",F421="NEW"),"",COUNTBLANK(OFFSET(A$1,,,SUMPRODUCT(MAX(ROW(E$2:E421)*(E421=E$2:E421)))))-COUNTBLANK(OFFSET(A$1,,,SUMPRODUCT(MAX(ROW(E$1:E420)*(E2=E$1:E420))))))</f>
        <v> </v>
      </c>
      <c r="K421" s="25" t="str">
        <f>IF(OR(E421="",E421="!!!",F421="NEW"),"",INDEX(J$1:J420,SUMPRODUCT(MAX(ROW(E$1:E420)*(E421=E$1:E420)))))</f>
        <v> </v>
      </c>
      <c r="L421" s="26"/>
    </row>
    <row r="422" spans="1:12">
      <c r="A422" s="20"/>
    </row>
    <row r="423" spans="1:12">
      <c r="A423" s="20" t="s">
        <v>687</v>
      </c>
    </row>
    <row r="424" spans="1:12">
      <c r="A424" s="20" t="s">
        <v>688</v>
      </c>
      <c r="E424" s="21">
        <f>IF(D424="?OLD","!!!","")</f>
        <v/>
      </c>
      <c r="F424" s="22" t="str">
        <f>IF(OR(E424="",E424="!!!"),"",IF(NOT(ISNA(VLOOKUP(E424,E$1:E423,1,FALSE()))),"OLD",IF(AND(E424&lt;&gt;"",E424&lt;&gt;"!!!"),"NEW","")))</f>
        <v> </v>
      </c>
      <c r="G424" s="23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4" t="str">
        <f>IF(J424&lt;&gt;1,"",IF(I424="SBJ","CB","?"))</f>
        <v> </v>
      </c>
      <c r="I424" s="25" t="str">
        <f>IF(OR(E424="",E424="!!!",F424="NEW"),"",INDEX(B423:B$2,-1+SUMPRODUCT(MAX(ROW(E423:E$2)*(E424=E423:E$2)))))</f>
        <v> </v>
      </c>
      <c r="J424" s="25" t="str">
        <f>IF(OR(E424="",E424="!!!",F424="NEW"),"",COUNTBLANK(OFFSET(A$1,,,SUMPRODUCT(MAX(ROW(E$2:E424)*(E424=E$2:E424)))))-COUNTBLANK(OFFSET(A$1,,,SUMPRODUCT(MAX(ROW(E$1:E423)*(E2=E$1:E423))))))</f>
        <v> </v>
      </c>
      <c r="K424" s="25" t="str">
        <f>IF(OR(E424="",E424="!!!",F424="NEW"),"",INDEX(J$1:J423,SUMPRODUCT(MAX(ROW(E$1:E423)*(E424=E$1:E423)))))</f>
        <v> </v>
      </c>
      <c r="L424" s="26"/>
    </row>
    <row r="425" spans="1:12">
      <c r="A425" s="20" t="s">
        <v>689</v>
      </c>
      <c r="E425" s="21">
        <f>IF(D425="?OLD","!!!","")</f>
        <v/>
      </c>
      <c r="F425" s="22" t="str">
        <f>IF(OR(E425="",E425="!!!"),"",IF(NOT(ISNA(VLOOKUP(E425,E$1:E424,1,FALSE()))),"OLD",IF(AND(E425&lt;&gt;"",E425&lt;&gt;"!!!"),"NEW","")))</f>
        <v> </v>
      </c>
      <c r="G425" s="23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4" t="str">
        <f>IF(J425&lt;&gt;1,"",IF(I425="SBJ","CB","?"))</f>
        <v> </v>
      </c>
      <c r="I425" s="25" t="str">
        <f>IF(OR(E425="",E425="!!!",F425="NEW"),"",INDEX(B424:B$2,-1+SUMPRODUCT(MAX(ROW(E424:E$2)*(E425=E424:E$2)))))</f>
        <v> </v>
      </c>
      <c r="J425" s="25" t="str">
        <f>IF(OR(E425="",E425="!!!",F425="NEW"),"",COUNTBLANK(OFFSET(A$1,,,SUMPRODUCT(MAX(ROW(E$2:E425)*(E425=E$2:E425)))))-COUNTBLANK(OFFSET(A$1,,,SUMPRODUCT(MAX(ROW(E$1:E424)*(E2=E$1:E424))))))</f>
        <v> </v>
      </c>
      <c r="K425" s="25" t="str">
        <f>IF(OR(E425="",E425="!!!",F425="NEW"),"",INDEX(J$1:J424,SUMPRODUCT(MAX(ROW(E$1:E424)*(E425=E$1:E424)))))</f>
        <v> </v>
      </c>
      <c r="L425" s="26"/>
    </row>
    <row r="426" spans="1:12">
      <c r="A426" s="20" t="s">
        <v>690</v>
      </c>
      <c r="E426" s="21">
        <f>IF(D426="?OLD","!!!","")</f>
        <v/>
      </c>
      <c r="F426" s="22" t="str">
        <f>IF(OR(E426="",E426="!!!"),"",IF(NOT(ISNA(VLOOKUP(E426,E$1:E425,1,FALSE()))),"OLD",IF(AND(E426&lt;&gt;"",E426&lt;&gt;"!!!"),"NEW","")))</f>
        <v> </v>
      </c>
      <c r="G426" s="23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4" t="str">
        <f>IF(J426&lt;&gt;1,"",IF(I426="SBJ","CB","?"))</f>
        <v> </v>
      </c>
      <c r="I426" s="25" t="str">
        <f>IF(OR(E426="",E426="!!!",F426="NEW"),"",INDEX(B425:B$2,-1+SUMPRODUCT(MAX(ROW(E425:E$2)*(E426=E425:E$2)))))</f>
        <v> </v>
      </c>
      <c r="J426" s="25" t="str">
        <f>IF(OR(E426="",E426="!!!",F426="NEW"),"",COUNTBLANK(OFFSET(A$1,,,SUMPRODUCT(MAX(ROW(E$2:E426)*(E426=E$2:E426)))))-COUNTBLANK(OFFSET(A$1,,,SUMPRODUCT(MAX(ROW(E$1:E425)*(E2=E$1:E425))))))</f>
        <v> </v>
      </c>
      <c r="K426" s="25" t="str">
        <f>IF(OR(E426="",E426="!!!",F426="NEW"),"",INDEX(J$1:J425,SUMPRODUCT(MAX(ROW(E$1:E425)*(E426=E$1:E425)))))</f>
        <v> </v>
      </c>
      <c r="L426" s="26"/>
    </row>
    <row r="427" spans="1:12">
      <c r="A427" s="20" t="s">
        <v>691</v>
      </c>
      <c r="B427" s="27" t="s">
        <v>481</v>
      </c>
      <c r="C427" s="27" t="s">
        <v>516</v>
      </c>
      <c r="E427" s="21">
        <f>IF(D427="?OLD","!!!","")</f>
        <v/>
      </c>
      <c r="F427" s="22" t="str">
        <f>IF(OR(E427="",E427="!!!"),"",IF(NOT(ISNA(VLOOKUP(E427,E$1:E426,1,FALSE()))),"OLD",IF(AND(E427&lt;&gt;"",E427&lt;&gt;"!!!"),"NEW","")))</f>
        <v> </v>
      </c>
      <c r="G427" s="23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4" t="str">
        <f>IF(J427&lt;&gt;1,"",IF(I427="SBJ","CB","?"))</f>
        <v> </v>
      </c>
      <c r="I427" s="25" t="str">
        <f>IF(OR(E427="",E427="!!!",F427="NEW"),"",INDEX(B426:B$2,-1+SUMPRODUCT(MAX(ROW(E426:E$2)*(E427=E426:E$2)))))</f>
        <v> </v>
      </c>
      <c r="J427" s="25" t="str">
        <f>IF(OR(E427="",E427="!!!",F427="NEW"),"",COUNTBLANK(OFFSET(A$1,,,SUMPRODUCT(MAX(ROW(E$2:E427)*(E427=E$2:E427)))))-COUNTBLANK(OFFSET(A$1,,,SUMPRODUCT(MAX(ROW(E$1:E426)*(E2=E$1:E426))))))</f>
        <v> </v>
      </c>
      <c r="K427" s="25" t="str">
        <f>IF(OR(E427="",E427="!!!",F427="NEW"),"",INDEX(J$1:J426,SUMPRODUCT(MAX(ROW(E$1:E426)*(E427=E$1:E426)))))</f>
        <v> </v>
      </c>
      <c r="L427" s="26"/>
    </row>
    <row r="428" spans="1:12">
      <c r="A428" s="20" t="s">
        <v>692</v>
      </c>
      <c r="E428" s="21">
        <f>IF(D428="?OLD","!!!","")</f>
        <v/>
      </c>
      <c r="F428" s="22" t="str">
        <f>IF(OR(E428="",E428="!!!"),"",IF(NOT(ISNA(VLOOKUP(E428,E$1:E427,1,FALSE()))),"OLD",IF(AND(E428&lt;&gt;"",E428&lt;&gt;"!!!"),"NEW","")))</f>
        <v> </v>
      </c>
      <c r="G428" s="23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4" t="str">
        <f>IF(J428&lt;&gt;1,"",IF(I428="SBJ","CB","?"))</f>
        <v> </v>
      </c>
      <c r="I428" s="25" t="str">
        <f>IF(OR(E428="",E428="!!!",F428="NEW"),"",INDEX(B427:B$2,-1+SUMPRODUCT(MAX(ROW(E427:E$2)*(E428=E427:E$2)))))</f>
        <v> </v>
      </c>
      <c r="J428" s="25" t="str">
        <f>IF(OR(E428="",E428="!!!",F428="NEW"),"",COUNTBLANK(OFFSET(A$1,,,SUMPRODUCT(MAX(ROW(E$2:E428)*(E428=E$2:E428)))))-COUNTBLANK(OFFSET(A$1,,,SUMPRODUCT(MAX(ROW(E$1:E427)*(E2=E$1:E427))))))</f>
        <v> </v>
      </c>
      <c r="K428" s="25" t="str">
        <f>IF(OR(E428="",E428="!!!",F428="NEW"),"",INDEX(J$1:J427,SUMPRODUCT(MAX(ROW(E$1:E427)*(E428=E$1:E427)))))</f>
        <v> </v>
      </c>
      <c r="L428" s="26"/>
    </row>
    <row r="429" spans="1:12">
      <c r="A429" s="20"/>
    </row>
    <row r="430" spans="1:12">
      <c r="A430" s="20" t="s">
        <v>693</v>
      </c>
    </row>
    <row r="431" spans="1:12">
      <c r="A431" s="20" t="s">
        <v>597</v>
      </c>
      <c r="B431" s="27" t="s">
        <v>549</v>
      </c>
      <c r="C431" s="27" t="s">
        <v>491</v>
      </c>
      <c r="D431" s="27" t="s">
        <v>483</v>
      </c>
      <c r="E431" s="21">
        <f>IF(D431="?OLD","!!!","")</f>
        <v/>
      </c>
      <c r="F431" s="22" t="str">
        <f>IF(OR(E431="",E431="!!!"),"",IF(NOT(ISNA(VLOOKUP(E431,E$1:E430,1,FALSE()))),"OLD",IF(AND(E431&lt;&gt;"",E431&lt;&gt;"!!!"),"NEW","")))</f>
        <v> </v>
      </c>
      <c r="G431" s="23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4" t="str">
        <f>IF(J431&lt;&gt;1,"",IF(I431="SBJ","CB","?"))</f>
        <v> </v>
      </c>
      <c r="I431" s="25" t="str">
        <f>IF(OR(E431="",E431="!!!",F431="NEW"),"",INDEX(B430:B$2,-1+SUMPRODUCT(MAX(ROW(E430:E$2)*(E431=E430:E$2)))))</f>
        <v> </v>
      </c>
      <c r="J431" s="25" t="str">
        <f>IF(OR(E431="",E431="!!!",F431="NEW"),"",COUNTBLANK(OFFSET(A$1,,,SUMPRODUCT(MAX(ROW(E$2:E431)*(E431=E$2:E431)))))-COUNTBLANK(OFFSET(A$1,,,SUMPRODUCT(MAX(ROW(E$1:E430)*(E2=E$1:E430))))))</f>
        <v> </v>
      </c>
      <c r="K431" s="25" t="str">
        <f>IF(OR(E431="",E431="!!!",F431="NEW"),"",INDEX(J$1:J430,SUMPRODUCT(MAX(ROW(E$1:E430)*(E431=E$1:E430)))))</f>
        <v> </v>
      </c>
      <c r="L431" s="26"/>
    </row>
    <row r="432" spans="1:12">
      <c r="A432" s="20" t="s">
        <v>558</v>
      </c>
      <c r="E432" s="21">
        <f>IF(D432="?OLD","!!!","")</f>
        <v/>
      </c>
      <c r="F432" s="22" t="str">
        <f>IF(OR(E432="",E432="!!!"),"",IF(NOT(ISNA(VLOOKUP(E432,E$1:E431,1,FALSE()))),"OLD",IF(AND(E432&lt;&gt;"",E432&lt;&gt;"!!!"),"NEW","")))</f>
        <v> </v>
      </c>
      <c r="G432" s="23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4" t="str">
        <f>IF(J432&lt;&gt;1,"",IF(I432="SBJ","CB","?"))</f>
        <v> </v>
      </c>
      <c r="I432" s="25" t="str">
        <f>IF(OR(E432="",E432="!!!",F432="NEW"),"",INDEX(B431:B$2,-1+SUMPRODUCT(MAX(ROW(E431:E$2)*(E432=E431:E$2)))))</f>
        <v> </v>
      </c>
      <c r="J432" s="25" t="str">
        <f>IF(OR(E432="",E432="!!!",F432="NEW"),"",COUNTBLANK(OFFSET(A$1,,,SUMPRODUCT(MAX(ROW(E$2:E432)*(E432=E$2:E432)))))-COUNTBLANK(OFFSET(A$1,,,SUMPRODUCT(MAX(ROW(E$1:E431)*(E2=E$1:E431))))))</f>
        <v> </v>
      </c>
      <c r="K432" s="25" t="str">
        <f>IF(OR(E432="",E432="!!!",F432="NEW"),"",INDEX(J$1:J431,SUMPRODUCT(MAX(ROW(E$1:E431)*(E432=E$1:E431)))))</f>
        <v> </v>
      </c>
      <c r="L432" s="26"/>
    </row>
    <row r="433" spans="1:12">
      <c r="A433" s="20" t="s">
        <v>380</v>
      </c>
      <c r="E433" s="21">
        <f>IF(D433="?OLD","!!!","")</f>
        <v/>
      </c>
      <c r="F433" s="22" t="str">
        <f>IF(OR(E433="",E433="!!!"),"",IF(NOT(ISNA(VLOOKUP(E433,E$1:E432,1,FALSE()))),"OLD",IF(AND(E433&lt;&gt;"",E433&lt;&gt;"!!!"),"NEW","")))</f>
        <v> </v>
      </c>
      <c r="G433" s="23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4" t="str">
        <f>IF(J433&lt;&gt;1,"",IF(I433="SBJ","CB","?"))</f>
        <v> </v>
      </c>
      <c r="I433" s="25" t="str">
        <f>IF(OR(E433="",E433="!!!",F433="NEW"),"",INDEX(B432:B$2,-1+SUMPRODUCT(MAX(ROW(E432:E$2)*(E433=E432:E$2)))))</f>
        <v> </v>
      </c>
      <c r="J433" s="25" t="str">
        <f>IF(OR(E433="",E433="!!!",F433="NEW"),"",COUNTBLANK(OFFSET(A$1,,,SUMPRODUCT(MAX(ROW(E$2:E433)*(E433=E$2:E433)))))-COUNTBLANK(OFFSET(A$1,,,SUMPRODUCT(MAX(ROW(E$1:E432)*(E2=E$1:E432))))))</f>
        <v> </v>
      </c>
      <c r="K433" s="25" t="str">
        <f>IF(OR(E433="",E433="!!!",F433="NEW"),"",INDEX(J$1:J432,SUMPRODUCT(MAX(ROW(E$1:E432)*(E433=E$1:E432)))))</f>
        <v> </v>
      </c>
      <c r="L433" s="26"/>
    </row>
    <row r="434" spans="1:12">
      <c r="A434" s="20" t="s">
        <v>586</v>
      </c>
      <c r="B434" s="27" t="s">
        <v>477</v>
      </c>
      <c r="C434" s="27" t="s">
        <v>498</v>
      </c>
      <c r="E434" s="21">
        <f>IF(D434="?OLD","!!!","")</f>
        <v/>
      </c>
      <c r="F434" s="22" t="str">
        <f>IF(OR(E434="",E434="!!!"),"",IF(NOT(ISNA(VLOOKUP(E434,E$1:E433,1,FALSE()))),"OLD",IF(AND(E434&lt;&gt;"",E434&lt;&gt;"!!!"),"NEW","")))</f>
        <v> </v>
      </c>
      <c r="G434" s="23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4" t="str">
        <f>IF(J434&lt;&gt;1,"",IF(I434="SBJ","CB","?"))</f>
        <v> </v>
      </c>
      <c r="I434" s="25" t="str">
        <f>IF(OR(E434="",E434="!!!",F434="NEW"),"",INDEX(B433:B$2,-1+SUMPRODUCT(MAX(ROW(E433:E$2)*(E434=E433:E$2)))))</f>
        <v> </v>
      </c>
      <c r="J434" s="25" t="str">
        <f>IF(OR(E434="",E434="!!!",F434="NEW"),"",COUNTBLANK(OFFSET(A$1,,,SUMPRODUCT(MAX(ROW(E$2:E434)*(E434=E$2:E434)))))-COUNTBLANK(OFFSET(A$1,,,SUMPRODUCT(MAX(ROW(E$1:E433)*(E2=E$1:E433))))))</f>
        <v> </v>
      </c>
      <c r="K434" s="25" t="str">
        <f>IF(OR(E434="",E434="!!!",F434="NEW"),"",INDEX(J$1:J433,SUMPRODUCT(MAX(ROW(E$1:E433)*(E434=E$1:E433)))))</f>
        <v> </v>
      </c>
      <c r="L434" s="26"/>
    </row>
    <row r="435" spans="1:12">
      <c r="A435" s="20" t="s">
        <v>492</v>
      </c>
      <c r="B435" s="27" t="s">
        <v>537</v>
      </c>
      <c r="E435" s="21">
        <f>IF(D435="?OLD","!!!","")</f>
        <v/>
      </c>
      <c r="F435" s="22" t="str">
        <f>IF(OR(E435="",E435="!!!"),"",IF(NOT(ISNA(VLOOKUP(E435,E$1:E434,1,FALSE()))),"OLD",IF(AND(E435&lt;&gt;"",E435&lt;&gt;"!!!"),"NEW","")))</f>
        <v> </v>
      </c>
      <c r="G435" s="23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4" t="str">
        <f>IF(J435&lt;&gt;1,"",IF(I435="SBJ","CB","?"))</f>
        <v> </v>
      </c>
      <c r="I435" s="25" t="str">
        <f>IF(OR(E435="",E435="!!!",F435="NEW"),"",INDEX(B434:B$2,-1+SUMPRODUCT(MAX(ROW(E434:E$2)*(E435=E434:E$2)))))</f>
        <v> </v>
      </c>
      <c r="J435" s="25" t="str">
        <f>IF(OR(E435="",E435="!!!",F435="NEW"),"",COUNTBLANK(OFFSET(A$1,,,SUMPRODUCT(MAX(ROW(E$2:E435)*(E435=E$2:E435)))))-COUNTBLANK(OFFSET(A$1,,,SUMPRODUCT(MAX(ROW(E$1:E434)*(E2=E$1:E434))))))</f>
        <v> </v>
      </c>
      <c r="K435" s="25" t="str">
        <f>IF(OR(E435="",E435="!!!",F435="NEW"),"",INDEX(J$1:J434,SUMPRODUCT(MAX(ROW(E$1:E434)*(E435=E$1:E434)))))</f>
        <v> </v>
      </c>
      <c r="L435" s="26"/>
    </row>
    <row r="436" spans="1:12">
      <c r="A436" s="20" t="s">
        <v>694</v>
      </c>
      <c r="E436" s="21">
        <f>IF(D436="?OLD","!!!","")</f>
        <v/>
      </c>
      <c r="F436" s="22" t="str">
        <f>IF(OR(E436="",E436="!!!"),"",IF(NOT(ISNA(VLOOKUP(E436,E$1:E435,1,FALSE()))),"OLD",IF(AND(E436&lt;&gt;"",E436&lt;&gt;"!!!"),"NEW","")))</f>
        <v> </v>
      </c>
      <c r="G436" s="23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4" t="str">
        <f>IF(J436&lt;&gt;1,"",IF(I436="SBJ","CB","?"))</f>
        <v> </v>
      </c>
      <c r="I436" s="25" t="str">
        <f>IF(OR(E436="",E436="!!!",F436="NEW"),"",INDEX(B435:B$2,-1+SUMPRODUCT(MAX(ROW(E435:E$2)*(E436=E435:E$2)))))</f>
        <v> </v>
      </c>
      <c r="J436" s="25" t="str">
        <f>IF(OR(E436="",E436="!!!",F436="NEW"),"",COUNTBLANK(OFFSET(A$1,,,SUMPRODUCT(MAX(ROW(E$2:E436)*(E436=E$2:E436)))))-COUNTBLANK(OFFSET(A$1,,,SUMPRODUCT(MAX(ROW(E$1:E435)*(E2=E$1:E435))))))</f>
        <v> </v>
      </c>
      <c r="K436" s="25" t="str">
        <f>IF(OR(E436="",E436="!!!",F436="NEW"),"",INDEX(J$1:J435,SUMPRODUCT(MAX(ROW(E$1:E435)*(E436=E$1:E435)))))</f>
        <v> </v>
      </c>
      <c r="L436" s="26"/>
    </row>
    <row r="437" spans="1:12">
      <c r="A437" s="20" t="s">
        <v>695</v>
      </c>
      <c r="E437" s="21">
        <f>IF(D437="?OLD","!!!","")</f>
        <v/>
      </c>
      <c r="F437" s="22" t="str">
        <f>IF(OR(E437="",E437="!!!"),"",IF(NOT(ISNA(VLOOKUP(E437,E$1:E436,1,FALSE()))),"OLD",IF(AND(E437&lt;&gt;"",E437&lt;&gt;"!!!"),"NEW","")))</f>
        <v> </v>
      </c>
      <c r="G437" s="23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4" t="str">
        <f>IF(J437&lt;&gt;1,"",IF(I437="SBJ","CB","?"))</f>
        <v> </v>
      </c>
      <c r="I437" s="25" t="str">
        <f>IF(OR(E437="",E437="!!!",F437="NEW"),"",INDEX(B436:B$2,-1+SUMPRODUCT(MAX(ROW(E436:E$2)*(E437=E436:E$2)))))</f>
        <v> </v>
      </c>
      <c r="J437" s="25" t="str">
        <f>IF(OR(E437="",E437="!!!",F437="NEW"),"",COUNTBLANK(OFFSET(A$1,,,SUMPRODUCT(MAX(ROW(E$2:E437)*(E437=E$2:E437)))))-COUNTBLANK(OFFSET(A$1,,,SUMPRODUCT(MAX(ROW(E$1:E436)*(E2=E$1:E436))))))</f>
        <v> </v>
      </c>
      <c r="K437" s="25" t="str">
        <f>IF(OR(E437="",E437="!!!",F437="NEW"),"",INDEX(J$1:J436,SUMPRODUCT(MAX(ROW(E$1:E436)*(E437=E$1:E436)))))</f>
        <v> </v>
      </c>
      <c r="L437" s="26"/>
    </row>
    <row r="438" spans="1:12">
      <c r="A438" s="20" t="s">
        <v>503</v>
      </c>
      <c r="E438" s="21">
        <f>IF(D438="?OLD","!!!","")</f>
        <v/>
      </c>
      <c r="F438" s="22" t="str">
        <f>IF(OR(E438="",E438="!!!"),"",IF(NOT(ISNA(VLOOKUP(E438,E$1:E437,1,FALSE()))),"OLD",IF(AND(E438&lt;&gt;"",E438&lt;&gt;"!!!"),"NEW","")))</f>
        <v> </v>
      </c>
      <c r="G438" s="23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4" t="str">
        <f>IF(J438&lt;&gt;1,"",IF(I438="SBJ","CB","?"))</f>
        <v> </v>
      </c>
      <c r="I438" s="25" t="str">
        <f>IF(OR(E438="",E438="!!!",F438="NEW"),"",INDEX(B437:B$2,-1+SUMPRODUCT(MAX(ROW(E437:E$2)*(E438=E437:E$2)))))</f>
        <v> </v>
      </c>
      <c r="J438" s="25" t="str">
        <f>IF(OR(E438="",E438="!!!",F438="NEW"),"",COUNTBLANK(OFFSET(A$1,,,SUMPRODUCT(MAX(ROW(E$2:E438)*(E438=E$2:E438)))))-COUNTBLANK(OFFSET(A$1,,,SUMPRODUCT(MAX(ROW(E$1:E437)*(E2=E$1:E437))))))</f>
        <v> </v>
      </c>
      <c r="K438" s="25" t="str">
        <f>IF(OR(E438="",E438="!!!",F438="NEW"),"",INDEX(J$1:J437,SUMPRODUCT(MAX(ROW(E$1:E437)*(E438=E$1:E437)))))</f>
        <v> </v>
      </c>
      <c r="L438" s="26"/>
    </row>
    <row r="439" spans="1:12">
      <c r="A439" s="20" t="s">
        <v>603</v>
      </c>
      <c r="B439" s="27" t="s">
        <v>578</v>
      </c>
      <c r="C439" s="27" t="s">
        <v>516</v>
      </c>
      <c r="E439" s="21">
        <f>IF(D439="?OLD","!!!","")</f>
        <v/>
      </c>
      <c r="F439" s="22" t="str">
        <f>IF(OR(E439="",E439="!!!"),"",IF(NOT(ISNA(VLOOKUP(E439,E$1:E438,1,FALSE()))),"OLD",IF(AND(E439&lt;&gt;"",E439&lt;&gt;"!!!"),"NEW","")))</f>
        <v> </v>
      </c>
      <c r="G439" s="23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4" t="str">
        <f>IF(J439&lt;&gt;1,"",IF(I439="SBJ","CB","?"))</f>
        <v> </v>
      </c>
      <c r="I439" s="25" t="str">
        <f>IF(OR(E439="",E439="!!!",F439="NEW"),"",INDEX(B438:B$2,-1+SUMPRODUCT(MAX(ROW(E438:E$2)*(E439=E438:E$2)))))</f>
        <v> </v>
      </c>
      <c r="J439" s="25" t="str">
        <f>IF(OR(E439="",E439="!!!",F439="NEW"),"",COUNTBLANK(OFFSET(A$1,,,SUMPRODUCT(MAX(ROW(E$2:E439)*(E439=E$2:E439)))))-COUNTBLANK(OFFSET(A$1,,,SUMPRODUCT(MAX(ROW(E$1:E438)*(E2=E$1:E438))))))</f>
        <v> </v>
      </c>
      <c r="K439" s="25" t="str">
        <f>IF(OR(E439="",E439="!!!",F439="NEW"),"",INDEX(J$1:J438,SUMPRODUCT(MAX(ROW(E$1:E438)*(E439=E$1:E438)))))</f>
        <v> </v>
      </c>
      <c r="L439" s="26"/>
    </row>
    <row r="440" spans="1:12">
      <c r="A440" s="20" t="s">
        <v>696</v>
      </c>
      <c r="E440" s="21">
        <f>IF(D440="?OLD","!!!","")</f>
        <v/>
      </c>
      <c r="F440" s="22" t="str">
        <f>IF(OR(E440="",E440="!!!"),"",IF(NOT(ISNA(VLOOKUP(E440,E$1:E439,1,FALSE()))),"OLD",IF(AND(E440&lt;&gt;"",E440&lt;&gt;"!!!"),"NEW","")))</f>
        <v> </v>
      </c>
      <c r="G440" s="23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4" t="str">
        <f>IF(J440&lt;&gt;1,"",IF(I440="SBJ","CB","?"))</f>
        <v> </v>
      </c>
      <c r="I440" s="25" t="str">
        <f>IF(OR(E440="",E440="!!!",F440="NEW"),"",INDEX(B439:B$2,-1+SUMPRODUCT(MAX(ROW(E439:E$2)*(E440=E439:E$2)))))</f>
        <v> </v>
      </c>
      <c r="J440" s="25" t="str">
        <f>IF(OR(E440="",E440="!!!",F440="NEW"),"",COUNTBLANK(OFFSET(A$1,,,SUMPRODUCT(MAX(ROW(E$2:E440)*(E440=E$2:E440)))))-COUNTBLANK(OFFSET(A$1,,,SUMPRODUCT(MAX(ROW(E$1:E439)*(E2=E$1:E439))))))</f>
        <v> </v>
      </c>
      <c r="K440" s="25" t="str">
        <f>IF(OR(E440="",E440="!!!",F440="NEW"),"",INDEX(J$1:J439,SUMPRODUCT(MAX(ROW(E$1:E439)*(E440=E$1:E439)))))</f>
        <v> </v>
      </c>
      <c r="L440" s="26"/>
    </row>
    <row r="441" spans="1:12">
      <c r="A441" s="20" t="s">
        <v>492</v>
      </c>
      <c r="B441" s="27" t="s">
        <v>493</v>
      </c>
      <c r="E441" s="21">
        <f>IF(D441="?OLD","!!!","")</f>
        <v/>
      </c>
      <c r="F441" s="22" t="str">
        <f>IF(OR(E441="",E441="!!!"),"",IF(NOT(ISNA(VLOOKUP(E441,E$1:E440,1,FALSE()))),"OLD",IF(AND(E441&lt;&gt;"",E441&lt;&gt;"!!!"),"NEW","")))</f>
        <v> </v>
      </c>
      <c r="G441" s="23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4" t="str">
        <f>IF(J441&lt;&gt;1,"",IF(I441="SBJ","CB","?"))</f>
        <v> </v>
      </c>
      <c r="I441" s="25" t="str">
        <f>IF(OR(E441="",E441="!!!",F441="NEW"),"",INDEX(B440:B$2,-1+SUMPRODUCT(MAX(ROW(E440:E$2)*(E441=E440:E$2)))))</f>
        <v> </v>
      </c>
      <c r="J441" s="25" t="str">
        <f>IF(OR(E441="",E441="!!!",F441="NEW"),"",COUNTBLANK(OFFSET(A$1,,,SUMPRODUCT(MAX(ROW(E$2:E441)*(E441=E$2:E441)))))-COUNTBLANK(OFFSET(A$1,,,SUMPRODUCT(MAX(ROW(E$1:E440)*(E2=E$1:E440))))))</f>
        <v> </v>
      </c>
      <c r="K441" s="25" t="str">
        <f>IF(OR(E441="",E441="!!!",F441="NEW"),"",INDEX(J$1:J440,SUMPRODUCT(MAX(ROW(E$1:E440)*(E441=E$1:E440)))))</f>
        <v> </v>
      </c>
      <c r="L441" s="26"/>
    </row>
    <row r="442" spans="1:12">
      <c r="A442" s="20" t="s">
        <v>697</v>
      </c>
      <c r="E442" s="21">
        <f>IF(D442="?OLD","!!!","")</f>
        <v/>
      </c>
      <c r="F442" s="22" t="str">
        <f>IF(OR(E442="",E442="!!!"),"",IF(NOT(ISNA(VLOOKUP(E442,E$1:E441,1,FALSE()))),"OLD",IF(AND(E442&lt;&gt;"",E442&lt;&gt;"!!!"),"NEW","")))</f>
        <v> </v>
      </c>
      <c r="G442" s="23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4" t="str">
        <f>IF(J442&lt;&gt;1,"",IF(I442="SBJ","CB","?"))</f>
        <v> </v>
      </c>
      <c r="I442" s="25" t="str">
        <f>IF(OR(E442="",E442="!!!",F442="NEW"),"",INDEX(B441:B$2,-1+SUMPRODUCT(MAX(ROW(E441:E$2)*(E442=E441:E$2)))))</f>
        <v> </v>
      </c>
      <c r="J442" s="25" t="str">
        <f>IF(OR(E442="",E442="!!!",F442="NEW"),"",COUNTBLANK(OFFSET(A$1,,,SUMPRODUCT(MAX(ROW(E$2:E442)*(E442=E$2:E442)))))-COUNTBLANK(OFFSET(A$1,,,SUMPRODUCT(MAX(ROW(E$1:E441)*(E2=E$1:E441))))))</f>
        <v> </v>
      </c>
      <c r="K442" s="25" t="str">
        <f>IF(OR(E442="",E442="!!!",F442="NEW"),"",INDEX(J$1:J441,SUMPRODUCT(MAX(ROW(E$1:E441)*(E442=E$1:E441)))))</f>
        <v> </v>
      </c>
      <c r="L442" s="26"/>
    </row>
    <row r="443" spans="1:12">
      <c r="A443" s="20" t="s">
        <v>698</v>
      </c>
      <c r="E443" s="21">
        <f>IF(D443="?OLD","!!!","")</f>
        <v/>
      </c>
      <c r="F443" s="22" t="str">
        <f>IF(OR(E443="",E443="!!!"),"",IF(NOT(ISNA(VLOOKUP(E443,E$1:E442,1,FALSE()))),"OLD",IF(AND(E443&lt;&gt;"",E443&lt;&gt;"!!!"),"NEW","")))</f>
        <v> </v>
      </c>
      <c r="G443" s="23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4" t="str">
        <f>IF(J443&lt;&gt;1,"",IF(I443="SBJ","CB","?"))</f>
        <v> </v>
      </c>
      <c r="I443" s="25" t="str">
        <f>IF(OR(E443="",E443="!!!",F443="NEW"),"",INDEX(B442:B$2,-1+SUMPRODUCT(MAX(ROW(E442:E$2)*(E443=E442:E$2)))))</f>
        <v> </v>
      </c>
      <c r="J443" s="25" t="str">
        <f>IF(OR(E443="",E443="!!!",F443="NEW"),"",COUNTBLANK(OFFSET(A$1,,,SUMPRODUCT(MAX(ROW(E$2:E443)*(E443=E$2:E443)))))-COUNTBLANK(OFFSET(A$1,,,SUMPRODUCT(MAX(ROW(E$1:E442)*(E2=E$1:E442))))))</f>
        <v> </v>
      </c>
      <c r="K443" s="25" t="str">
        <f>IF(OR(E443="",E443="!!!",F443="NEW"),"",INDEX(J$1:J442,SUMPRODUCT(MAX(ROW(E$1:E442)*(E443=E$1:E442)))))</f>
        <v> </v>
      </c>
      <c r="L443" s="26"/>
    </row>
    <row r="444" spans="1:12">
      <c r="A444" s="20" t="s">
        <v>507</v>
      </c>
      <c r="E444" s="21">
        <f>IF(D444="?OLD","!!!","")</f>
        <v/>
      </c>
      <c r="F444" s="22" t="str">
        <f>IF(OR(E444="",E444="!!!"),"",IF(NOT(ISNA(VLOOKUP(E444,E$1:E443,1,FALSE()))),"OLD",IF(AND(E444&lt;&gt;"",E444&lt;&gt;"!!!"),"NEW","")))</f>
        <v> </v>
      </c>
      <c r="G444" s="23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4" t="str">
        <f>IF(J444&lt;&gt;1,"",IF(I444="SBJ","CB","?"))</f>
        <v> </v>
      </c>
      <c r="I444" s="25" t="str">
        <f>IF(OR(E444="",E444="!!!",F444="NEW"),"",INDEX(B443:B$2,-1+SUMPRODUCT(MAX(ROW(E443:E$2)*(E444=E443:E$2)))))</f>
        <v> </v>
      </c>
      <c r="J444" s="25" t="str">
        <f>IF(OR(E444="",E444="!!!",F444="NEW"),"",COUNTBLANK(OFFSET(A$1,,,SUMPRODUCT(MAX(ROW(E$2:E444)*(E444=E$2:E444)))))-COUNTBLANK(OFFSET(A$1,,,SUMPRODUCT(MAX(ROW(E$1:E443)*(E2=E$1:E443))))))</f>
        <v> </v>
      </c>
      <c r="K444" s="25" t="str">
        <f>IF(OR(E444="",E444="!!!",F444="NEW"),"",INDEX(J$1:J443,SUMPRODUCT(MAX(ROW(E$1:E443)*(E444=E$1:E443)))))</f>
        <v> </v>
      </c>
      <c r="L444" s="26"/>
    </row>
    <row r="445" spans="1:12">
      <c r="A445" s="20" t="s">
        <v>587</v>
      </c>
      <c r="B445" s="27" t="s">
        <v>659</v>
      </c>
      <c r="C445" s="27" t="s">
        <v>516</v>
      </c>
      <c r="E445" s="21">
        <f>IF(D445="?OLD","!!!","")</f>
        <v/>
      </c>
      <c r="F445" s="22" t="str">
        <f>IF(OR(E445="",E445="!!!"),"",IF(NOT(ISNA(VLOOKUP(E445,E$1:E444,1,FALSE()))),"OLD",IF(AND(E445&lt;&gt;"",E445&lt;&gt;"!!!"),"NEW","")))</f>
        <v> </v>
      </c>
      <c r="G445" s="23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4" t="str">
        <f>IF(J445&lt;&gt;1,"",IF(I445="SBJ","CB","?"))</f>
        <v> </v>
      </c>
      <c r="I445" s="25" t="str">
        <f>IF(OR(E445="",E445="!!!",F445="NEW"),"",INDEX(B444:B$2,-1+SUMPRODUCT(MAX(ROW(E444:E$2)*(E445=E444:E$2)))))</f>
        <v> </v>
      </c>
      <c r="J445" s="25" t="str">
        <f>IF(OR(E445="",E445="!!!",F445="NEW"),"",COUNTBLANK(OFFSET(A$1,,,SUMPRODUCT(MAX(ROW(E$2:E445)*(E445=E$2:E445)))))-COUNTBLANK(OFFSET(A$1,,,SUMPRODUCT(MAX(ROW(E$1:E444)*(E2=E$1:E444))))))</f>
        <v> </v>
      </c>
      <c r="K445" s="25" t="str">
        <f>IF(OR(E445="",E445="!!!",F445="NEW"),"",INDEX(J$1:J444,SUMPRODUCT(MAX(ROW(E$1:E444)*(E445=E$1:E444)))))</f>
        <v> </v>
      </c>
      <c r="L445" s="26"/>
    </row>
    <row r="446" spans="1:12">
      <c r="A446" s="20" t="s">
        <v>489</v>
      </c>
      <c r="E446" s="21">
        <f>IF(D446="?OLD","!!!","")</f>
        <v/>
      </c>
      <c r="F446" s="22" t="str">
        <f>IF(OR(E446="",E446="!!!"),"",IF(NOT(ISNA(VLOOKUP(E446,E$1:E445,1,FALSE()))),"OLD",IF(AND(E446&lt;&gt;"",E446&lt;&gt;"!!!"),"NEW","")))</f>
        <v> </v>
      </c>
      <c r="G446" s="23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4" t="str">
        <f>IF(J446&lt;&gt;1,"",IF(I446="SBJ","CB","?"))</f>
        <v> </v>
      </c>
      <c r="I446" s="25" t="str">
        <f>IF(OR(E446="",E446="!!!",F446="NEW"),"",INDEX(B445:B$2,-1+SUMPRODUCT(MAX(ROW(E445:E$2)*(E446=E445:E$2)))))</f>
        <v> </v>
      </c>
      <c r="J446" s="25" t="str">
        <f>IF(OR(E446="",E446="!!!",F446="NEW"),"",COUNTBLANK(OFFSET(A$1,,,SUMPRODUCT(MAX(ROW(E$2:E446)*(E446=E$2:E446)))))-COUNTBLANK(OFFSET(A$1,,,SUMPRODUCT(MAX(ROW(E$1:E445)*(E2=E$1:E445))))))</f>
        <v> </v>
      </c>
      <c r="K446" s="25" t="str">
        <f>IF(OR(E446="",E446="!!!",F446="NEW"),"",INDEX(J$1:J445,SUMPRODUCT(MAX(ROW(E$1:E445)*(E446=E$1:E445)))))</f>
        <v> </v>
      </c>
      <c r="L446" s="26"/>
    </row>
    <row r="447" spans="1:12">
      <c r="A447" s="20" t="s">
        <v>551</v>
      </c>
      <c r="E447" s="21">
        <f>IF(D447="?OLD","!!!","")</f>
        <v/>
      </c>
      <c r="F447" s="22" t="str">
        <f>IF(OR(E447="",E447="!!!"),"",IF(NOT(ISNA(VLOOKUP(E447,E$1:E446,1,FALSE()))),"OLD",IF(AND(E447&lt;&gt;"",E447&lt;&gt;"!!!"),"NEW","")))</f>
        <v> </v>
      </c>
      <c r="G447" s="23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4" t="str">
        <f>IF(J447&lt;&gt;1,"",IF(I447="SBJ","CB","?"))</f>
        <v> </v>
      </c>
      <c r="I447" s="25" t="str">
        <f>IF(OR(E447="",E447="!!!",F447="NEW"),"",INDEX(B446:B$2,-1+SUMPRODUCT(MAX(ROW(E446:E$2)*(E447=E446:E$2)))))</f>
        <v> </v>
      </c>
      <c r="J447" s="25" t="str">
        <f>IF(OR(E447="",E447="!!!",F447="NEW"),"",COUNTBLANK(OFFSET(A$1,,,SUMPRODUCT(MAX(ROW(E$2:E447)*(E447=E$2:E447)))))-COUNTBLANK(OFFSET(A$1,,,SUMPRODUCT(MAX(ROW(E$1:E446)*(E2=E$1:E446))))))</f>
        <v> </v>
      </c>
      <c r="K447" s="25" t="str">
        <f>IF(OR(E447="",E447="!!!",F447="NEW"),"",INDEX(J$1:J446,SUMPRODUCT(MAX(ROW(E$1:E446)*(E447=E$1:E446)))))</f>
        <v> </v>
      </c>
      <c r="L447" s="26"/>
    </row>
    <row r="448" spans="1:12">
      <c r="A448" s="20" t="s">
        <v>558</v>
      </c>
      <c r="E448" s="21">
        <f>IF(D448="?OLD","!!!","")</f>
        <v/>
      </c>
      <c r="F448" s="22" t="str">
        <f>IF(OR(E448="",E448="!!!"),"",IF(NOT(ISNA(VLOOKUP(E448,E$1:E447,1,FALSE()))),"OLD",IF(AND(E448&lt;&gt;"",E448&lt;&gt;"!!!"),"NEW","")))</f>
        <v> </v>
      </c>
      <c r="G448" s="23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4" t="str">
        <f>IF(J448&lt;&gt;1,"",IF(I448="SBJ","CB","?"))</f>
        <v> </v>
      </c>
      <c r="I448" s="25" t="str">
        <f>IF(OR(E448="",E448="!!!",F448="NEW"),"",INDEX(B447:B$2,-1+SUMPRODUCT(MAX(ROW(E447:E$2)*(E448=E447:E$2)))))</f>
        <v> </v>
      </c>
      <c r="J448" s="25" t="str">
        <f>IF(OR(E448="",E448="!!!",F448="NEW"),"",COUNTBLANK(OFFSET(A$1,,,SUMPRODUCT(MAX(ROW(E$2:E448)*(E448=E$2:E448)))))-COUNTBLANK(OFFSET(A$1,,,SUMPRODUCT(MAX(ROW(E$1:E447)*(E2=E$1:E447))))))</f>
        <v> </v>
      </c>
      <c r="K448" s="25" t="str">
        <f>IF(OR(E448="",E448="!!!",F448="NEW"),"",INDEX(J$1:J447,SUMPRODUCT(MAX(ROW(E$1:E447)*(E448=E$1:E447)))))</f>
        <v> </v>
      </c>
      <c r="L448" s="26"/>
    </row>
    <row r="449" spans="1:12">
      <c r="A449" s="20" t="s">
        <v>699</v>
      </c>
      <c r="E449" s="21">
        <f>IF(D449="?OLD","!!!","")</f>
        <v/>
      </c>
      <c r="F449" s="22" t="str">
        <f>IF(OR(E449="",E449="!!!"),"",IF(NOT(ISNA(VLOOKUP(E449,E$1:E448,1,FALSE()))),"OLD",IF(AND(E449&lt;&gt;"",E449&lt;&gt;"!!!"),"NEW","")))</f>
        <v> </v>
      </c>
      <c r="G449" s="23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4" t="str">
        <f>IF(J449&lt;&gt;1,"",IF(I449="SBJ","CB","?"))</f>
        <v> </v>
      </c>
      <c r="I449" s="25" t="str">
        <f>IF(OR(E449="",E449="!!!",F449="NEW"),"",INDEX(B448:B$2,-1+SUMPRODUCT(MAX(ROW(E448:E$2)*(E449=E448:E$2)))))</f>
        <v> </v>
      </c>
      <c r="J449" s="25" t="str">
        <f>IF(OR(E449="",E449="!!!",F449="NEW"),"",COUNTBLANK(OFFSET(A$1,,,SUMPRODUCT(MAX(ROW(E$2:E449)*(E449=E$2:E449)))))-COUNTBLANK(OFFSET(A$1,,,SUMPRODUCT(MAX(ROW(E$1:E448)*(E2=E$1:E448))))))</f>
        <v> </v>
      </c>
      <c r="K449" s="25" t="str">
        <f>IF(OR(E449="",E449="!!!",F449="NEW"),"",INDEX(J$1:J448,SUMPRODUCT(MAX(ROW(E$1:E448)*(E449=E$1:E448)))))</f>
        <v> </v>
      </c>
      <c r="L449" s="26"/>
    </row>
    <row r="450" spans="1:12">
      <c r="A450" s="20" t="s">
        <v>49</v>
      </c>
      <c r="E450" s="21">
        <f>IF(D450="?OLD","!!!","")</f>
        <v/>
      </c>
      <c r="F450" s="22" t="str">
        <f>IF(OR(E450="",E450="!!!"),"",IF(NOT(ISNA(VLOOKUP(E450,E$1:E449,1,FALSE()))),"OLD",IF(AND(E450&lt;&gt;"",E450&lt;&gt;"!!!"),"NEW","")))</f>
        <v> </v>
      </c>
      <c r="G450" s="23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4" t="str">
        <f>IF(J450&lt;&gt;1,"",IF(I450="SBJ","CB","?"))</f>
        <v> </v>
      </c>
      <c r="I450" s="25" t="str">
        <f>IF(OR(E450="",E450="!!!",F450="NEW"),"",INDEX(B449:B$2,-1+SUMPRODUCT(MAX(ROW(E449:E$2)*(E450=E449:E$2)))))</f>
        <v> </v>
      </c>
      <c r="J450" s="25" t="str">
        <f>IF(OR(E450="",E450="!!!",F450="NEW"),"",COUNTBLANK(OFFSET(A$1,,,SUMPRODUCT(MAX(ROW(E$2:E450)*(E450=E$2:E450)))))-COUNTBLANK(OFFSET(A$1,,,SUMPRODUCT(MAX(ROW(E$1:E449)*(E2=E$1:E449))))))</f>
        <v> </v>
      </c>
      <c r="K450" s="25" t="str">
        <f>IF(OR(E450="",E450="!!!",F450="NEW"),"",INDEX(J$1:J449,SUMPRODUCT(MAX(ROW(E$1:E449)*(E450=E$1:E449)))))</f>
        <v> </v>
      </c>
      <c r="L450" s="26"/>
    </row>
    <row r="451" spans="1:12">
      <c r="A451" s="20" t="s">
        <v>700</v>
      </c>
      <c r="E451" s="21">
        <f>IF(D451="?OLD","!!!","")</f>
        <v/>
      </c>
      <c r="F451" s="22" t="str">
        <f>IF(OR(E451="",E451="!!!"),"",IF(NOT(ISNA(VLOOKUP(E451,E$1:E450,1,FALSE()))),"OLD",IF(AND(E451&lt;&gt;"",E451&lt;&gt;"!!!"),"NEW","")))</f>
        <v> </v>
      </c>
      <c r="G451" s="23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4" t="str">
        <f>IF(J451&lt;&gt;1,"",IF(I451="SBJ","CB","?"))</f>
        <v> </v>
      </c>
      <c r="I451" s="25" t="str">
        <f>IF(OR(E451="",E451="!!!",F451="NEW"),"",INDEX(B450:B$2,-1+SUMPRODUCT(MAX(ROW(E450:E$2)*(E451=E450:E$2)))))</f>
        <v> </v>
      </c>
      <c r="J451" s="25" t="str">
        <f>IF(OR(E451="",E451="!!!",F451="NEW"),"",COUNTBLANK(OFFSET(A$1,,,SUMPRODUCT(MAX(ROW(E$2:E451)*(E451=E$2:E451)))))-COUNTBLANK(OFFSET(A$1,,,SUMPRODUCT(MAX(ROW(E$1:E450)*(E2=E$1:E450))))))</f>
        <v> </v>
      </c>
      <c r="K451" s="25" t="str">
        <f>IF(OR(E451="",E451="!!!",F451="NEW"),"",INDEX(J$1:J450,SUMPRODUCT(MAX(ROW(E$1:E450)*(E451=E$1:E450)))))</f>
        <v> </v>
      </c>
      <c r="L451" s="26"/>
    </row>
    <row r="452" spans="1:12">
      <c r="A452" s="20" t="s">
        <v>701</v>
      </c>
      <c r="E452" s="21">
        <f>IF(D452="?OLD","!!!","")</f>
        <v/>
      </c>
      <c r="F452" s="22" t="str">
        <f>IF(OR(E452="",E452="!!!"),"",IF(NOT(ISNA(VLOOKUP(E452,E$1:E451,1,FALSE()))),"OLD",IF(AND(E452&lt;&gt;"",E452&lt;&gt;"!!!"),"NEW","")))</f>
        <v> </v>
      </c>
      <c r="G452" s="23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4" t="str">
        <f>IF(J452&lt;&gt;1,"",IF(I452="SBJ","CB","?"))</f>
        <v> </v>
      </c>
      <c r="I452" s="25" t="str">
        <f>IF(OR(E452="",E452="!!!",F452="NEW"),"",INDEX(B451:B$2,-1+SUMPRODUCT(MAX(ROW(E451:E$2)*(E452=E451:E$2)))))</f>
        <v> </v>
      </c>
      <c r="J452" s="25" t="str">
        <f>IF(OR(E452="",E452="!!!",F452="NEW"),"",COUNTBLANK(OFFSET(A$1,,,SUMPRODUCT(MAX(ROW(E$2:E452)*(E452=E$2:E452)))))-COUNTBLANK(OFFSET(A$1,,,SUMPRODUCT(MAX(ROW(E$1:E451)*(E2=E$1:E451))))))</f>
        <v> </v>
      </c>
      <c r="K452" s="25" t="str">
        <f>IF(OR(E452="",E452="!!!",F452="NEW"),"",INDEX(J$1:J451,SUMPRODUCT(MAX(ROW(E$1:E451)*(E452=E$1:E451)))))</f>
        <v> </v>
      </c>
      <c r="L452" s="26"/>
    </row>
    <row r="453" spans="1:12">
      <c r="A453" s="20" t="s">
        <v>702</v>
      </c>
      <c r="B453" s="27" t="s">
        <v>578</v>
      </c>
      <c r="C453" s="27" t="s">
        <v>516</v>
      </c>
      <c r="E453" s="21">
        <f>IF(D453="?OLD","!!!","")</f>
        <v/>
      </c>
      <c r="F453" s="22" t="str">
        <f>IF(OR(E453="",E453="!!!"),"",IF(NOT(ISNA(VLOOKUP(E453,E$1:E452,1,FALSE()))),"OLD",IF(AND(E453&lt;&gt;"",E453&lt;&gt;"!!!"),"NEW","")))</f>
        <v> </v>
      </c>
      <c r="G453" s="23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4" t="str">
        <f>IF(J453&lt;&gt;1,"",IF(I453="SBJ","CB","?"))</f>
        <v> </v>
      </c>
      <c r="I453" s="25" t="str">
        <f>IF(OR(E453="",E453="!!!",F453="NEW"),"",INDEX(B452:B$2,-1+SUMPRODUCT(MAX(ROW(E452:E$2)*(E453=E452:E$2)))))</f>
        <v> </v>
      </c>
      <c r="J453" s="25" t="str">
        <f>IF(OR(E453="",E453="!!!",F453="NEW"),"",COUNTBLANK(OFFSET(A$1,,,SUMPRODUCT(MAX(ROW(E$2:E453)*(E453=E$2:E453)))))-COUNTBLANK(OFFSET(A$1,,,SUMPRODUCT(MAX(ROW(E$1:E452)*(E2=E$1:E452))))))</f>
        <v> </v>
      </c>
      <c r="K453" s="25" t="str">
        <f>IF(OR(E453="",E453="!!!",F453="NEW"),"",INDEX(J$1:J452,SUMPRODUCT(MAX(ROW(E$1:E452)*(E453=E$1:E452)))))</f>
        <v> </v>
      </c>
      <c r="L453" s="26"/>
    </row>
    <row r="454" spans="1:12">
      <c r="A454" s="20" t="s">
        <v>503</v>
      </c>
      <c r="E454" s="21">
        <f>IF(D454="?OLD","!!!","")</f>
        <v/>
      </c>
      <c r="F454" s="22" t="str">
        <f>IF(OR(E454="",E454="!!!"),"",IF(NOT(ISNA(VLOOKUP(E454,E$1:E453,1,FALSE()))),"OLD",IF(AND(E454&lt;&gt;"",E454&lt;&gt;"!!!"),"NEW","")))</f>
        <v> </v>
      </c>
      <c r="G454" s="23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4" t="str">
        <f>IF(J454&lt;&gt;1,"",IF(I454="SBJ","CB","?"))</f>
        <v> </v>
      </c>
      <c r="I454" s="25" t="str">
        <f>IF(OR(E454="",E454="!!!",F454="NEW"),"",INDEX(B453:B$2,-1+SUMPRODUCT(MAX(ROW(E453:E$2)*(E454=E453:E$2)))))</f>
        <v> </v>
      </c>
      <c r="J454" s="25" t="str">
        <f>IF(OR(E454="",E454="!!!",F454="NEW"),"",COUNTBLANK(OFFSET(A$1,,,SUMPRODUCT(MAX(ROW(E$2:E454)*(E454=E$2:E454)))))-COUNTBLANK(OFFSET(A$1,,,SUMPRODUCT(MAX(ROW(E$1:E453)*(E2=E$1:E453))))))</f>
        <v> </v>
      </c>
      <c r="K454" s="25" t="str">
        <f>IF(OR(E454="",E454="!!!",F454="NEW"),"",INDEX(J$1:J453,SUMPRODUCT(MAX(ROW(E$1:E453)*(E454=E$1:E453)))))</f>
        <v> </v>
      </c>
      <c r="L454" s="26"/>
    </row>
    <row r="455" spans="1:12">
      <c r="A455" s="20" t="s">
        <v>485</v>
      </c>
      <c r="E455" s="21">
        <f>IF(D455="?OLD","!!!","")</f>
        <v/>
      </c>
      <c r="F455" s="22" t="str">
        <f>IF(OR(E455="",E455="!!!"),"",IF(NOT(ISNA(VLOOKUP(E455,E$1:E454,1,FALSE()))),"OLD",IF(AND(E455&lt;&gt;"",E455&lt;&gt;"!!!"),"NEW","")))</f>
        <v> </v>
      </c>
      <c r="G455" s="23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4" t="str">
        <f>IF(J455&lt;&gt;1,"",IF(I455="SBJ","CB","?"))</f>
        <v> </v>
      </c>
      <c r="I455" s="25" t="str">
        <f>IF(OR(E455="",E455="!!!",F455="NEW"),"",INDEX(B454:B$2,-1+SUMPRODUCT(MAX(ROW(E454:E$2)*(E455=E454:E$2)))))</f>
        <v> </v>
      </c>
      <c r="J455" s="25" t="str">
        <f>IF(OR(E455="",E455="!!!",F455="NEW"),"",COUNTBLANK(OFFSET(A$1,,,SUMPRODUCT(MAX(ROW(E$2:E455)*(E455=E$2:E455)))))-COUNTBLANK(OFFSET(A$1,,,SUMPRODUCT(MAX(ROW(E$1:E454)*(E2=E$1:E454))))))</f>
        <v> </v>
      </c>
      <c r="K455" s="25" t="str">
        <f>IF(OR(E455="",E455="!!!",F455="NEW"),"",INDEX(J$1:J454,SUMPRODUCT(MAX(ROW(E$1:E454)*(E455=E$1:E454)))))</f>
        <v> </v>
      </c>
      <c r="L455" s="26"/>
    </row>
    <row r="456" spans="1:12">
      <c r="A456" s="20" t="s">
        <v>703</v>
      </c>
      <c r="E456" s="21">
        <f>IF(D456="?OLD","!!!","")</f>
        <v/>
      </c>
      <c r="F456" s="22" t="str">
        <f>IF(OR(E456="",E456="!!!"),"",IF(NOT(ISNA(VLOOKUP(E456,E$1:E455,1,FALSE()))),"OLD",IF(AND(E456&lt;&gt;"",E456&lt;&gt;"!!!"),"NEW","")))</f>
        <v> </v>
      </c>
      <c r="G456" s="23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4" t="str">
        <f>IF(J456&lt;&gt;1,"",IF(I456="SBJ","CB","?"))</f>
        <v> </v>
      </c>
      <c r="I456" s="25" t="str">
        <f>IF(OR(E456="",E456="!!!",F456="NEW"),"",INDEX(B455:B$2,-1+SUMPRODUCT(MAX(ROW(E455:E$2)*(E456=E455:E$2)))))</f>
        <v> </v>
      </c>
      <c r="J456" s="25" t="str">
        <f>IF(OR(E456="",E456="!!!",F456="NEW"),"",COUNTBLANK(OFFSET(A$1,,,SUMPRODUCT(MAX(ROW(E$2:E456)*(E456=E$2:E456)))))-COUNTBLANK(OFFSET(A$1,,,SUMPRODUCT(MAX(ROW(E$1:E455)*(E2=E$1:E455))))))</f>
        <v> </v>
      </c>
      <c r="K456" s="25" t="str">
        <f>IF(OR(E456="",E456="!!!",F456="NEW"),"",INDEX(J$1:J455,SUMPRODUCT(MAX(ROW(E$1:E455)*(E456=E$1:E455)))))</f>
        <v> </v>
      </c>
      <c r="L456" s="26"/>
    </row>
    <row r="457" spans="1:12">
      <c r="A457" s="20" t="s">
        <v>380</v>
      </c>
      <c r="E457" s="21">
        <f>IF(D457="?OLD","!!!","")</f>
        <v/>
      </c>
      <c r="F457" s="22" t="str">
        <f>IF(OR(E457="",E457="!!!"),"",IF(NOT(ISNA(VLOOKUP(E457,E$1:E456,1,FALSE()))),"OLD",IF(AND(E457&lt;&gt;"",E457&lt;&gt;"!!!"),"NEW","")))</f>
        <v> </v>
      </c>
      <c r="G457" s="23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4" t="str">
        <f>IF(J457&lt;&gt;1,"",IF(I457="SBJ","CB","?"))</f>
        <v> </v>
      </c>
      <c r="I457" s="25" t="str">
        <f>IF(OR(E457="",E457="!!!",F457="NEW"),"",INDEX(B456:B$2,-1+SUMPRODUCT(MAX(ROW(E456:E$2)*(E457=E456:E$2)))))</f>
        <v> </v>
      </c>
      <c r="J457" s="25" t="str">
        <f>IF(OR(E457="",E457="!!!",F457="NEW"),"",COUNTBLANK(OFFSET(A$1,,,SUMPRODUCT(MAX(ROW(E$2:E457)*(E457=E$2:E457)))))-COUNTBLANK(OFFSET(A$1,,,SUMPRODUCT(MAX(ROW(E$1:E456)*(E2=E$1:E456))))))</f>
        <v> </v>
      </c>
      <c r="K457" s="25" t="str">
        <f>IF(OR(E457="",E457="!!!",F457="NEW"),"",INDEX(J$1:J456,SUMPRODUCT(MAX(ROW(E$1:E456)*(E457=E$1:E456)))))</f>
        <v> </v>
      </c>
      <c r="L457" s="26"/>
    </row>
    <row r="458" spans="1:12">
      <c r="A458" s="20" t="s">
        <v>586</v>
      </c>
      <c r="B458" s="27" t="s">
        <v>497</v>
      </c>
      <c r="C458" s="27" t="s">
        <v>498</v>
      </c>
      <c r="E458" s="21">
        <f>IF(D458="?OLD","!!!","")</f>
        <v/>
      </c>
      <c r="F458" s="22" t="str">
        <f>IF(OR(E458="",E458="!!!"),"",IF(NOT(ISNA(VLOOKUP(E458,E$1:E457,1,FALSE()))),"OLD",IF(AND(E458&lt;&gt;"",E458&lt;&gt;"!!!"),"NEW","")))</f>
        <v> </v>
      </c>
      <c r="G458" s="23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4" t="str">
        <f>IF(J458&lt;&gt;1,"",IF(I458="SBJ","CB","?"))</f>
        <v> </v>
      </c>
      <c r="I458" s="25" t="str">
        <f>IF(OR(E458="",E458="!!!",F458="NEW"),"",INDEX(B457:B$2,-1+SUMPRODUCT(MAX(ROW(E457:E$2)*(E458=E457:E$2)))))</f>
        <v> </v>
      </c>
      <c r="J458" s="25" t="str">
        <f>IF(OR(E458="",E458="!!!",F458="NEW"),"",COUNTBLANK(OFFSET(A$1,,,SUMPRODUCT(MAX(ROW(E$2:E458)*(E458=E$2:E458)))))-COUNTBLANK(OFFSET(A$1,,,SUMPRODUCT(MAX(ROW(E$1:E457)*(E2=E$1:E457))))))</f>
        <v> </v>
      </c>
      <c r="K458" s="25" t="str">
        <f>IF(OR(E458="",E458="!!!",F458="NEW"),"",INDEX(J$1:J457,SUMPRODUCT(MAX(ROW(E$1:E457)*(E458=E$1:E457)))))</f>
        <v> </v>
      </c>
      <c r="L458" s="26"/>
    </row>
    <row r="459" spans="1:12">
      <c r="A459" s="20" t="s">
        <v>489</v>
      </c>
      <c r="E459" s="21">
        <f>IF(D459="?OLD","!!!","")</f>
        <v/>
      </c>
      <c r="F459" s="22" t="str">
        <f>IF(OR(E459="",E459="!!!"),"",IF(NOT(ISNA(VLOOKUP(E459,E$1:E458,1,FALSE()))),"OLD",IF(AND(E459&lt;&gt;"",E459&lt;&gt;"!!!"),"NEW","")))</f>
        <v> </v>
      </c>
      <c r="G459" s="23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4" t="str">
        <f>IF(J459&lt;&gt;1,"",IF(I459="SBJ","CB","?"))</f>
        <v> </v>
      </c>
      <c r="I459" s="25" t="str">
        <f>IF(OR(E459="",E459="!!!",F459="NEW"),"",INDEX(B458:B$2,-1+SUMPRODUCT(MAX(ROW(E458:E$2)*(E459=E458:E$2)))))</f>
        <v> </v>
      </c>
      <c r="J459" s="25" t="str">
        <f>IF(OR(E459="",E459="!!!",F459="NEW"),"",COUNTBLANK(OFFSET(A$1,,,SUMPRODUCT(MAX(ROW(E$2:E459)*(E459=E$2:E459)))))-COUNTBLANK(OFFSET(A$1,,,SUMPRODUCT(MAX(ROW(E$1:E458)*(E2=E$1:E458))))))</f>
        <v> </v>
      </c>
      <c r="K459" s="25" t="str">
        <f>IF(OR(E459="",E459="!!!",F459="NEW"),"",INDEX(J$1:J458,SUMPRODUCT(MAX(ROW(E$1:E458)*(E459=E$1:E458)))))</f>
        <v> </v>
      </c>
      <c r="L459" s="26"/>
    </row>
    <row r="460" spans="1:12">
      <c r="A460" s="20" t="s">
        <v>568</v>
      </c>
      <c r="E460" s="21">
        <f>IF(D460="?OLD","!!!","")</f>
        <v/>
      </c>
      <c r="F460" s="22" t="str">
        <f>IF(OR(E460="",E460="!!!"),"",IF(NOT(ISNA(VLOOKUP(E460,E$1:E459,1,FALSE()))),"OLD",IF(AND(E460&lt;&gt;"",E460&lt;&gt;"!!!"),"NEW","")))</f>
        <v> </v>
      </c>
      <c r="G460" s="23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4" t="str">
        <f>IF(J460&lt;&gt;1,"",IF(I460="SBJ","CB","?"))</f>
        <v> </v>
      </c>
      <c r="I460" s="25" t="str">
        <f>IF(OR(E460="",E460="!!!",F460="NEW"),"",INDEX(B459:B$2,-1+SUMPRODUCT(MAX(ROW(E459:E$2)*(E460=E459:E$2)))))</f>
        <v> </v>
      </c>
      <c r="J460" s="25" t="str">
        <f>IF(OR(E460="",E460="!!!",F460="NEW"),"",COUNTBLANK(OFFSET(A$1,,,SUMPRODUCT(MAX(ROW(E$2:E460)*(E460=E$2:E460)))))-COUNTBLANK(OFFSET(A$1,,,SUMPRODUCT(MAX(ROW(E$1:E459)*(E2=E$1:E459))))))</f>
        <v> </v>
      </c>
      <c r="K460" s="25" t="str">
        <f>IF(OR(E460="",E460="!!!",F460="NEW"),"",INDEX(J$1:J459,SUMPRODUCT(MAX(ROW(E$1:E459)*(E460=E$1:E459)))))</f>
        <v> </v>
      </c>
      <c r="L460" s="26"/>
    </row>
    <row r="461" spans="1:12">
      <c r="A461" s="20" t="s">
        <v>492</v>
      </c>
      <c r="E461" s="21">
        <f>IF(D461="?OLD","!!!","")</f>
        <v/>
      </c>
      <c r="F461" s="22" t="str">
        <f>IF(OR(E461="",E461="!!!"),"",IF(NOT(ISNA(VLOOKUP(E461,E$1:E460,1,FALSE()))),"OLD",IF(AND(E461&lt;&gt;"",E461&lt;&gt;"!!!"),"NEW","")))</f>
        <v> </v>
      </c>
      <c r="G461" s="23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4" t="str">
        <f>IF(J461&lt;&gt;1,"",IF(I461="SBJ","CB","?"))</f>
        <v> </v>
      </c>
      <c r="I461" s="25" t="str">
        <f>IF(OR(E461="",E461="!!!",F461="NEW"),"",INDEX(B460:B$2,-1+SUMPRODUCT(MAX(ROW(E460:E$2)*(E461=E460:E$2)))))</f>
        <v> </v>
      </c>
      <c r="J461" s="25" t="str">
        <f>IF(OR(E461="",E461="!!!",F461="NEW"),"",COUNTBLANK(OFFSET(A$1,,,SUMPRODUCT(MAX(ROW(E$2:E461)*(E461=E$2:E461)))))-COUNTBLANK(OFFSET(A$1,,,SUMPRODUCT(MAX(ROW(E$1:E460)*(E2=E$1:E460))))))</f>
        <v> </v>
      </c>
      <c r="K461" s="25" t="str">
        <f>IF(OR(E461="",E461="!!!",F461="NEW"),"",INDEX(J$1:J460,SUMPRODUCT(MAX(ROW(E$1:E460)*(E461=E$1:E460)))))</f>
        <v> </v>
      </c>
      <c r="L461" s="26"/>
    </row>
    <row r="462" spans="1:12">
      <c r="A462" s="20" t="s">
        <v>518</v>
      </c>
      <c r="E462" s="21">
        <f>IF(D462="?OLD","!!!","")</f>
        <v/>
      </c>
      <c r="F462" s="22" t="str">
        <f>IF(OR(E462="",E462="!!!"),"",IF(NOT(ISNA(VLOOKUP(E462,E$1:E461,1,FALSE()))),"OLD",IF(AND(E462&lt;&gt;"",E462&lt;&gt;"!!!"),"NEW","")))</f>
        <v> </v>
      </c>
      <c r="G462" s="23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4" t="str">
        <f>IF(J462&lt;&gt;1,"",IF(I462="SBJ","CB","?"))</f>
        <v> </v>
      </c>
      <c r="I462" s="25" t="str">
        <f>IF(OR(E462="",E462="!!!",F462="NEW"),"",INDEX(B461:B$2,-1+SUMPRODUCT(MAX(ROW(E461:E$2)*(E462=E461:E$2)))))</f>
        <v> </v>
      </c>
      <c r="J462" s="25" t="str">
        <f>IF(OR(E462="",E462="!!!",F462="NEW"),"",COUNTBLANK(OFFSET(A$1,,,SUMPRODUCT(MAX(ROW(E$2:E462)*(E462=E$2:E462)))))-COUNTBLANK(OFFSET(A$1,,,SUMPRODUCT(MAX(ROW(E$1:E461)*(E2=E$1:E461))))))</f>
        <v> </v>
      </c>
      <c r="K462" s="25" t="str">
        <f>IF(OR(E462="",E462="!!!",F462="NEW"),"",INDEX(J$1:J461,SUMPRODUCT(MAX(ROW(E$1:E461)*(E462=E$1:E461)))))</f>
        <v> </v>
      </c>
      <c r="L462" s="26"/>
    </row>
    <row r="463" spans="1:12">
      <c r="A463" s="20" t="s">
        <v>590</v>
      </c>
      <c r="E463" s="21">
        <f>IF(D463="?OLD","!!!","")</f>
        <v/>
      </c>
      <c r="F463" s="22" t="str">
        <f>IF(OR(E463="",E463="!!!"),"",IF(NOT(ISNA(VLOOKUP(E463,E$1:E462,1,FALSE()))),"OLD",IF(AND(E463&lt;&gt;"",E463&lt;&gt;"!!!"),"NEW","")))</f>
        <v> </v>
      </c>
      <c r="G463" s="23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4" t="str">
        <f>IF(J463&lt;&gt;1,"",IF(I463="SBJ","CB","?"))</f>
        <v> </v>
      </c>
      <c r="I463" s="25" t="str">
        <f>IF(OR(E463="",E463="!!!",F463="NEW"),"",INDEX(B462:B$2,-1+SUMPRODUCT(MAX(ROW(E462:E$2)*(E463=E462:E$2)))))</f>
        <v> </v>
      </c>
      <c r="J463" s="25" t="str">
        <f>IF(OR(E463="",E463="!!!",F463="NEW"),"",COUNTBLANK(OFFSET(A$1,,,SUMPRODUCT(MAX(ROW(E$2:E463)*(E463=E$2:E463)))))-COUNTBLANK(OFFSET(A$1,,,SUMPRODUCT(MAX(ROW(E$1:E462)*(E2=E$1:E462))))))</f>
        <v> </v>
      </c>
      <c r="K463" s="25" t="str">
        <f>IF(OR(E463="",E463="!!!",F463="NEW"),"",INDEX(J$1:J462,SUMPRODUCT(MAX(ROW(E$1:E462)*(E463=E$1:E462)))))</f>
        <v> </v>
      </c>
      <c r="L463" s="26"/>
    </row>
    <row r="464" spans="1:12">
      <c r="A464" s="20" t="s">
        <v>37</v>
      </c>
      <c r="E464" s="21">
        <f>IF(D464="?OLD","!!!","")</f>
        <v/>
      </c>
      <c r="F464" s="22" t="str">
        <f>IF(OR(E464="",E464="!!!"),"",IF(NOT(ISNA(VLOOKUP(E464,E$1:E463,1,FALSE()))),"OLD",IF(AND(E464&lt;&gt;"",E464&lt;&gt;"!!!"),"NEW","")))</f>
        <v> </v>
      </c>
      <c r="G464" s="23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4" t="str">
        <f>IF(J464&lt;&gt;1,"",IF(I464="SBJ","CB","?"))</f>
        <v> </v>
      </c>
      <c r="I464" s="25" t="str">
        <f>IF(OR(E464="",E464="!!!",F464="NEW"),"",INDEX(B463:B$2,-1+SUMPRODUCT(MAX(ROW(E463:E$2)*(E464=E463:E$2)))))</f>
        <v> </v>
      </c>
      <c r="J464" s="25" t="str">
        <f>IF(OR(E464="",E464="!!!",F464="NEW"),"",COUNTBLANK(OFFSET(A$1,,,SUMPRODUCT(MAX(ROW(E$2:E464)*(E464=E$2:E464)))))-COUNTBLANK(OFFSET(A$1,,,SUMPRODUCT(MAX(ROW(E$1:E463)*(E2=E$1:E463))))))</f>
        <v> </v>
      </c>
      <c r="K464" s="25" t="str">
        <f>IF(OR(E464="",E464="!!!",F464="NEW"),"",INDEX(J$1:J463,SUMPRODUCT(MAX(ROW(E$1:E463)*(E464=E$1:E463)))))</f>
        <v> </v>
      </c>
      <c r="L464" s="26"/>
    </row>
    <row r="465" spans="1:12">
      <c r="A465" s="20" t="s">
        <v>531</v>
      </c>
      <c r="E465" s="21">
        <f>IF(D465="?OLD","!!!","")</f>
        <v/>
      </c>
      <c r="F465" s="22" t="str">
        <f>IF(OR(E465="",E465="!!!"),"",IF(NOT(ISNA(VLOOKUP(E465,E$1:E464,1,FALSE()))),"OLD",IF(AND(E465&lt;&gt;"",E465&lt;&gt;"!!!"),"NEW","")))</f>
        <v> </v>
      </c>
      <c r="G465" s="23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4" t="str">
        <f>IF(J465&lt;&gt;1,"",IF(I465="SBJ","CB","?"))</f>
        <v> </v>
      </c>
      <c r="I465" s="25" t="str">
        <f>IF(OR(E465="",E465="!!!",F465="NEW"),"",INDEX(B464:B$2,-1+SUMPRODUCT(MAX(ROW(E464:E$2)*(E465=E464:E$2)))))</f>
        <v> </v>
      </c>
      <c r="J465" s="25" t="str">
        <f>IF(OR(E465="",E465="!!!",F465="NEW"),"",COUNTBLANK(OFFSET(A$1,,,SUMPRODUCT(MAX(ROW(E$2:E465)*(E465=E$2:E465)))))-COUNTBLANK(OFFSET(A$1,,,SUMPRODUCT(MAX(ROW(E$1:E464)*(E2=E$1:E464))))))</f>
        <v> </v>
      </c>
      <c r="K465" s="25" t="str">
        <f>IF(OR(E465="",E465="!!!",F465="NEW"),"",INDEX(J$1:J464,SUMPRODUCT(MAX(ROW(E$1:E464)*(E465=E$1:E464)))))</f>
        <v> </v>
      </c>
      <c r="L465" s="26"/>
    </row>
    <row r="466" spans="1:12">
      <c r="A466" s="20"/>
    </row>
    <row r="467" spans="1:12">
      <c r="A467" s="20" t="s">
        <v>704</v>
      </c>
    </row>
    <row r="468" spans="1:12">
      <c r="A468" s="20" t="s">
        <v>705</v>
      </c>
      <c r="E468" s="21">
        <f>IF(D468="?OLD","!!!","")</f>
        <v/>
      </c>
      <c r="F468" s="22" t="str">
        <f>IF(OR(E468="",E468="!!!"),"",IF(NOT(ISNA(VLOOKUP(E468,E$1:E467,1,FALSE()))),"OLD",IF(AND(E468&lt;&gt;"",E468&lt;&gt;"!!!"),"NEW","")))</f>
        <v> </v>
      </c>
      <c r="G468" s="23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4" t="str">
        <f>IF(J468&lt;&gt;1,"",IF(I468="SBJ","CB","?"))</f>
        <v> </v>
      </c>
      <c r="I468" s="25" t="str">
        <f>IF(OR(E468="",E468="!!!",F468="NEW"),"",INDEX(B467:B$2,-1+SUMPRODUCT(MAX(ROW(E467:E$2)*(E468=E467:E$2)))))</f>
        <v> </v>
      </c>
      <c r="J468" s="25" t="str">
        <f>IF(OR(E468="",E468="!!!",F468="NEW"),"",COUNTBLANK(OFFSET(A$1,,,SUMPRODUCT(MAX(ROW(E$2:E468)*(E468=E$2:E468)))))-COUNTBLANK(OFFSET(A$1,,,SUMPRODUCT(MAX(ROW(E$1:E467)*(E2=E$1:E467))))))</f>
        <v> </v>
      </c>
      <c r="K468" s="25" t="str">
        <f>IF(OR(E468="",E468="!!!",F468="NEW"),"",INDEX(J$1:J467,SUMPRODUCT(MAX(ROW(E$1:E467)*(E468=E$1:E467)))))</f>
        <v> </v>
      </c>
      <c r="L468" s="26"/>
    </row>
    <row r="469" spans="1:12">
      <c r="A469" s="20" t="s">
        <v>706</v>
      </c>
      <c r="E469" s="21">
        <f>IF(D469="?OLD","!!!","")</f>
        <v/>
      </c>
      <c r="F469" s="22" t="str">
        <f>IF(OR(E469="",E469="!!!"),"",IF(NOT(ISNA(VLOOKUP(E469,E$1:E468,1,FALSE()))),"OLD",IF(AND(E469&lt;&gt;"",E469&lt;&gt;"!!!"),"NEW","")))</f>
        <v> </v>
      </c>
      <c r="G469" s="23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4" t="str">
        <f>IF(J469&lt;&gt;1,"",IF(I469="SBJ","CB","?"))</f>
        <v> </v>
      </c>
      <c r="I469" s="25" t="str">
        <f>IF(OR(E469="",E469="!!!",F469="NEW"),"",INDEX(B468:B$2,-1+SUMPRODUCT(MAX(ROW(E468:E$2)*(E469=E468:E$2)))))</f>
        <v> </v>
      </c>
      <c r="J469" s="25" t="str">
        <f>IF(OR(E469="",E469="!!!",F469="NEW"),"",COUNTBLANK(OFFSET(A$1,,,SUMPRODUCT(MAX(ROW(E$2:E469)*(E469=E$2:E469)))))-COUNTBLANK(OFFSET(A$1,,,SUMPRODUCT(MAX(ROW(E$1:E468)*(E2=E$1:E468))))))</f>
        <v> </v>
      </c>
      <c r="K469" s="25" t="str">
        <f>IF(OR(E469="",E469="!!!",F469="NEW"),"",INDEX(J$1:J468,SUMPRODUCT(MAX(ROW(E$1:E468)*(E469=E$1:E468)))))</f>
        <v> </v>
      </c>
      <c r="L469" s="26"/>
    </row>
    <row r="470" spans="1:12">
      <c r="A470" s="20" t="s">
        <v>707</v>
      </c>
      <c r="B470" s="27" t="s">
        <v>549</v>
      </c>
      <c r="C470" s="27" t="s">
        <v>478</v>
      </c>
      <c r="E470" s="21">
        <f>IF(D470="?OLD","!!!","")</f>
        <v/>
      </c>
      <c r="F470" s="22" t="str">
        <f>IF(OR(E470="",E470="!!!"),"",IF(NOT(ISNA(VLOOKUP(E470,E$1:E469,1,FALSE()))),"OLD",IF(AND(E470&lt;&gt;"",E470&lt;&gt;"!!!"),"NEW","")))</f>
        <v> </v>
      </c>
      <c r="G470" s="23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4" t="str">
        <f>IF(J470&lt;&gt;1,"",IF(I470="SBJ","CB","?"))</f>
        <v> </v>
      </c>
      <c r="I470" s="25" t="str">
        <f>IF(OR(E470="",E470="!!!",F470="NEW"),"",INDEX(B469:B$2,-1+SUMPRODUCT(MAX(ROW(E469:E$2)*(E470=E469:E$2)))))</f>
        <v> </v>
      </c>
      <c r="J470" s="25" t="str">
        <f>IF(OR(E470="",E470="!!!",F470="NEW"),"",COUNTBLANK(OFFSET(A$1,,,SUMPRODUCT(MAX(ROW(E$2:E470)*(E470=E$2:E470)))))-COUNTBLANK(OFFSET(A$1,,,SUMPRODUCT(MAX(ROW(E$1:E469)*(E2=E$1:E469))))))</f>
        <v> </v>
      </c>
      <c r="K470" s="25" t="str">
        <f>IF(OR(E470="",E470="!!!",F470="NEW"),"",INDEX(J$1:J469,SUMPRODUCT(MAX(ROW(E$1:E469)*(E470=E$1:E469)))))</f>
        <v> </v>
      </c>
      <c r="L470" s="26"/>
    </row>
    <row r="471" spans="1:12">
      <c r="A471" s="20" t="s">
        <v>649</v>
      </c>
      <c r="E471" s="21">
        <f>IF(D471="?OLD","!!!","")</f>
        <v/>
      </c>
      <c r="F471" s="22" t="str">
        <f>IF(OR(E471="",E471="!!!"),"",IF(NOT(ISNA(VLOOKUP(E471,E$1:E470,1,FALSE()))),"OLD",IF(AND(E471&lt;&gt;"",E471&lt;&gt;"!!!"),"NEW","")))</f>
        <v> </v>
      </c>
      <c r="G471" s="23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4" t="str">
        <f>IF(J471&lt;&gt;1,"",IF(I471="SBJ","CB","?"))</f>
        <v> </v>
      </c>
      <c r="I471" s="25" t="str">
        <f>IF(OR(E471="",E471="!!!",F471="NEW"),"",INDEX(B470:B$2,-1+SUMPRODUCT(MAX(ROW(E470:E$2)*(E471=E470:E$2)))))</f>
        <v> </v>
      </c>
      <c r="J471" s="25" t="str">
        <f>IF(OR(E471="",E471="!!!",F471="NEW"),"",COUNTBLANK(OFFSET(A$1,,,SUMPRODUCT(MAX(ROW(E$2:E471)*(E471=E$2:E471)))))-COUNTBLANK(OFFSET(A$1,,,SUMPRODUCT(MAX(ROW(E$1:E470)*(E2=E$1:E470))))))</f>
        <v> </v>
      </c>
      <c r="K471" s="25" t="str">
        <f>IF(OR(E471="",E471="!!!",F471="NEW"),"",INDEX(J$1:J470,SUMPRODUCT(MAX(ROW(E$1:E470)*(E471=E$1:E470)))))</f>
        <v> </v>
      </c>
      <c r="L471" s="26"/>
    </row>
    <row r="472" spans="1:12">
      <c r="A472" s="20" t="s">
        <v>708</v>
      </c>
      <c r="E472" s="21">
        <f>IF(D472="?OLD","!!!","")</f>
        <v/>
      </c>
      <c r="F472" s="22" t="str">
        <f>IF(OR(E472="",E472="!!!"),"",IF(NOT(ISNA(VLOOKUP(E472,E$1:E471,1,FALSE()))),"OLD",IF(AND(E472&lt;&gt;"",E472&lt;&gt;"!!!"),"NEW","")))</f>
        <v> </v>
      </c>
      <c r="G472" s="23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4" t="str">
        <f>IF(J472&lt;&gt;1,"",IF(I472="SBJ","CB","?"))</f>
        <v> </v>
      </c>
      <c r="I472" s="25" t="str">
        <f>IF(OR(E472="",E472="!!!",F472="NEW"),"",INDEX(B471:B$2,-1+SUMPRODUCT(MAX(ROW(E471:E$2)*(E472=E471:E$2)))))</f>
        <v> </v>
      </c>
      <c r="J472" s="25" t="str">
        <f>IF(OR(E472="",E472="!!!",F472="NEW"),"",COUNTBLANK(OFFSET(A$1,,,SUMPRODUCT(MAX(ROW(E$2:E472)*(E472=E$2:E472)))))-COUNTBLANK(OFFSET(A$1,,,SUMPRODUCT(MAX(ROW(E$1:E471)*(E2=E$1:E471))))))</f>
        <v> </v>
      </c>
      <c r="K472" s="25" t="str">
        <f>IF(OR(E472="",E472="!!!",F472="NEW"),"",INDEX(J$1:J471,SUMPRODUCT(MAX(ROW(E$1:E471)*(E472=E$1:E471)))))</f>
        <v> </v>
      </c>
      <c r="L472" s="26"/>
    </row>
    <row r="473" spans="1:12">
      <c r="A473" s="20" t="s">
        <v>652</v>
      </c>
      <c r="E473" s="21">
        <f>IF(D473="?OLD","!!!","")</f>
        <v/>
      </c>
      <c r="F473" s="22" t="str">
        <f>IF(OR(E473="",E473="!!!"),"",IF(NOT(ISNA(VLOOKUP(E473,E$1:E472,1,FALSE()))),"OLD",IF(AND(E473&lt;&gt;"",E473&lt;&gt;"!!!"),"NEW","")))</f>
        <v> </v>
      </c>
      <c r="G473" s="23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4" t="str">
        <f>IF(J473&lt;&gt;1,"",IF(I473="SBJ","CB","?"))</f>
        <v> </v>
      </c>
      <c r="I473" s="25" t="str">
        <f>IF(OR(E473="",E473="!!!",F473="NEW"),"",INDEX(B472:B$2,-1+SUMPRODUCT(MAX(ROW(E472:E$2)*(E473=E472:E$2)))))</f>
        <v> </v>
      </c>
      <c r="J473" s="25" t="str">
        <f>IF(OR(E473="",E473="!!!",F473="NEW"),"",COUNTBLANK(OFFSET(A$1,,,SUMPRODUCT(MAX(ROW(E$2:E473)*(E473=E$2:E473)))))-COUNTBLANK(OFFSET(A$1,,,SUMPRODUCT(MAX(ROW(E$1:E472)*(E2=E$1:E472))))))</f>
        <v> </v>
      </c>
      <c r="K473" s="25" t="str">
        <f>IF(OR(E473="",E473="!!!",F473="NEW"),"",INDEX(J$1:J472,SUMPRODUCT(MAX(ROW(E$1:E472)*(E473=E$1:E472)))))</f>
        <v> </v>
      </c>
      <c r="L473" s="26"/>
    </row>
    <row r="474" spans="1:12">
      <c r="A474" s="20" t="s">
        <v>586</v>
      </c>
      <c r="B474" s="27" t="s">
        <v>481</v>
      </c>
      <c r="C474" s="27" t="s">
        <v>598</v>
      </c>
      <c r="D474" s="27" t="s">
        <v>483</v>
      </c>
      <c r="E474" s="21">
        <f>IF(D474="?OLD","!!!","")</f>
        <v/>
      </c>
      <c r="F474" s="22" t="str">
        <f>IF(OR(E474="",E474="!!!"),"",IF(NOT(ISNA(VLOOKUP(E474,E$1:E473,1,FALSE()))),"OLD",IF(AND(E474&lt;&gt;"",E474&lt;&gt;"!!!"),"NEW","")))</f>
        <v> </v>
      </c>
      <c r="G474" s="23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4" t="str">
        <f>IF(J474&lt;&gt;1,"",IF(I474="SBJ","CB","?"))</f>
        <v> </v>
      </c>
      <c r="I474" s="25" t="str">
        <f>IF(OR(E474="",E474="!!!",F474="NEW"),"",INDEX(B473:B$2,-1+SUMPRODUCT(MAX(ROW(E473:E$2)*(E474=E473:E$2)))))</f>
        <v> </v>
      </c>
      <c r="J474" s="25" t="str">
        <f>IF(OR(E474="",E474="!!!",F474="NEW"),"",COUNTBLANK(OFFSET(A$1,,,SUMPRODUCT(MAX(ROW(E$2:E474)*(E474=E$2:E474)))))-COUNTBLANK(OFFSET(A$1,,,SUMPRODUCT(MAX(ROW(E$1:E473)*(E2=E$1:E473))))))</f>
        <v> </v>
      </c>
      <c r="K474" s="25" t="str">
        <f>IF(OR(E474="",E474="!!!",F474="NEW"),"",INDEX(J$1:J473,SUMPRODUCT(MAX(ROW(E$1:E473)*(E474=E$1:E473)))))</f>
        <v> </v>
      </c>
      <c r="L474" s="26"/>
    </row>
    <row r="475" spans="1:12">
      <c r="A475" s="20" t="s">
        <v>531</v>
      </c>
      <c r="E475" s="21">
        <f>IF(D475="?OLD","!!!","")</f>
        <v/>
      </c>
      <c r="F475" s="22" t="str">
        <f>IF(OR(E475="",E475="!!!"),"",IF(NOT(ISNA(VLOOKUP(E475,E$1:E474,1,FALSE()))),"OLD",IF(AND(E475&lt;&gt;"",E475&lt;&gt;"!!!"),"NEW","")))</f>
        <v> </v>
      </c>
      <c r="G475" s="23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4" t="str">
        <f>IF(J475&lt;&gt;1,"",IF(I475="SBJ","CB","?"))</f>
        <v> </v>
      </c>
      <c r="I475" s="25" t="str">
        <f>IF(OR(E475="",E475="!!!",F475="NEW"),"",INDEX(B474:B$2,-1+SUMPRODUCT(MAX(ROW(E474:E$2)*(E475=E474:E$2)))))</f>
        <v> </v>
      </c>
      <c r="J475" s="25" t="str">
        <f>IF(OR(E475="",E475="!!!",F475="NEW"),"",COUNTBLANK(OFFSET(A$1,,,SUMPRODUCT(MAX(ROW(E$2:E475)*(E475=E$2:E475)))))-COUNTBLANK(OFFSET(A$1,,,SUMPRODUCT(MAX(ROW(E$1:E474)*(E2=E$1:E474))))))</f>
        <v> </v>
      </c>
      <c r="K475" s="25" t="str">
        <f>IF(OR(E475="",E475="!!!",F475="NEW"),"",INDEX(J$1:J474,SUMPRODUCT(MAX(ROW(E$1:E474)*(E475=E$1:E474)))))</f>
        <v> </v>
      </c>
      <c r="L475" s="26"/>
    </row>
    <row r="476" spans="1:12">
      <c r="A476" s="20"/>
    </row>
    <row r="477" spans="1:12">
      <c r="A477" s="20" t="s">
        <v>709</v>
      </c>
    </row>
    <row r="478" spans="1:12">
      <c r="A478" s="20" t="s">
        <v>12</v>
      </c>
      <c r="B478" s="27" t="s">
        <v>549</v>
      </c>
      <c r="C478" s="27" t="s">
        <v>491</v>
      </c>
      <c r="D478" s="27" t="s">
        <v>483</v>
      </c>
      <c r="E478" s="21">
        <f>IF(D478="?OLD","!!!","")</f>
        <v/>
      </c>
      <c r="F478" s="22" t="str">
        <f>IF(OR(E478="",E478="!!!"),"",IF(NOT(ISNA(VLOOKUP(E478,E$1:E477,1,FALSE()))),"OLD",IF(AND(E478&lt;&gt;"",E478&lt;&gt;"!!!"),"NEW","")))</f>
        <v> </v>
      </c>
      <c r="G478" s="23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4" t="str">
        <f>IF(J478&lt;&gt;1,"",IF(I478="SBJ","CB","?"))</f>
        <v> </v>
      </c>
      <c r="I478" s="25" t="str">
        <f>IF(OR(E478="",E478="!!!",F478="NEW"),"",INDEX(B477:B$2,-1+SUMPRODUCT(MAX(ROW(E477:E$2)*(E478=E477:E$2)))))</f>
        <v> </v>
      </c>
      <c r="J478" s="25" t="str">
        <f>IF(OR(E478="",E478="!!!",F478="NEW"),"",COUNTBLANK(OFFSET(A$1,,,SUMPRODUCT(MAX(ROW(E$2:E478)*(E478=E$2:E478)))))-COUNTBLANK(OFFSET(A$1,,,SUMPRODUCT(MAX(ROW(E$1:E477)*(E2=E$1:E477))))))</f>
        <v> </v>
      </c>
      <c r="K478" s="25" t="str">
        <f>IF(OR(E478="",E478="!!!",F478="NEW"),"",INDEX(J$1:J477,SUMPRODUCT(MAX(ROW(E$1:E477)*(E478=E$1:E477)))))</f>
        <v> </v>
      </c>
      <c r="L478" s="26"/>
    </row>
    <row r="479" spans="1:12">
      <c r="A479" s="20" t="s">
        <v>492</v>
      </c>
      <c r="B479" s="27" t="s">
        <v>553</v>
      </c>
      <c r="E479" s="21">
        <f>IF(D479="?OLD","!!!","")</f>
        <v/>
      </c>
      <c r="F479" s="22" t="str">
        <f>IF(OR(E479="",E479="!!!"),"",IF(NOT(ISNA(VLOOKUP(E479,E$1:E478,1,FALSE()))),"OLD",IF(AND(E479&lt;&gt;"",E479&lt;&gt;"!!!"),"NEW","")))</f>
        <v> </v>
      </c>
      <c r="G479" s="23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4" t="str">
        <f>IF(J479&lt;&gt;1,"",IF(I479="SBJ","CB","?"))</f>
        <v> </v>
      </c>
      <c r="I479" s="25" t="str">
        <f>IF(OR(E479="",E479="!!!",F479="NEW"),"",INDEX(B478:B$2,-1+SUMPRODUCT(MAX(ROW(E478:E$2)*(E479=E478:E$2)))))</f>
        <v> </v>
      </c>
      <c r="J479" s="25" t="str">
        <f>IF(OR(E479="",E479="!!!",F479="NEW"),"",COUNTBLANK(OFFSET(A$1,,,SUMPRODUCT(MAX(ROW(E$2:E479)*(E479=E$2:E479)))))-COUNTBLANK(OFFSET(A$1,,,SUMPRODUCT(MAX(ROW(E$1:E478)*(E2=E$1:E478))))))</f>
        <v> </v>
      </c>
      <c r="K479" s="25" t="str">
        <f>IF(OR(E479="",E479="!!!",F479="NEW"),"",INDEX(J$1:J478,SUMPRODUCT(MAX(ROW(E$1:E478)*(E479=E$1:E478)))))</f>
        <v> </v>
      </c>
      <c r="L479" s="26"/>
    </row>
    <row r="480" spans="1:12">
      <c r="A480" s="20" t="s">
        <v>710</v>
      </c>
      <c r="E480" s="21">
        <f>IF(D480="?OLD","!!!","")</f>
        <v/>
      </c>
      <c r="F480" s="22" t="str">
        <f>IF(OR(E480="",E480="!!!"),"",IF(NOT(ISNA(VLOOKUP(E480,E$1:E479,1,FALSE()))),"OLD",IF(AND(E480&lt;&gt;"",E480&lt;&gt;"!!!"),"NEW","")))</f>
        <v> </v>
      </c>
      <c r="G480" s="23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4" t="str">
        <f>IF(J480&lt;&gt;1,"",IF(I480="SBJ","CB","?"))</f>
        <v> </v>
      </c>
      <c r="I480" s="25" t="str">
        <f>IF(OR(E480="",E480="!!!",F480="NEW"),"",INDEX(B479:B$2,-1+SUMPRODUCT(MAX(ROW(E479:E$2)*(E480=E479:E$2)))))</f>
        <v> </v>
      </c>
      <c r="J480" s="25" t="str">
        <f>IF(OR(E480="",E480="!!!",F480="NEW"),"",COUNTBLANK(OFFSET(A$1,,,SUMPRODUCT(MAX(ROW(E$2:E480)*(E480=E$2:E480)))))-COUNTBLANK(OFFSET(A$1,,,SUMPRODUCT(MAX(ROW(E$1:E479)*(E2=E$1:E479))))))</f>
        <v> </v>
      </c>
      <c r="K480" s="25" t="str">
        <f>IF(OR(E480="",E480="!!!",F480="NEW"),"",INDEX(J$1:J479,SUMPRODUCT(MAX(ROW(E$1:E479)*(E480=E$1:E479)))))</f>
        <v> </v>
      </c>
      <c r="L480" s="26"/>
    </row>
    <row r="481" spans="1:12">
      <c r="A481" s="20" t="s">
        <v>558</v>
      </c>
      <c r="E481" s="21">
        <f>IF(D481="?OLD","!!!","")</f>
        <v/>
      </c>
      <c r="F481" s="22" t="str">
        <f>IF(OR(E481="",E481="!!!"),"",IF(NOT(ISNA(VLOOKUP(E481,E$1:E480,1,FALSE()))),"OLD",IF(AND(E481&lt;&gt;"",E481&lt;&gt;"!!!"),"NEW","")))</f>
        <v> </v>
      </c>
      <c r="G481" s="23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4" t="str">
        <f>IF(J481&lt;&gt;1,"",IF(I481="SBJ","CB","?"))</f>
        <v> </v>
      </c>
      <c r="I481" s="25" t="str">
        <f>IF(OR(E481="",E481="!!!",F481="NEW"),"",INDEX(B480:B$2,-1+SUMPRODUCT(MAX(ROW(E480:E$2)*(E481=E480:E$2)))))</f>
        <v> </v>
      </c>
      <c r="J481" s="25" t="str">
        <f>IF(OR(E481="",E481="!!!",F481="NEW"),"",COUNTBLANK(OFFSET(A$1,,,SUMPRODUCT(MAX(ROW(E$2:E481)*(E481=E$2:E481)))))-COUNTBLANK(OFFSET(A$1,,,SUMPRODUCT(MAX(ROW(E$1:E480)*(E2=E$1:E480))))))</f>
        <v> </v>
      </c>
      <c r="K481" s="25" t="str">
        <f>IF(OR(E481="",E481="!!!",F481="NEW"),"",INDEX(J$1:J480,SUMPRODUCT(MAX(ROW(E$1:E480)*(E481=E$1:E480)))))</f>
        <v> </v>
      </c>
      <c r="L481" s="26"/>
    </row>
    <row r="482" spans="1:12">
      <c r="A482" s="20" t="s">
        <v>662</v>
      </c>
      <c r="B482" s="27" t="s">
        <v>477</v>
      </c>
      <c r="C482" s="27" t="s">
        <v>491</v>
      </c>
      <c r="D482" s="27" t="s">
        <v>483</v>
      </c>
      <c r="E482" s="21">
        <f>IF(D482="?OLD","!!!","")</f>
        <v/>
      </c>
      <c r="F482" s="22" t="str">
        <f>IF(OR(E482="",E482="!!!"),"",IF(NOT(ISNA(VLOOKUP(E482,E$1:E481,1,FALSE()))),"OLD",IF(AND(E482&lt;&gt;"",E482&lt;&gt;"!!!"),"NEW","")))</f>
        <v> </v>
      </c>
      <c r="G482" s="23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4" t="str">
        <f>IF(J482&lt;&gt;1,"",IF(I482="SBJ","CB","?"))</f>
        <v> </v>
      </c>
      <c r="I482" s="25" t="str">
        <f>IF(OR(E482="",E482="!!!",F482="NEW"),"",INDEX(B481:B$2,-1+SUMPRODUCT(MAX(ROW(E481:E$2)*(E482=E481:E$2)))))</f>
        <v> </v>
      </c>
      <c r="J482" s="25" t="str">
        <f>IF(OR(E482="",E482="!!!",F482="NEW"),"",COUNTBLANK(OFFSET(A$1,,,SUMPRODUCT(MAX(ROW(E$2:E482)*(E482=E$2:E482)))))-COUNTBLANK(OFFSET(A$1,,,SUMPRODUCT(MAX(ROW(E$1:E481)*(E2=E$1:E481))))))</f>
        <v> </v>
      </c>
      <c r="K482" s="25" t="str">
        <f>IF(OR(E482="",E482="!!!",F482="NEW"),"",INDEX(J$1:J481,SUMPRODUCT(MAX(ROW(E$1:E481)*(E482=E$1:E481)))))</f>
        <v> </v>
      </c>
      <c r="L482" s="26"/>
    </row>
    <row r="483" spans="1:12">
      <c r="A483" s="20" t="s">
        <v>531</v>
      </c>
      <c r="E483" s="21">
        <f>IF(D483="?OLD","!!!","")</f>
        <v/>
      </c>
      <c r="F483" s="22" t="str">
        <f>IF(OR(E483="",E483="!!!"),"",IF(NOT(ISNA(VLOOKUP(E483,E$1:E482,1,FALSE()))),"OLD",IF(AND(E483&lt;&gt;"",E483&lt;&gt;"!!!"),"NEW","")))</f>
        <v> </v>
      </c>
      <c r="G483" s="23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4" t="str">
        <f>IF(J483&lt;&gt;1,"",IF(I483="SBJ","CB","?"))</f>
        <v> </v>
      </c>
      <c r="I483" s="25" t="str">
        <f>IF(OR(E483="",E483="!!!",F483="NEW"),"",INDEX(B482:B$2,-1+SUMPRODUCT(MAX(ROW(E482:E$2)*(E483=E482:E$2)))))</f>
        <v> </v>
      </c>
      <c r="J483" s="25" t="str">
        <f>IF(OR(E483="",E483="!!!",F483="NEW"),"",COUNTBLANK(OFFSET(A$1,,,SUMPRODUCT(MAX(ROW(E$2:E483)*(E483=E$2:E483)))))-COUNTBLANK(OFFSET(A$1,,,SUMPRODUCT(MAX(ROW(E$1:E482)*(E2=E$1:E482))))))</f>
        <v> </v>
      </c>
      <c r="K483" s="25" t="str">
        <f>IF(OR(E483="",E483="!!!",F483="NEW"),"",INDEX(J$1:J482,SUMPRODUCT(MAX(ROW(E$1:E482)*(E483=E$1:E482)))))</f>
        <v> </v>
      </c>
      <c r="L483" s="26"/>
    </row>
    <row r="484" spans="1:12">
      <c r="A484" s="20"/>
    </row>
    <row r="485" spans="1:12">
      <c r="A485" s="20" t="s">
        <v>711</v>
      </c>
    </row>
    <row r="486" spans="1:12">
      <c r="A486" s="20" t="s">
        <v>608</v>
      </c>
      <c r="B486" s="27" t="s">
        <v>549</v>
      </c>
      <c r="C486" s="27" t="s">
        <v>482</v>
      </c>
      <c r="D486" s="27" t="s">
        <v>483</v>
      </c>
      <c r="E486" s="21">
        <f>IF(D486="?OLD","!!!","")</f>
        <v/>
      </c>
      <c r="F486" s="22" t="str">
        <f>IF(OR(E486="",E486="!!!"),"",IF(NOT(ISNA(VLOOKUP(E486,E$1:E485,1,FALSE()))),"OLD",IF(AND(E486&lt;&gt;"",E486&lt;&gt;"!!!"),"NEW","")))</f>
        <v> </v>
      </c>
      <c r="G486" s="23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4" t="str">
        <f>IF(J486&lt;&gt;1,"",IF(I486="SBJ","CB","?"))</f>
        <v> </v>
      </c>
      <c r="I486" s="25" t="str">
        <f>IF(OR(E486="",E486="!!!",F486="NEW"),"",INDEX(B485:B$2,-1+SUMPRODUCT(MAX(ROW(E485:E$2)*(E486=E485:E$2)))))</f>
        <v> </v>
      </c>
      <c r="J486" s="25" t="str">
        <f>IF(OR(E486="",E486="!!!",F486="NEW"),"",COUNTBLANK(OFFSET(A$1,,,SUMPRODUCT(MAX(ROW(E$2:E486)*(E486=E$2:E486)))))-COUNTBLANK(OFFSET(A$1,,,SUMPRODUCT(MAX(ROW(E$1:E485)*(E2=E$1:E485))))))</f>
        <v> </v>
      </c>
      <c r="K486" s="25" t="str">
        <f>IF(OR(E486="",E486="!!!",F486="NEW"),"",INDEX(J$1:J485,SUMPRODUCT(MAX(ROW(E$1:E485)*(E486=E$1:E485)))))</f>
        <v> </v>
      </c>
      <c r="L486" s="26"/>
    </row>
    <row r="487" spans="1:12">
      <c r="A487" s="20" t="s">
        <v>712</v>
      </c>
      <c r="E487" s="21">
        <f>IF(D487="?OLD","!!!","")</f>
        <v/>
      </c>
      <c r="F487" s="22" t="str">
        <f>IF(OR(E487="",E487="!!!"),"",IF(NOT(ISNA(VLOOKUP(E487,E$1:E486,1,FALSE()))),"OLD",IF(AND(E487&lt;&gt;"",E487&lt;&gt;"!!!"),"NEW","")))</f>
        <v> </v>
      </c>
      <c r="G487" s="23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4" t="str">
        <f>IF(J487&lt;&gt;1,"",IF(I487="SBJ","CB","?"))</f>
        <v> </v>
      </c>
      <c r="I487" s="25" t="str">
        <f>IF(OR(E487="",E487="!!!",F487="NEW"),"",INDEX(B486:B$2,-1+SUMPRODUCT(MAX(ROW(E486:E$2)*(E487=E486:E$2)))))</f>
        <v> </v>
      </c>
      <c r="J487" s="25" t="str">
        <f>IF(OR(E487="",E487="!!!",F487="NEW"),"",COUNTBLANK(OFFSET(A$1,,,SUMPRODUCT(MAX(ROW(E$2:E487)*(E487=E$2:E487)))))-COUNTBLANK(OFFSET(A$1,,,SUMPRODUCT(MAX(ROW(E$1:E486)*(E2=E$1:E486))))))</f>
        <v> </v>
      </c>
      <c r="K487" s="25" t="str">
        <f>IF(OR(E487="",E487="!!!",F487="NEW"),"",INDEX(J$1:J486,SUMPRODUCT(MAX(ROW(E$1:E486)*(E487=E$1:E486)))))</f>
        <v> </v>
      </c>
      <c r="L487" s="26"/>
    </row>
    <row r="488" spans="1:12">
      <c r="A488" s="20" t="s">
        <v>503</v>
      </c>
      <c r="E488" s="21">
        <f>IF(D488="?OLD","!!!","")</f>
        <v/>
      </c>
      <c r="F488" s="22" t="str">
        <f>IF(OR(E488="",E488="!!!"),"",IF(NOT(ISNA(VLOOKUP(E488,E$1:E487,1,FALSE()))),"OLD",IF(AND(E488&lt;&gt;"",E488&lt;&gt;"!!!"),"NEW","")))</f>
        <v> </v>
      </c>
      <c r="G488" s="23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4" t="str">
        <f>IF(J488&lt;&gt;1,"",IF(I488="SBJ","CB","?"))</f>
        <v> </v>
      </c>
      <c r="I488" s="25" t="str">
        <f>IF(OR(E488="",E488="!!!",F488="NEW"),"",INDEX(B487:B$2,-1+SUMPRODUCT(MAX(ROW(E487:E$2)*(E488=E487:E$2)))))</f>
        <v> </v>
      </c>
      <c r="J488" s="25" t="str">
        <f>IF(OR(E488="",E488="!!!",F488="NEW"),"",COUNTBLANK(OFFSET(A$1,,,SUMPRODUCT(MAX(ROW(E$2:E488)*(E488=E$2:E488)))))-COUNTBLANK(OFFSET(A$1,,,SUMPRODUCT(MAX(ROW(E$1:E487)*(E2=E$1:E487))))))</f>
        <v> </v>
      </c>
      <c r="K488" s="25" t="str">
        <f>IF(OR(E488="",E488="!!!",F488="NEW"),"",INDEX(J$1:J487,SUMPRODUCT(MAX(ROW(E$1:E487)*(E488=E$1:E487)))))</f>
        <v> </v>
      </c>
      <c r="L488" s="26"/>
    </row>
    <row r="489" spans="1:12">
      <c r="A489" s="20" t="s">
        <v>61</v>
      </c>
      <c r="B489" s="27" t="s">
        <v>481</v>
      </c>
      <c r="C489" s="27" t="s">
        <v>487</v>
      </c>
      <c r="D489" s="27" t="s">
        <v>483</v>
      </c>
      <c r="E489" s="21">
        <f>IF(D489="?OLD","!!!","")</f>
        <v/>
      </c>
      <c r="F489" s="22" t="str">
        <f>IF(OR(E489="",E489="!!!"),"",IF(NOT(ISNA(VLOOKUP(E489,E$1:E488,1,FALSE()))),"OLD",IF(AND(E489&lt;&gt;"",E489&lt;&gt;"!!!"),"NEW","")))</f>
        <v> </v>
      </c>
      <c r="G489" s="23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4" t="str">
        <f>IF(J489&lt;&gt;1,"",IF(I489="SBJ","CB","?"))</f>
        <v> </v>
      </c>
      <c r="I489" s="25" t="str">
        <f>IF(OR(E489="",E489="!!!",F489="NEW"),"",INDEX(B488:B$2,-1+SUMPRODUCT(MAX(ROW(E488:E$2)*(E489=E488:E$2)))))</f>
        <v> </v>
      </c>
      <c r="J489" s="25" t="str">
        <f>IF(OR(E489="",E489="!!!",F489="NEW"),"",COUNTBLANK(OFFSET(A$1,,,SUMPRODUCT(MAX(ROW(E$2:E489)*(E489=E$2:E489)))))-COUNTBLANK(OFFSET(A$1,,,SUMPRODUCT(MAX(ROW(E$1:E488)*(E2=E$1:E488))))))</f>
        <v> </v>
      </c>
      <c r="K489" s="25" t="str">
        <f>IF(OR(E489="",E489="!!!",F489="NEW"),"",INDEX(J$1:J488,SUMPRODUCT(MAX(ROW(E$1:E488)*(E489=E$1:E488)))))</f>
        <v> </v>
      </c>
      <c r="L489" s="26"/>
    </row>
    <row r="490" spans="1:12">
      <c r="A490" s="20" t="s">
        <v>507</v>
      </c>
      <c r="E490" s="21">
        <f>IF(D490="?OLD","!!!","")</f>
        <v/>
      </c>
      <c r="F490" s="22" t="str">
        <f>IF(OR(E490="",E490="!!!"),"",IF(NOT(ISNA(VLOOKUP(E490,E$1:E489,1,FALSE()))),"OLD",IF(AND(E490&lt;&gt;"",E490&lt;&gt;"!!!"),"NEW","")))</f>
        <v> </v>
      </c>
      <c r="G490" s="23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4" t="str">
        <f>IF(J490&lt;&gt;1,"",IF(I490="SBJ","CB","?"))</f>
        <v> </v>
      </c>
      <c r="I490" s="25" t="str">
        <f>IF(OR(E490="",E490="!!!",F490="NEW"),"",INDEX(B489:B$2,-1+SUMPRODUCT(MAX(ROW(E489:E$2)*(E490=E489:E$2)))))</f>
        <v> </v>
      </c>
      <c r="J490" s="25" t="str">
        <f>IF(OR(E490="",E490="!!!",F490="NEW"),"",COUNTBLANK(OFFSET(A$1,,,SUMPRODUCT(MAX(ROW(E$2:E490)*(E490=E$2:E490)))))-COUNTBLANK(OFFSET(A$1,,,SUMPRODUCT(MAX(ROW(E$1:E489)*(E2=E$1:E489))))))</f>
        <v> </v>
      </c>
      <c r="K490" s="25" t="str">
        <f>IF(OR(E490="",E490="!!!",F490="NEW"),"",INDEX(J$1:J489,SUMPRODUCT(MAX(ROW(E$1:E489)*(E490=E$1:E489)))))</f>
        <v> </v>
      </c>
      <c r="L490" s="26"/>
    </row>
    <row r="491" spans="1:12">
      <c r="A491" s="20" t="s">
        <v>503</v>
      </c>
      <c r="E491" s="21">
        <f>IF(D491="?OLD","!!!","")</f>
        <v/>
      </c>
      <c r="F491" s="22" t="str">
        <f>IF(OR(E491="",E491="!!!"),"",IF(NOT(ISNA(VLOOKUP(E491,E$1:E490,1,FALSE()))),"OLD",IF(AND(E491&lt;&gt;"",E491&lt;&gt;"!!!"),"NEW","")))</f>
        <v> </v>
      </c>
      <c r="G491" s="23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4" t="str">
        <f>IF(J491&lt;&gt;1,"",IF(I491="SBJ","CB","?"))</f>
        <v> </v>
      </c>
      <c r="I491" s="25" t="str">
        <f>IF(OR(E491="",E491="!!!",F491="NEW"),"",INDEX(B490:B$2,-1+SUMPRODUCT(MAX(ROW(E490:E$2)*(E491=E490:E$2)))))</f>
        <v> </v>
      </c>
      <c r="J491" s="25" t="str">
        <f>IF(OR(E491="",E491="!!!",F491="NEW"),"",COUNTBLANK(OFFSET(A$1,,,SUMPRODUCT(MAX(ROW(E$2:E491)*(E491=E$2:E491)))))-COUNTBLANK(OFFSET(A$1,,,SUMPRODUCT(MAX(ROW(E$1:E490)*(E2=E$1:E490))))))</f>
        <v> </v>
      </c>
      <c r="K491" s="25" t="str">
        <f>IF(OR(E491="",E491="!!!",F491="NEW"),"",INDEX(J$1:J490,SUMPRODUCT(MAX(ROW(E$1:E490)*(E491=E$1:E490)))))</f>
        <v> </v>
      </c>
      <c r="L491" s="26"/>
    </row>
    <row r="492" spans="1:12">
      <c r="A492" s="20" t="s">
        <v>634</v>
      </c>
      <c r="B492" s="27" t="s">
        <v>490</v>
      </c>
      <c r="C492" s="27" t="s">
        <v>635</v>
      </c>
      <c r="D492" s="27" t="s">
        <v>483</v>
      </c>
      <c r="E492" s="21">
        <f>IF(D492="?OLD","!!!","")</f>
        <v/>
      </c>
      <c r="F492" s="22" t="str">
        <f>IF(OR(E492="",E492="!!!"),"",IF(NOT(ISNA(VLOOKUP(E492,E$1:E491,1,FALSE()))),"OLD",IF(AND(E492&lt;&gt;"",E492&lt;&gt;"!!!"),"NEW","")))</f>
        <v> </v>
      </c>
      <c r="G492" s="23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4" t="str">
        <f>IF(J492&lt;&gt;1,"",IF(I492="SBJ","CB","?"))</f>
        <v> </v>
      </c>
      <c r="I492" s="25" t="str">
        <f>IF(OR(E492="",E492="!!!",F492="NEW"),"",INDEX(B491:B$2,-1+SUMPRODUCT(MAX(ROW(E491:E$2)*(E492=E491:E$2)))))</f>
        <v> </v>
      </c>
      <c r="J492" s="25" t="str">
        <f>IF(OR(E492="",E492="!!!",F492="NEW"),"",COUNTBLANK(OFFSET(A$1,,,SUMPRODUCT(MAX(ROW(E$2:E492)*(E492=E$2:E492)))))-COUNTBLANK(OFFSET(A$1,,,SUMPRODUCT(MAX(ROW(E$1:E491)*(E2=E$1:E491))))))</f>
        <v> </v>
      </c>
      <c r="K492" s="25" t="str">
        <f>IF(OR(E492="",E492="!!!",F492="NEW"),"",INDEX(J$1:J491,SUMPRODUCT(MAX(ROW(E$1:E491)*(E492=E$1:E491)))))</f>
        <v> </v>
      </c>
      <c r="L492" s="26"/>
    </row>
    <row r="493" spans="1:12">
      <c r="A493" s="20" t="s">
        <v>65</v>
      </c>
      <c r="B493" s="27" t="s">
        <v>477</v>
      </c>
      <c r="C493" s="27" t="s">
        <v>487</v>
      </c>
      <c r="D493" s="27" t="s">
        <v>483</v>
      </c>
      <c r="E493" s="21">
        <f>IF(D493="?OLD","!!!","")</f>
        <v/>
      </c>
      <c r="F493" s="22" t="str">
        <f>IF(OR(E493="",E493="!!!"),"",IF(NOT(ISNA(VLOOKUP(E493,E$1:E492,1,FALSE()))),"OLD",IF(AND(E493&lt;&gt;"",E493&lt;&gt;"!!!"),"NEW","")))</f>
        <v> </v>
      </c>
      <c r="G493" s="23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4" t="str">
        <f>IF(J493&lt;&gt;1,"",IF(I493="SBJ","CB","?"))</f>
        <v> </v>
      </c>
      <c r="I493" s="25" t="str">
        <f>IF(OR(E493="",E493="!!!",F493="NEW"),"",INDEX(B492:B$2,-1+SUMPRODUCT(MAX(ROW(E492:E$2)*(E493=E492:E$2)))))</f>
        <v> </v>
      </c>
      <c r="J493" s="25" t="str">
        <f>IF(OR(E493="",E493="!!!",F493="NEW"),"",COUNTBLANK(OFFSET(A$1,,,SUMPRODUCT(MAX(ROW(E$2:E493)*(E493=E$2:E493)))))-COUNTBLANK(OFFSET(A$1,,,SUMPRODUCT(MAX(ROW(E$1:E492)*(E2=E$1:E492))))))</f>
        <v> </v>
      </c>
      <c r="K493" s="25" t="str">
        <f>IF(OR(E493="",E493="!!!",F493="NEW"),"",INDEX(J$1:J492,SUMPRODUCT(MAX(ROW(E$1:E492)*(E493=E$1:E492)))))</f>
        <v> </v>
      </c>
      <c r="L493" s="26"/>
    </row>
    <row r="494" spans="1:12">
      <c r="A494" s="20" t="s">
        <v>531</v>
      </c>
      <c r="E494" s="21">
        <f>IF(D494="?OLD","!!!","")</f>
        <v/>
      </c>
      <c r="F494" s="22" t="str">
        <f>IF(OR(E494="",E494="!!!"),"",IF(NOT(ISNA(VLOOKUP(E494,E$1:E493,1,FALSE()))),"OLD",IF(AND(E494&lt;&gt;"",E494&lt;&gt;"!!!"),"NEW","")))</f>
        <v> </v>
      </c>
      <c r="G494" s="23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4" t="str">
        <f>IF(J494&lt;&gt;1,"",IF(I494="SBJ","CB","?"))</f>
        <v> </v>
      </c>
      <c r="I494" s="25" t="str">
        <f>IF(OR(E494="",E494="!!!",F494="NEW"),"",INDEX(B493:B$2,-1+SUMPRODUCT(MAX(ROW(E493:E$2)*(E494=E493:E$2)))))</f>
        <v> </v>
      </c>
      <c r="J494" s="25" t="str">
        <f>IF(OR(E494="",E494="!!!",F494="NEW"),"",COUNTBLANK(OFFSET(A$1,,,SUMPRODUCT(MAX(ROW(E$2:E494)*(E494=E$2:E494)))))-COUNTBLANK(OFFSET(A$1,,,SUMPRODUCT(MAX(ROW(E$1:E493)*(E2=E$1:E493))))))</f>
        <v> </v>
      </c>
      <c r="K494" s="25" t="str">
        <f>IF(OR(E494="",E494="!!!",F494="NEW"),"",INDEX(J$1:J493,SUMPRODUCT(MAX(ROW(E$1:E493)*(E494=E$1:E493)))))</f>
        <v> </v>
      </c>
      <c r="L494" s="26"/>
    </row>
    <row r="495" spans="1:12">
      <c r="A495" s="20"/>
    </row>
    <row r="496" spans="1:12">
      <c r="A496" s="20" t="s">
        <v>713</v>
      </c>
    </row>
    <row r="497" spans="1:12">
      <c r="A497" s="20" t="s">
        <v>714</v>
      </c>
      <c r="E497" s="21">
        <f>IF(D497="?OLD","!!!","")</f>
        <v/>
      </c>
      <c r="F497" s="22" t="str">
        <f>IF(OR(E497="",E497="!!!"),"",IF(NOT(ISNA(VLOOKUP(E497,E$1:E496,1,FALSE()))),"OLD",IF(AND(E497&lt;&gt;"",E497&lt;&gt;"!!!"),"NEW","")))</f>
        <v> </v>
      </c>
      <c r="G497" s="23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4" t="str">
        <f>IF(J497&lt;&gt;1,"",IF(I497="SBJ","CB","?"))</f>
        <v> </v>
      </c>
      <c r="I497" s="25" t="str">
        <f>IF(OR(E497="",E497="!!!",F497="NEW"),"",INDEX(B496:B$2,-1+SUMPRODUCT(MAX(ROW(E496:E$2)*(E497=E496:E$2)))))</f>
        <v> </v>
      </c>
      <c r="J497" s="25" t="str">
        <f>IF(OR(E497="",E497="!!!",F497="NEW"),"",COUNTBLANK(OFFSET(A$1,,,SUMPRODUCT(MAX(ROW(E$2:E497)*(E497=E$2:E497)))))-COUNTBLANK(OFFSET(A$1,,,SUMPRODUCT(MAX(ROW(E$1:E496)*(E2=E$1:E496))))))</f>
        <v> </v>
      </c>
      <c r="K497" s="25" t="str">
        <f>IF(OR(E497="",E497="!!!",F497="NEW"),"",INDEX(J$1:J496,SUMPRODUCT(MAX(ROW(E$1:E496)*(E497=E$1:E496)))))</f>
        <v> </v>
      </c>
      <c r="L497" s="26"/>
    </row>
    <row r="498" spans="1:12">
      <c r="A498" s="20" t="s">
        <v>492</v>
      </c>
      <c r="E498" s="21">
        <f>IF(D498="?OLD","!!!","")</f>
        <v/>
      </c>
      <c r="F498" s="22" t="str">
        <f>IF(OR(E498="",E498="!!!"),"",IF(NOT(ISNA(VLOOKUP(E498,E$1:E497,1,FALSE()))),"OLD",IF(AND(E498&lt;&gt;"",E498&lt;&gt;"!!!"),"NEW","")))</f>
        <v> </v>
      </c>
      <c r="G498" s="23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4" t="str">
        <f>IF(J498&lt;&gt;1,"",IF(I498="SBJ","CB","?"))</f>
        <v> </v>
      </c>
      <c r="I498" s="25" t="str">
        <f>IF(OR(E498="",E498="!!!",F498="NEW"),"",INDEX(B497:B$2,-1+SUMPRODUCT(MAX(ROW(E497:E$2)*(E498=E497:E$2)))))</f>
        <v> </v>
      </c>
      <c r="J498" s="25" t="str">
        <f>IF(OR(E498="",E498="!!!",F498="NEW"),"",COUNTBLANK(OFFSET(A$1,,,SUMPRODUCT(MAX(ROW(E$2:E498)*(E498=E$2:E498)))))-COUNTBLANK(OFFSET(A$1,,,SUMPRODUCT(MAX(ROW(E$1:E497)*(E2=E$1:E497))))))</f>
        <v> </v>
      </c>
      <c r="K498" s="25" t="str">
        <f>IF(OR(E498="",E498="!!!",F498="NEW"),"",INDEX(J$1:J497,SUMPRODUCT(MAX(ROW(E$1:E497)*(E498=E$1:E497)))))</f>
        <v> </v>
      </c>
      <c r="L498" s="26"/>
    </row>
    <row r="499" spans="1:12">
      <c r="A499" s="20" t="s">
        <v>593</v>
      </c>
      <c r="E499" s="21">
        <f>IF(D499="?OLD","!!!","")</f>
        <v/>
      </c>
      <c r="F499" s="22" t="str">
        <f>IF(OR(E499="",E499="!!!"),"",IF(NOT(ISNA(VLOOKUP(E499,E$1:E498,1,FALSE()))),"OLD",IF(AND(E499&lt;&gt;"",E499&lt;&gt;"!!!"),"NEW","")))</f>
        <v> </v>
      </c>
      <c r="G499" s="23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4" t="str">
        <f>IF(J499&lt;&gt;1,"",IF(I499="SBJ","CB","?"))</f>
        <v> </v>
      </c>
      <c r="I499" s="25" t="str">
        <f>IF(OR(E499="",E499="!!!",F499="NEW"),"",INDEX(B498:B$2,-1+SUMPRODUCT(MAX(ROW(E498:E$2)*(E499=E498:E$2)))))</f>
        <v> </v>
      </c>
      <c r="J499" s="25" t="str">
        <f>IF(OR(E499="",E499="!!!",F499="NEW"),"",COUNTBLANK(OFFSET(A$1,,,SUMPRODUCT(MAX(ROW(E$2:E499)*(E499=E$2:E499)))))-COUNTBLANK(OFFSET(A$1,,,SUMPRODUCT(MAX(ROW(E$1:E498)*(E2=E$1:E498))))))</f>
        <v> </v>
      </c>
      <c r="K499" s="25" t="str">
        <f>IF(OR(E499="",E499="!!!",F499="NEW"),"",INDEX(J$1:J498,SUMPRODUCT(MAX(ROW(E$1:E498)*(E499=E$1:E498)))))</f>
        <v> </v>
      </c>
      <c r="L499" s="26"/>
    </row>
    <row r="500" spans="1:12">
      <c r="A500" s="20" t="s">
        <v>715</v>
      </c>
      <c r="E500" s="21">
        <f>IF(D500="?OLD","!!!","")</f>
        <v/>
      </c>
      <c r="F500" s="22" t="str">
        <f>IF(OR(E500="",E500="!!!"),"",IF(NOT(ISNA(VLOOKUP(E500,E$1:E499,1,FALSE()))),"OLD",IF(AND(E500&lt;&gt;"",E500&lt;&gt;"!!!"),"NEW","")))</f>
        <v> </v>
      </c>
      <c r="G500" s="23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24" t="str">
        <f>IF(J500&lt;&gt;1,"",IF(I500="SBJ","CB","?"))</f>
        <v> </v>
      </c>
      <c r="I500" s="25" t="str">
        <f>IF(OR(E500="",E500="!!!",F500="NEW"),"",INDEX(B499:B$2,-1+SUMPRODUCT(MAX(ROW(E499:E$2)*(E500=E499:E$2)))))</f>
        <v> </v>
      </c>
      <c r="J500" s="25" t="str">
        <f>IF(OR(E500="",E500="!!!",F500="NEW"),"",COUNTBLANK(OFFSET(A$1,,,SUMPRODUCT(MAX(ROW(E$2:E500)*(E500=E$2:E500)))))-COUNTBLANK(OFFSET(A$1,,,SUMPRODUCT(MAX(ROW(E$1:E499)*(E2=E$1:E499))))))</f>
        <v> </v>
      </c>
      <c r="K500" s="25" t="str">
        <f>IF(OR(E500="",E500="!!!",F500="NEW"),"",INDEX(J$1:J499,SUMPRODUCT(MAX(ROW(E$1:E499)*(E500=E$1:E499)))))</f>
        <v> </v>
      </c>
      <c r="L500" s="26"/>
    </row>
    <row r="501" spans="1:12">
      <c r="A501" s="20" t="s">
        <v>485</v>
      </c>
      <c r="E501" s="21">
        <f>IF(D501="?OLD","!!!","")</f>
        <v/>
      </c>
      <c r="F501" s="22" t="str">
        <f>IF(OR(E501="",E501="!!!"),"",IF(NOT(ISNA(VLOOKUP(E501,E$1:E500,1,FALSE()))),"OLD",IF(AND(E501&lt;&gt;"",E501&lt;&gt;"!!!"),"NEW","")))</f>
        <v> </v>
      </c>
      <c r="G501" s="23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4" t="str">
        <f>IF(J501&lt;&gt;1,"",IF(I501="SBJ","CB","?"))</f>
        <v> </v>
      </c>
      <c r="I501" s="25" t="str">
        <f>IF(OR(E501="",E501="!!!",F501="NEW"),"",INDEX(B500:B$2,-1+SUMPRODUCT(MAX(ROW(E500:E$2)*(E501=E500:E$2)))))</f>
        <v> </v>
      </c>
      <c r="J501" s="25" t="str">
        <f>IF(OR(E501="",E501="!!!",F501="NEW"),"",COUNTBLANK(OFFSET(A$1,,,SUMPRODUCT(MAX(ROW(E$2:E501)*(E501=E$2:E501)))))-COUNTBLANK(OFFSET(A$1,,,SUMPRODUCT(MAX(ROW(E$1:E500)*(E2=E$1:E500))))))</f>
        <v> </v>
      </c>
      <c r="K501" s="25" t="str">
        <f>IF(OR(E501="",E501="!!!",F501="NEW"),"",INDEX(J$1:J500,SUMPRODUCT(MAX(ROW(E$1:E500)*(E501=E$1:E500)))))</f>
        <v> </v>
      </c>
      <c r="L501" s="26"/>
    </row>
    <row r="502" spans="1:12">
      <c r="A502" s="20" t="s">
        <v>668</v>
      </c>
      <c r="B502" s="27" t="s">
        <v>540</v>
      </c>
      <c r="C502" s="27" t="s">
        <v>635</v>
      </c>
      <c r="D502" s="27" t="s">
        <v>483</v>
      </c>
      <c r="E502" s="21">
        <f>IF(D502="?OLD","!!!","")</f>
        <v/>
      </c>
      <c r="F502" s="22" t="str">
        <f>IF(OR(E502="",E502="!!!"),"",IF(NOT(ISNA(VLOOKUP(E502,E$1:E501,1,FALSE()))),"OLD",IF(AND(E502&lt;&gt;"",E502&lt;&gt;"!!!"),"NEW","")))</f>
        <v> </v>
      </c>
      <c r="G502" s="23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4" t="str">
        <f>IF(J502&lt;&gt;1,"",IF(I502="SBJ","CB","?"))</f>
        <v> </v>
      </c>
      <c r="I502" s="25" t="str">
        <f>IF(OR(E502="",E502="!!!",F502="NEW"),"",INDEX(B501:B$2,-1+SUMPRODUCT(MAX(ROW(E501:E$2)*(E502=E501:E$2)))))</f>
        <v> </v>
      </c>
      <c r="J502" s="25" t="str">
        <f>IF(OR(E502="",E502="!!!",F502="NEW"),"",COUNTBLANK(OFFSET(A$1,,,SUMPRODUCT(MAX(ROW(E$2:E502)*(E502=E$2:E502)))))-COUNTBLANK(OFFSET(A$1,,,SUMPRODUCT(MAX(ROW(E$1:E501)*(E2=E$1:E501))))))</f>
        <v> </v>
      </c>
      <c r="K502" s="25" t="str">
        <f>IF(OR(E502="",E502="!!!",F502="NEW"),"",INDEX(J$1:J501,SUMPRODUCT(MAX(ROW(E$1:E501)*(E502=E$1:E501)))))</f>
        <v> </v>
      </c>
      <c r="L502" s="26"/>
    </row>
    <row r="503" spans="1:12">
      <c r="A503" s="20" t="s">
        <v>648</v>
      </c>
      <c r="B503" s="27" t="s">
        <v>542</v>
      </c>
      <c r="C503" s="27" t="s">
        <v>487</v>
      </c>
      <c r="D503" s="27" t="s">
        <v>483</v>
      </c>
      <c r="E503" s="21">
        <f>IF(D503="?OLD","!!!","")</f>
        <v/>
      </c>
      <c r="F503" s="22" t="str">
        <f>IF(OR(E503="",E503="!!!"),"",IF(NOT(ISNA(VLOOKUP(E503,E$1:E502,1,FALSE()))),"OLD",IF(AND(E503&lt;&gt;"",E503&lt;&gt;"!!!"),"NEW","")))</f>
        <v> </v>
      </c>
      <c r="G503" s="23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4" t="str">
        <f>IF(J503&lt;&gt;1,"",IF(I503="SBJ","CB","?"))</f>
        <v> </v>
      </c>
      <c r="I503" s="25" t="str">
        <f>IF(OR(E503="",E503="!!!",F503="NEW"),"",INDEX(B502:B$2,-1+SUMPRODUCT(MAX(ROW(E502:E$2)*(E503=E502:E$2)))))</f>
        <v> </v>
      </c>
      <c r="J503" s="25" t="str">
        <f>IF(OR(E503="",E503="!!!",F503="NEW"),"",COUNTBLANK(OFFSET(A$1,,,SUMPRODUCT(MAX(ROW(E$2:E503)*(E503=E$2:E503)))))-COUNTBLANK(OFFSET(A$1,,,SUMPRODUCT(MAX(ROW(E$1:E502)*(E2=E$1:E502))))))</f>
        <v> </v>
      </c>
      <c r="K503" s="25" t="str">
        <f>IF(OR(E503="",E503="!!!",F503="NEW"),"",INDEX(J$1:J502,SUMPRODUCT(MAX(ROW(E$1:E502)*(E503=E$1:E502)))))</f>
        <v> </v>
      </c>
      <c r="L503" s="26"/>
    </row>
    <row r="504" spans="1:12">
      <c r="A504" s="20" t="s">
        <v>500</v>
      </c>
      <c r="E504" s="21">
        <f>IF(D504="?OLD","!!!","")</f>
        <v/>
      </c>
      <c r="F504" s="22" t="str">
        <f>IF(OR(E504="",E504="!!!"),"",IF(NOT(ISNA(VLOOKUP(E504,E$1:E503,1,FALSE()))),"OLD",IF(AND(E504&lt;&gt;"",E504&lt;&gt;"!!!"),"NEW","")))</f>
        <v> </v>
      </c>
      <c r="G504" s="23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24" t="str">
        <f>IF(J504&lt;&gt;1,"",IF(I504="SBJ","CB","?"))</f>
        <v> </v>
      </c>
      <c r="I504" s="25" t="str">
        <f>IF(OR(E504="",E504="!!!",F504="NEW"),"",INDEX(B503:B$2,-1+SUMPRODUCT(MAX(ROW(E503:E$2)*(E504=E503:E$2)))))</f>
        <v> </v>
      </c>
      <c r="J504" s="25" t="str">
        <f>IF(OR(E504="",E504="!!!",F504="NEW"),"",COUNTBLANK(OFFSET(A$1,,,SUMPRODUCT(MAX(ROW(E$2:E504)*(E504=E$2:E504)))))-COUNTBLANK(OFFSET(A$1,,,SUMPRODUCT(MAX(ROW(E$1:E503)*(E2=E$1:E503))))))</f>
        <v> </v>
      </c>
      <c r="K504" s="25" t="str">
        <f>IF(OR(E504="",E504="!!!",F504="NEW"),"",INDEX(J$1:J503,SUMPRODUCT(MAX(ROW(E$1:E503)*(E504=E$1:E503)))))</f>
        <v> </v>
      </c>
      <c r="L504" s="26"/>
    </row>
    <row r="505" spans="1:12">
      <c r="A505" s="20" t="s">
        <v>585</v>
      </c>
      <c r="B505" s="27" t="s">
        <v>553</v>
      </c>
      <c r="C505" s="27" t="s">
        <v>482</v>
      </c>
      <c r="D505" s="27" t="s">
        <v>483</v>
      </c>
      <c r="E505" s="21">
        <f>IF(D505="?OLD","!!!","")</f>
        <v/>
      </c>
      <c r="F505" s="22" t="str">
        <f>IF(OR(E505="",E505="!!!"),"",IF(NOT(ISNA(VLOOKUP(E505,E$1:E504,1,FALSE()))),"OLD",IF(AND(E505&lt;&gt;"",E505&lt;&gt;"!!!"),"NEW","")))</f>
        <v> </v>
      </c>
      <c r="G505" s="23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24" t="str">
        <f>IF(J505&lt;&gt;1,"",IF(I505="SBJ","CB","?"))</f>
        <v> </v>
      </c>
      <c r="I505" s="25" t="str">
        <f>IF(OR(E505="",E505="!!!",F505="NEW"),"",INDEX(B504:B$2,-1+SUMPRODUCT(MAX(ROW(E504:E$2)*(E505=E504:E$2)))))</f>
        <v> </v>
      </c>
      <c r="J505" s="25" t="str">
        <f>IF(OR(E505="",E505="!!!",F505="NEW"),"",COUNTBLANK(OFFSET(A$1,,,SUMPRODUCT(MAX(ROW(E$2:E505)*(E505=E$2:E505)))))-COUNTBLANK(OFFSET(A$1,,,SUMPRODUCT(MAX(ROW(E$1:E504)*(E2=E$1:E504))))))</f>
        <v> </v>
      </c>
      <c r="K505" s="25" t="str">
        <f>IF(OR(E505="",E505="!!!",F505="NEW"),"",INDEX(J$1:J504,SUMPRODUCT(MAX(ROW(E$1:E504)*(E505=E$1:E504)))))</f>
        <v> </v>
      </c>
      <c r="L505" s="26"/>
    </row>
    <row r="506" spans="1:12">
      <c r="A506" s="20" t="s">
        <v>643</v>
      </c>
      <c r="E506" s="21">
        <f>IF(D506="?OLD","!!!","")</f>
        <v/>
      </c>
      <c r="F506" s="22" t="str">
        <f>IF(OR(E506="",E506="!!!"),"",IF(NOT(ISNA(VLOOKUP(E506,E$1:E505,1,FALSE()))),"OLD",IF(AND(E506&lt;&gt;"",E506&lt;&gt;"!!!"),"NEW","")))</f>
        <v> </v>
      </c>
      <c r="G506" s="23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4" t="str">
        <f>IF(J506&lt;&gt;1,"",IF(I506="SBJ","CB","?"))</f>
        <v> </v>
      </c>
      <c r="I506" s="25" t="str">
        <f>IF(OR(E506="",E506="!!!",F506="NEW"),"",INDEX(B505:B$2,-1+SUMPRODUCT(MAX(ROW(E505:E$2)*(E506=E505:E$2)))))</f>
        <v> </v>
      </c>
      <c r="J506" s="25" t="str">
        <f>IF(OR(E506="",E506="!!!",F506="NEW"),"",COUNTBLANK(OFFSET(A$1,,,SUMPRODUCT(MAX(ROW(E$2:E506)*(E506=E$2:E506)))))-COUNTBLANK(OFFSET(A$1,,,SUMPRODUCT(MAX(ROW(E$1:E505)*(E2=E$1:E505))))))</f>
        <v> </v>
      </c>
      <c r="K506" s="25" t="str">
        <f>IF(OR(E506="",E506="!!!",F506="NEW"),"",INDEX(J$1:J505,SUMPRODUCT(MAX(ROW(E$1:E505)*(E506=E$1:E505)))))</f>
        <v> </v>
      </c>
      <c r="L506" s="26"/>
    </row>
    <row r="507" spans="1:12">
      <c r="A507" s="20" t="s">
        <v>492</v>
      </c>
      <c r="E507" s="21">
        <f>IF(D507="?OLD","!!!","")</f>
        <v/>
      </c>
      <c r="F507" s="22" t="str">
        <f>IF(OR(E507="",E507="!!!"),"",IF(NOT(ISNA(VLOOKUP(E507,E$1:E506,1,FALSE()))),"OLD",IF(AND(E507&lt;&gt;"",E507&lt;&gt;"!!!"),"NEW","")))</f>
        <v> </v>
      </c>
      <c r="G507" s="23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4" t="str">
        <f>IF(J507&lt;&gt;1,"",IF(I507="SBJ","CB","?"))</f>
        <v> </v>
      </c>
      <c r="I507" s="25" t="str">
        <f>IF(OR(E507="",E507="!!!",F507="NEW"),"",INDEX(B506:B$2,-1+SUMPRODUCT(MAX(ROW(E506:E$2)*(E507=E506:E$2)))))</f>
        <v> </v>
      </c>
      <c r="J507" s="25" t="str">
        <f>IF(OR(E507="",E507="!!!",F507="NEW"),"",COUNTBLANK(OFFSET(A$1,,,SUMPRODUCT(MAX(ROW(E$2:E507)*(E507=E$2:E507)))))-COUNTBLANK(OFFSET(A$1,,,SUMPRODUCT(MAX(ROW(E$1:E506)*(E2=E$1:E506))))))</f>
        <v> </v>
      </c>
      <c r="K507" s="25" t="str">
        <f>IF(OR(E507="",E507="!!!",F507="NEW"),"",INDEX(J$1:J506,SUMPRODUCT(MAX(ROW(E$1:E506)*(E507=E$1:E506)))))</f>
        <v> </v>
      </c>
      <c r="L507" s="26"/>
    </row>
    <row r="508" spans="1:12">
      <c r="A508" s="20" t="s">
        <v>644</v>
      </c>
      <c r="B508" s="27" t="s">
        <v>654</v>
      </c>
      <c r="C508" s="27" t="s">
        <v>523</v>
      </c>
      <c r="E508" s="21">
        <f>IF(D508="?OLD","!!!","")</f>
        <v/>
      </c>
      <c r="F508" s="22" t="str">
        <f>IF(OR(E508="",E508="!!!"),"",IF(NOT(ISNA(VLOOKUP(E508,E$1:E507,1,FALSE()))),"OLD",IF(AND(E508&lt;&gt;"",E508&lt;&gt;"!!!"),"NEW","")))</f>
        <v> </v>
      </c>
      <c r="G508" s="23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4" t="str">
        <f>IF(J508&lt;&gt;1,"",IF(I508="SBJ","CB","?"))</f>
        <v> </v>
      </c>
      <c r="I508" s="25" t="str">
        <f>IF(OR(E508="",E508="!!!",F508="NEW"),"",INDEX(B507:B$2,-1+SUMPRODUCT(MAX(ROW(E507:E$2)*(E508=E507:E$2)))))</f>
        <v> </v>
      </c>
      <c r="J508" s="25" t="str">
        <f>IF(OR(E508="",E508="!!!",F508="NEW"),"",COUNTBLANK(OFFSET(A$1,,,SUMPRODUCT(MAX(ROW(E$2:E508)*(E508=E$2:E508)))))-COUNTBLANK(OFFSET(A$1,,,SUMPRODUCT(MAX(ROW(E$1:E507)*(E2=E$1:E507))))))</f>
        <v> </v>
      </c>
      <c r="K508" s="25" t="str">
        <f>IF(OR(E508="",E508="!!!",F508="NEW"),"",INDEX(J$1:J507,SUMPRODUCT(MAX(ROW(E$1:E507)*(E508=E$1:E507)))))</f>
        <v> </v>
      </c>
      <c r="L508" s="26"/>
    </row>
    <row r="509" spans="1:12">
      <c r="A509" s="20" t="s">
        <v>645</v>
      </c>
      <c r="E509" s="21">
        <f>IF(D509="?OLD","!!!","")</f>
        <v/>
      </c>
      <c r="F509" s="22" t="str">
        <f>IF(OR(E509="",E509="!!!"),"",IF(NOT(ISNA(VLOOKUP(E509,E$1:E508,1,FALSE()))),"OLD",IF(AND(E509&lt;&gt;"",E509&lt;&gt;"!!!"),"NEW","")))</f>
        <v> </v>
      </c>
      <c r="G509" s="23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4" t="str">
        <f>IF(J509&lt;&gt;1,"",IF(I509="SBJ","CB","?"))</f>
        <v> </v>
      </c>
      <c r="I509" s="25" t="str">
        <f>IF(OR(E509="",E509="!!!",F509="NEW"),"",INDEX(B508:B$2,-1+SUMPRODUCT(MAX(ROW(E508:E$2)*(E509=E508:E$2)))))</f>
        <v> </v>
      </c>
      <c r="J509" s="25" t="str">
        <f>IF(OR(E509="",E509="!!!",F509="NEW"),"",COUNTBLANK(OFFSET(A$1,,,SUMPRODUCT(MAX(ROW(E$2:E509)*(E509=E$2:E509)))))-COUNTBLANK(OFFSET(A$1,,,SUMPRODUCT(MAX(ROW(E$1:E508)*(E2=E$1:E508))))))</f>
        <v> </v>
      </c>
      <c r="K509" s="25" t="str">
        <f>IF(OR(E509="",E509="!!!",F509="NEW"),"",INDEX(J$1:J508,SUMPRODUCT(MAX(ROW(E$1:E508)*(E509=E$1:E508)))))</f>
        <v> </v>
      </c>
      <c r="L509" s="26"/>
    </row>
    <row r="510" spans="1:12">
      <c r="A510" s="20" t="s">
        <v>646</v>
      </c>
      <c r="E510" s="21">
        <f>IF(D510="?OLD","!!!","")</f>
        <v/>
      </c>
      <c r="F510" s="22" t="str">
        <f>IF(OR(E510="",E510="!!!"),"",IF(NOT(ISNA(VLOOKUP(E510,E$1:E509,1,FALSE()))),"OLD",IF(AND(E510&lt;&gt;"",E510&lt;&gt;"!!!"),"NEW","")))</f>
        <v> </v>
      </c>
      <c r="G510" s="23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4" t="str">
        <f>IF(J510&lt;&gt;1,"",IF(I510="SBJ","CB","?"))</f>
        <v> </v>
      </c>
      <c r="I510" s="25" t="str">
        <f>IF(OR(E510="",E510="!!!",F510="NEW"),"",INDEX(B509:B$2,-1+SUMPRODUCT(MAX(ROW(E509:E$2)*(E510=E509:E$2)))))</f>
        <v> </v>
      </c>
      <c r="J510" s="25" t="str">
        <f>IF(OR(E510="",E510="!!!",F510="NEW"),"",COUNTBLANK(OFFSET(A$1,,,SUMPRODUCT(MAX(ROW(E$2:E510)*(E510=E$2:E510)))))-COUNTBLANK(OFFSET(A$1,,,SUMPRODUCT(MAX(ROW(E$1:E509)*(E2=E$1:E509))))))</f>
        <v> </v>
      </c>
      <c r="K510" s="25" t="str">
        <f>IF(OR(E510="",E510="!!!",F510="NEW"),"",INDEX(J$1:J509,SUMPRODUCT(MAX(ROW(E$1:E509)*(E510=E$1:E509)))))</f>
        <v> </v>
      </c>
      <c r="L510" s="26"/>
    </row>
    <row r="511" spans="1:12">
      <c r="A511" s="20" t="s">
        <v>647</v>
      </c>
      <c r="E511" s="21">
        <f>IF(D511="?OLD","!!!","")</f>
        <v/>
      </c>
      <c r="F511" s="22" t="str">
        <f>IF(OR(E511="",E511="!!!"),"",IF(NOT(ISNA(VLOOKUP(E511,E$1:E510,1,FALSE()))),"OLD",IF(AND(E511&lt;&gt;"",E511&lt;&gt;"!!!"),"NEW","")))</f>
        <v> </v>
      </c>
      <c r="G511" s="23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24" t="str">
        <f>IF(J511&lt;&gt;1,"",IF(I511="SBJ","CB","?"))</f>
        <v> </v>
      </c>
      <c r="I511" s="25" t="str">
        <f>IF(OR(E511="",E511="!!!",F511="NEW"),"",INDEX(B510:B$2,-1+SUMPRODUCT(MAX(ROW(E510:E$2)*(E511=E510:E$2)))))</f>
        <v> </v>
      </c>
      <c r="J511" s="25" t="str">
        <f>IF(OR(E511="",E511="!!!",F511="NEW"),"",COUNTBLANK(OFFSET(A$1,,,SUMPRODUCT(MAX(ROW(E$2:E511)*(E511=E$2:E511)))))-COUNTBLANK(OFFSET(A$1,,,SUMPRODUCT(MAX(ROW(E$1:E510)*(E2=E$1:E510))))))</f>
        <v> </v>
      </c>
      <c r="K511" s="25" t="str">
        <f>IF(OR(E511="",E511="!!!",F511="NEW"),"",INDEX(J$1:J510,SUMPRODUCT(MAX(ROW(E$1:E510)*(E511=E$1:E510)))))</f>
        <v> </v>
      </c>
      <c r="L511" s="26"/>
    </row>
    <row r="512" spans="1:12">
      <c r="A512" s="20" t="s">
        <v>484</v>
      </c>
      <c r="E512" s="21">
        <f>IF(D512="?OLD","!!!","")</f>
        <v/>
      </c>
      <c r="F512" s="22" t="str">
        <f>IF(OR(E512="",E512="!!!"),"",IF(NOT(ISNA(VLOOKUP(E512,E$1:E511,1,FALSE()))),"OLD",IF(AND(E512&lt;&gt;"",E512&lt;&gt;"!!!"),"NEW","")))</f>
        <v> </v>
      </c>
      <c r="G512" s="23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4" t="str">
        <f>IF(J512&lt;&gt;1,"",IF(I512="SBJ","CB","?"))</f>
        <v> </v>
      </c>
      <c r="I512" s="25" t="str">
        <f>IF(OR(E512="",E512="!!!",F512="NEW"),"",INDEX(B511:B$2,-1+SUMPRODUCT(MAX(ROW(E511:E$2)*(E512=E511:E$2)))))</f>
        <v> </v>
      </c>
      <c r="J512" s="25" t="str">
        <f>IF(OR(E512="",E512="!!!",F512="NEW"),"",COUNTBLANK(OFFSET(A$1,,,SUMPRODUCT(MAX(ROW(E$2:E512)*(E512=E$2:E512)))))-COUNTBLANK(OFFSET(A$1,,,SUMPRODUCT(MAX(ROW(E$1:E511)*(E2=E$1:E511))))))</f>
        <v> </v>
      </c>
      <c r="K512" s="25" t="str">
        <f>IF(OR(E512="",E512="!!!",F512="NEW"),"",INDEX(J$1:J511,SUMPRODUCT(MAX(ROW(E$1:E511)*(E512=E$1:E511)))))</f>
        <v> </v>
      </c>
      <c r="L512" s="26"/>
    </row>
    <row r="513" spans="1:12">
      <c r="A513" s="20" t="s">
        <v>503</v>
      </c>
      <c r="E513" s="21">
        <f>IF(D513="?OLD","!!!","")</f>
        <v/>
      </c>
      <c r="F513" s="22" t="str">
        <f>IF(OR(E513="",E513="!!!"),"",IF(NOT(ISNA(VLOOKUP(E513,E$1:E512,1,FALSE()))),"OLD",IF(AND(E513&lt;&gt;"",E513&lt;&gt;"!!!"),"NEW","")))</f>
        <v> </v>
      </c>
      <c r="G513" s="23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4" t="str">
        <f>IF(J513&lt;&gt;1,"",IF(I513="SBJ","CB","?"))</f>
        <v> </v>
      </c>
      <c r="I513" s="25" t="str">
        <f>IF(OR(E513="",E513="!!!",F513="NEW"),"",INDEX(B512:B$2,-1+SUMPRODUCT(MAX(ROW(E512:E$2)*(E513=E512:E$2)))))</f>
        <v> </v>
      </c>
      <c r="J513" s="25" t="str">
        <f>IF(OR(E513="",E513="!!!",F513="NEW"),"",COUNTBLANK(OFFSET(A$1,,,SUMPRODUCT(MAX(ROW(E$2:E513)*(E513=E$2:E513)))))-COUNTBLANK(OFFSET(A$1,,,SUMPRODUCT(MAX(ROW(E$1:E512)*(E2=E$1:E512))))))</f>
        <v> </v>
      </c>
      <c r="K513" s="25" t="str">
        <f>IF(OR(E513="",E513="!!!",F513="NEW"),"",INDEX(J$1:J512,SUMPRODUCT(MAX(ROW(E$1:E512)*(E513=E$1:E512)))))</f>
        <v> </v>
      </c>
      <c r="L513" s="26"/>
    </row>
    <row r="514" spans="1:12">
      <c r="A514" s="20" t="s">
        <v>640</v>
      </c>
      <c r="B514" s="27" t="s">
        <v>547</v>
      </c>
      <c r="C514" s="27" t="s">
        <v>487</v>
      </c>
      <c r="D514" s="27" t="s">
        <v>483</v>
      </c>
      <c r="E514" s="21">
        <f>IF(D514="?OLD","!!!","")</f>
        <v/>
      </c>
      <c r="F514" s="22" t="str">
        <f>IF(OR(E514="",E514="!!!"),"",IF(NOT(ISNA(VLOOKUP(E514,E$1:E513,1,FALSE()))),"OLD",IF(AND(E514&lt;&gt;"",E514&lt;&gt;"!!!"),"NEW","")))</f>
        <v> </v>
      </c>
      <c r="G514" s="23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4" t="str">
        <f>IF(J514&lt;&gt;1,"",IF(I514="SBJ","CB","?"))</f>
        <v> </v>
      </c>
      <c r="I514" s="25" t="str">
        <f>IF(OR(E514="",E514="!!!",F514="NEW"),"",INDEX(B513:B$2,-1+SUMPRODUCT(MAX(ROW(E513:E$2)*(E514=E513:E$2)))))</f>
        <v> </v>
      </c>
      <c r="J514" s="25" t="str">
        <f>IF(OR(E514="",E514="!!!",F514="NEW"),"",COUNTBLANK(OFFSET(A$1,,,SUMPRODUCT(MAX(ROW(E$2:E514)*(E514=E$2:E514)))))-COUNTBLANK(OFFSET(A$1,,,SUMPRODUCT(MAX(ROW(E$1:E513)*(E2=E$1:E513))))))</f>
        <v> </v>
      </c>
      <c r="K514" s="25" t="str">
        <f>IF(OR(E514="",E514="!!!",F514="NEW"),"",INDEX(J$1:J513,SUMPRODUCT(MAX(ROW(E$1:E513)*(E514=E$1:E513)))))</f>
        <v> </v>
      </c>
      <c r="L514" s="26"/>
    </row>
    <row r="515" spans="1:12">
      <c r="A515" s="20" t="s">
        <v>489</v>
      </c>
      <c r="E515" s="21">
        <f>IF(D515="?OLD","!!!","")</f>
        <v/>
      </c>
      <c r="F515" s="22" t="str">
        <f>IF(OR(E515="",E515="!!!"),"",IF(NOT(ISNA(VLOOKUP(E515,E$1:E514,1,FALSE()))),"OLD",IF(AND(E515&lt;&gt;"",E515&lt;&gt;"!!!"),"NEW","")))</f>
        <v> </v>
      </c>
      <c r="G515" s="23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24" t="str">
        <f>IF(J515&lt;&gt;1,"",IF(I515="SBJ","CB","?"))</f>
        <v> </v>
      </c>
      <c r="I515" s="25" t="str">
        <f>IF(OR(E515="",E515="!!!",F515="NEW"),"",INDEX(B514:B$2,-1+SUMPRODUCT(MAX(ROW(E514:E$2)*(E515=E514:E$2)))))</f>
        <v> </v>
      </c>
      <c r="J515" s="25" t="str">
        <f>IF(OR(E515="",E515="!!!",F515="NEW"),"",COUNTBLANK(OFFSET(A$1,,,SUMPRODUCT(MAX(ROW(E$2:E515)*(E515=E$2:E515)))))-COUNTBLANK(OFFSET(A$1,,,SUMPRODUCT(MAX(ROW(E$1:E514)*(E2=E$1:E514))))))</f>
        <v> </v>
      </c>
      <c r="K515" s="25" t="str">
        <f>IF(OR(E515="",E515="!!!",F515="NEW"),"",INDEX(J$1:J514,SUMPRODUCT(MAX(ROW(E$1:E514)*(E515=E$1:E514)))))</f>
        <v> </v>
      </c>
      <c r="L515" s="26"/>
    </row>
    <row r="516" spans="1:12">
      <c r="A516" s="20" t="s">
        <v>485</v>
      </c>
      <c r="B516" s="27" t="s">
        <v>578</v>
      </c>
      <c r="C516" s="27" t="s">
        <v>491</v>
      </c>
      <c r="D516" s="27" t="s">
        <v>483</v>
      </c>
      <c r="E516" s="21">
        <f>IF(D516="?OLD","!!!","")</f>
        <v/>
      </c>
      <c r="F516" s="22" t="str">
        <f>IF(OR(E516="",E516="!!!"),"",IF(NOT(ISNA(VLOOKUP(E516,E$1:E515,1,FALSE()))),"OLD",IF(AND(E516&lt;&gt;"",E516&lt;&gt;"!!!"),"NEW","")))</f>
        <v> </v>
      </c>
      <c r="G516" s="23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24" t="str">
        <f>IF(J516&lt;&gt;1,"",IF(I516="SBJ","CB","?"))</f>
        <v> </v>
      </c>
      <c r="I516" s="25" t="str">
        <f>IF(OR(E516="",E516="!!!",F516="NEW"),"",INDEX(B515:B$2,-1+SUMPRODUCT(MAX(ROW(E515:E$2)*(E516=E515:E$2)))))</f>
        <v> </v>
      </c>
      <c r="J516" s="25" t="str">
        <f>IF(OR(E516="",E516="!!!",F516="NEW"),"",COUNTBLANK(OFFSET(A$1,,,SUMPRODUCT(MAX(ROW(E$2:E516)*(E516=E$2:E516)))))-COUNTBLANK(OFFSET(A$1,,,SUMPRODUCT(MAX(ROW(E$1:E515)*(E2=E$1:E515))))))</f>
        <v> </v>
      </c>
      <c r="K516" s="25" t="str">
        <f>IF(OR(E516="",E516="!!!",F516="NEW"),"",INDEX(J$1:J515,SUMPRODUCT(MAX(ROW(E$1:E515)*(E516=E$1:E515)))))</f>
        <v> </v>
      </c>
      <c r="L516" s="26"/>
    </row>
    <row r="517" spans="1:12">
      <c r="A517" s="20" t="s">
        <v>492</v>
      </c>
      <c r="B517" s="27" t="s">
        <v>493</v>
      </c>
      <c r="E517" s="21">
        <f>IF(D517="?OLD","!!!","")</f>
        <v/>
      </c>
      <c r="F517" s="22" t="str">
        <f>IF(OR(E517="",E517="!!!"),"",IF(NOT(ISNA(VLOOKUP(E517,E$1:E516,1,FALSE()))),"OLD",IF(AND(E517&lt;&gt;"",E517&lt;&gt;"!!!"),"NEW","")))</f>
        <v> </v>
      </c>
      <c r="G517" s="23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24" t="str">
        <f>IF(J517&lt;&gt;1,"",IF(I517="SBJ","CB","?"))</f>
        <v> </v>
      </c>
      <c r="I517" s="25" t="str">
        <f>IF(OR(E517="",E517="!!!",F517="NEW"),"",INDEX(B516:B$2,-1+SUMPRODUCT(MAX(ROW(E516:E$2)*(E517=E516:E$2)))))</f>
        <v> </v>
      </c>
      <c r="J517" s="25" t="str">
        <f>IF(OR(E517="",E517="!!!",F517="NEW"),"",COUNTBLANK(OFFSET(A$1,,,SUMPRODUCT(MAX(ROW(E$2:E517)*(E517=E$2:E517)))))-COUNTBLANK(OFFSET(A$1,,,SUMPRODUCT(MAX(ROW(E$1:E516)*(E2=E$1:E516))))))</f>
        <v> </v>
      </c>
      <c r="K517" s="25" t="str">
        <f>IF(OR(E517="",E517="!!!",F517="NEW"),"",INDEX(J$1:J516,SUMPRODUCT(MAX(ROW(E$1:E516)*(E517=E$1:E516)))))</f>
        <v> </v>
      </c>
      <c r="L517" s="26"/>
    </row>
    <row r="518" spans="1:12">
      <c r="A518" s="20" t="s">
        <v>558</v>
      </c>
      <c r="E518" s="21">
        <f>IF(D518="?OLD","!!!","")</f>
        <v/>
      </c>
      <c r="F518" s="22" t="str">
        <f>IF(OR(E518="",E518="!!!"),"",IF(NOT(ISNA(VLOOKUP(E518,E$1:E517,1,FALSE()))),"OLD",IF(AND(E518&lt;&gt;"",E518&lt;&gt;"!!!"),"NEW","")))</f>
        <v> </v>
      </c>
      <c r="G518" s="23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 </v>
      </c>
      <c r="H518" s="24" t="str">
        <f>IF(J518&lt;&gt;1,"",IF(I518="SBJ","CB","?"))</f>
        <v> </v>
      </c>
      <c r="I518" s="25" t="str">
        <f>IF(OR(E518="",E518="!!!",F518="NEW"),"",INDEX(B517:B$2,-1+SUMPRODUCT(MAX(ROW(E517:E$2)*(E518=E517:E$2)))))</f>
        <v> </v>
      </c>
      <c r="J518" s="25" t="str">
        <f>IF(OR(E518="",E518="!!!",F518="NEW"),"",COUNTBLANK(OFFSET(A$1,,,SUMPRODUCT(MAX(ROW(E$2:E518)*(E518=E$2:E518)))))-COUNTBLANK(OFFSET(A$1,,,SUMPRODUCT(MAX(ROW(E$1:E517)*(E2=E$1:E517))))))</f>
        <v> </v>
      </c>
      <c r="K518" s="25" t="str">
        <f>IF(OR(E518="",E518="!!!",F518="NEW"),"",INDEX(J$1:J517,SUMPRODUCT(MAX(ROW(E$1:E517)*(E518=E$1:E517)))))</f>
        <v> </v>
      </c>
      <c r="L518" s="26"/>
    </row>
    <row r="519" spans="1:12">
      <c r="A519" s="20" t="s">
        <v>495</v>
      </c>
      <c r="E519" s="21">
        <f>IF(D519="?OLD","!!!","")</f>
        <v/>
      </c>
      <c r="F519" s="22" t="str">
        <f>IF(OR(E519="",E519="!!!"),"",IF(NOT(ISNA(VLOOKUP(E519,E$1:E518,1,FALSE()))),"OLD",IF(AND(E519&lt;&gt;"",E519&lt;&gt;"!!!"),"NEW","")))</f>
        <v> </v>
      </c>
      <c r="G519" s="23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24" t="str">
        <f>IF(J519&lt;&gt;1,"",IF(I519="SBJ","CB","?"))</f>
        <v> </v>
      </c>
      <c r="I519" s="25" t="str">
        <f>IF(OR(E519="",E519="!!!",F519="NEW"),"",INDEX(B518:B$2,-1+SUMPRODUCT(MAX(ROW(E518:E$2)*(E519=E518:E$2)))))</f>
        <v> </v>
      </c>
      <c r="J519" s="25" t="str">
        <f>IF(OR(E519="",E519="!!!",F519="NEW"),"",COUNTBLANK(OFFSET(A$1,,,SUMPRODUCT(MAX(ROW(E$2:E519)*(E519=E$2:E519)))))-COUNTBLANK(OFFSET(A$1,,,SUMPRODUCT(MAX(ROW(E$1:E518)*(E2=E$1:E518))))))</f>
        <v> </v>
      </c>
      <c r="K519" s="25" t="str">
        <f>IF(OR(E519="",E519="!!!",F519="NEW"),"",INDEX(J$1:J518,SUMPRODUCT(MAX(ROW(E$1:E518)*(E519=E$1:E518)))))</f>
        <v> </v>
      </c>
      <c r="L519" s="26"/>
    </row>
    <row r="520" spans="1:12">
      <c r="A520" s="20" t="s">
        <v>716</v>
      </c>
      <c r="B520" s="27" t="s">
        <v>547</v>
      </c>
      <c r="C520" s="27" t="s">
        <v>498</v>
      </c>
      <c r="E520" s="21">
        <f>IF(D520="?OLD","!!!","")</f>
        <v/>
      </c>
      <c r="F520" s="22" t="str">
        <f>IF(OR(E520="",E520="!!!"),"",IF(NOT(ISNA(VLOOKUP(E520,E$1:E519,1,FALSE()))),"OLD",IF(AND(E520&lt;&gt;"",E520&lt;&gt;"!!!"),"NEW","")))</f>
        <v> </v>
      </c>
      <c r="G520" s="23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 </v>
      </c>
      <c r="H520" s="24" t="str">
        <f>IF(J520&lt;&gt;1,"",IF(I520="SBJ","CB","?"))</f>
        <v> </v>
      </c>
      <c r="I520" s="25" t="str">
        <f>IF(OR(E520="",E520="!!!",F520="NEW"),"",INDEX(B519:B$2,-1+SUMPRODUCT(MAX(ROW(E519:E$2)*(E520=E519:E$2)))))</f>
        <v> </v>
      </c>
      <c r="J520" s="25" t="str">
        <f>IF(OR(E520="",E520="!!!",F520="NEW"),"",COUNTBLANK(OFFSET(A$1,,,SUMPRODUCT(MAX(ROW(E$2:E520)*(E520=E$2:E520)))))-COUNTBLANK(OFFSET(A$1,,,SUMPRODUCT(MAX(ROW(E$1:E519)*(E2=E$1:E519))))))</f>
        <v> </v>
      </c>
      <c r="K520" s="25" t="str">
        <f>IF(OR(E520="",E520="!!!",F520="NEW"),"",INDEX(J$1:J519,SUMPRODUCT(MAX(ROW(E$1:E519)*(E520=E$1:E519)))))</f>
        <v> </v>
      </c>
      <c r="L520" s="26"/>
    </row>
    <row r="521" spans="1:12">
      <c r="A521" s="20" t="s">
        <v>531</v>
      </c>
      <c r="E521" s="21">
        <f>IF(D521="?OLD","!!!","")</f>
        <v/>
      </c>
      <c r="F521" s="22" t="str">
        <f>IF(OR(E521="",E521="!!!"),"",IF(NOT(ISNA(VLOOKUP(E521,E$1:E520,1,FALSE()))),"OLD",IF(AND(E521&lt;&gt;"",E521&lt;&gt;"!!!"),"NEW","")))</f>
        <v> </v>
      </c>
      <c r="G521" s="23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 </v>
      </c>
      <c r="H521" s="24" t="str">
        <f>IF(J521&lt;&gt;1,"",IF(I521="SBJ","CB","?"))</f>
        <v> </v>
      </c>
      <c r="I521" s="25" t="str">
        <f>IF(OR(E521="",E521="!!!",F521="NEW"),"",INDEX(B520:B$2,-1+SUMPRODUCT(MAX(ROW(E520:E$2)*(E521=E520:E$2)))))</f>
        <v> </v>
      </c>
      <c r="J521" s="25" t="str">
        <f>IF(OR(E521="",E521="!!!",F521="NEW"),"",COUNTBLANK(OFFSET(A$1,,,SUMPRODUCT(MAX(ROW(E$2:E521)*(E521=E$2:E521)))))-COUNTBLANK(OFFSET(A$1,,,SUMPRODUCT(MAX(ROW(E$1:E520)*(E2=E$1:E520))))))</f>
        <v> </v>
      </c>
      <c r="K521" s="25" t="str">
        <f>IF(OR(E521="",E521="!!!",F521="NEW"),"",INDEX(J$1:J520,SUMPRODUCT(MAX(ROW(E$1:E520)*(E521=E$1:E520)))))</f>
        <v> </v>
      </c>
      <c r="L521" s="26"/>
    </row>
    <row r="522" spans="1:12">
      <c r="A522" s="20"/>
    </row>
    <row r="523" spans="1:12">
      <c r="A523" s="20" t="s">
        <v>717</v>
      </c>
    </row>
    <row r="524" spans="1:12">
      <c r="A524" s="20" t="s">
        <v>608</v>
      </c>
      <c r="B524" s="27" t="s">
        <v>537</v>
      </c>
      <c r="C524" s="27" t="s">
        <v>482</v>
      </c>
      <c r="D524" s="27" t="s">
        <v>483</v>
      </c>
      <c r="E524" s="21">
        <f>IF(D524="?OLD","!!!","")</f>
        <v/>
      </c>
      <c r="F524" s="22" t="str">
        <f>IF(OR(E524="",E524="!!!"),"",IF(NOT(ISNA(VLOOKUP(E524,E$1:E523,1,FALSE()))),"OLD",IF(AND(E524&lt;&gt;"",E524&lt;&gt;"!!!"),"NEW","")))</f>
        <v> </v>
      </c>
      <c r="G524" s="23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4" t="str">
        <f>IF(J524&lt;&gt;1,"",IF(I524="SBJ","CB","?"))</f>
        <v> </v>
      </c>
      <c r="I524" s="25" t="str">
        <f>IF(OR(E524="",E524="!!!",F524="NEW"),"",INDEX(B523:B$2,-1+SUMPRODUCT(MAX(ROW(E523:E$2)*(E524=E523:E$2)))))</f>
        <v> </v>
      </c>
      <c r="J524" s="25" t="str">
        <f>IF(OR(E524="",E524="!!!",F524="NEW"),"",COUNTBLANK(OFFSET(A$1,,,SUMPRODUCT(MAX(ROW(E$2:E524)*(E524=E$2:E524)))))-COUNTBLANK(OFFSET(A$1,,,SUMPRODUCT(MAX(ROW(E$1:E523)*(E2=E$1:E523))))))</f>
        <v> </v>
      </c>
      <c r="K524" s="25" t="str">
        <f>IF(OR(E524="",E524="!!!",F524="NEW"),"",INDEX(J$1:J523,SUMPRODUCT(MAX(ROW(E$1:E523)*(E524=E$1:E523)))))</f>
        <v> </v>
      </c>
      <c r="L524" s="26"/>
    </row>
    <row r="525" spans="1:12">
      <c r="A525" s="20" t="s">
        <v>718</v>
      </c>
      <c r="E525" s="21">
        <f>IF(D525="?OLD","!!!","")</f>
        <v/>
      </c>
      <c r="F525" s="22" t="str">
        <f>IF(OR(E525="",E525="!!!"),"",IF(NOT(ISNA(VLOOKUP(E525,E$1:E524,1,FALSE()))),"OLD",IF(AND(E525&lt;&gt;"",E525&lt;&gt;"!!!"),"NEW","")))</f>
        <v> </v>
      </c>
      <c r="G525" s="23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> </v>
      </c>
      <c r="H525" s="24" t="str">
        <f>IF(J525&lt;&gt;1,"",IF(I525="SBJ","CB","?"))</f>
        <v> </v>
      </c>
      <c r="I525" s="25" t="str">
        <f>IF(OR(E525="",E525="!!!",F525="NEW"),"",INDEX(B524:B$2,-1+SUMPRODUCT(MAX(ROW(E524:E$2)*(E525=E524:E$2)))))</f>
        <v> </v>
      </c>
      <c r="J525" s="25" t="str">
        <f>IF(OR(E525="",E525="!!!",F525="NEW"),"",COUNTBLANK(OFFSET(A$1,,,SUMPRODUCT(MAX(ROW(E$2:E525)*(E525=E$2:E525)))))-COUNTBLANK(OFFSET(A$1,,,SUMPRODUCT(MAX(ROW(E$1:E524)*(E2=E$1:E524))))))</f>
        <v> </v>
      </c>
      <c r="K525" s="25" t="str">
        <f>IF(OR(E525="",E525="!!!",F525="NEW"),"",INDEX(J$1:J524,SUMPRODUCT(MAX(ROW(E$1:E524)*(E525=E$1:E524)))))</f>
        <v> </v>
      </c>
      <c r="L525" s="26"/>
    </row>
    <row r="526" spans="1:12">
      <c r="A526" s="20" t="s">
        <v>503</v>
      </c>
      <c r="E526" s="21">
        <f>IF(D526="?OLD","!!!","")</f>
        <v/>
      </c>
      <c r="F526" s="22" t="str">
        <f>IF(OR(E526="",E526="!!!"),"",IF(NOT(ISNA(VLOOKUP(E526,E$1:E525,1,FALSE()))),"OLD",IF(AND(E526&lt;&gt;"",E526&lt;&gt;"!!!"),"NEW","")))</f>
        <v> </v>
      </c>
      <c r="G526" s="23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> </v>
      </c>
      <c r="H526" s="24" t="str">
        <f>IF(J526&lt;&gt;1,"",IF(I526="SBJ","CB","?"))</f>
        <v> </v>
      </c>
      <c r="I526" s="25" t="str">
        <f>IF(OR(E526="",E526="!!!",F526="NEW"),"",INDEX(B525:B$2,-1+SUMPRODUCT(MAX(ROW(E525:E$2)*(E526=E525:E$2)))))</f>
        <v> </v>
      </c>
      <c r="J526" s="25" t="str">
        <f>IF(OR(E526="",E526="!!!",F526="NEW"),"",COUNTBLANK(OFFSET(A$1,,,SUMPRODUCT(MAX(ROW(E$2:E526)*(E526=E$2:E526)))))-COUNTBLANK(OFFSET(A$1,,,SUMPRODUCT(MAX(ROW(E$1:E525)*(E2=E$1:E525))))))</f>
        <v> </v>
      </c>
      <c r="K526" s="25" t="str">
        <f>IF(OR(E526="",E526="!!!",F526="NEW"),"",INDEX(J$1:J525,SUMPRODUCT(MAX(ROW(E$1:E525)*(E526=E$1:E525)))))</f>
        <v> </v>
      </c>
      <c r="L526" s="26"/>
    </row>
    <row r="527" spans="1:12">
      <c r="A527" s="20" t="s">
        <v>715</v>
      </c>
      <c r="E527" s="21">
        <f>IF(D527="?OLD","!!!","")</f>
        <v/>
      </c>
      <c r="F527" s="22" t="str">
        <f>IF(OR(E527="",E527="!!!"),"",IF(NOT(ISNA(VLOOKUP(E527,E$1:E526,1,FALSE()))),"OLD",IF(AND(E527&lt;&gt;"",E527&lt;&gt;"!!!"),"NEW","")))</f>
        <v> </v>
      </c>
      <c r="G527" s="23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24" t="str">
        <f>IF(J527&lt;&gt;1,"",IF(I527="SBJ","CB","?"))</f>
        <v> </v>
      </c>
      <c r="I527" s="25" t="str">
        <f>IF(OR(E527="",E527="!!!",F527="NEW"),"",INDEX(B526:B$2,-1+SUMPRODUCT(MAX(ROW(E526:E$2)*(E527=E526:E$2)))))</f>
        <v> </v>
      </c>
      <c r="J527" s="25" t="str">
        <f>IF(OR(E527="",E527="!!!",F527="NEW"),"",COUNTBLANK(OFFSET(A$1,,,SUMPRODUCT(MAX(ROW(E$2:E527)*(E527=E$2:E527)))))-COUNTBLANK(OFFSET(A$1,,,SUMPRODUCT(MAX(ROW(E$1:E526)*(E2=E$1:E526))))))</f>
        <v> </v>
      </c>
      <c r="K527" s="25" t="str">
        <f>IF(OR(E527="",E527="!!!",F527="NEW"),"",INDEX(J$1:J526,SUMPRODUCT(MAX(ROW(E$1:E526)*(E527=E$1:E526)))))</f>
        <v> </v>
      </c>
      <c r="L527" s="26"/>
    </row>
    <row r="528" spans="1:12">
      <c r="A528" s="20" t="s">
        <v>507</v>
      </c>
      <c r="E528" s="21">
        <f>IF(D528="?OLD","!!!","")</f>
        <v/>
      </c>
      <c r="F528" s="22" t="str">
        <f>IF(OR(E528="",E528="!!!"),"",IF(NOT(ISNA(VLOOKUP(E528,E$1:E527,1,FALSE()))),"OLD",IF(AND(E528&lt;&gt;"",E528&lt;&gt;"!!!"),"NEW","")))</f>
        <v> </v>
      </c>
      <c r="G528" s="23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4" t="str">
        <f>IF(J528&lt;&gt;1,"",IF(I528="SBJ","CB","?"))</f>
        <v> </v>
      </c>
      <c r="I528" s="25" t="str">
        <f>IF(OR(E528="",E528="!!!",F528="NEW"),"",INDEX(B527:B$2,-1+SUMPRODUCT(MAX(ROW(E527:E$2)*(E528=E527:E$2)))))</f>
        <v> </v>
      </c>
      <c r="J528" s="25" t="str">
        <f>IF(OR(E528="",E528="!!!",F528="NEW"),"",COUNTBLANK(OFFSET(A$1,,,SUMPRODUCT(MAX(ROW(E$2:E528)*(E528=E$2:E528)))))-COUNTBLANK(OFFSET(A$1,,,SUMPRODUCT(MAX(ROW(E$1:E527)*(E2=E$1:E527))))))</f>
        <v> </v>
      </c>
      <c r="K528" s="25" t="str">
        <f>IF(OR(E528="",E528="!!!",F528="NEW"),"",INDEX(J$1:J527,SUMPRODUCT(MAX(ROW(E$1:E527)*(E528=E$1:E527)))))</f>
        <v> </v>
      </c>
      <c r="L528" s="26"/>
    </row>
    <row r="529" spans="1:12">
      <c r="A529" s="20" t="s">
        <v>485</v>
      </c>
      <c r="E529" s="21">
        <f>IF(D529="?OLD","!!!","")</f>
        <v/>
      </c>
      <c r="F529" s="22" t="str">
        <f>IF(OR(E529="",E529="!!!"),"",IF(NOT(ISNA(VLOOKUP(E529,E$1:E528,1,FALSE()))),"OLD",IF(AND(E529&lt;&gt;"",E529&lt;&gt;"!!!"),"NEW","")))</f>
        <v> </v>
      </c>
      <c r="G529" s="23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24" t="str">
        <f>IF(J529&lt;&gt;1,"",IF(I529="SBJ","CB","?"))</f>
        <v> </v>
      </c>
      <c r="I529" s="25" t="str">
        <f>IF(OR(E529="",E529="!!!",F529="NEW"),"",INDEX(B528:B$2,-1+SUMPRODUCT(MAX(ROW(E528:E$2)*(E529=E528:E$2)))))</f>
        <v> </v>
      </c>
      <c r="J529" s="25" t="str">
        <f>IF(OR(E529="",E529="!!!",F529="NEW"),"",COUNTBLANK(OFFSET(A$1,,,SUMPRODUCT(MAX(ROW(E$2:E529)*(E529=E$2:E529)))))-COUNTBLANK(OFFSET(A$1,,,SUMPRODUCT(MAX(ROW(E$1:E528)*(E2=E$1:E528))))))</f>
        <v> </v>
      </c>
      <c r="K529" s="25" t="str">
        <f>IF(OR(E529="",E529="!!!",F529="NEW"),"",INDEX(J$1:J528,SUMPRODUCT(MAX(ROW(E$1:E528)*(E529=E$1:E528)))))</f>
        <v> </v>
      </c>
      <c r="L529" s="26"/>
    </row>
    <row r="530" spans="1:12">
      <c r="A530" s="20" t="s">
        <v>648</v>
      </c>
      <c r="B530" s="27" t="s">
        <v>490</v>
      </c>
      <c r="C530" s="27" t="s">
        <v>487</v>
      </c>
      <c r="D530" s="27" t="s">
        <v>483</v>
      </c>
      <c r="E530" s="21">
        <f>IF(D530="?OLD","!!!","")</f>
        <v/>
      </c>
      <c r="F530" s="22" t="str">
        <f>IF(OR(E530="",E530="!!!"),"",IF(NOT(ISNA(VLOOKUP(E530,E$1:E529,1,FALSE()))),"OLD",IF(AND(E530&lt;&gt;"",E530&lt;&gt;"!!!"),"NEW","")))</f>
        <v> </v>
      </c>
      <c r="G530" s="23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 </v>
      </c>
      <c r="H530" s="24" t="str">
        <f>IF(J530&lt;&gt;1,"",IF(I530="SBJ","CB","?"))</f>
        <v> </v>
      </c>
      <c r="I530" s="25" t="str">
        <f>IF(OR(E530="",E530="!!!",F530="NEW"),"",INDEX(B529:B$2,-1+SUMPRODUCT(MAX(ROW(E529:E$2)*(E530=E529:E$2)))))</f>
        <v> </v>
      </c>
      <c r="J530" s="25" t="str">
        <f>IF(OR(E530="",E530="!!!",F530="NEW"),"",COUNTBLANK(OFFSET(A$1,,,SUMPRODUCT(MAX(ROW(E$2:E530)*(E530=E$2:E530)))))-COUNTBLANK(OFFSET(A$1,,,SUMPRODUCT(MAX(ROW(E$1:E529)*(E2=E$1:E529))))))</f>
        <v> </v>
      </c>
      <c r="K530" s="25" t="str">
        <f>IF(OR(E530="",E530="!!!",F530="NEW"),"",INDEX(J$1:J529,SUMPRODUCT(MAX(ROW(E$1:E529)*(E530=E$1:E529)))))</f>
        <v> </v>
      </c>
      <c r="L530" s="26"/>
    </row>
    <row r="531" spans="1:12">
      <c r="A531" s="20" t="s">
        <v>551</v>
      </c>
      <c r="E531" s="21">
        <f>IF(D531="?OLD","!!!","")</f>
        <v/>
      </c>
      <c r="F531" s="22" t="str">
        <f>IF(OR(E531="",E531="!!!"),"",IF(NOT(ISNA(VLOOKUP(E531,E$1:E530,1,FALSE()))),"OLD",IF(AND(E531&lt;&gt;"",E531&lt;&gt;"!!!"),"NEW","")))</f>
        <v> </v>
      </c>
      <c r="G531" s="23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> </v>
      </c>
      <c r="H531" s="24" t="str">
        <f>IF(J531&lt;&gt;1,"",IF(I531="SBJ","CB","?"))</f>
        <v> </v>
      </c>
      <c r="I531" s="25" t="str">
        <f>IF(OR(E531="",E531="!!!",F531="NEW"),"",INDEX(B530:B$2,-1+SUMPRODUCT(MAX(ROW(E530:E$2)*(E531=E530:E$2)))))</f>
        <v> </v>
      </c>
      <c r="J531" s="25" t="str">
        <f>IF(OR(E531="",E531="!!!",F531="NEW"),"",COUNTBLANK(OFFSET(A$1,,,SUMPRODUCT(MAX(ROW(E$2:E531)*(E531=E$2:E531)))))-COUNTBLANK(OFFSET(A$1,,,SUMPRODUCT(MAX(ROW(E$1:E530)*(E2=E$1:E530))))))</f>
        <v> </v>
      </c>
      <c r="K531" s="25" t="str">
        <f>IF(OR(E531="",E531="!!!",F531="NEW"),"",INDEX(J$1:J530,SUMPRODUCT(MAX(ROW(E$1:E530)*(E531=E$1:E530)))))</f>
        <v> </v>
      </c>
      <c r="L531" s="26"/>
    </row>
    <row r="532" spans="1:12">
      <c r="A532" s="20" t="s">
        <v>489</v>
      </c>
      <c r="E532" s="21">
        <f>IF(D532="?OLD","!!!","")</f>
        <v/>
      </c>
      <c r="F532" s="22" t="str">
        <f>IF(OR(E532="",E532="!!!"),"",IF(NOT(ISNA(VLOOKUP(E532,E$1:E531,1,FALSE()))),"OLD",IF(AND(E532&lt;&gt;"",E532&lt;&gt;"!!!"),"NEW","")))</f>
        <v> </v>
      </c>
      <c r="G532" s="23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24" t="str">
        <f>IF(J532&lt;&gt;1,"",IF(I532="SBJ","CB","?"))</f>
        <v> </v>
      </c>
      <c r="I532" s="25" t="str">
        <f>IF(OR(E532="",E532="!!!",F532="NEW"),"",INDEX(B531:B$2,-1+SUMPRODUCT(MAX(ROW(E531:E$2)*(E532=E531:E$2)))))</f>
        <v> </v>
      </c>
      <c r="J532" s="25" t="str">
        <f>IF(OR(E532="",E532="!!!",F532="NEW"),"",COUNTBLANK(OFFSET(A$1,,,SUMPRODUCT(MAX(ROW(E$2:E532)*(E532=E$2:E532)))))-COUNTBLANK(OFFSET(A$1,,,SUMPRODUCT(MAX(ROW(E$1:E531)*(E2=E$1:E531))))))</f>
        <v> </v>
      </c>
      <c r="K532" s="25" t="str">
        <f>IF(OR(E532="",E532="!!!",F532="NEW"),"",INDEX(J$1:J531,SUMPRODUCT(MAX(ROW(E$1:E531)*(E532=E$1:E531)))))</f>
        <v> </v>
      </c>
      <c r="L532" s="26"/>
    </row>
    <row r="533" spans="1:12">
      <c r="A533" s="20" t="s">
        <v>507</v>
      </c>
      <c r="E533" s="21">
        <f>IF(D533="?OLD","!!!","")</f>
        <v/>
      </c>
      <c r="F533" s="22" t="str">
        <f>IF(OR(E533="",E533="!!!"),"",IF(NOT(ISNA(VLOOKUP(E533,E$1:E532,1,FALSE()))),"OLD",IF(AND(E533&lt;&gt;"",E533&lt;&gt;"!!!"),"NEW","")))</f>
        <v> </v>
      </c>
      <c r="G533" s="23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> </v>
      </c>
      <c r="H533" s="24" t="str">
        <f>IF(J533&lt;&gt;1,"",IF(I533="SBJ","CB","?"))</f>
        <v> </v>
      </c>
      <c r="I533" s="25" t="str">
        <f>IF(OR(E533="",E533="!!!",F533="NEW"),"",INDEX(B532:B$2,-1+SUMPRODUCT(MAX(ROW(E532:E$2)*(E533=E532:E$2)))))</f>
        <v> </v>
      </c>
      <c r="J533" s="25" t="str">
        <f>IF(OR(E533="",E533="!!!",F533="NEW"),"",COUNTBLANK(OFFSET(A$1,,,SUMPRODUCT(MAX(ROW(E$2:E533)*(E533=E$2:E533)))))-COUNTBLANK(OFFSET(A$1,,,SUMPRODUCT(MAX(ROW(E$1:E532)*(E2=E$1:E532))))))</f>
        <v> </v>
      </c>
      <c r="K533" s="25" t="str">
        <f>IF(OR(E533="",E533="!!!",F533="NEW"),"",INDEX(J$1:J532,SUMPRODUCT(MAX(ROW(E$1:E532)*(E533=E$1:E532)))))</f>
        <v> </v>
      </c>
      <c r="L533" s="26"/>
    </row>
    <row r="534" spans="1:12">
      <c r="A534" s="20" t="s">
        <v>503</v>
      </c>
      <c r="E534" s="21">
        <f>IF(D534="?OLD","!!!","")</f>
        <v/>
      </c>
      <c r="F534" s="22" t="str">
        <f>IF(OR(E534="",E534="!!!"),"",IF(NOT(ISNA(VLOOKUP(E534,E$1:E533,1,FALSE()))),"OLD",IF(AND(E534&lt;&gt;"",E534&lt;&gt;"!!!"),"NEW","")))</f>
        <v> </v>
      </c>
      <c r="G534" s="23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 </v>
      </c>
      <c r="H534" s="24" t="str">
        <f>IF(J534&lt;&gt;1,"",IF(I534="SBJ","CB","?"))</f>
        <v> </v>
      </c>
      <c r="I534" s="25" t="str">
        <f>IF(OR(E534="",E534="!!!",F534="NEW"),"",INDEX(B533:B$2,-1+SUMPRODUCT(MAX(ROW(E533:E$2)*(E534=E533:E$2)))))</f>
        <v> </v>
      </c>
      <c r="J534" s="25" t="str">
        <f>IF(OR(E534="",E534="!!!",F534="NEW"),"",COUNTBLANK(OFFSET(A$1,,,SUMPRODUCT(MAX(ROW(E$2:E534)*(E534=E$2:E534)))))-COUNTBLANK(OFFSET(A$1,,,SUMPRODUCT(MAX(ROW(E$1:E533)*(E2=E$1:E533))))))</f>
        <v> </v>
      </c>
      <c r="K534" s="25" t="str">
        <f>IF(OR(E534="",E534="!!!",F534="NEW"),"",INDEX(J$1:J533,SUMPRODUCT(MAX(ROW(E$1:E533)*(E534=E$1:E533)))))</f>
        <v> </v>
      </c>
      <c r="L534" s="26"/>
    </row>
    <row r="535" spans="1:12">
      <c r="A535" s="20" t="s">
        <v>719</v>
      </c>
      <c r="B535" s="27" t="s">
        <v>540</v>
      </c>
      <c r="C535" s="27" t="s">
        <v>516</v>
      </c>
      <c r="E535" s="21">
        <f>IF(D535="?OLD","!!!","")</f>
        <v/>
      </c>
      <c r="F535" s="22" t="str">
        <f>IF(OR(E535="",E535="!!!"),"",IF(NOT(ISNA(VLOOKUP(E535,E$1:E534,1,FALSE()))),"OLD",IF(AND(E535&lt;&gt;"",E535&lt;&gt;"!!!"),"NEW","")))</f>
        <v> </v>
      </c>
      <c r="G535" s="23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24" t="str">
        <f>IF(J535&lt;&gt;1,"",IF(I535="SBJ","CB","?"))</f>
        <v> </v>
      </c>
      <c r="I535" s="25" t="str">
        <f>IF(OR(E535="",E535="!!!",F535="NEW"),"",INDEX(B534:B$2,-1+SUMPRODUCT(MAX(ROW(E534:E$2)*(E535=E534:E$2)))))</f>
        <v> </v>
      </c>
      <c r="J535" s="25" t="str">
        <f>IF(OR(E535="",E535="!!!",F535="NEW"),"",COUNTBLANK(OFFSET(A$1,,,SUMPRODUCT(MAX(ROW(E$2:E535)*(E535=E$2:E535)))))-COUNTBLANK(OFFSET(A$1,,,SUMPRODUCT(MAX(ROW(E$1:E534)*(E2=E$1:E534))))))</f>
        <v> </v>
      </c>
      <c r="K535" s="25" t="str">
        <f>IF(OR(E535="",E535="!!!",F535="NEW"),"",INDEX(J$1:J534,SUMPRODUCT(MAX(ROW(E$1:E534)*(E535=E$1:E534)))))</f>
        <v> </v>
      </c>
      <c r="L535" s="26"/>
    </row>
    <row r="536" spans="1:12">
      <c r="A536" s="20" t="s">
        <v>489</v>
      </c>
      <c r="E536" s="21">
        <f>IF(D536="?OLD","!!!","")</f>
        <v/>
      </c>
      <c r="F536" s="22" t="str">
        <f>IF(OR(E536="",E536="!!!"),"",IF(NOT(ISNA(VLOOKUP(E536,E$1:E535,1,FALSE()))),"OLD",IF(AND(E536&lt;&gt;"",E536&lt;&gt;"!!!"),"NEW","")))</f>
        <v> </v>
      </c>
      <c r="G536" s="23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24" t="str">
        <f>IF(J536&lt;&gt;1,"",IF(I536="SBJ","CB","?"))</f>
        <v> </v>
      </c>
      <c r="I536" s="25" t="str">
        <f>IF(OR(E536="",E536="!!!",F536="NEW"),"",INDEX(B535:B$2,-1+SUMPRODUCT(MAX(ROW(E535:E$2)*(E536=E535:E$2)))))</f>
        <v> </v>
      </c>
      <c r="J536" s="25" t="str">
        <f>IF(OR(E536="",E536="!!!",F536="NEW"),"",COUNTBLANK(OFFSET(A$1,,,SUMPRODUCT(MAX(ROW(E$2:E536)*(E536=E$2:E536)))))-COUNTBLANK(OFFSET(A$1,,,SUMPRODUCT(MAX(ROW(E$1:E535)*(E2=E$1:E535))))))</f>
        <v> </v>
      </c>
      <c r="K536" s="25" t="str">
        <f>IF(OR(E536="",E536="!!!",F536="NEW"),"",INDEX(J$1:J535,SUMPRODUCT(MAX(ROW(E$1:E535)*(E536=E$1:E535)))))</f>
        <v> </v>
      </c>
      <c r="L536" s="26"/>
    </row>
    <row r="537" spans="1:12">
      <c r="A537" s="20" t="s">
        <v>558</v>
      </c>
      <c r="E537" s="21">
        <f>IF(D537="?OLD","!!!","")</f>
        <v/>
      </c>
      <c r="F537" s="22" t="str">
        <f>IF(OR(E537="",E537="!!!"),"",IF(NOT(ISNA(VLOOKUP(E537,E$1:E536,1,FALSE()))),"OLD",IF(AND(E537&lt;&gt;"",E537&lt;&gt;"!!!"),"NEW","")))</f>
        <v> </v>
      </c>
      <c r="G537" s="23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4" t="str">
        <f>IF(J537&lt;&gt;1,"",IF(I537="SBJ","CB","?"))</f>
        <v> </v>
      </c>
      <c r="I537" s="25" t="str">
        <f>IF(OR(E537="",E537="!!!",F537="NEW"),"",INDEX(B536:B$2,-1+SUMPRODUCT(MAX(ROW(E536:E$2)*(E537=E536:E$2)))))</f>
        <v> </v>
      </c>
      <c r="J537" s="25" t="str">
        <f>IF(OR(E537="",E537="!!!",F537="NEW"),"",COUNTBLANK(OFFSET(A$1,,,SUMPRODUCT(MAX(ROW(E$2:E537)*(E537=E$2:E537)))))-COUNTBLANK(OFFSET(A$1,,,SUMPRODUCT(MAX(ROW(E$1:E536)*(E2=E$1:E536))))))</f>
        <v> </v>
      </c>
      <c r="K537" s="25" t="str">
        <f>IF(OR(E537="",E537="!!!",F537="NEW"),"",INDEX(J$1:J536,SUMPRODUCT(MAX(ROW(E$1:E536)*(E537=E$1:E536)))))</f>
        <v> </v>
      </c>
      <c r="L537" s="26"/>
    </row>
    <row r="538" spans="1:12">
      <c r="A538" s="20" t="s">
        <v>720</v>
      </c>
      <c r="E538" s="21">
        <f>IF(D538="?OLD","!!!","")</f>
        <v/>
      </c>
      <c r="F538" s="22" t="str">
        <f>IF(OR(E538="",E538="!!!"),"",IF(NOT(ISNA(VLOOKUP(E538,E$1:E537,1,FALSE()))),"OLD",IF(AND(E538&lt;&gt;"",E538&lt;&gt;"!!!"),"NEW","")))</f>
        <v> </v>
      </c>
      <c r="G538" s="23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24" t="str">
        <f>IF(J538&lt;&gt;1,"",IF(I538="SBJ","CB","?"))</f>
        <v> </v>
      </c>
      <c r="I538" s="25" t="str">
        <f>IF(OR(E538="",E538="!!!",F538="NEW"),"",INDEX(B537:B$2,-1+SUMPRODUCT(MAX(ROW(E537:E$2)*(E538=E537:E$2)))))</f>
        <v> </v>
      </c>
      <c r="J538" s="25" t="str">
        <f>IF(OR(E538="",E538="!!!",F538="NEW"),"",COUNTBLANK(OFFSET(A$1,,,SUMPRODUCT(MAX(ROW(E$2:E538)*(E538=E$2:E538)))))-COUNTBLANK(OFFSET(A$1,,,SUMPRODUCT(MAX(ROW(E$1:E537)*(E2=E$1:E537))))))</f>
        <v> </v>
      </c>
      <c r="K538" s="25" t="str">
        <f>IF(OR(E538="",E538="!!!",F538="NEW"),"",INDEX(J$1:J537,SUMPRODUCT(MAX(ROW(E$1:E537)*(E538=E$1:E537)))))</f>
        <v> </v>
      </c>
      <c r="L538" s="26"/>
    </row>
    <row r="539" spans="1:12">
      <c r="A539" s="20" t="s">
        <v>485</v>
      </c>
      <c r="E539" s="21">
        <f>IF(D539="?OLD","!!!","")</f>
        <v/>
      </c>
      <c r="F539" s="22" t="str">
        <f>IF(OR(E539="",E539="!!!"),"",IF(NOT(ISNA(VLOOKUP(E539,E$1:E538,1,FALSE()))),"OLD",IF(AND(E539&lt;&gt;"",E539&lt;&gt;"!!!"),"NEW","")))</f>
        <v> </v>
      </c>
      <c r="G539" s="23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 </v>
      </c>
      <c r="H539" s="24" t="str">
        <f>IF(J539&lt;&gt;1,"",IF(I539="SBJ","CB","?"))</f>
        <v> </v>
      </c>
      <c r="I539" s="25" t="str">
        <f>IF(OR(E539="",E539="!!!",F539="NEW"),"",INDEX(B538:B$2,-1+SUMPRODUCT(MAX(ROW(E538:E$2)*(E539=E538:E$2)))))</f>
        <v> </v>
      </c>
      <c r="J539" s="25" t="str">
        <f>IF(OR(E539="",E539="!!!",F539="NEW"),"",COUNTBLANK(OFFSET(A$1,,,SUMPRODUCT(MAX(ROW(E$2:E539)*(E539=E$2:E539)))))-COUNTBLANK(OFFSET(A$1,,,SUMPRODUCT(MAX(ROW(E$1:E538)*(E2=E$1:E538))))))</f>
        <v> </v>
      </c>
      <c r="K539" s="25" t="str">
        <f>IF(OR(E539="",E539="!!!",F539="NEW"),"",INDEX(J$1:J538,SUMPRODUCT(MAX(ROW(E$1:E538)*(E539=E$1:E538)))))</f>
        <v> </v>
      </c>
      <c r="L539" s="26"/>
    </row>
    <row r="540" spans="1:12">
      <c r="A540" s="20" t="s">
        <v>721</v>
      </c>
      <c r="B540" s="27" t="s">
        <v>578</v>
      </c>
      <c r="C540" s="27" t="s">
        <v>538</v>
      </c>
      <c r="D540" s="27" t="s">
        <v>483</v>
      </c>
      <c r="E540" s="21">
        <f>IF(D540="?OLD","!!!","")</f>
        <v/>
      </c>
      <c r="F540" s="22" t="str">
        <f>IF(OR(E540="",E540="!!!"),"",IF(NOT(ISNA(VLOOKUP(E540,E$1:E539,1,FALSE()))),"OLD",IF(AND(E540&lt;&gt;"",E540&lt;&gt;"!!!"),"NEW","")))</f>
        <v> </v>
      </c>
      <c r="G540" s="23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> </v>
      </c>
      <c r="H540" s="24" t="str">
        <f>IF(J540&lt;&gt;1,"",IF(I540="SBJ","CB","?"))</f>
        <v> </v>
      </c>
      <c r="I540" s="25" t="str">
        <f>IF(OR(E540="",E540="!!!",F540="NEW"),"",INDEX(B539:B$2,-1+SUMPRODUCT(MAX(ROW(E539:E$2)*(E540=E539:E$2)))))</f>
        <v> </v>
      </c>
      <c r="J540" s="25" t="str">
        <f>IF(OR(E540="",E540="!!!",F540="NEW"),"",COUNTBLANK(OFFSET(A$1,,,SUMPRODUCT(MAX(ROW(E$2:E540)*(E540=E$2:E540)))))-COUNTBLANK(OFFSET(A$1,,,SUMPRODUCT(MAX(ROW(E$1:E539)*(E2=E$1:E539))))))</f>
        <v> </v>
      </c>
      <c r="K540" s="25" t="str">
        <f>IF(OR(E540="",E540="!!!",F540="NEW"),"",INDEX(J$1:J539,SUMPRODUCT(MAX(ROW(E$1:E539)*(E540=E$1:E539)))))</f>
        <v> </v>
      </c>
      <c r="L540" s="26"/>
    </row>
    <row r="541" spans="1:12">
      <c r="A541" s="20" t="s">
        <v>528</v>
      </c>
      <c r="E541" s="21">
        <f>IF(D541="?OLD","!!!","")</f>
        <v/>
      </c>
      <c r="F541" s="22" t="str">
        <f>IF(OR(E541="",E541="!!!"),"",IF(NOT(ISNA(VLOOKUP(E541,E$1:E540,1,FALSE()))),"OLD",IF(AND(E541&lt;&gt;"",E541&lt;&gt;"!!!"),"NEW","")))</f>
        <v> </v>
      </c>
      <c r="G541" s="23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> </v>
      </c>
      <c r="H541" s="24" t="str">
        <f>IF(J541&lt;&gt;1,"",IF(I541="SBJ","CB","?"))</f>
        <v> </v>
      </c>
      <c r="I541" s="25" t="str">
        <f>IF(OR(E541="",E541="!!!",F541="NEW"),"",INDEX(B540:B$2,-1+SUMPRODUCT(MAX(ROW(E540:E$2)*(E541=E540:E$2)))))</f>
        <v> </v>
      </c>
      <c r="J541" s="25" t="str">
        <f>IF(OR(E541="",E541="!!!",F541="NEW"),"",COUNTBLANK(OFFSET(A$1,,,SUMPRODUCT(MAX(ROW(E$2:E541)*(E541=E$2:E541)))))-COUNTBLANK(OFFSET(A$1,,,SUMPRODUCT(MAX(ROW(E$1:E540)*(E2=E$1:E540))))))</f>
        <v> </v>
      </c>
      <c r="K541" s="25" t="str">
        <f>IF(OR(E541="",E541="!!!",F541="NEW"),"",INDEX(J$1:J540,SUMPRODUCT(MAX(ROW(E$1:E540)*(E541=E$1:E540)))))</f>
        <v> </v>
      </c>
      <c r="L541" s="26"/>
    </row>
    <row r="542" spans="1:12">
      <c r="A542" s="20" t="s">
        <v>503</v>
      </c>
      <c r="E542" s="21">
        <f>IF(D542="?OLD","!!!","")</f>
        <v/>
      </c>
      <c r="F542" s="22" t="str">
        <f>IF(OR(E542="",E542="!!!"),"",IF(NOT(ISNA(VLOOKUP(E542,E$1:E541,1,FALSE()))),"OLD",IF(AND(E542&lt;&gt;"",E542&lt;&gt;"!!!"),"NEW","")))</f>
        <v> </v>
      </c>
      <c r="G542" s="23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24" t="str">
        <f>IF(J542&lt;&gt;1,"",IF(I542="SBJ","CB","?"))</f>
        <v> </v>
      </c>
      <c r="I542" s="25" t="str">
        <f>IF(OR(E542="",E542="!!!",F542="NEW"),"",INDEX(B541:B$2,-1+SUMPRODUCT(MAX(ROW(E541:E$2)*(E542=E541:E$2)))))</f>
        <v> </v>
      </c>
      <c r="J542" s="25" t="str">
        <f>IF(OR(E542="",E542="!!!",F542="NEW"),"",COUNTBLANK(OFFSET(A$1,,,SUMPRODUCT(MAX(ROW(E$2:E542)*(E542=E$2:E542)))))-COUNTBLANK(OFFSET(A$1,,,SUMPRODUCT(MAX(ROW(E$1:E541)*(E2=E$1:E541))))))</f>
        <v> </v>
      </c>
      <c r="K542" s="25" t="str">
        <f>IF(OR(E542="",E542="!!!",F542="NEW"),"",INDEX(J$1:J541,SUMPRODUCT(MAX(ROW(E$1:E541)*(E542=E$1:E541)))))</f>
        <v> </v>
      </c>
      <c r="L542" s="26"/>
    </row>
    <row r="543" spans="1:12">
      <c r="A543" s="20" t="s">
        <v>702</v>
      </c>
      <c r="B543" s="27" t="s">
        <v>547</v>
      </c>
      <c r="C543" s="27" t="s">
        <v>487</v>
      </c>
      <c r="D543" s="27" t="s">
        <v>483</v>
      </c>
      <c r="E543" s="21">
        <f>IF(D543="?OLD","!!!","")</f>
        <v/>
      </c>
      <c r="F543" s="22" t="str">
        <f>IF(OR(E543="",E543="!!!"),"",IF(NOT(ISNA(VLOOKUP(E543,E$1:E542,1,FALSE()))),"OLD",IF(AND(E543&lt;&gt;"",E543&lt;&gt;"!!!"),"NEW","")))</f>
        <v> </v>
      </c>
      <c r="G543" s="23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> </v>
      </c>
      <c r="H543" s="24" t="str">
        <f>IF(J543&lt;&gt;1,"",IF(I543="SBJ","CB","?"))</f>
        <v> </v>
      </c>
      <c r="I543" s="25" t="str">
        <f>IF(OR(E543="",E543="!!!",F543="NEW"),"",INDEX(B542:B$2,-1+SUMPRODUCT(MAX(ROW(E542:E$2)*(E543=E542:E$2)))))</f>
        <v> </v>
      </c>
      <c r="J543" s="25" t="str">
        <f>IF(OR(E543="",E543="!!!",F543="NEW"),"",COUNTBLANK(OFFSET(A$1,,,SUMPRODUCT(MAX(ROW(E$2:E543)*(E543=E$2:E543)))))-COUNTBLANK(OFFSET(A$1,,,SUMPRODUCT(MAX(ROW(E$1:E542)*(E2=E$1:E542))))))</f>
        <v> </v>
      </c>
      <c r="K543" s="25" t="str">
        <f>IF(OR(E543="",E543="!!!",F543="NEW"),"",INDEX(J$1:J542,SUMPRODUCT(MAX(ROW(E$1:E542)*(E543=E$1:E542)))))</f>
        <v> </v>
      </c>
      <c r="L543" s="26"/>
    </row>
    <row r="544" spans="1:12">
      <c r="A544" s="20" t="s">
        <v>531</v>
      </c>
      <c r="E544" s="21">
        <f>IF(D544="?OLD","!!!","")</f>
        <v/>
      </c>
      <c r="F544" s="22" t="str">
        <f>IF(OR(E544="",E544="!!!"),"",IF(NOT(ISNA(VLOOKUP(E544,E$1:E543,1,FALSE()))),"OLD",IF(AND(E544&lt;&gt;"",E544&lt;&gt;"!!!"),"NEW","")))</f>
        <v> </v>
      </c>
      <c r="G544" s="23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 </v>
      </c>
      <c r="H544" s="24" t="str">
        <f>IF(J544&lt;&gt;1,"",IF(I544="SBJ","CB","?"))</f>
        <v> </v>
      </c>
      <c r="I544" s="25" t="str">
        <f>IF(OR(E544="",E544="!!!",F544="NEW"),"",INDEX(B543:B$2,-1+SUMPRODUCT(MAX(ROW(E543:E$2)*(E544=E543:E$2)))))</f>
        <v> </v>
      </c>
      <c r="J544" s="25" t="str">
        <f>IF(OR(E544="",E544="!!!",F544="NEW"),"",COUNTBLANK(OFFSET(A$1,,,SUMPRODUCT(MAX(ROW(E$2:E544)*(E544=E$2:E544)))))-COUNTBLANK(OFFSET(A$1,,,SUMPRODUCT(MAX(ROW(E$1:E543)*(E2=E$1:E543))))))</f>
        <v> </v>
      </c>
      <c r="K544" s="25" t="str">
        <f>IF(OR(E544="",E544="!!!",F544="NEW"),"",INDEX(J$1:J543,SUMPRODUCT(MAX(ROW(E$1:E543)*(E544=E$1:E543)))))</f>
        <v> </v>
      </c>
      <c r="L544" s="26"/>
    </row>
    <row r="545" spans="1:12">
      <c r="A545" s="20"/>
    </row>
    <row r="546" spans="1:12">
      <c r="A546" s="20" t="s">
        <v>722</v>
      </c>
    </row>
    <row r="547" spans="1:12">
      <c r="A547" s="20" t="s">
        <v>723</v>
      </c>
      <c r="E547" s="21">
        <f>IF(D547="?OLD","!!!","")</f>
        <v/>
      </c>
      <c r="F547" s="22" t="str">
        <f>IF(OR(E547="",E547="!!!"),"",IF(NOT(ISNA(VLOOKUP(E547,E$1:E546,1,FALSE()))),"OLD",IF(AND(E547&lt;&gt;"",E547&lt;&gt;"!!!"),"NEW","")))</f>
        <v> </v>
      </c>
      <c r="G547" s="23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> </v>
      </c>
      <c r="H547" s="24" t="str">
        <f>IF(J547&lt;&gt;1,"",IF(I547="SBJ","CB","?"))</f>
        <v> </v>
      </c>
      <c r="I547" s="25" t="str">
        <f>IF(OR(E547="",E547="!!!",F547="NEW"),"",INDEX(B546:B$2,-1+SUMPRODUCT(MAX(ROW(E546:E$2)*(E547=E546:E$2)))))</f>
        <v> </v>
      </c>
      <c r="J547" s="25" t="str">
        <f>IF(OR(E547="",E547="!!!",F547="NEW"),"",COUNTBLANK(OFFSET(A$1,,,SUMPRODUCT(MAX(ROW(E$2:E547)*(E547=E$2:E547)))))-COUNTBLANK(OFFSET(A$1,,,SUMPRODUCT(MAX(ROW(E$1:E546)*(E2=E$1:E546))))))</f>
        <v> </v>
      </c>
      <c r="K547" s="25" t="str">
        <f>IF(OR(E547="",E547="!!!",F547="NEW"),"",INDEX(J$1:J546,SUMPRODUCT(MAX(ROW(E$1:E546)*(E547=E$1:E546)))))</f>
        <v> </v>
      </c>
      <c r="L547" s="26"/>
    </row>
    <row r="548" spans="1:12">
      <c r="A548" s="20" t="s">
        <v>503</v>
      </c>
      <c r="E548" s="21">
        <f>IF(D548="?OLD","!!!","")</f>
        <v/>
      </c>
      <c r="F548" s="22" t="str">
        <f>IF(OR(E548="",E548="!!!"),"",IF(NOT(ISNA(VLOOKUP(E548,E$1:E547,1,FALSE()))),"OLD",IF(AND(E548&lt;&gt;"",E548&lt;&gt;"!!!"),"NEW","")))</f>
        <v> </v>
      </c>
      <c r="G548" s="23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> </v>
      </c>
      <c r="H548" s="24" t="str">
        <f>IF(J548&lt;&gt;1,"",IF(I548="SBJ","CB","?"))</f>
        <v> </v>
      </c>
      <c r="I548" s="25" t="str">
        <f>IF(OR(E548="",E548="!!!",F548="NEW"),"",INDEX(B547:B$2,-1+SUMPRODUCT(MAX(ROW(E547:E$2)*(E548=E547:E$2)))))</f>
        <v> </v>
      </c>
      <c r="J548" s="25" t="str">
        <f>IF(OR(E548="",E548="!!!",F548="NEW"),"",COUNTBLANK(OFFSET(A$1,,,SUMPRODUCT(MAX(ROW(E$2:E548)*(E548=E$2:E548)))))-COUNTBLANK(OFFSET(A$1,,,SUMPRODUCT(MAX(ROW(E$1:E547)*(E2=E$1:E547))))))</f>
        <v> </v>
      </c>
      <c r="K548" s="25" t="str">
        <f>IF(OR(E548="",E548="!!!",F548="NEW"),"",INDEX(J$1:J547,SUMPRODUCT(MAX(ROW(E$1:E547)*(E548=E$1:E547)))))</f>
        <v> </v>
      </c>
      <c r="L548" s="26"/>
    </row>
    <row r="549" spans="1:12">
      <c r="A549" s="20" t="s">
        <v>634</v>
      </c>
      <c r="B549" s="27" t="s">
        <v>540</v>
      </c>
      <c r="C549" s="27" t="s">
        <v>635</v>
      </c>
      <c r="D549" s="27" t="s">
        <v>483</v>
      </c>
      <c r="E549" s="21">
        <f>IF(D549="?OLD","!!!","")</f>
        <v/>
      </c>
      <c r="F549" s="22" t="str">
        <f>IF(OR(E549="",E549="!!!"),"",IF(NOT(ISNA(VLOOKUP(E549,E$1:E548,1,FALSE()))),"OLD",IF(AND(E549&lt;&gt;"",E549&lt;&gt;"!!!"),"NEW","")))</f>
        <v> </v>
      </c>
      <c r="G549" s="23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> </v>
      </c>
      <c r="H549" s="24" t="str">
        <f>IF(J549&lt;&gt;1,"",IF(I549="SBJ","CB","?"))</f>
        <v> </v>
      </c>
      <c r="I549" s="25" t="str">
        <f>IF(OR(E549="",E549="!!!",F549="NEW"),"",INDEX(B548:B$2,-1+SUMPRODUCT(MAX(ROW(E548:E$2)*(E549=E548:E$2)))))</f>
        <v> </v>
      </c>
      <c r="J549" s="25" t="str">
        <f>IF(OR(E549="",E549="!!!",F549="NEW"),"",COUNTBLANK(OFFSET(A$1,,,SUMPRODUCT(MAX(ROW(E$2:E549)*(E549=E$2:E549)))))-COUNTBLANK(OFFSET(A$1,,,SUMPRODUCT(MAX(ROW(E$1:E548)*(E2=E$1:E548))))))</f>
        <v> </v>
      </c>
      <c r="K549" s="25" t="str">
        <f>IF(OR(E549="",E549="!!!",F549="NEW"),"",INDEX(J$1:J548,SUMPRODUCT(MAX(ROW(E$1:E548)*(E549=E$1:E548)))))</f>
        <v> </v>
      </c>
      <c r="L549" s="26"/>
    </row>
    <row r="550" spans="1:12">
      <c r="A550" s="20" t="s">
        <v>65</v>
      </c>
      <c r="B550" s="27" t="s">
        <v>537</v>
      </c>
      <c r="C550" s="27" t="s">
        <v>487</v>
      </c>
      <c r="D550" s="27" t="s">
        <v>483</v>
      </c>
      <c r="E550" s="21">
        <f>IF(D550="?OLD","!!!","")</f>
        <v/>
      </c>
      <c r="F550" s="22" t="str">
        <f>IF(OR(E550="",E550="!!!"),"",IF(NOT(ISNA(VLOOKUP(E550,E$1:E549,1,FALSE()))),"OLD",IF(AND(E550&lt;&gt;"",E550&lt;&gt;"!!!"),"NEW","")))</f>
        <v> </v>
      </c>
      <c r="G550" s="23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> </v>
      </c>
      <c r="H550" s="24" t="str">
        <f>IF(J550&lt;&gt;1,"",IF(I550="SBJ","CB","?"))</f>
        <v> </v>
      </c>
      <c r="I550" s="25" t="str">
        <f>IF(OR(E550="",E550="!!!",F550="NEW"),"",INDEX(B549:B$2,-1+SUMPRODUCT(MAX(ROW(E549:E$2)*(E550=E549:E$2)))))</f>
        <v> </v>
      </c>
      <c r="J550" s="25" t="str">
        <f>IF(OR(E550="",E550="!!!",F550="NEW"),"",COUNTBLANK(OFFSET(A$1,,,SUMPRODUCT(MAX(ROW(E$2:E550)*(E550=E$2:E550)))))-COUNTBLANK(OFFSET(A$1,,,SUMPRODUCT(MAX(ROW(E$1:E549)*(E2=E$1:E549))))))</f>
        <v> </v>
      </c>
      <c r="K550" s="25" t="str">
        <f>IF(OR(E550="",E550="!!!",F550="NEW"),"",INDEX(J$1:J549,SUMPRODUCT(MAX(ROW(E$1:E549)*(E550=E$1:E549)))))</f>
        <v> </v>
      </c>
      <c r="L550" s="26"/>
    </row>
    <row r="551" spans="1:12">
      <c r="A551" s="20" t="s">
        <v>724</v>
      </c>
      <c r="E551" s="21">
        <f>IF(D551="?OLD","!!!","")</f>
        <v/>
      </c>
      <c r="F551" s="22" t="str">
        <f>IF(OR(E551="",E551="!!!"),"",IF(NOT(ISNA(VLOOKUP(E551,E$1:E550,1,FALSE()))),"OLD",IF(AND(E551&lt;&gt;"",E551&lt;&gt;"!!!"),"NEW","")))</f>
        <v> </v>
      </c>
      <c r="G551" s="23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> </v>
      </c>
      <c r="H551" s="24" t="str">
        <f>IF(J551&lt;&gt;1,"",IF(I551="SBJ","CB","?"))</f>
        <v> </v>
      </c>
      <c r="I551" s="25" t="str">
        <f>IF(OR(E551="",E551="!!!",F551="NEW"),"",INDEX(B550:B$2,-1+SUMPRODUCT(MAX(ROW(E550:E$2)*(E551=E550:E$2)))))</f>
        <v> </v>
      </c>
      <c r="J551" s="25" t="str">
        <f>IF(OR(E551="",E551="!!!",F551="NEW"),"",COUNTBLANK(OFFSET(A$1,,,SUMPRODUCT(MAX(ROW(E$2:E551)*(E551=E$2:E551)))))-COUNTBLANK(OFFSET(A$1,,,SUMPRODUCT(MAX(ROW(E$1:E550)*(E2=E$1:E550))))))</f>
        <v> </v>
      </c>
      <c r="K551" s="25" t="str">
        <f>IF(OR(E551="",E551="!!!",F551="NEW"),"",INDEX(J$1:J550,SUMPRODUCT(MAX(ROW(E$1:E550)*(E551=E$1:E550)))))</f>
        <v> </v>
      </c>
      <c r="L551" s="26"/>
    </row>
    <row r="552" spans="1:12">
      <c r="A552" s="20" t="s">
        <v>528</v>
      </c>
      <c r="E552" s="21">
        <f>IF(D552="?OLD","!!!","")</f>
        <v/>
      </c>
      <c r="F552" s="22" t="str">
        <f>IF(OR(E552="",E552="!!!"),"",IF(NOT(ISNA(VLOOKUP(E552,E$1:E551,1,FALSE()))),"OLD",IF(AND(E552&lt;&gt;"",E552&lt;&gt;"!!!"),"NEW","")))</f>
        <v> </v>
      </c>
      <c r="G552" s="23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24" t="str">
        <f>IF(J552&lt;&gt;1,"",IF(I552="SBJ","CB","?"))</f>
        <v> </v>
      </c>
      <c r="I552" s="25" t="str">
        <f>IF(OR(E552="",E552="!!!",F552="NEW"),"",INDEX(B551:B$2,-1+SUMPRODUCT(MAX(ROW(E551:E$2)*(E552=E551:E$2)))))</f>
        <v> </v>
      </c>
      <c r="J552" s="25" t="str">
        <f>IF(OR(E552="",E552="!!!",F552="NEW"),"",COUNTBLANK(OFFSET(A$1,,,SUMPRODUCT(MAX(ROW(E$2:E552)*(E552=E$2:E552)))))-COUNTBLANK(OFFSET(A$1,,,SUMPRODUCT(MAX(ROW(E$1:E551)*(E2=E$1:E551))))))</f>
        <v> </v>
      </c>
      <c r="K552" s="25" t="str">
        <f>IF(OR(E552="",E552="!!!",F552="NEW"),"",INDEX(J$1:J551,SUMPRODUCT(MAX(ROW(E$1:E551)*(E552=E$1:E551)))))</f>
        <v> </v>
      </c>
      <c r="L552" s="26"/>
    </row>
    <row r="553" spans="1:12">
      <c r="A553" s="20" t="s">
        <v>128</v>
      </c>
      <c r="E553" s="21">
        <f>IF(D553="?OLD","!!!","")</f>
        <v/>
      </c>
      <c r="F553" s="22" t="str">
        <f>IF(OR(E553="",E553="!!!"),"",IF(NOT(ISNA(VLOOKUP(E553,E$1:E552,1,FALSE()))),"OLD",IF(AND(E553&lt;&gt;"",E553&lt;&gt;"!!!"),"NEW","")))</f>
        <v> </v>
      </c>
      <c r="G553" s="23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> </v>
      </c>
      <c r="H553" s="24" t="str">
        <f>IF(J553&lt;&gt;1,"",IF(I553="SBJ","CB","?"))</f>
        <v> </v>
      </c>
      <c r="I553" s="25" t="str">
        <f>IF(OR(E553="",E553="!!!",F553="NEW"),"",INDEX(B552:B$2,-1+SUMPRODUCT(MAX(ROW(E552:E$2)*(E553=E552:E$2)))))</f>
        <v> </v>
      </c>
      <c r="J553" s="25" t="str">
        <f>IF(OR(E553="",E553="!!!",F553="NEW"),"",COUNTBLANK(OFFSET(A$1,,,SUMPRODUCT(MAX(ROW(E$2:E553)*(E553=E$2:E553)))))-COUNTBLANK(OFFSET(A$1,,,SUMPRODUCT(MAX(ROW(E$1:E552)*(E2=E$1:E552))))))</f>
        <v> </v>
      </c>
      <c r="K553" s="25" t="str">
        <f>IF(OR(E553="",E553="!!!",F553="NEW"),"",INDEX(J$1:J552,SUMPRODUCT(MAX(ROW(E$1:E552)*(E553=E$1:E552)))))</f>
        <v> </v>
      </c>
      <c r="L553" s="26"/>
    </row>
    <row r="554" spans="1:12">
      <c r="A554" s="20" t="s">
        <v>725</v>
      </c>
      <c r="E554" s="21">
        <f>IF(D554="?OLD","!!!","")</f>
        <v/>
      </c>
      <c r="F554" s="22" t="str">
        <f>IF(OR(E554="",E554="!!!"),"",IF(NOT(ISNA(VLOOKUP(E554,E$1:E553,1,FALSE()))),"OLD",IF(AND(E554&lt;&gt;"",E554&lt;&gt;"!!!"),"NEW","")))</f>
        <v> </v>
      </c>
      <c r="G554" s="23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> </v>
      </c>
      <c r="H554" s="24" t="str">
        <f>IF(J554&lt;&gt;1,"",IF(I554="SBJ","CB","?"))</f>
        <v> </v>
      </c>
      <c r="I554" s="25" t="str">
        <f>IF(OR(E554="",E554="!!!",F554="NEW"),"",INDEX(B553:B$2,-1+SUMPRODUCT(MAX(ROW(E553:E$2)*(E554=E553:E$2)))))</f>
        <v> </v>
      </c>
      <c r="J554" s="25" t="str">
        <f>IF(OR(E554="",E554="!!!",F554="NEW"),"",COUNTBLANK(OFFSET(A$1,,,SUMPRODUCT(MAX(ROW(E$2:E554)*(E554=E$2:E554)))))-COUNTBLANK(OFFSET(A$1,,,SUMPRODUCT(MAX(ROW(E$1:E553)*(E2=E$1:E553))))))</f>
        <v> </v>
      </c>
      <c r="K554" s="25" t="str">
        <f>IF(OR(E554="",E554="!!!",F554="NEW"),"",INDEX(J$1:J553,SUMPRODUCT(MAX(ROW(E$1:E553)*(E554=E$1:E553)))))</f>
        <v> </v>
      </c>
      <c r="L554" s="26"/>
    </row>
    <row r="555" spans="1:12">
      <c r="A555" s="20" t="s">
        <v>500</v>
      </c>
      <c r="E555" s="21">
        <f>IF(D555="?OLD","!!!","")</f>
        <v/>
      </c>
      <c r="F555" s="22" t="str">
        <f>IF(OR(E555="",E555="!!!"),"",IF(NOT(ISNA(VLOOKUP(E555,E$1:E554,1,FALSE()))),"OLD",IF(AND(E555&lt;&gt;"",E555&lt;&gt;"!!!"),"NEW","")))</f>
        <v> </v>
      </c>
      <c r="G555" s="23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> </v>
      </c>
      <c r="H555" s="24" t="str">
        <f>IF(J555&lt;&gt;1,"",IF(I555="SBJ","CB","?"))</f>
        <v> </v>
      </c>
      <c r="I555" s="25" t="str">
        <f>IF(OR(E555="",E555="!!!",F555="NEW"),"",INDEX(B554:B$2,-1+SUMPRODUCT(MAX(ROW(E554:E$2)*(E555=E554:E$2)))))</f>
        <v> </v>
      </c>
      <c r="J555" s="25" t="str">
        <f>IF(OR(E555="",E555="!!!",F555="NEW"),"",COUNTBLANK(OFFSET(A$1,,,SUMPRODUCT(MAX(ROW(E$2:E555)*(E555=E$2:E555)))))-COUNTBLANK(OFFSET(A$1,,,SUMPRODUCT(MAX(ROW(E$1:E554)*(E2=E$1:E554))))))</f>
        <v> </v>
      </c>
      <c r="K555" s="25" t="str">
        <f>IF(OR(E555="",E555="!!!",F555="NEW"),"",INDEX(J$1:J554,SUMPRODUCT(MAX(ROW(E$1:E554)*(E555=E$1:E554)))))</f>
        <v> </v>
      </c>
      <c r="L555" s="26"/>
    </row>
    <row r="556" spans="1:12">
      <c r="A556" s="20" t="s">
        <v>726</v>
      </c>
      <c r="B556" s="27" t="s">
        <v>490</v>
      </c>
      <c r="C556" s="27" t="s">
        <v>482</v>
      </c>
      <c r="D556" s="27" t="s">
        <v>483</v>
      </c>
      <c r="E556" s="21">
        <f>IF(D556="?OLD","!!!","")</f>
        <v/>
      </c>
      <c r="F556" s="22" t="str">
        <f>IF(OR(E556="",E556="!!!"),"",IF(NOT(ISNA(VLOOKUP(E556,E$1:E555,1,FALSE()))),"OLD",IF(AND(E556&lt;&gt;"",E556&lt;&gt;"!!!"),"NEW","")))</f>
        <v> </v>
      </c>
      <c r="G556" s="23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> </v>
      </c>
      <c r="H556" s="24" t="str">
        <f>IF(J556&lt;&gt;1,"",IF(I556="SBJ","CB","?"))</f>
        <v> </v>
      </c>
      <c r="I556" s="25" t="str">
        <f>IF(OR(E556="",E556="!!!",F556="NEW"),"",INDEX(B555:B$2,-1+SUMPRODUCT(MAX(ROW(E555:E$2)*(E556=E555:E$2)))))</f>
        <v> </v>
      </c>
      <c r="J556" s="25" t="str">
        <f>IF(OR(E556="",E556="!!!",F556="NEW"),"",COUNTBLANK(OFFSET(A$1,,,SUMPRODUCT(MAX(ROW(E$2:E556)*(E556=E$2:E556)))))-COUNTBLANK(OFFSET(A$1,,,SUMPRODUCT(MAX(ROW(E$1:E555)*(E2=E$1:E555))))))</f>
        <v> </v>
      </c>
      <c r="K556" s="25" t="str">
        <f>IF(OR(E556="",E556="!!!",F556="NEW"),"",INDEX(J$1:J555,SUMPRODUCT(MAX(ROW(E$1:E555)*(E556=E$1:E555)))))</f>
        <v> </v>
      </c>
      <c r="L556" s="26"/>
    </row>
    <row r="557" spans="1:12">
      <c r="A557" s="20" t="s">
        <v>592</v>
      </c>
      <c r="E557" s="21">
        <f>IF(D557="?OLD","!!!","")</f>
        <v/>
      </c>
      <c r="F557" s="22" t="str">
        <f>IF(OR(E557="",E557="!!!"),"",IF(NOT(ISNA(VLOOKUP(E557,E$1:E556,1,FALSE()))),"OLD",IF(AND(E557&lt;&gt;"",E557&lt;&gt;"!!!"),"NEW","")))</f>
        <v> </v>
      </c>
      <c r="G557" s="23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24" t="str">
        <f>IF(J557&lt;&gt;1,"",IF(I557="SBJ","CB","?"))</f>
        <v> </v>
      </c>
      <c r="I557" s="25" t="str">
        <f>IF(OR(E557="",E557="!!!",F557="NEW"),"",INDEX(B556:B$2,-1+SUMPRODUCT(MAX(ROW(E556:E$2)*(E557=E556:E$2)))))</f>
        <v> </v>
      </c>
      <c r="J557" s="25" t="str">
        <f>IF(OR(E557="",E557="!!!",F557="NEW"),"",COUNTBLANK(OFFSET(A$1,,,SUMPRODUCT(MAX(ROW(E$2:E557)*(E557=E$2:E557)))))-COUNTBLANK(OFFSET(A$1,,,SUMPRODUCT(MAX(ROW(E$1:E556)*(E2=E$1:E556))))))</f>
        <v> </v>
      </c>
      <c r="K557" s="25" t="str">
        <f>IF(OR(E557="",E557="!!!",F557="NEW"),"",INDEX(J$1:J556,SUMPRODUCT(MAX(ROW(E$1:E556)*(E557=E$1:E556)))))</f>
        <v> </v>
      </c>
      <c r="L557" s="26"/>
    </row>
    <row r="558" spans="1:12">
      <c r="A558" s="20" t="s">
        <v>727</v>
      </c>
      <c r="E558" s="21">
        <f>IF(D558="?OLD","!!!","")</f>
        <v/>
      </c>
      <c r="F558" s="22" t="str">
        <f>IF(OR(E558="",E558="!!!"),"",IF(NOT(ISNA(VLOOKUP(E558,E$1:E557,1,FALSE()))),"OLD",IF(AND(E558&lt;&gt;"",E558&lt;&gt;"!!!"),"NEW","")))</f>
        <v> </v>
      </c>
      <c r="G558" s="23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 </v>
      </c>
      <c r="H558" s="24" t="str">
        <f>IF(J558&lt;&gt;1,"",IF(I558="SBJ","CB","?"))</f>
        <v> </v>
      </c>
      <c r="I558" s="25" t="str">
        <f>IF(OR(E558="",E558="!!!",F558="NEW"),"",INDEX(B557:B$2,-1+SUMPRODUCT(MAX(ROW(E557:E$2)*(E558=E557:E$2)))))</f>
        <v> </v>
      </c>
      <c r="J558" s="25" t="str">
        <f>IF(OR(E558="",E558="!!!",F558="NEW"),"",COUNTBLANK(OFFSET(A$1,,,SUMPRODUCT(MAX(ROW(E$2:E558)*(E558=E$2:E558)))))-COUNTBLANK(OFFSET(A$1,,,SUMPRODUCT(MAX(ROW(E$1:E557)*(E2=E$1:E557))))))</f>
        <v> </v>
      </c>
      <c r="K558" s="25" t="str">
        <f>IF(OR(E558="",E558="!!!",F558="NEW"),"",INDEX(J$1:J557,SUMPRODUCT(MAX(ROW(E$1:E557)*(E558=E$1:E557)))))</f>
        <v> </v>
      </c>
      <c r="L558" s="26"/>
    </row>
    <row r="559" spans="1:12">
      <c r="A559" s="20" t="s">
        <v>728</v>
      </c>
      <c r="B559" s="27" t="s">
        <v>578</v>
      </c>
      <c r="C559" s="27" t="s">
        <v>516</v>
      </c>
      <c r="E559" s="21">
        <f>IF(D559="?OLD","!!!","")</f>
        <v/>
      </c>
      <c r="F559" s="22" t="str">
        <f>IF(OR(E559="",E559="!!!"),"",IF(NOT(ISNA(VLOOKUP(E559,E$1:E558,1,FALSE()))),"OLD",IF(AND(E559&lt;&gt;"",E559&lt;&gt;"!!!"),"NEW","")))</f>
        <v> </v>
      </c>
      <c r="G559" s="23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24" t="str">
        <f>IF(J559&lt;&gt;1,"",IF(I559="SBJ","CB","?"))</f>
        <v> </v>
      </c>
      <c r="I559" s="25" t="str">
        <f>IF(OR(E559="",E559="!!!",F559="NEW"),"",INDEX(B558:B$2,-1+SUMPRODUCT(MAX(ROW(E558:E$2)*(E559=E558:E$2)))))</f>
        <v> </v>
      </c>
      <c r="J559" s="25" t="str">
        <f>IF(OR(E559="",E559="!!!",F559="NEW"),"",COUNTBLANK(OFFSET(A$1,,,SUMPRODUCT(MAX(ROW(E$2:E559)*(E559=E$2:E559)))))-COUNTBLANK(OFFSET(A$1,,,SUMPRODUCT(MAX(ROW(E$1:E558)*(E2=E$1:E558))))))</f>
        <v> </v>
      </c>
      <c r="K559" s="25" t="str">
        <f>IF(OR(E559="",E559="!!!",F559="NEW"),"",INDEX(J$1:J558,SUMPRODUCT(MAX(ROW(E$1:E558)*(E559=E$1:E558)))))</f>
        <v> </v>
      </c>
      <c r="L559" s="26"/>
    </row>
    <row r="560" spans="1:12">
      <c r="A560" s="20" t="s">
        <v>500</v>
      </c>
      <c r="E560" s="21">
        <f>IF(D560="?OLD","!!!","")</f>
        <v/>
      </c>
      <c r="F560" s="22" t="str">
        <f>IF(OR(E560="",E560="!!!"),"",IF(NOT(ISNA(VLOOKUP(E560,E$1:E559,1,FALSE()))),"OLD",IF(AND(E560&lt;&gt;"",E560&lt;&gt;"!!!"),"NEW","")))</f>
        <v> </v>
      </c>
      <c r="G560" s="23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24" t="str">
        <f>IF(J560&lt;&gt;1,"",IF(I560="SBJ","CB","?"))</f>
        <v> </v>
      </c>
      <c r="I560" s="25" t="str">
        <f>IF(OR(E560="",E560="!!!",F560="NEW"),"",INDEX(B559:B$2,-1+SUMPRODUCT(MAX(ROW(E559:E$2)*(E560=E559:E$2)))))</f>
        <v> </v>
      </c>
      <c r="J560" s="25" t="str">
        <f>IF(OR(E560="",E560="!!!",F560="NEW"),"",COUNTBLANK(OFFSET(A$1,,,SUMPRODUCT(MAX(ROW(E$2:E560)*(E560=E$2:E560)))))-COUNTBLANK(OFFSET(A$1,,,SUMPRODUCT(MAX(ROW(E$1:E559)*(E2=E$1:E559))))))</f>
        <v> </v>
      </c>
      <c r="K560" s="25" t="str">
        <f>IF(OR(E560="",E560="!!!",F560="NEW"),"",INDEX(J$1:J559,SUMPRODUCT(MAX(ROW(E$1:E559)*(E560=E$1:E559)))))</f>
        <v> </v>
      </c>
      <c r="L560" s="26"/>
    </row>
    <row r="561" spans="1:12">
      <c r="A561" s="20" t="s">
        <v>729</v>
      </c>
      <c r="E561" s="21">
        <f>IF(D561="?OLD","!!!","")</f>
        <v/>
      </c>
      <c r="F561" s="22" t="str">
        <f>IF(OR(E561="",E561="!!!"),"",IF(NOT(ISNA(VLOOKUP(E561,E$1:E560,1,FALSE()))),"OLD",IF(AND(E561&lt;&gt;"",E561&lt;&gt;"!!!"),"NEW","")))</f>
        <v> </v>
      </c>
      <c r="G561" s="23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> </v>
      </c>
      <c r="H561" s="24" t="str">
        <f>IF(J561&lt;&gt;1,"",IF(I561="SBJ","CB","?"))</f>
        <v> </v>
      </c>
      <c r="I561" s="25" t="str">
        <f>IF(OR(E561="",E561="!!!",F561="NEW"),"",INDEX(B560:B$2,-1+SUMPRODUCT(MAX(ROW(E560:E$2)*(E561=E560:E$2)))))</f>
        <v> </v>
      </c>
      <c r="J561" s="25" t="str">
        <f>IF(OR(E561="",E561="!!!",F561="NEW"),"",COUNTBLANK(OFFSET(A$1,,,SUMPRODUCT(MAX(ROW(E$2:E561)*(E561=E$2:E561)))))-COUNTBLANK(OFFSET(A$1,,,SUMPRODUCT(MAX(ROW(E$1:E560)*(E2=E$1:E560))))))</f>
        <v> </v>
      </c>
      <c r="K561" s="25" t="str">
        <f>IF(OR(E561="",E561="!!!",F561="NEW"),"",INDEX(J$1:J560,SUMPRODUCT(MAX(ROW(E$1:E560)*(E561=E$1:E560)))))</f>
        <v> </v>
      </c>
      <c r="L561" s="26"/>
    </row>
    <row r="562" spans="1:12">
      <c r="A562" s="20" t="s">
        <v>489</v>
      </c>
      <c r="E562" s="21">
        <f>IF(D562="?OLD","!!!","")</f>
        <v/>
      </c>
      <c r="F562" s="22" t="str">
        <f>IF(OR(E562="",E562="!!!"),"",IF(NOT(ISNA(VLOOKUP(E562,E$1:E561,1,FALSE()))),"OLD",IF(AND(E562&lt;&gt;"",E562&lt;&gt;"!!!"),"NEW","")))</f>
        <v> </v>
      </c>
      <c r="G562" s="23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24" t="str">
        <f>IF(J562&lt;&gt;1,"",IF(I562="SBJ","CB","?"))</f>
        <v> </v>
      </c>
      <c r="I562" s="25" t="str">
        <f>IF(OR(E562="",E562="!!!",F562="NEW"),"",INDEX(B561:B$2,-1+SUMPRODUCT(MAX(ROW(E561:E$2)*(E562=E561:E$2)))))</f>
        <v> </v>
      </c>
      <c r="J562" s="25" t="str">
        <f>IF(OR(E562="",E562="!!!",F562="NEW"),"",COUNTBLANK(OFFSET(A$1,,,SUMPRODUCT(MAX(ROW(E$2:E562)*(E562=E$2:E562)))))-COUNTBLANK(OFFSET(A$1,,,SUMPRODUCT(MAX(ROW(E$1:E561)*(E2=E$1:E561))))))</f>
        <v> </v>
      </c>
      <c r="K562" s="25" t="str">
        <f>IF(OR(E562="",E562="!!!",F562="NEW"),"",INDEX(J$1:J561,SUMPRODUCT(MAX(ROW(E$1:E561)*(E562=E$1:E561)))))</f>
        <v> </v>
      </c>
      <c r="L562" s="26"/>
    </row>
    <row r="563" spans="1:12">
      <c r="A563" s="20" t="s">
        <v>652</v>
      </c>
      <c r="E563" s="21">
        <f>IF(D563="?OLD","!!!","")</f>
        <v/>
      </c>
      <c r="F563" s="22" t="str">
        <f>IF(OR(E563="",E563="!!!"),"",IF(NOT(ISNA(VLOOKUP(E563,E$1:E562,1,FALSE()))),"OLD",IF(AND(E563&lt;&gt;"",E563&lt;&gt;"!!!"),"NEW","")))</f>
        <v> </v>
      </c>
      <c r="G563" s="23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> </v>
      </c>
      <c r="H563" s="24" t="str">
        <f>IF(J563&lt;&gt;1,"",IF(I563="SBJ","CB","?"))</f>
        <v> </v>
      </c>
      <c r="I563" s="25" t="str">
        <f>IF(OR(E563="",E563="!!!",F563="NEW"),"",INDEX(B562:B$2,-1+SUMPRODUCT(MAX(ROW(E562:E$2)*(E563=E562:E$2)))))</f>
        <v> </v>
      </c>
      <c r="J563" s="25" t="str">
        <f>IF(OR(E563="",E563="!!!",F563="NEW"),"",COUNTBLANK(OFFSET(A$1,,,SUMPRODUCT(MAX(ROW(E$2:E563)*(E563=E$2:E563)))))-COUNTBLANK(OFFSET(A$1,,,SUMPRODUCT(MAX(ROW(E$1:E562)*(E2=E$1:E562))))))</f>
        <v> </v>
      </c>
      <c r="K563" s="25" t="str">
        <f>IF(OR(E563="",E563="!!!",F563="NEW"),"",INDEX(J$1:J562,SUMPRODUCT(MAX(ROW(E$1:E562)*(E563=E$1:E562)))))</f>
        <v> </v>
      </c>
      <c r="L563" s="26"/>
    </row>
    <row r="564" spans="1:12">
      <c r="A564" s="20" t="s">
        <v>730</v>
      </c>
      <c r="B564" s="27" t="s">
        <v>490</v>
      </c>
      <c r="C564" s="27" t="s">
        <v>598</v>
      </c>
      <c r="D564" s="27" t="s">
        <v>483</v>
      </c>
      <c r="E564" s="21">
        <f>IF(D564="?OLD","!!!","")</f>
        <v/>
      </c>
      <c r="F564" s="22" t="str">
        <f>IF(OR(E564="",E564="!!!"),"",IF(NOT(ISNA(VLOOKUP(E564,E$1:E563,1,FALSE()))),"OLD",IF(AND(E564&lt;&gt;"",E564&lt;&gt;"!!!"),"NEW","")))</f>
        <v> </v>
      </c>
      <c r="G564" s="23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> </v>
      </c>
      <c r="H564" s="24" t="str">
        <f>IF(J564&lt;&gt;1,"",IF(I564="SBJ","CB","?"))</f>
        <v> </v>
      </c>
      <c r="I564" s="25" t="str">
        <f>IF(OR(E564="",E564="!!!",F564="NEW"),"",INDEX(B563:B$2,-1+SUMPRODUCT(MAX(ROW(E563:E$2)*(E564=E563:E$2)))))</f>
        <v> </v>
      </c>
      <c r="J564" s="25" t="str">
        <f>IF(OR(E564="",E564="!!!",F564="NEW"),"",COUNTBLANK(OFFSET(A$1,,,SUMPRODUCT(MAX(ROW(E$2:E564)*(E564=E$2:E564)))))-COUNTBLANK(OFFSET(A$1,,,SUMPRODUCT(MAX(ROW(E$1:E563)*(E2=E$1:E563))))))</f>
        <v> </v>
      </c>
      <c r="K564" s="25" t="str">
        <f>IF(OR(E564="",E564="!!!",F564="NEW"),"",INDEX(J$1:J563,SUMPRODUCT(MAX(ROW(E$1:E563)*(E564=E$1:E563)))))</f>
        <v> </v>
      </c>
      <c r="L564" s="26"/>
    </row>
    <row r="565" spans="1:12">
      <c r="A565" s="20" t="s">
        <v>649</v>
      </c>
      <c r="E565" s="21">
        <f>IF(D565="?OLD","!!!","")</f>
        <v/>
      </c>
      <c r="F565" s="22" t="str">
        <f>IF(OR(E565="",E565="!!!"),"",IF(NOT(ISNA(VLOOKUP(E565,E$1:E564,1,FALSE()))),"OLD",IF(AND(E565&lt;&gt;"",E565&lt;&gt;"!!!"),"NEW","")))</f>
        <v> </v>
      </c>
      <c r="G565" s="23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> </v>
      </c>
      <c r="H565" s="24" t="str">
        <f>IF(J565&lt;&gt;1,"",IF(I565="SBJ","CB","?"))</f>
        <v> </v>
      </c>
      <c r="I565" s="25" t="str">
        <f>IF(OR(E565="",E565="!!!",F565="NEW"),"",INDEX(B564:B$2,-1+SUMPRODUCT(MAX(ROW(E564:E$2)*(E565=E564:E$2)))))</f>
        <v> </v>
      </c>
      <c r="J565" s="25" t="str">
        <f>IF(OR(E565="",E565="!!!",F565="NEW"),"",COUNTBLANK(OFFSET(A$1,,,SUMPRODUCT(MAX(ROW(E$2:E565)*(E565=E$2:E565)))))-COUNTBLANK(OFFSET(A$1,,,SUMPRODUCT(MAX(ROW(E$1:E564)*(E2=E$1:E564))))))</f>
        <v> </v>
      </c>
      <c r="K565" s="25" t="str">
        <f>IF(OR(E565="",E565="!!!",F565="NEW"),"",INDEX(J$1:J564,SUMPRODUCT(MAX(ROW(E$1:E564)*(E565=E$1:E564)))))</f>
        <v> </v>
      </c>
      <c r="L565" s="26"/>
    </row>
    <row r="566" spans="1:12">
      <c r="A566" s="20" t="s">
        <v>489</v>
      </c>
      <c r="E566" s="21">
        <f>IF(D566="?OLD","!!!","")</f>
        <v/>
      </c>
      <c r="F566" s="22" t="str">
        <f>IF(OR(E566="",E566="!!!"),"",IF(NOT(ISNA(VLOOKUP(E566,E$1:E565,1,FALSE()))),"OLD",IF(AND(E566&lt;&gt;"",E566&lt;&gt;"!!!"),"NEW","")))</f>
        <v> </v>
      </c>
      <c r="G566" s="23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> </v>
      </c>
      <c r="H566" s="24" t="str">
        <f>IF(J566&lt;&gt;1,"",IF(I566="SBJ","CB","?"))</f>
        <v> </v>
      </c>
      <c r="I566" s="25" t="str">
        <f>IF(OR(E566="",E566="!!!",F566="NEW"),"",INDEX(B565:B$2,-1+SUMPRODUCT(MAX(ROW(E565:E$2)*(E566=E565:E$2)))))</f>
        <v> </v>
      </c>
      <c r="J566" s="25" t="str">
        <f>IF(OR(E566="",E566="!!!",F566="NEW"),"",COUNTBLANK(OFFSET(A$1,,,SUMPRODUCT(MAX(ROW(E$2:E566)*(E566=E$2:E566)))))-COUNTBLANK(OFFSET(A$1,,,SUMPRODUCT(MAX(ROW(E$1:E565)*(E2=E$1:E565))))))</f>
        <v> </v>
      </c>
      <c r="K566" s="25" t="str">
        <f>IF(OR(E566="",E566="!!!",F566="NEW"),"",INDEX(J$1:J565,SUMPRODUCT(MAX(ROW(E$1:E565)*(E566=E$1:E565)))))</f>
        <v> </v>
      </c>
      <c r="L566" s="26"/>
    </row>
    <row r="567" spans="1:12">
      <c r="A567" s="20" t="s">
        <v>485</v>
      </c>
      <c r="E567" s="21">
        <f>IF(D567="?OLD","!!!","")</f>
        <v/>
      </c>
      <c r="F567" s="22" t="str">
        <f>IF(OR(E567="",E567="!!!"),"",IF(NOT(ISNA(VLOOKUP(E567,E$1:E566,1,FALSE()))),"OLD",IF(AND(E567&lt;&gt;"",E567&lt;&gt;"!!!"),"NEW","")))</f>
        <v> </v>
      </c>
      <c r="G567" s="23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> </v>
      </c>
      <c r="H567" s="24" t="str">
        <f>IF(J567&lt;&gt;1,"",IF(I567="SBJ","CB","?"))</f>
        <v> </v>
      </c>
      <c r="I567" s="25" t="str">
        <f>IF(OR(E567="",E567="!!!",F567="NEW"),"",INDEX(B566:B$2,-1+SUMPRODUCT(MAX(ROW(E566:E$2)*(E567=E566:E$2)))))</f>
        <v> </v>
      </c>
      <c r="J567" s="25" t="str">
        <f>IF(OR(E567="",E567="!!!",F567="NEW"),"",COUNTBLANK(OFFSET(A$1,,,SUMPRODUCT(MAX(ROW(E$2:E567)*(E567=E$2:E567)))))-COUNTBLANK(OFFSET(A$1,,,SUMPRODUCT(MAX(ROW(E$1:E566)*(E2=E$1:E566))))))</f>
        <v> </v>
      </c>
      <c r="K567" s="25" t="str">
        <f>IF(OR(E567="",E567="!!!",F567="NEW"),"",INDEX(J$1:J566,SUMPRODUCT(MAX(ROW(E$1:E566)*(E567=E$1:E566)))))</f>
        <v> </v>
      </c>
      <c r="L567" s="26"/>
    </row>
    <row r="568" spans="1:12">
      <c r="A568" s="20" t="s">
        <v>668</v>
      </c>
      <c r="B568" s="27" t="s">
        <v>659</v>
      </c>
      <c r="C568" s="27" t="s">
        <v>635</v>
      </c>
      <c r="D568" s="27" t="s">
        <v>483</v>
      </c>
      <c r="E568" s="21">
        <f>IF(D568="?OLD","!!!","")</f>
        <v/>
      </c>
      <c r="F568" s="22" t="str">
        <f>IF(OR(E568="",E568="!!!"),"",IF(NOT(ISNA(VLOOKUP(E568,E$1:E567,1,FALSE()))),"OLD",IF(AND(E568&lt;&gt;"",E568&lt;&gt;"!!!"),"NEW","")))</f>
        <v> </v>
      </c>
      <c r="G568" s="23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> </v>
      </c>
      <c r="H568" s="24" t="str">
        <f>IF(J568&lt;&gt;1,"",IF(I568="SBJ","CB","?"))</f>
        <v> </v>
      </c>
      <c r="I568" s="25" t="str">
        <f>IF(OR(E568="",E568="!!!",F568="NEW"),"",INDEX(B567:B$2,-1+SUMPRODUCT(MAX(ROW(E567:E$2)*(E568=E567:E$2)))))</f>
        <v> </v>
      </c>
      <c r="J568" s="25" t="str">
        <f>IF(OR(E568="",E568="!!!",F568="NEW"),"",COUNTBLANK(OFFSET(A$1,,,SUMPRODUCT(MAX(ROW(E$2:E568)*(E568=E$2:E568)))))-COUNTBLANK(OFFSET(A$1,,,SUMPRODUCT(MAX(ROW(E$1:E567)*(E2=E$1:E567))))))</f>
        <v> </v>
      </c>
      <c r="K568" s="25" t="str">
        <f>IF(OR(E568="",E568="!!!",F568="NEW"),"",INDEX(J$1:J567,SUMPRODUCT(MAX(ROW(E$1:E567)*(E568=E$1:E567)))))</f>
        <v> </v>
      </c>
      <c r="L568" s="26"/>
    </row>
    <row r="569" spans="1:12">
      <c r="A569" s="20" t="s">
        <v>730</v>
      </c>
      <c r="B569" s="27" t="s">
        <v>654</v>
      </c>
      <c r="C569" s="27" t="s">
        <v>487</v>
      </c>
      <c r="D569" s="27" t="s">
        <v>483</v>
      </c>
      <c r="E569" s="21">
        <f>IF(D569="?OLD","!!!","")</f>
        <v/>
      </c>
      <c r="F569" s="22" t="str">
        <f>IF(OR(E569="",E569="!!!"),"",IF(NOT(ISNA(VLOOKUP(E569,E$1:E568,1,FALSE()))),"OLD",IF(AND(E569&lt;&gt;"",E569&lt;&gt;"!!!"),"NEW","")))</f>
        <v> </v>
      </c>
      <c r="G569" s="23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24" t="str">
        <f>IF(J569&lt;&gt;1,"",IF(I569="SBJ","CB","?"))</f>
        <v> </v>
      </c>
      <c r="I569" s="25" t="str">
        <f>IF(OR(E569="",E569="!!!",F569="NEW"),"",INDEX(B568:B$2,-1+SUMPRODUCT(MAX(ROW(E568:E$2)*(E569=E568:E$2)))))</f>
        <v> </v>
      </c>
      <c r="J569" s="25" t="str">
        <f>IF(OR(E569="",E569="!!!",F569="NEW"),"",COUNTBLANK(OFFSET(A$1,,,SUMPRODUCT(MAX(ROW(E$2:E569)*(E569=E$2:E569)))))-COUNTBLANK(OFFSET(A$1,,,SUMPRODUCT(MAX(ROW(E$1:E568)*(E2=E$1:E568))))))</f>
        <v> </v>
      </c>
      <c r="K569" s="25" t="str">
        <f>IF(OR(E569="",E569="!!!",F569="NEW"),"",INDEX(J$1:J568,SUMPRODUCT(MAX(ROW(E$1:E568)*(E569=E$1:E568)))))</f>
        <v> </v>
      </c>
      <c r="L569" s="26"/>
    </row>
    <row r="570" spans="1:12">
      <c r="A570" s="20" t="s">
        <v>731</v>
      </c>
      <c r="E570" s="21">
        <f>IF(D570="?OLD","!!!","")</f>
        <v/>
      </c>
      <c r="F570" s="22" t="str">
        <f>IF(OR(E570="",E570="!!!"),"",IF(NOT(ISNA(VLOOKUP(E570,E$1:E569,1,FALSE()))),"OLD",IF(AND(E570&lt;&gt;"",E570&lt;&gt;"!!!"),"NEW","")))</f>
        <v> </v>
      </c>
      <c r="G570" s="23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> </v>
      </c>
      <c r="H570" s="24" t="str">
        <f>IF(J570&lt;&gt;1,"",IF(I570="SBJ","CB","?"))</f>
        <v> </v>
      </c>
      <c r="I570" s="25" t="str">
        <f>IF(OR(E570="",E570="!!!",F570="NEW"),"",INDEX(B569:B$2,-1+SUMPRODUCT(MAX(ROW(E569:E$2)*(E570=E569:E$2)))))</f>
        <v> </v>
      </c>
      <c r="J570" s="25" t="str">
        <f>IF(OR(E570="",E570="!!!",F570="NEW"),"",COUNTBLANK(OFFSET(A$1,,,SUMPRODUCT(MAX(ROW(E$2:E570)*(E570=E$2:E570)))))-COUNTBLANK(OFFSET(A$1,,,SUMPRODUCT(MAX(ROW(E$1:E569)*(E2=E$1:E569))))))</f>
        <v> </v>
      </c>
      <c r="K570" s="25" t="str">
        <f>IF(OR(E570="",E570="!!!",F570="NEW"),"",INDEX(J$1:J569,SUMPRODUCT(MAX(ROW(E$1:E569)*(E570=E$1:E569)))))</f>
        <v> </v>
      </c>
      <c r="L570" s="26"/>
    </row>
    <row r="571" spans="1:12">
      <c r="A571" s="20" t="s">
        <v>732</v>
      </c>
      <c r="E571" s="21">
        <f>IF(D571="?OLD","!!!","")</f>
        <v/>
      </c>
      <c r="F571" s="22" t="str">
        <f>IF(OR(E571="",E571="!!!"),"",IF(NOT(ISNA(VLOOKUP(E571,E$1:E570,1,FALSE()))),"OLD",IF(AND(E571&lt;&gt;"",E571&lt;&gt;"!!!"),"NEW","")))</f>
        <v> </v>
      </c>
      <c r="G571" s="23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> </v>
      </c>
      <c r="H571" s="24" t="str">
        <f>IF(J571&lt;&gt;1,"",IF(I571="SBJ","CB","?"))</f>
        <v> </v>
      </c>
      <c r="I571" s="25" t="str">
        <f>IF(OR(E571="",E571="!!!",F571="NEW"),"",INDEX(B570:B$2,-1+SUMPRODUCT(MAX(ROW(E570:E$2)*(E571=E570:E$2)))))</f>
        <v> </v>
      </c>
      <c r="J571" s="25" t="str">
        <f>IF(OR(E571="",E571="!!!",F571="NEW"),"",COUNTBLANK(OFFSET(A$1,,,SUMPRODUCT(MAX(ROW(E$2:E571)*(E571=E$2:E571)))))-COUNTBLANK(OFFSET(A$1,,,SUMPRODUCT(MAX(ROW(E$1:E570)*(E2=E$1:E570))))))</f>
        <v> </v>
      </c>
      <c r="K571" s="25" t="str">
        <f>IF(OR(E571="",E571="!!!",F571="NEW"),"",INDEX(J$1:J570,SUMPRODUCT(MAX(ROW(E$1:E570)*(E571=E$1:E570)))))</f>
        <v> </v>
      </c>
      <c r="L571" s="26"/>
    </row>
    <row r="572" spans="1:12">
      <c r="A572" s="20" t="s">
        <v>528</v>
      </c>
      <c r="E572" s="21">
        <f>IF(D572="?OLD","!!!","")</f>
        <v/>
      </c>
      <c r="F572" s="22" t="str">
        <f>IF(OR(E572="",E572="!!!"),"",IF(NOT(ISNA(VLOOKUP(E572,E$1:E571,1,FALSE()))),"OLD",IF(AND(E572&lt;&gt;"",E572&lt;&gt;"!!!"),"NEW","")))</f>
        <v> </v>
      </c>
      <c r="G572" s="23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> </v>
      </c>
      <c r="H572" s="24" t="str">
        <f>IF(J572&lt;&gt;1,"",IF(I572="SBJ","CB","?"))</f>
        <v> </v>
      </c>
      <c r="I572" s="25" t="str">
        <f>IF(OR(E572="",E572="!!!",F572="NEW"),"",INDEX(B571:B$2,-1+SUMPRODUCT(MAX(ROW(E571:E$2)*(E572=E571:E$2)))))</f>
        <v> </v>
      </c>
      <c r="J572" s="25" t="str">
        <f>IF(OR(E572="",E572="!!!",F572="NEW"),"",COUNTBLANK(OFFSET(A$1,,,SUMPRODUCT(MAX(ROW(E$2:E572)*(E572=E$2:E572)))))-COUNTBLANK(OFFSET(A$1,,,SUMPRODUCT(MAX(ROW(E$1:E571)*(E2=E$1:E571))))))</f>
        <v> </v>
      </c>
      <c r="K572" s="25" t="str">
        <f>IF(OR(E572="",E572="!!!",F572="NEW"),"",INDEX(J$1:J571,SUMPRODUCT(MAX(ROW(E$1:E571)*(E572=E$1:E571)))))</f>
        <v> </v>
      </c>
      <c r="L572" s="26"/>
    </row>
    <row r="573" spans="1:12">
      <c r="A573" s="20" t="s">
        <v>485</v>
      </c>
      <c r="E573" s="21">
        <f>IF(D573="?OLD","!!!","")</f>
        <v/>
      </c>
      <c r="F573" s="22" t="str">
        <f>IF(OR(E573="",E573="!!!"),"",IF(NOT(ISNA(VLOOKUP(E573,E$1:E572,1,FALSE()))),"OLD",IF(AND(E573&lt;&gt;"",E573&lt;&gt;"!!!"),"NEW","")))</f>
        <v> </v>
      </c>
      <c r="G573" s="23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> </v>
      </c>
      <c r="H573" s="24" t="str">
        <f>IF(J573&lt;&gt;1,"",IF(I573="SBJ","CB","?"))</f>
        <v> </v>
      </c>
      <c r="I573" s="25" t="str">
        <f>IF(OR(E573="",E573="!!!",F573="NEW"),"",INDEX(B572:B$2,-1+SUMPRODUCT(MAX(ROW(E572:E$2)*(E573=E572:E$2)))))</f>
        <v> </v>
      </c>
      <c r="J573" s="25" t="str">
        <f>IF(OR(E573="",E573="!!!",F573="NEW"),"",COUNTBLANK(OFFSET(A$1,,,SUMPRODUCT(MAX(ROW(E$2:E573)*(E573=E$2:E573)))))-COUNTBLANK(OFFSET(A$1,,,SUMPRODUCT(MAX(ROW(E$1:E572)*(E2=E$1:E572))))))</f>
        <v> </v>
      </c>
      <c r="K573" s="25" t="str">
        <f>IF(OR(E573="",E573="!!!",F573="NEW"),"",INDEX(J$1:J572,SUMPRODUCT(MAX(ROW(E$1:E572)*(E573=E$1:E572)))))</f>
        <v> </v>
      </c>
      <c r="L573" s="26"/>
    </row>
    <row r="574" spans="1:12">
      <c r="A574" s="20" t="s">
        <v>733</v>
      </c>
      <c r="B574" s="27" t="s">
        <v>556</v>
      </c>
      <c r="C574" s="27" t="s">
        <v>487</v>
      </c>
      <c r="D574" s="27" t="s">
        <v>483</v>
      </c>
      <c r="E574" s="21">
        <f>IF(D574="?OLD","!!!","")</f>
        <v/>
      </c>
      <c r="F574" s="22" t="str">
        <f>IF(OR(E574="",E574="!!!"),"",IF(NOT(ISNA(VLOOKUP(E574,E$1:E573,1,FALSE()))),"OLD",IF(AND(E574&lt;&gt;"",E574&lt;&gt;"!!!"),"NEW","")))</f>
        <v> </v>
      </c>
      <c r="G574" s="23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> </v>
      </c>
      <c r="H574" s="24" t="str">
        <f>IF(J574&lt;&gt;1,"",IF(I574="SBJ","CB","?"))</f>
        <v> </v>
      </c>
      <c r="I574" s="25" t="str">
        <f>IF(OR(E574="",E574="!!!",F574="NEW"),"",INDEX(B573:B$2,-1+SUMPRODUCT(MAX(ROW(E573:E$2)*(E574=E573:E$2)))))</f>
        <v> </v>
      </c>
      <c r="J574" s="25" t="str">
        <f>IF(OR(E574="",E574="!!!",F574="NEW"),"",COUNTBLANK(OFFSET(A$1,,,SUMPRODUCT(MAX(ROW(E$2:E574)*(E574=E$2:E574)))))-COUNTBLANK(OFFSET(A$1,,,SUMPRODUCT(MAX(ROW(E$1:E573)*(E2=E$1:E573))))))</f>
        <v> </v>
      </c>
      <c r="K574" s="25" t="str">
        <f>IF(OR(E574="",E574="!!!",F574="NEW"),"",INDEX(J$1:J573,SUMPRODUCT(MAX(ROW(E$1:E573)*(E574=E$1:E573)))))</f>
        <v> </v>
      </c>
      <c r="L574" s="26"/>
    </row>
    <row r="575" spans="1:12">
      <c r="A575" s="20" t="s">
        <v>734</v>
      </c>
      <c r="E575" s="21">
        <f>IF(D575="?OLD","!!!","")</f>
        <v/>
      </c>
      <c r="F575" s="22" t="str">
        <f>IF(OR(E575="",E575="!!!"),"",IF(NOT(ISNA(VLOOKUP(E575,E$1:E574,1,FALSE()))),"OLD",IF(AND(E575&lt;&gt;"",E575&lt;&gt;"!!!"),"NEW","")))</f>
        <v> </v>
      </c>
      <c r="G575" s="23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4" t="str">
        <f>IF(J575&lt;&gt;1,"",IF(I575="SBJ","CB","?"))</f>
        <v> </v>
      </c>
      <c r="I575" s="25" t="str">
        <f>IF(OR(E575="",E575="!!!",F575="NEW"),"",INDEX(B574:B$2,-1+SUMPRODUCT(MAX(ROW(E574:E$2)*(E575=E574:E$2)))))</f>
        <v> </v>
      </c>
      <c r="J575" s="25" t="str">
        <f>IF(OR(E575="",E575="!!!",F575="NEW"),"",COUNTBLANK(OFFSET(A$1,,,SUMPRODUCT(MAX(ROW(E$2:E575)*(E575=E$2:E575)))))-COUNTBLANK(OFFSET(A$1,,,SUMPRODUCT(MAX(ROW(E$1:E574)*(E2=E$1:E574))))))</f>
        <v> </v>
      </c>
      <c r="K575" s="25" t="str">
        <f>IF(OR(E575="",E575="!!!",F575="NEW"),"",INDEX(J$1:J574,SUMPRODUCT(MAX(ROW(E$1:E574)*(E575=E$1:E574)))))</f>
        <v> </v>
      </c>
      <c r="L575" s="26"/>
    </row>
    <row r="576" spans="1:12">
      <c r="A576" s="20" t="s">
        <v>557</v>
      </c>
      <c r="E576" s="21">
        <f>IF(D576="?OLD","!!!","")</f>
        <v/>
      </c>
      <c r="F576" s="22" t="str">
        <f>IF(OR(E576="",E576="!!!"),"",IF(NOT(ISNA(VLOOKUP(E576,E$1:E575,1,FALSE()))),"OLD",IF(AND(E576&lt;&gt;"",E576&lt;&gt;"!!!"),"NEW","")))</f>
        <v> </v>
      </c>
      <c r="G576" s="23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> </v>
      </c>
      <c r="H576" s="24" t="str">
        <f>IF(J576&lt;&gt;1,"",IF(I576="SBJ","CB","?"))</f>
        <v> </v>
      </c>
      <c r="I576" s="25" t="str">
        <f>IF(OR(E576="",E576="!!!",F576="NEW"),"",INDEX(B575:B$2,-1+SUMPRODUCT(MAX(ROW(E575:E$2)*(E576=E575:E$2)))))</f>
        <v> </v>
      </c>
      <c r="J576" s="25" t="str">
        <f>IF(OR(E576="",E576="!!!",F576="NEW"),"",COUNTBLANK(OFFSET(A$1,,,SUMPRODUCT(MAX(ROW(E$2:E576)*(E576=E$2:E576)))))-COUNTBLANK(OFFSET(A$1,,,SUMPRODUCT(MAX(ROW(E$1:E575)*(E2=E$1:E575))))))</f>
        <v> </v>
      </c>
      <c r="K576" s="25" t="str">
        <f>IF(OR(E576="",E576="!!!",F576="NEW"),"",INDEX(J$1:J575,SUMPRODUCT(MAX(ROW(E$1:E575)*(E576=E$1:E575)))))</f>
        <v> </v>
      </c>
      <c r="L576" s="26"/>
    </row>
    <row r="577" spans="1:12">
      <c r="A577" s="20" t="s">
        <v>489</v>
      </c>
      <c r="E577" s="21">
        <f>IF(D577="?OLD","!!!","")</f>
        <v/>
      </c>
      <c r="F577" s="22" t="str">
        <f>IF(OR(E577="",E577="!!!"),"",IF(NOT(ISNA(VLOOKUP(E577,E$1:E576,1,FALSE()))),"OLD",IF(AND(E577&lt;&gt;"",E577&lt;&gt;"!!!"),"NEW","")))</f>
        <v> </v>
      </c>
      <c r="G577" s="23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> </v>
      </c>
      <c r="H577" s="24" t="str">
        <f>IF(J577&lt;&gt;1,"",IF(I577="SBJ","CB","?"))</f>
        <v> </v>
      </c>
      <c r="I577" s="25" t="str">
        <f>IF(OR(E577="",E577="!!!",F577="NEW"),"",INDEX(B576:B$2,-1+SUMPRODUCT(MAX(ROW(E576:E$2)*(E577=E576:E$2)))))</f>
        <v> </v>
      </c>
      <c r="J577" s="25" t="str">
        <f>IF(OR(E577="",E577="!!!",F577="NEW"),"",COUNTBLANK(OFFSET(A$1,,,SUMPRODUCT(MAX(ROW(E$2:E577)*(E577=E$2:E577)))))-COUNTBLANK(OFFSET(A$1,,,SUMPRODUCT(MAX(ROW(E$1:E576)*(E2=E$1:E576))))))</f>
        <v> </v>
      </c>
      <c r="K577" s="25" t="str">
        <f>IF(OR(E577="",E577="!!!",F577="NEW"),"",INDEX(J$1:J576,SUMPRODUCT(MAX(ROW(E$1:E576)*(E577=E$1:E576)))))</f>
        <v> </v>
      </c>
      <c r="L577" s="26"/>
    </row>
    <row r="578" spans="1:12">
      <c r="A578" s="20" t="s">
        <v>500</v>
      </c>
      <c r="E578" s="21">
        <f>IF(D578="?OLD","!!!","")</f>
        <v/>
      </c>
      <c r="F578" s="22" t="str">
        <f>IF(OR(E578="",E578="!!!"),"",IF(NOT(ISNA(VLOOKUP(E578,E$1:E577,1,FALSE()))),"OLD",IF(AND(E578&lt;&gt;"",E578&lt;&gt;"!!!"),"NEW","")))</f>
        <v> </v>
      </c>
      <c r="G578" s="23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 </v>
      </c>
      <c r="H578" s="24" t="str">
        <f>IF(J578&lt;&gt;1,"",IF(I578="SBJ","CB","?"))</f>
        <v> </v>
      </c>
      <c r="I578" s="25" t="str">
        <f>IF(OR(E578="",E578="!!!",F578="NEW"),"",INDEX(B577:B$2,-1+SUMPRODUCT(MAX(ROW(E577:E$2)*(E578=E577:E$2)))))</f>
        <v> </v>
      </c>
      <c r="J578" s="25" t="str">
        <f>IF(OR(E578="",E578="!!!",F578="NEW"),"",COUNTBLANK(OFFSET(A$1,,,SUMPRODUCT(MAX(ROW(E$2:E578)*(E578=E$2:E578)))))-COUNTBLANK(OFFSET(A$1,,,SUMPRODUCT(MAX(ROW(E$1:E577)*(E2=E$1:E577))))))</f>
        <v> </v>
      </c>
      <c r="K578" s="25" t="str">
        <f>IF(OR(E578="",E578="!!!",F578="NEW"),"",INDEX(J$1:J577,SUMPRODUCT(MAX(ROW(E$1:E577)*(E578=E$1:E577)))))</f>
        <v> </v>
      </c>
      <c r="L578" s="26"/>
    </row>
    <row r="579" spans="1:12">
      <c r="A579" s="20" t="s">
        <v>495</v>
      </c>
      <c r="E579" s="21">
        <f>IF(D579="?OLD","!!!","")</f>
        <v/>
      </c>
      <c r="F579" s="22" t="str">
        <f>IF(OR(E579="",E579="!!!"),"",IF(NOT(ISNA(VLOOKUP(E579,E$1:E578,1,FALSE()))),"OLD",IF(AND(E579&lt;&gt;"",E579&lt;&gt;"!!!"),"NEW","")))</f>
        <v> </v>
      </c>
      <c r="G579" s="23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 </v>
      </c>
      <c r="H579" s="24" t="str">
        <f>IF(J579&lt;&gt;1,"",IF(I579="SBJ","CB","?"))</f>
        <v> </v>
      </c>
      <c r="I579" s="25" t="str">
        <f>IF(OR(E579="",E579="!!!",F579="NEW"),"",INDEX(B578:B$2,-1+SUMPRODUCT(MAX(ROW(E578:E$2)*(E579=E578:E$2)))))</f>
        <v> </v>
      </c>
      <c r="J579" s="25" t="str">
        <f>IF(OR(E579="",E579="!!!",F579="NEW"),"",COUNTBLANK(OFFSET(A$1,,,SUMPRODUCT(MAX(ROW(E$2:E579)*(E579=E$2:E579)))))-COUNTBLANK(OFFSET(A$1,,,SUMPRODUCT(MAX(ROW(E$1:E578)*(E2=E$1:E578))))))</f>
        <v> </v>
      </c>
      <c r="K579" s="25" t="str">
        <f>IF(OR(E579="",E579="!!!",F579="NEW"),"",INDEX(J$1:J578,SUMPRODUCT(MAX(ROW(E$1:E578)*(E579=E$1:E578)))))</f>
        <v> </v>
      </c>
      <c r="L579" s="26"/>
    </row>
    <row r="580" spans="1:12">
      <c r="A580" s="20" t="s">
        <v>735</v>
      </c>
      <c r="B580" s="27" t="s">
        <v>736</v>
      </c>
      <c r="C580" s="27" t="s">
        <v>498</v>
      </c>
      <c r="E580" s="21">
        <f>IF(D580="?OLD","!!!","")</f>
        <v/>
      </c>
      <c r="F580" s="22" t="str">
        <f>IF(OR(E580="",E580="!!!"),"",IF(NOT(ISNA(VLOOKUP(E580,E$1:E579,1,FALSE()))),"OLD",IF(AND(E580&lt;&gt;"",E580&lt;&gt;"!!!"),"NEW","")))</f>
        <v> </v>
      </c>
      <c r="G580" s="23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> </v>
      </c>
      <c r="H580" s="24" t="str">
        <f>IF(J580&lt;&gt;1,"",IF(I580="SBJ","CB","?"))</f>
        <v> </v>
      </c>
      <c r="I580" s="25" t="str">
        <f>IF(OR(E580="",E580="!!!",F580="NEW"),"",INDEX(B579:B$2,-1+SUMPRODUCT(MAX(ROW(E579:E$2)*(E580=E579:E$2)))))</f>
        <v> </v>
      </c>
      <c r="J580" s="25" t="str">
        <f>IF(OR(E580="",E580="!!!",F580="NEW"),"",COUNTBLANK(OFFSET(A$1,,,SUMPRODUCT(MAX(ROW(E$2:E580)*(E580=E$2:E580)))))-COUNTBLANK(OFFSET(A$1,,,SUMPRODUCT(MAX(ROW(E$1:E579)*(E2=E$1:E579))))))</f>
        <v> </v>
      </c>
      <c r="K580" s="25" t="str">
        <f>IF(OR(E580="",E580="!!!",F580="NEW"),"",INDEX(J$1:J579,SUMPRODUCT(MAX(ROW(E$1:E579)*(E580=E$1:E579)))))</f>
        <v> </v>
      </c>
      <c r="L580" s="26"/>
    </row>
    <row r="581" spans="1:12">
      <c r="A581" s="20" t="s">
        <v>503</v>
      </c>
      <c r="E581" s="21">
        <f>IF(D581="?OLD","!!!","")</f>
        <v/>
      </c>
      <c r="F581" s="22" t="str">
        <f>IF(OR(E581="",E581="!!!"),"",IF(NOT(ISNA(VLOOKUP(E581,E$1:E580,1,FALSE()))),"OLD",IF(AND(E581&lt;&gt;"",E581&lt;&gt;"!!!"),"NEW","")))</f>
        <v> </v>
      </c>
      <c r="G581" s="23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> </v>
      </c>
      <c r="H581" s="24" t="str">
        <f>IF(J581&lt;&gt;1,"",IF(I581="SBJ","CB","?"))</f>
        <v> </v>
      </c>
      <c r="I581" s="25" t="str">
        <f>IF(OR(E581="",E581="!!!",F581="NEW"),"",INDEX(B580:B$2,-1+SUMPRODUCT(MAX(ROW(E580:E$2)*(E581=E580:E$2)))))</f>
        <v> </v>
      </c>
      <c r="J581" s="25" t="str">
        <f>IF(OR(E581="",E581="!!!",F581="NEW"),"",COUNTBLANK(OFFSET(A$1,,,SUMPRODUCT(MAX(ROW(E$2:E581)*(E581=E$2:E581)))))-COUNTBLANK(OFFSET(A$1,,,SUMPRODUCT(MAX(ROW(E$1:E580)*(E2=E$1:E580))))))</f>
        <v> </v>
      </c>
      <c r="K581" s="25" t="str">
        <f>IF(OR(E581="",E581="!!!",F581="NEW"),"",INDEX(J$1:J580,SUMPRODUCT(MAX(ROW(E$1:E580)*(E581=E$1:E580)))))</f>
        <v> </v>
      </c>
      <c r="L581" s="26"/>
    </row>
    <row r="582" spans="1:12">
      <c r="A582" s="20" t="s">
        <v>737</v>
      </c>
      <c r="E582" s="21">
        <f>IF(D582="?OLD","!!!","")</f>
        <v/>
      </c>
      <c r="F582" s="22" t="str">
        <f>IF(OR(E582="",E582="!!!"),"",IF(NOT(ISNA(VLOOKUP(E582,E$1:E581,1,FALSE()))),"OLD",IF(AND(E582&lt;&gt;"",E582&lt;&gt;"!!!"),"NEW","")))</f>
        <v> </v>
      </c>
      <c r="G582" s="23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> </v>
      </c>
      <c r="H582" s="24" t="str">
        <f>IF(J582&lt;&gt;1,"",IF(I582="SBJ","CB","?"))</f>
        <v> </v>
      </c>
      <c r="I582" s="25" t="str">
        <f>IF(OR(E582="",E582="!!!",F582="NEW"),"",INDEX(B581:B$2,-1+SUMPRODUCT(MAX(ROW(E581:E$2)*(E582=E581:E$2)))))</f>
        <v> </v>
      </c>
      <c r="J582" s="25" t="str">
        <f>IF(OR(E582="",E582="!!!",F582="NEW"),"",COUNTBLANK(OFFSET(A$1,,,SUMPRODUCT(MAX(ROW(E$2:E582)*(E582=E$2:E582)))))-COUNTBLANK(OFFSET(A$1,,,SUMPRODUCT(MAX(ROW(E$1:E581)*(E2=E$1:E581))))))</f>
        <v> </v>
      </c>
      <c r="K582" s="25" t="str">
        <f>IF(OR(E582="",E582="!!!",F582="NEW"),"",INDEX(J$1:J581,SUMPRODUCT(MAX(ROW(E$1:E581)*(E582=E$1:E581)))))</f>
        <v> </v>
      </c>
      <c r="L582" s="26"/>
    </row>
    <row r="583" spans="1:12">
      <c r="A583" s="20" t="s">
        <v>500</v>
      </c>
      <c r="E583" s="21">
        <f>IF(D583="?OLD","!!!","")</f>
        <v/>
      </c>
      <c r="F583" s="22" t="str">
        <f>IF(OR(E583="",E583="!!!"),"",IF(NOT(ISNA(VLOOKUP(E583,E$1:E582,1,FALSE()))),"OLD",IF(AND(E583&lt;&gt;"",E583&lt;&gt;"!!!"),"NEW","")))</f>
        <v> </v>
      </c>
      <c r="G583" s="23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 </v>
      </c>
      <c r="H583" s="24" t="str">
        <f>IF(J583&lt;&gt;1,"",IF(I583="SBJ","CB","?"))</f>
        <v> </v>
      </c>
      <c r="I583" s="25" t="str">
        <f>IF(OR(E583="",E583="!!!",F583="NEW"),"",INDEX(B582:B$2,-1+SUMPRODUCT(MAX(ROW(E582:E$2)*(E583=E582:E$2)))))</f>
        <v> </v>
      </c>
      <c r="J583" s="25" t="str">
        <f>IF(OR(E583="",E583="!!!",F583="NEW"),"",COUNTBLANK(OFFSET(A$1,,,SUMPRODUCT(MAX(ROW(E$2:E583)*(E583=E$2:E583)))))-COUNTBLANK(OFFSET(A$1,,,SUMPRODUCT(MAX(ROW(E$1:E582)*(E2=E$1:E582))))))</f>
        <v> </v>
      </c>
      <c r="K583" s="25" t="str">
        <f>IF(OR(E583="",E583="!!!",F583="NEW"),"",INDEX(J$1:J582,SUMPRODUCT(MAX(ROW(E$1:E582)*(E583=E$1:E582)))))</f>
        <v> </v>
      </c>
      <c r="L583" s="26"/>
    </row>
    <row r="584" spans="1:12">
      <c r="A584" s="20" t="s">
        <v>738</v>
      </c>
      <c r="E584" s="21">
        <f>IF(D584="?OLD","!!!","")</f>
        <v/>
      </c>
      <c r="F584" s="22" t="str">
        <f>IF(OR(E584="",E584="!!!"),"",IF(NOT(ISNA(VLOOKUP(E584,E$1:E583,1,FALSE()))),"OLD",IF(AND(E584&lt;&gt;"",E584&lt;&gt;"!!!"),"NEW","")))</f>
        <v> </v>
      </c>
      <c r="G584" s="23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 </v>
      </c>
      <c r="H584" s="24" t="str">
        <f>IF(J584&lt;&gt;1,"",IF(I584="SBJ","CB","?"))</f>
        <v> </v>
      </c>
      <c r="I584" s="25" t="str">
        <f>IF(OR(E584="",E584="!!!",F584="NEW"),"",INDEX(B583:B$2,-1+SUMPRODUCT(MAX(ROW(E583:E$2)*(E584=E583:E$2)))))</f>
        <v> </v>
      </c>
      <c r="J584" s="25" t="str">
        <f>IF(OR(E584="",E584="!!!",F584="NEW"),"",COUNTBLANK(OFFSET(A$1,,,SUMPRODUCT(MAX(ROW(E$2:E584)*(E584=E$2:E584)))))-COUNTBLANK(OFFSET(A$1,,,SUMPRODUCT(MAX(ROW(E$1:E583)*(E2=E$1:E583))))))</f>
        <v> </v>
      </c>
      <c r="K584" s="25" t="str">
        <f>IF(OR(E584="",E584="!!!",F584="NEW"),"",INDEX(J$1:J583,SUMPRODUCT(MAX(ROW(E$1:E583)*(E584=E$1:E583)))))</f>
        <v> </v>
      </c>
      <c r="L584" s="26"/>
    </row>
    <row r="585" spans="1:12">
      <c r="A585" s="20" t="s">
        <v>628</v>
      </c>
      <c r="E585" s="21">
        <f>IF(D585="?OLD","!!!","")</f>
        <v/>
      </c>
      <c r="F585" s="22" t="str">
        <f>IF(OR(E585="",E585="!!!"),"",IF(NOT(ISNA(VLOOKUP(E585,E$1:E584,1,FALSE()))),"OLD",IF(AND(E585&lt;&gt;"",E585&lt;&gt;"!!!"),"NEW","")))</f>
        <v> </v>
      </c>
      <c r="G585" s="23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 </v>
      </c>
      <c r="H585" s="24" t="str">
        <f>IF(J585&lt;&gt;1,"",IF(I585="SBJ","CB","?"))</f>
        <v> </v>
      </c>
      <c r="I585" s="25" t="str">
        <f>IF(OR(E585="",E585="!!!",F585="NEW"),"",INDEX(B584:B$2,-1+SUMPRODUCT(MAX(ROW(E584:E$2)*(E585=E584:E$2)))))</f>
        <v> </v>
      </c>
      <c r="J585" s="25" t="str">
        <f>IF(OR(E585="",E585="!!!",F585="NEW"),"",COUNTBLANK(OFFSET(A$1,,,SUMPRODUCT(MAX(ROW(E$2:E585)*(E585=E$2:E585)))))-COUNTBLANK(OFFSET(A$1,,,SUMPRODUCT(MAX(ROW(E$1:E584)*(E2=E$1:E584))))))</f>
        <v> </v>
      </c>
      <c r="K585" s="25" t="str">
        <f>IF(OR(E585="",E585="!!!",F585="NEW"),"",INDEX(J$1:J584,SUMPRODUCT(MAX(ROW(E$1:E584)*(E585=E$1:E584)))))</f>
        <v> </v>
      </c>
      <c r="L585" s="26"/>
    </row>
    <row r="586" spans="1:12">
      <c r="A586" s="20" t="s">
        <v>531</v>
      </c>
      <c r="E586" s="21">
        <f>IF(D586="?OLD","!!!","")</f>
        <v/>
      </c>
      <c r="F586" s="22" t="str">
        <f>IF(OR(E586="",E586="!!!"),"",IF(NOT(ISNA(VLOOKUP(E586,E$1:E585,1,FALSE()))),"OLD",IF(AND(E586&lt;&gt;"",E586&lt;&gt;"!!!"),"NEW","")))</f>
        <v> </v>
      </c>
      <c r="G586" s="23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 </v>
      </c>
      <c r="H586" s="24" t="str">
        <f>IF(J586&lt;&gt;1,"",IF(I586="SBJ","CB","?"))</f>
        <v> </v>
      </c>
      <c r="I586" s="25" t="str">
        <f>IF(OR(E586="",E586="!!!",F586="NEW"),"",INDEX(B585:B$2,-1+SUMPRODUCT(MAX(ROW(E585:E$2)*(E586=E585:E$2)))))</f>
        <v> </v>
      </c>
      <c r="J586" s="25" t="str">
        <f>IF(OR(E586="",E586="!!!",F586="NEW"),"",COUNTBLANK(OFFSET(A$1,,,SUMPRODUCT(MAX(ROW(E$2:E586)*(E586=E$2:E586)))))-COUNTBLANK(OFFSET(A$1,,,SUMPRODUCT(MAX(ROW(E$1:E585)*(E2=E$1:E585))))))</f>
        <v> </v>
      </c>
      <c r="K586" s="25" t="str">
        <f>IF(OR(E586="",E586="!!!",F586="NEW"),"",INDEX(J$1:J585,SUMPRODUCT(MAX(ROW(E$1:E585)*(E586=E$1:E585)))))</f>
        <v> </v>
      </c>
      <c r="L586" s="26"/>
    </row>
    <row r="587" spans="1:12">
      <c r="A587" s="20"/>
    </row>
    <row r="588" spans="1:12">
      <c r="A588" s="20" t="s">
        <v>739</v>
      </c>
    </row>
    <row r="589" spans="1:12">
      <c r="A589" s="20" t="s">
        <v>740</v>
      </c>
      <c r="B589" s="27" t="s">
        <v>549</v>
      </c>
      <c r="C589" s="27" t="s">
        <v>491</v>
      </c>
      <c r="D589" s="27" t="s">
        <v>483</v>
      </c>
      <c r="E589" s="21">
        <f>IF(D589="?OLD","!!!","")</f>
        <v/>
      </c>
      <c r="F589" s="22" t="str">
        <f>IF(OR(E589="",E589="!!!"),"",IF(NOT(ISNA(VLOOKUP(E589,E$1:E588,1,FALSE()))),"OLD",IF(AND(E589&lt;&gt;"",E589&lt;&gt;"!!!"),"NEW","")))</f>
        <v> </v>
      </c>
      <c r="G589" s="23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> </v>
      </c>
      <c r="H589" s="24" t="str">
        <f>IF(J589&lt;&gt;1,"",IF(I589="SBJ","CB","?"))</f>
        <v> </v>
      </c>
      <c r="I589" s="25" t="str">
        <f>IF(OR(E589="",E589="!!!",F589="NEW"),"",INDEX(B588:B$2,-1+SUMPRODUCT(MAX(ROW(E588:E$2)*(E589=E588:E$2)))))</f>
        <v> </v>
      </c>
      <c r="J589" s="25" t="str">
        <f>IF(OR(E589="",E589="!!!",F589="NEW"),"",COUNTBLANK(OFFSET(A$1,,,SUMPRODUCT(MAX(ROW(E$2:E589)*(E589=E$2:E589)))))-COUNTBLANK(OFFSET(A$1,,,SUMPRODUCT(MAX(ROW(E$1:E588)*(E2=E$1:E588))))))</f>
        <v> </v>
      </c>
      <c r="K589" s="25" t="str">
        <f>IF(OR(E589="",E589="!!!",F589="NEW"),"",INDEX(J$1:J588,SUMPRODUCT(MAX(ROW(E$1:E588)*(E589=E$1:E588)))))</f>
        <v> </v>
      </c>
      <c r="L589" s="26"/>
    </row>
    <row r="590" spans="1:12">
      <c r="A590" s="20" t="s">
        <v>558</v>
      </c>
      <c r="E590" s="21">
        <f>IF(D590="?OLD","!!!","")</f>
        <v/>
      </c>
      <c r="F590" s="22" t="str">
        <f>IF(OR(E590="",E590="!!!"),"",IF(NOT(ISNA(VLOOKUP(E590,E$1:E589,1,FALSE()))),"OLD",IF(AND(E590&lt;&gt;"",E590&lt;&gt;"!!!"),"NEW","")))</f>
        <v> </v>
      </c>
      <c r="G590" s="23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 </v>
      </c>
      <c r="H590" s="24" t="str">
        <f>IF(J590&lt;&gt;1,"",IF(I590="SBJ","CB","?"))</f>
        <v> </v>
      </c>
      <c r="I590" s="25" t="str">
        <f>IF(OR(E590="",E590="!!!",F590="NEW"),"",INDEX(B589:B$2,-1+SUMPRODUCT(MAX(ROW(E589:E$2)*(E590=E589:E$2)))))</f>
        <v> </v>
      </c>
      <c r="J590" s="25" t="str">
        <f>IF(OR(E590="",E590="!!!",F590="NEW"),"",COUNTBLANK(OFFSET(A$1,,,SUMPRODUCT(MAX(ROW(E$2:E590)*(E590=E$2:E590)))))-COUNTBLANK(OFFSET(A$1,,,SUMPRODUCT(MAX(ROW(E$1:E589)*(E2=E$1:E589))))))</f>
        <v> </v>
      </c>
      <c r="K590" s="25" t="str">
        <f>IF(OR(E590="",E590="!!!",F590="NEW"),"",INDEX(J$1:J589,SUMPRODUCT(MAX(ROW(E$1:E589)*(E590=E$1:E589)))))</f>
        <v> </v>
      </c>
      <c r="L590" s="26"/>
    </row>
    <row r="591" spans="1:12">
      <c r="A591" s="20" t="s">
        <v>741</v>
      </c>
      <c r="E591" s="21">
        <f>IF(D591="?OLD","!!!","")</f>
        <v/>
      </c>
      <c r="F591" s="22" t="str">
        <f>IF(OR(E591="",E591="!!!"),"",IF(NOT(ISNA(VLOOKUP(E591,E$1:E590,1,FALSE()))),"OLD",IF(AND(E591&lt;&gt;"",E591&lt;&gt;"!!!"),"NEW","")))</f>
        <v> </v>
      </c>
      <c r="G591" s="23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> </v>
      </c>
      <c r="H591" s="24" t="str">
        <f>IF(J591&lt;&gt;1,"",IF(I591="SBJ","CB","?"))</f>
        <v> </v>
      </c>
      <c r="I591" s="25" t="str">
        <f>IF(OR(E591="",E591="!!!",F591="NEW"),"",INDEX(B590:B$2,-1+SUMPRODUCT(MAX(ROW(E590:E$2)*(E591=E590:E$2)))))</f>
        <v> </v>
      </c>
      <c r="J591" s="25" t="str">
        <f>IF(OR(E591="",E591="!!!",F591="NEW"),"",COUNTBLANK(OFFSET(A$1,,,SUMPRODUCT(MAX(ROW(E$2:E591)*(E591=E$2:E591)))))-COUNTBLANK(OFFSET(A$1,,,SUMPRODUCT(MAX(ROW(E$1:E590)*(E2=E$1:E590))))))</f>
        <v> </v>
      </c>
      <c r="K591" s="25" t="str">
        <f>IF(OR(E591="",E591="!!!",F591="NEW"),"",INDEX(J$1:J590,SUMPRODUCT(MAX(ROW(E$1:E590)*(E591=E$1:E590)))))</f>
        <v> </v>
      </c>
      <c r="L591" s="26"/>
    </row>
    <row r="592" spans="1:12">
      <c r="A592" s="20" t="s">
        <v>531</v>
      </c>
      <c r="E592" s="21">
        <f>IF(D592="?OLD","!!!","")</f>
        <v/>
      </c>
      <c r="F592" s="22" t="str">
        <f>IF(OR(E592="",E592="!!!"),"",IF(NOT(ISNA(VLOOKUP(E592,E$1:E591,1,FALSE()))),"OLD",IF(AND(E592&lt;&gt;"",E592&lt;&gt;"!!!"),"NEW","")))</f>
        <v> </v>
      </c>
      <c r="G592" s="23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 </v>
      </c>
      <c r="H592" s="24" t="str">
        <f>IF(J592&lt;&gt;1,"",IF(I592="SBJ","CB","?"))</f>
        <v> </v>
      </c>
      <c r="I592" s="25" t="str">
        <f>IF(OR(E592="",E592="!!!",F592="NEW"),"",INDEX(B591:B$2,-1+SUMPRODUCT(MAX(ROW(E591:E$2)*(E592=E591:E$2)))))</f>
        <v> </v>
      </c>
      <c r="J592" s="25" t="str">
        <f>IF(OR(E592="",E592="!!!",F592="NEW"),"",COUNTBLANK(OFFSET(A$1,,,SUMPRODUCT(MAX(ROW(E$2:E592)*(E592=E$2:E592)))))-COUNTBLANK(OFFSET(A$1,,,SUMPRODUCT(MAX(ROW(E$1:E591)*(E2=E$1:E591))))))</f>
        <v> </v>
      </c>
      <c r="K592" s="25" t="str">
        <f>IF(OR(E592="",E592="!!!",F592="NEW"),"",INDEX(J$1:J591,SUMPRODUCT(MAX(ROW(E$1:E591)*(E592=E$1:E591)))))</f>
        <v> </v>
      </c>
      <c r="L592" s="26"/>
    </row>
    <row r="593" spans="1:12">
      <c r="A593" s="20"/>
    </row>
    <row r="594" spans="1:12">
      <c r="A594" s="20" t="s">
        <v>742</v>
      </c>
    </row>
    <row r="595" spans="1:12">
      <c r="A595" s="20" t="s">
        <v>743</v>
      </c>
      <c r="E595" s="21">
        <f>IF(D595="?OLD","!!!","")</f>
        <v/>
      </c>
      <c r="F595" s="22" t="str">
        <f>IF(OR(E595="",E595="!!!"),"",IF(NOT(ISNA(VLOOKUP(E595,E$1:E594,1,FALSE()))),"OLD",IF(AND(E595&lt;&gt;"",E595&lt;&gt;"!!!"),"NEW","")))</f>
        <v> </v>
      </c>
      <c r="G595" s="23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> </v>
      </c>
      <c r="H595" s="24" t="str">
        <f>IF(J595&lt;&gt;1,"",IF(I595="SBJ","CB","?"))</f>
        <v> </v>
      </c>
      <c r="I595" s="25" t="str">
        <f>IF(OR(E595="",E595="!!!",F595="NEW"),"",INDEX(B594:B$2,-1+SUMPRODUCT(MAX(ROW(E594:E$2)*(E595=E594:E$2)))))</f>
        <v> </v>
      </c>
      <c r="J595" s="25" t="str">
        <f>IF(OR(E595="",E595="!!!",F595="NEW"),"",COUNTBLANK(OFFSET(A$1,,,SUMPRODUCT(MAX(ROW(E$2:E595)*(E595=E$2:E595)))))-COUNTBLANK(OFFSET(A$1,,,SUMPRODUCT(MAX(ROW(E$1:E594)*(E2=E$1:E594))))))</f>
        <v> </v>
      </c>
      <c r="K595" s="25" t="str">
        <f>IF(OR(E595="",E595="!!!",F595="NEW"),"",INDEX(J$1:J594,SUMPRODUCT(MAX(ROW(E$1:E594)*(E595=E$1:E594)))))</f>
        <v> </v>
      </c>
      <c r="L595" s="26"/>
    </row>
    <row r="596" spans="1:12">
      <c r="A596" s="20" t="s">
        <v>484</v>
      </c>
      <c r="E596" s="21">
        <f>IF(D596="?OLD","!!!","")</f>
        <v/>
      </c>
      <c r="F596" s="22" t="str">
        <f>IF(OR(E596="",E596="!!!"),"",IF(NOT(ISNA(VLOOKUP(E596,E$1:E595,1,FALSE()))),"OLD",IF(AND(E596&lt;&gt;"",E596&lt;&gt;"!!!"),"NEW","")))</f>
        <v> </v>
      </c>
      <c r="G596" s="23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 </v>
      </c>
      <c r="H596" s="24" t="str">
        <f>IF(J596&lt;&gt;1,"",IF(I596="SBJ","CB","?"))</f>
        <v> </v>
      </c>
      <c r="I596" s="25" t="str">
        <f>IF(OR(E596="",E596="!!!",F596="NEW"),"",INDEX(B595:B$2,-1+SUMPRODUCT(MAX(ROW(E595:E$2)*(E596=E595:E$2)))))</f>
        <v> </v>
      </c>
      <c r="J596" s="25" t="str">
        <f>IF(OR(E596="",E596="!!!",F596="NEW"),"",COUNTBLANK(OFFSET(A$1,,,SUMPRODUCT(MAX(ROW(E$2:E596)*(E596=E$2:E596)))))-COUNTBLANK(OFFSET(A$1,,,SUMPRODUCT(MAX(ROW(E$1:E595)*(E2=E$1:E595))))))</f>
        <v> </v>
      </c>
      <c r="K596" s="25" t="str">
        <f>IF(OR(E596="",E596="!!!",F596="NEW"),"",INDEX(J$1:J595,SUMPRODUCT(MAX(ROW(E$1:E595)*(E596=E$1:E595)))))</f>
        <v> </v>
      </c>
      <c r="L596" s="26"/>
    </row>
    <row r="597" spans="1:12">
      <c r="A597" s="20" t="s">
        <v>744</v>
      </c>
      <c r="E597" s="21">
        <f>IF(D597="?OLD","!!!","")</f>
        <v/>
      </c>
      <c r="F597" s="22" t="str">
        <f>IF(OR(E597="",E597="!!!"),"",IF(NOT(ISNA(VLOOKUP(E597,E$1:E596,1,FALSE()))),"OLD",IF(AND(E597&lt;&gt;"",E597&lt;&gt;"!!!"),"NEW","")))</f>
        <v> </v>
      </c>
      <c r="G597" s="23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> </v>
      </c>
      <c r="H597" s="24" t="str">
        <f>IF(J597&lt;&gt;1,"",IF(I597="SBJ","CB","?"))</f>
        <v> </v>
      </c>
      <c r="I597" s="25" t="str">
        <f>IF(OR(E597="",E597="!!!",F597="NEW"),"",INDEX(B596:B$2,-1+SUMPRODUCT(MAX(ROW(E596:E$2)*(E597=E596:E$2)))))</f>
        <v> </v>
      </c>
      <c r="J597" s="25" t="str">
        <f>IF(OR(E597="",E597="!!!",F597="NEW"),"",COUNTBLANK(OFFSET(A$1,,,SUMPRODUCT(MAX(ROW(E$2:E597)*(E597=E$2:E597)))))-COUNTBLANK(OFFSET(A$1,,,SUMPRODUCT(MAX(ROW(E$1:E596)*(E2=E$1:E596))))))</f>
        <v> </v>
      </c>
      <c r="K597" s="25" t="str">
        <f>IF(OR(E597="",E597="!!!",F597="NEW"),"",INDEX(J$1:J596,SUMPRODUCT(MAX(ROW(E$1:E596)*(E597=E$1:E596)))))</f>
        <v> </v>
      </c>
      <c r="L597" s="26"/>
    </row>
    <row r="598" spans="1:12">
      <c r="A598" s="20" t="s">
        <v>521</v>
      </c>
      <c r="B598" s="27" t="s">
        <v>481</v>
      </c>
      <c r="C598" s="27" t="s">
        <v>523</v>
      </c>
      <c r="E598" s="21">
        <f>IF(D598="?OLD","!!!","")</f>
        <v/>
      </c>
      <c r="F598" s="22" t="str">
        <f>IF(OR(E598="",E598="!!!"),"",IF(NOT(ISNA(VLOOKUP(E598,E$1:E597,1,FALSE()))),"OLD",IF(AND(E598&lt;&gt;"",E598&lt;&gt;"!!!"),"NEW","")))</f>
        <v> </v>
      </c>
      <c r="G598" s="23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> </v>
      </c>
      <c r="H598" s="24" t="str">
        <f>IF(J598&lt;&gt;1,"",IF(I598="SBJ","CB","?"))</f>
        <v> </v>
      </c>
      <c r="I598" s="25" t="str">
        <f>IF(OR(E598="",E598="!!!",F598="NEW"),"",INDEX(B597:B$2,-1+SUMPRODUCT(MAX(ROW(E597:E$2)*(E598=E597:E$2)))))</f>
        <v> </v>
      </c>
      <c r="J598" s="25" t="str">
        <f>IF(OR(E598="",E598="!!!",F598="NEW"),"",COUNTBLANK(OFFSET(A$1,,,SUMPRODUCT(MAX(ROW(E$2:E598)*(E598=E$2:E598)))))-COUNTBLANK(OFFSET(A$1,,,SUMPRODUCT(MAX(ROW(E$1:E597)*(E2=E$1:E597))))))</f>
        <v> </v>
      </c>
      <c r="K598" s="25" t="str">
        <f>IF(OR(E598="",E598="!!!",F598="NEW"),"",INDEX(J$1:J597,SUMPRODUCT(MAX(ROW(E$1:E597)*(E598=E$1:E597)))))</f>
        <v> </v>
      </c>
      <c r="L598" s="26"/>
    </row>
    <row r="599" spans="1:12">
      <c r="A599" s="20" t="s">
        <v>492</v>
      </c>
      <c r="B599" s="27" t="s">
        <v>553</v>
      </c>
      <c r="E599" s="21">
        <f>IF(D599="?OLD","!!!","")</f>
        <v/>
      </c>
      <c r="F599" s="22" t="str">
        <f>IF(OR(E599="",E599="!!!"),"",IF(NOT(ISNA(VLOOKUP(E599,E$1:E598,1,FALSE()))),"OLD",IF(AND(E599&lt;&gt;"",E599&lt;&gt;"!!!"),"NEW","")))</f>
        <v> </v>
      </c>
      <c r="G599" s="23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> </v>
      </c>
      <c r="H599" s="24" t="str">
        <f>IF(J599&lt;&gt;1,"",IF(I599="SBJ","CB","?"))</f>
        <v> </v>
      </c>
      <c r="I599" s="25" t="str">
        <f>IF(OR(E599="",E599="!!!",F599="NEW"),"",INDEX(B598:B$2,-1+SUMPRODUCT(MAX(ROW(E598:E$2)*(E599=E598:E$2)))))</f>
        <v> </v>
      </c>
      <c r="J599" s="25" t="str">
        <f>IF(OR(E599="",E599="!!!",F599="NEW"),"",COUNTBLANK(OFFSET(A$1,,,SUMPRODUCT(MAX(ROW(E$2:E599)*(E599=E$2:E599)))))-COUNTBLANK(OFFSET(A$1,,,SUMPRODUCT(MAX(ROW(E$1:E598)*(E2=E$1:E598))))))</f>
        <v> </v>
      </c>
      <c r="K599" s="25" t="str">
        <f>IF(OR(E599="",E599="!!!",F599="NEW"),"",INDEX(J$1:J598,SUMPRODUCT(MAX(ROW(E$1:E598)*(E599=E$1:E598)))))</f>
        <v> </v>
      </c>
      <c r="L599" s="26"/>
    </row>
    <row r="600" spans="1:12">
      <c r="A600" s="20" t="s">
        <v>680</v>
      </c>
      <c r="E600" s="21">
        <f>IF(D600="?OLD","!!!","")</f>
        <v/>
      </c>
      <c r="F600" s="22" t="str">
        <f>IF(OR(E600="",E600="!!!"),"",IF(NOT(ISNA(VLOOKUP(E600,E$1:E599,1,FALSE()))),"OLD",IF(AND(E600&lt;&gt;"",E600&lt;&gt;"!!!"),"NEW","")))</f>
        <v> </v>
      </c>
      <c r="G600" s="23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> </v>
      </c>
      <c r="H600" s="24" t="str">
        <f>IF(J600&lt;&gt;1,"",IF(I600="SBJ","CB","?"))</f>
        <v> </v>
      </c>
      <c r="I600" s="25" t="str">
        <f>IF(OR(E600="",E600="!!!",F600="NEW"),"",INDEX(B599:B$2,-1+SUMPRODUCT(MAX(ROW(E599:E$2)*(E600=E599:E$2)))))</f>
        <v> </v>
      </c>
      <c r="J600" s="25" t="str">
        <f>IF(OR(E600="",E600="!!!",F600="NEW"),"",COUNTBLANK(OFFSET(A$1,,,SUMPRODUCT(MAX(ROW(E$2:E600)*(E600=E$2:E600)))))-COUNTBLANK(OFFSET(A$1,,,SUMPRODUCT(MAX(ROW(E$1:E599)*(E2=E$1:E599))))))</f>
        <v> </v>
      </c>
      <c r="K600" s="25" t="str">
        <f>IF(OR(E600="",E600="!!!",F600="NEW"),"",INDEX(J$1:J599,SUMPRODUCT(MAX(ROW(E$1:E599)*(E600=E$1:E599)))))</f>
        <v> </v>
      </c>
      <c r="L600" s="26"/>
    </row>
    <row r="601" spans="1:12">
      <c r="A601" s="20" t="s">
        <v>745</v>
      </c>
      <c r="E601" s="21">
        <f>IF(D601="?OLD","!!!","")</f>
        <v/>
      </c>
      <c r="F601" s="22" t="str">
        <f>IF(OR(E601="",E601="!!!"),"",IF(NOT(ISNA(VLOOKUP(E601,E$1:E600,1,FALSE()))),"OLD",IF(AND(E601&lt;&gt;"",E601&lt;&gt;"!!!"),"NEW","")))</f>
        <v> </v>
      </c>
      <c r="G601" s="23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24" t="str">
        <f>IF(J601&lt;&gt;1,"",IF(I601="SBJ","CB","?"))</f>
        <v> </v>
      </c>
      <c r="I601" s="25" t="str">
        <f>IF(OR(E601="",E601="!!!",F601="NEW"),"",INDEX(B600:B$2,-1+SUMPRODUCT(MAX(ROW(E600:E$2)*(E601=E600:E$2)))))</f>
        <v> </v>
      </c>
      <c r="J601" s="25" t="str">
        <f>IF(OR(E601="",E601="!!!",F601="NEW"),"",COUNTBLANK(OFFSET(A$1,,,SUMPRODUCT(MAX(ROW(E$2:E601)*(E601=E$2:E601)))))-COUNTBLANK(OFFSET(A$1,,,SUMPRODUCT(MAX(ROW(E$1:E600)*(E2=E$1:E600))))))</f>
        <v> </v>
      </c>
      <c r="K601" s="25" t="str">
        <f>IF(OR(E601="",E601="!!!",F601="NEW"),"",INDEX(J$1:J600,SUMPRODUCT(MAX(ROW(E$1:E600)*(E601=E$1:E600)))))</f>
        <v> </v>
      </c>
      <c r="L601" s="26"/>
    </row>
    <row r="602" spans="1:12">
      <c r="A602" s="20" t="s">
        <v>746</v>
      </c>
      <c r="B602" s="27" t="s">
        <v>578</v>
      </c>
      <c r="C602" s="27" t="s">
        <v>516</v>
      </c>
      <c r="E602" s="21">
        <f>IF(D602="?OLD","!!!","")</f>
        <v/>
      </c>
      <c r="F602" s="22" t="str">
        <f>IF(OR(E602="",E602="!!!"),"",IF(NOT(ISNA(VLOOKUP(E602,E$1:E601,1,FALSE()))),"OLD",IF(AND(E602&lt;&gt;"",E602&lt;&gt;"!!!"),"NEW","")))</f>
        <v> </v>
      </c>
      <c r="G602" s="23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> </v>
      </c>
      <c r="H602" s="24" t="str">
        <f>IF(J602&lt;&gt;1,"",IF(I602="SBJ","CB","?"))</f>
        <v> </v>
      </c>
      <c r="I602" s="25" t="str">
        <f>IF(OR(E602="",E602="!!!",F602="NEW"),"",INDEX(B601:B$2,-1+SUMPRODUCT(MAX(ROW(E601:E$2)*(E602=E601:E$2)))))</f>
        <v> </v>
      </c>
      <c r="J602" s="25" t="str">
        <f>IF(OR(E602="",E602="!!!",F602="NEW"),"",COUNTBLANK(OFFSET(A$1,,,SUMPRODUCT(MAX(ROW(E$2:E602)*(E602=E$2:E602)))))-COUNTBLANK(OFFSET(A$1,,,SUMPRODUCT(MAX(ROW(E$1:E601)*(E2=E$1:E601))))))</f>
        <v> </v>
      </c>
      <c r="K602" s="25" t="str">
        <f>IF(OR(E602="",E602="!!!",F602="NEW"),"",INDEX(J$1:J601,SUMPRODUCT(MAX(ROW(E$1:E601)*(E602=E$1:E601)))))</f>
        <v> </v>
      </c>
      <c r="L602" s="26"/>
    </row>
    <row r="603" spans="1:12">
      <c r="A603" s="20" t="s">
        <v>531</v>
      </c>
      <c r="E603" s="21">
        <f>IF(D603="?OLD","!!!","")</f>
        <v/>
      </c>
      <c r="F603" s="22" t="str">
        <f>IF(OR(E603="",E603="!!!"),"",IF(NOT(ISNA(VLOOKUP(E603,E$1:E602,1,FALSE()))),"OLD",IF(AND(E603&lt;&gt;"",E603&lt;&gt;"!!!"),"NEW","")))</f>
        <v> </v>
      </c>
      <c r="G603" s="23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> </v>
      </c>
      <c r="H603" s="24" t="str">
        <f>IF(J603&lt;&gt;1,"",IF(I603="SBJ","CB","?"))</f>
        <v> </v>
      </c>
      <c r="I603" s="25" t="str">
        <f>IF(OR(E603="",E603="!!!",F603="NEW"),"",INDEX(B602:B$2,-1+SUMPRODUCT(MAX(ROW(E602:E$2)*(E603=E602:E$2)))))</f>
        <v> </v>
      </c>
      <c r="J603" s="25" t="str">
        <f>IF(OR(E603="",E603="!!!",F603="NEW"),"",COUNTBLANK(OFFSET(A$1,,,SUMPRODUCT(MAX(ROW(E$2:E603)*(E603=E$2:E603)))))-COUNTBLANK(OFFSET(A$1,,,SUMPRODUCT(MAX(ROW(E$1:E602)*(E2=E$1:E602))))))</f>
        <v> </v>
      </c>
      <c r="K603" s="25" t="str">
        <f>IF(OR(E603="",E603="!!!",F603="NEW"),"",INDEX(J$1:J602,SUMPRODUCT(MAX(ROW(E$1:E602)*(E603=E$1:E602)))))</f>
        <v> </v>
      </c>
      <c r="L603" s="26"/>
    </row>
    <row r="604" spans="1:12">
      <c r="A604" s="20"/>
    </row>
    <row r="605" spans="1:12">
      <c r="A605" s="20" t="s">
        <v>747</v>
      </c>
    </row>
    <row r="606" spans="1:12">
      <c r="A606" s="20" t="s">
        <v>690</v>
      </c>
      <c r="E606" s="21">
        <f>IF(D606="?OLD","!!!","")</f>
        <v/>
      </c>
      <c r="F606" s="22" t="str">
        <f>IF(OR(E606="",E606="!!!"),"",IF(NOT(ISNA(VLOOKUP(E606,E$1:E605,1,FALSE()))),"OLD",IF(AND(E606&lt;&gt;"",E606&lt;&gt;"!!!"),"NEW","")))</f>
        <v> </v>
      </c>
      <c r="G606" s="23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> </v>
      </c>
      <c r="H606" s="24" t="str">
        <f>IF(J606&lt;&gt;1,"",IF(I606="SBJ","CB","?"))</f>
        <v> </v>
      </c>
      <c r="I606" s="25" t="str">
        <f>IF(OR(E606="",E606="!!!",F606="NEW"),"",INDEX(B605:B$2,-1+SUMPRODUCT(MAX(ROW(E605:E$2)*(E606=E605:E$2)))))</f>
        <v> </v>
      </c>
      <c r="J606" s="25" t="str">
        <f>IF(OR(E606="",E606="!!!",F606="NEW"),"",COUNTBLANK(OFFSET(A$1,,,SUMPRODUCT(MAX(ROW(E$2:E606)*(E606=E$2:E606)))))-COUNTBLANK(OFFSET(A$1,,,SUMPRODUCT(MAX(ROW(E$1:E605)*(E2=E$1:E605))))))</f>
        <v> </v>
      </c>
      <c r="K606" s="25" t="str">
        <f>IF(OR(E606="",E606="!!!",F606="NEW"),"",INDEX(J$1:J605,SUMPRODUCT(MAX(ROW(E$1:E605)*(E606=E$1:E605)))))</f>
        <v> </v>
      </c>
      <c r="L606" s="26"/>
    </row>
    <row r="607" spans="1:12">
      <c r="A607" s="20" t="s">
        <v>748</v>
      </c>
      <c r="B607" s="27" t="s">
        <v>477</v>
      </c>
      <c r="C607" s="27" t="s">
        <v>516</v>
      </c>
      <c r="E607" s="21">
        <f>IF(D607="?OLD","!!!","")</f>
        <v/>
      </c>
      <c r="F607" s="22" t="str">
        <f>IF(OR(E607="",E607="!!!"),"",IF(NOT(ISNA(VLOOKUP(E607,E$1:E606,1,FALSE()))),"OLD",IF(AND(E607&lt;&gt;"",E607&lt;&gt;"!!!"),"NEW","")))</f>
        <v> </v>
      </c>
      <c r="G607" s="23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> </v>
      </c>
      <c r="H607" s="24" t="str">
        <f>IF(J607&lt;&gt;1,"",IF(I607="SBJ","CB","?"))</f>
        <v> </v>
      </c>
      <c r="I607" s="25" t="str">
        <f>IF(OR(E607="",E607="!!!",F607="NEW"),"",INDEX(B606:B$2,-1+SUMPRODUCT(MAX(ROW(E606:E$2)*(E607=E606:E$2)))))</f>
        <v> </v>
      </c>
      <c r="J607" s="25" t="str">
        <f>IF(OR(E607="",E607="!!!",F607="NEW"),"",COUNTBLANK(OFFSET(A$1,,,SUMPRODUCT(MAX(ROW(E$2:E607)*(E607=E$2:E607)))))-COUNTBLANK(OFFSET(A$1,,,SUMPRODUCT(MAX(ROW(E$1:E606)*(E2=E$1:E606))))))</f>
        <v> </v>
      </c>
      <c r="K607" s="25" t="str">
        <f>IF(OR(E607="",E607="!!!",F607="NEW"),"",INDEX(J$1:J606,SUMPRODUCT(MAX(ROW(E$1:E606)*(E607=E$1:E606)))))</f>
        <v> </v>
      </c>
      <c r="L607" s="26"/>
    </row>
    <row r="608" spans="1:12">
      <c r="A608" s="20" t="s">
        <v>692</v>
      </c>
      <c r="E608" s="21">
        <f>IF(D608="?OLD","!!!","")</f>
        <v/>
      </c>
      <c r="F608" s="22" t="str">
        <f>IF(OR(E608="",E608="!!!"),"",IF(NOT(ISNA(VLOOKUP(E608,E$1:E607,1,FALSE()))),"OLD",IF(AND(E608&lt;&gt;"",E608&lt;&gt;"!!!"),"NEW","")))</f>
        <v> </v>
      </c>
      <c r="G608" s="23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24" t="str">
        <f>IF(J608&lt;&gt;1,"",IF(I608="SBJ","CB","?"))</f>
        <v> </v>
      </c>
      <c r="I608" s="25" t="str">
        <f>IF(OR(E608="",E608="!!!",F608="NEW"),"",INDEX(B607:B$2,-1+SUMPRODUCT(MAX(ROW(E607:E$2)*(E608=E607:E$2)))))</f>
        <v> </v>
      </c>
      <c r="J608" s="25" t="str">
        <f>IF(OR(E608="",E608="!!!",F608="NEW"),"",COUNTBLANK(OFFSET(A$1,,,SUMPRODUCT(MAX(ROW(E$2:E608)*(E608=E$2:E608)))))-COUNTBLANK(OFFSET(A$1,,,SUMPRODUCT(MAX(ROW(E$1:E607)*(E2=E$1:E607))))))</f>
        <v> </v>
      </c>
      <c r="K608" s="25" t="str">
        <f>IF(OR(E608="",E608="!!!",F608="NEW"),"",INDEX(J$1:J607,SUMPRODUCT(MAX(ROW(E$1:E607)*(E608=E$1:E607)))))</f>
        <v> </v>
      </c>
      <c r="L608" s="26"/>
    </row>
    <row r="609" spans="1:12">
      <c r="A609" s="20"/>
    </row>
    <row r="610" spans="1:12">
      <c r="A610" s="20" t="s">
        <v>749</v>
      </c>
    </row>
    <row r="611" spans="1:12">
      <c r="A611" s="20" t="s">
        <v>627</v>
      </c>
      <c r="E611" s="21">
        <f>IF(D611="?OLD","!!!","")</f>
        <v/>
      </c>
      <c r="F611" s="22" t="str">
        <f>IF(OR(E611="",E611="!!!"),"",IF(NOT(ISNA(VLOOKUP(E611,E$1:E610,1,FALSE()))),"OLD",IF(AND(E611&lt;&gt;"",E611&lt;&gt;"!!!"),"NEW","")))</f>
        <v> </v>
      </c>
      <c r="G611" s="23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> </v>
      </c>
      <c r="H611" s="24" t="str">
        <f>IF(J611&lt;&gt;1,"",IF(I611="SBJ","CB","?"))</f>
        <v> </v>
      </c>
      <c r="I611" s="25" t="str">
        <f>IF(OR(E611="",E611="!!!",F611="NEW"),"",INDEX(B610:B$2,-1+SUMPRODUCT(MAX(ROW(E610:E$2)*(E611=E610:E$2)))))</f>
        <v> </v>
      </c>
      <c r="J611" s="25" t="str">
        <f>IF(OR(E611="",E611="!!!",F611="NEW"),"",COUNTBLANK(OFFSET(A$1,,,SUMPRODUCT(MAX(ROW(E$2:E611)*(E611=E$2:E611)))))-COUNTBLANK(OFFSET(A$1,,,SUMPRODUCT(MAX(ROW(E$1:E610)*(E2=E$1:E610))))))</f>
        <v> </v>
      </c>
      <c r="K611" s="25" t="str">
        <f>IF(OR(E611="",E611="!!!",F611="NEW"),"",INDEX(J$1:J610,SUMPRODUCT(MAX(ROW(E$1:E610)*(E611=E$1:E610)))))</f>
        <v> </v>
      </c>
      <c r="L611" s="26"/>
    </row>
    <row r="612" spans="1:12">
      <c r="A612" s="20" t="s">
        <v>489</v>
      </c>
      <c r="E612" s="21">
        <f>IF(D612="?OLD","!!!","")</f>
        <v/>
      </c>
      <c r="F612" s="22" t="str">
        <f>IF(OR(E612="",E612="!!!"),"",IF(NOT(ISNA(VLOOKUP(E612,E$1:E611,1,FALSE()))),"OLD",IF(AND(E612&lt;&gt;"",E612&lt;&gt;"!!!"),"NEW","")))</f>
        <v> </v>
      </c>
      <c r="G612" s="23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> </v>
      </c>
      <c r="H612" s="24" t="str">
        <f>IF(J612&lt;&gt;1,"",IF(I612="SBJ","CB","?"))</f>
        <v> </v>
      </c>
      <c r="I612" s="25" t="str">
        <f>IF(OR(E612="",E612="!!!",F612="NEW"),"",INDEX(B611:B$2,-1+SUMPRODUCT(MAX(ROW(E611:E$2)*(E612=E611:E$2)))))</f>
        <v> </v>
      </c>
      <c r="J612" s="25" t="str">
        <f>IF(OR(E612="",E612="!!!",F612="NEW"),"",COUNTBLANK(OFFSET(A$1,,,SUMPRODUCT(MAX(ROW(E$2:E612)*(E612=E$2:E612)))))-COUNTBLANK(OFFSET(A$1,,,SUMPRODUCT(MAX(ROW(E$1:E611)*(E2=E$1:E611))))))</f>
        <v> </v>
      </c>
      <c r="K612" s="25" t="str">
        <f>IF(OR(E612="",E612="!!!",F612="NEW"),"",INDEX(J$1:J611,SUMPRODUCT(MAX(ROW(E$1:E611)*(E612=E$1:E611)))))</f>
        <v> </v>
      </c>
      <c r="L612" s="26"/>
    </row>
    <row r="613" spans="1:12">
      <c r="A613" s="20" t="s">
        <v>558</v>
      </c>
      <c r="E613" s="21">
        <f>IF(D613="?OLD","!!!","")</f>
        <v/>
      </c>
      <c r="F613" s="22" t="str">
        <f>IF(OR(E613="",E613="!!!"),"",IF(NOT(ISNA(VLOOKUP(E613,E$1:E612,1,FALSE()))),"OLD",IF(AND(E613&lt;&gt;"",E613&lt;&gt;"!!!"),"NEW","")))</f>
        <v> </v>
      </c>
      <c r="G613" s="23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> </v>
      </c>
      <c r="H613" s="24" t="str">
        <f>IF(J613&lt;&gt;1,"",IF(I613="SBJ","CB","?"))</f>
        <v> </v>
      </c>
      <c r="I613" s="25" t="str">
        <f>IF(OR(E613="",E613="!!!",F613="NEW"),"",INDEX(B612:B$2,-1+SUMPRODUCT(MAX(ROW(E612:E$2)*(E613=E612:E$2)))))</f>
        <v> </v>
      </c>
      <c r="J613" s="25" t="str">
        <f>IF(OR(E613="",E613="!!!",F613="NEW"),"",COUNTBLANK(OFFSET(A$1,,,SUMPRODUCT(MAX(ROW(E$2:E613)*(E613=E$2:E613)))))-COUNTBLANK(OFFSET(A$1,,,SUMPRODUCT(MAX(ROW(E$1:E612)*(E2=E$1:E612))))))</f>
        <v> </v>
      </c>
      <c r="K613" s="25" t="str">
        <f>IF(OR(E613="",E613="!!!",F613="NEW"),"",INDEX(J$1:J612,SUMPRODUCT(MAX(ROW(E$1:E612)*(E613=E$1:E612)))))</f>
        <v> </v>
      </c>
      <c r="L613" s="26"/>
    </row>
    <row r="614" spans="1:12">
      <c r="A614" s="20" t="s">
        <v>628</v>
      </c>
      <c r="E614" s="21">
        <f>IF(D614="?OLD","!!!","")</f>
        <v/>
      </c>
      <c r="F614" s="22" t="str">
        <f>IF(OR(E614="",E614="!!!"),"",IF(NOT(ISNA(VLOOKUP(E614,E$1:E613,1,FALSE()))),"OLD",IF(AND(E614&lt;&gt;"",E614&lt;&gt;"!!!"),"NEW","")))</f>
        <v> </v>
      </c>
      <c r="G614" s="23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> </v>
      </c>
      <c r="H614" s="24" t="str">
        <f>IF(J614&lt;&gt;1,"",IF(I614="SBJ","CB","?"))</f>
        <v> </v>
      </c>
      <c r="I614" s="25" t="str">
        <f>IF(OR(E614="",E614="!!!",F614="NEW"),"",INDEX(B613:B$2,-1+SUMPRODUCT(MAX(ROW(E613:E$2)*(E614=E613:E$2)))))</f>
        <v> </v>
      </c>
      <c r="J614" s="25" t="str">
        <f>IF(OR(E614="",E614="!!!",F614="NEW"),"",COUNTBLANK(OFFSET(A$1,,,SUMPRODUCT(MAX(ROW(E$2:E614)*(E614=E$2:E614)))))-COUNTBLANK(OFFSET(A$1,,,SUMPRODUCT(MAX(ROW(E$1:E613)*(E2=E$1:E613))))))</f>
        <v> </v>
      </c>
      <c r="K614" s="25" t="str">
        <f>IF(OR(E614="",E614="!!!",F614="NEW"),"",INDEX(J$1:J613,SUMPRODUCT(MAX(ROW(E$1:E613)*(E614=E$1:E613)))))</f>
        <v> </v>
      </c>
      <c r="L614" s="26"/>
    </row>
    <row r="615" spans="1:12">
      <c r="A615" s="20" t="s">
        <v>492</v>
      </c>
      <c r="E615" s="21">
        <f>IF(D615="?OLD","!!!","")</f>
        <v/>
      </c>
      <c r="F615" s="22" t="str">
        <f>IF(OR(E615="",E615="!!!"),"",IF(NOT(ISNA(VLOOKUP(E615,E$1:E614,1,FALSE()))),"OLD",IF(AND(E615&lt;&gt;"",E615&lt;&gt;"!!!"),"NEW","")))</f>
        <v> </v>
      </c>
      <c r="G615" s="23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> </v>
      </c>
      <c r="H615" s="24" t="str">
        <f>IF(J615&lt;&gt;1,"",IF(I615="SBJ","CB","?"))</f>
        <v> </v>
      </c>
      <c r="I615" s="25" t="str">
        <f>IF(OR(E615="",E615="!!!",F615="NEW"),"",INDEX(B614:B$2,-1+SUMPRODUCT(MAX(ROW(E614:E$2)*(E615=E614:E$2)))))</f>
        <v> </v>
      </c>
      <c r="J615" s="25" t="str">
        <f>IF(OR(E615="",E615="!!!",F615="NEW"),"",COUNTBLANK(OFFSET(A$1,,,SUMPRODUCT(MAX(ROW(E$2:E615)*(E615=E$2:E615)))))-COUNTBLANK(OFFSET(A$1,,,SUMPRODUCT(MAX(ROW(E$1:E614)*(E2=E$1:E614))))))</f>
        <v> </v>
      </c>
      <c r="K615" s="25" t="str">
        <f>IF(OR(E615="",E615="!!!",F615="NEW"),"",INDEX(J$1:J614,SUMPRODUCT(MAX(ROW(E$1:E614)*(E615=E$1:E614)))))</f>
        <v> </v>
      </c>
      <c r="L615" s="26"/>
    </row>
    <row r="616" spans="1:12">
      <c r="A616" s="20" t="s">
        <v>710</v>
      </c>
      <c r="E616" s="21">
        <f>IF(D616="?OLD","!!!","")</f>
        <v/>
      </c>
      <c r="F616" s="22" t="str">
        <f>IF(OR(E616="",E616="!!!"),"",IF(NOT(ISNA(VLOOKUP(E616,E$1:E615,1,FALSE()))),"OLD",IF(AND(E616&lt;&gt;"",E616&lt;&gt;"!!!"),"NEW","")))</f>
        <v> </v>
      </c>
      <c r="G616" s="23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> </v>
      </c>
      <c r="H616" s="24" t="str">
        <f>IF(J616&lt;&gt;1,"",IF(I616="SBJ","CB","?"))</f>
        <v> </v>
      </c>
      <c r="I616" s="25" t="str">
        <f>IF(OR(E616="",E616="!!!",F616="NEW"),"",INDEX(B615:B$2,-1+SUMPRODUCT(MAX(ROW(E615:E$2)*(E616=E615:E$2)))))</f>
        <v> </v>
      </c>
      <c r="J616" s="25" t="str">
        <f>IF(OR(E616="",E616="!!!",F616="NEW"),"",COUNTBLANK(OFFSET(A$1,,,SUMPRODUCT(MAX(ROW(E$2:E616)*(E616=E$2:E616)))))-COUNTBLANK(OFFSET(A$1,,,SUMPRODUCT(MAX(ROW(E$1:E615)*(E2=E$1:E615))))))</f>
        <v> </v>
      </c>
      <c r="K616" s="25" t="str">
        <f>IF(OR(E616="",E616="!!!",F616="NEW"),"",INDEX(J$1:J615,SUMPRODUCT(MAX(ROW(E$1:E615)*(E616=E$1:E615)))))</f>
        <v> </v>
      </c>
      <c r="L616" s="26"/>
    </row>
    <row r="617" spans="1:12">
      <c r="A617" s="20" t="s">
        <v>489</v>
      </c>
      <c r="E617" s="21">
        <f>IF(D617="?OLD","!!!","")</f>
        <v/>
      </c>
      <c r="F617" s="22" t="str">
        <f>IF(OR(E617="",E617="!!!"),"",IF(NOT(ISNA(VLOOKUP(E617,E$1:E616,1,FALSE()))),"OLD",IF(AND(E617&lt;&gt;"",E617&lt;&gt;"!!!"),"NEW","")))</f>
        <v> </v>
      </c>
      <c r="G617" s="23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> </v>
      </c>
      <c r="H617" s="24" t="str">
        <f>IF(J617&lt;&gt;1,"",IF(I617="SBJ","CB","?"))</f>
        <v> </v>
      </c>
      <c r="I617" s="25" t="str">
        <f>IF(OR(E617="",E617="!!!",F617="NEW"),"",INDEX(B616:B$2,-1+SUMPRODUCT(MAX(ROW(E616:E$2)*(E617=E616:E$2)))))</f>
        <v> </v>
      </c>
      <c r="J617" s="25" t="str">
        <f>IF(OR(E617="",E617="!!!",F617="NEW"),"",COUNTBLANK(OFFSET(A$1,,,SUMPRODUCT(MAX(ROW(E$2:E617)*(E617=E$2:E617)))))-COUNTBLANK(OFFSET(A$1,,,SUMPRODUCT(MAX(ROW(E$1:E616)*(E2=E$1:E616))))))</f>
        <v> </v>
      </c>
      <c r="K617" s="25" t="str">
        <f>IF(OR(E617="",E617="!!!",F617="NEW"),"",INDEX(J$1:J616,SUMPRODUCT(MAX(ROW(E$1:E616)*(E617=E$1:E616)))))</f>
        <v> </v>
      </c>
      <c r="L617" s="26"/>
    </row>
    <row r="618" spans="1:12">
      <c r="A618" s="20" t="s">
        <v>528</v>
      </c>
      <c r="E618" s="21">
        <f>IF(D618="?OLD","!!!","")</f>
        <v/>
      </c>
      <c r="F618" s="22" t="str">
        <f>IF(OR(E618="",E618="!!!"),"",IF(NOT(ISNA(VLOOKUP(E618,E$1:E617,1,FALSE()))),"OLD",IF(AND(E618&lt;&gt;"",E618&lt;&gt;"!!!"),"NEW","")))</f>
        <v> </v>
      </c>
      <c r="G618" s="23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> </v>
      </c>
      <c r="H618" s="24" t="str">
        <f>IF(J618&lt;&gt;1,"",IF(I618="SBJ","CB","?"))</f>
        <v> </v>
      </c>
      <c r="I618" s="25" t="str">
        <f>IF(OR(E618="",E618="!!!",F618="NEW"),"",INDEX(B617:B$2,-1+SUMPRODUCT(MAX(ROW(E617:E$2)*(E618=E617:E$2)))))</f>
        <v> </v>
      </c>
      <c r="J618" s="25" t="str">
        <f>IF(OR(E618="",E618="!!!",F618="NEW"),"",COUNTBLANK(OFFSET(A$1,,,SUMPRODUCT(MAX(ROW(E$2:E618)*(E618=E$2:E618)))))-COUNTBLANK(OFFSET(A$1,,,SUMPRODUCT(MAX(ROW(E$1:E617)*(E2=E$1:E617))))))</f>
        <v> </v>
      </c>
      <c r="K618" s="25" t="str">
        <f>IF(OR(E618="",E618="!!!",F618="NEW"),"",INDEX(J$1:J617,SUMPRODUCT(MAX(ROW(E$1:E617)*(E618=E$1:E617)))))</f>
        <v> </v>
      </c>
      <c r="L618" s="26"/>
    </row>
    <row r="619" spans="1:12">
      <c r="A619" s="20" t="s">
        <v>649</v>
      </c>
      <c r="E619" s="21">
        <f>IF(D619="?OLD","!!!","")</f>
        <v/>
      </c>
      <c r="F619" s="22" t="str">
        <f>IF(OR(E619="",E619="!!!"),"",IF(NOT(ISNA(VLOOKUP(E619,E$1:E618,1,FALSE()))),"OLD",IF(AND(E619&lt;&gt;"",E619&lt;&gt;"!!!"),"NEW","")))</f>
        <v> </v>
      </c>
      <c r="G619" s="23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> </v>
      </c>
      <c r="H619" s="24" t="str">
        <f>IF(J619&lt;&gt;1,"",IF(I619="SBJ","CB","?"))</f>
        <v> </v>
      </c>
      <c r="I619" s="25" t="str">
        <f>IF(OR(E619="",E619="!!!",F619="NEW"),"",INDEX(B618:B$2,-1+SUMPRODUCT(MAX(ROW(E618:E$2)*(E619=E618:E$2)))))</f>
        <v> </v>
      </c>
      <c r="J619" s="25" t="str">
        <f>IF(OR(E619="",E619="!!!",F619="NEW"),"",COUNTBLANK(OFFSET(A$1,,,SUMPRODUCT(MAX(ROW(E$2:E619)*(E619=E$2:E619)))))-COUNTBLANK(OFFSET(A$1,,,SUMPRODUCT(MAX(ROW(E$1:E618)*(E2=E$1:E618))))))</f>
        <v> </v>
      </c>
      <c r="K619" s="25" t="str">
        <f>IF(OR(E619="",E619="!!!",F619="NEW"),"",INDEX(J$1:J618,SUMPRODUCT(MAX(ROW(E$1:E618)*(E619=E$1:E618)))))</f>
        <v> </v>
      </c>
      <c r="L619" s="26"/>
    </row>
    <row r="620" spans="1:12">
      <c r="A620" s="20" t="s">
        <v>489</v>
      </c>
      <c r="E620" s="21">
        <f>IF(D620="?OLD","!!!","")</f>
        <v/>
      </c>
      <c r="F620" s="22" t="str">
        <f>IF(OR(E620="",E620="!!!"),"",IF(NOT(ISNA(VLOOKUP(E620,E$1:E619,1,FALSE()))),"OLD",IF(AND(E620&lt;&gt;"",E620&lt;&gt;"!!!"),"NEW","")))</f>
        <v> </v>
      </c>
      <c r="G620" s="23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> </v>
      </c>
      <c r="H620" s="24" t="str">
        <f>IF(J620&lt;&gt;1,"",IF(I620="SBJ","CB","?"))</f>
        <v> </v>
      </c>
      <c r="I620" s="25" t="str">
        <f>IF(OR(E620="",E620="!!!",F620="NEW"),"",INDEX(B619:B$2,-1+SUMPRODUCT(MAX(ROW(E619:E$2)*(E620=E619:E$2)))))</f>
        <v> </v>
      </c>
      <c r="J620" s="25" t="str">
        <f>IF(OR(E620="",E620="!!!",F620="NEW"),"",COUNTBLANK(OFFSET(A$1,,,SUMPRODUCT(MAX(ROW(E$2:E620)*(E620=E$2:E620)))))-COUNTBLANK(OFFSET(A$1,,,SUMPRODUCT(MAX(ROW(E$1:E619)*(E2=E$1:E619))))))</f>
        <v> </v>
      </c>
      <c r="K620" s="25" t="str">
        <f>IF(OR(E620="",E620="!!!",F620="NEW"),"",INDEX(J$1:J619,SUMPRODUCT(MAX(ROW(E$1:E619)*(E620=E$1:E619)))))</f>
        <v> </v>
      </c>
      <c r="L620" s="26"/>
    </row>
    <row r="621" spans="1:12">
      <c r="A621" s="20" t="s">
        <v>544</v>
      </c>
      <c r="B621" s="27" t="s">
        <v>537</v>
      </c>
      <c r="E621" s="21">
        <f>IF(D621="?OLD","!!!","")</f>
        <v/>
      </c>
      <c r="F621" s="22" t="str">
        <f>IF(OR(E621="",E621="!!!"),"",IF(NOT(ISNA(VLOOKUP(E621,E$1:E620,1,FALSE()))),"OLD",IF(AND(E621&lt;&gt;"",E621&lt;&gt;"!!!"),"NEW","")))</f>
        <v> </v>
      </c>
      <c r="G621" s="23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> </v>
      </c>
      <c r="H621" s="24" t="str">
        <f>IF(J621&lt;&gt;1,"",IF(I621="SBJ","CB","?"))</f>
        <v> </v>
      </c>
      <c r="I621" s="25" t="str">
        <f>IF(OR(E621="",E621="!!!",F621="NEW"),"",INDEX(B620:B$2,-1+SUMPRODUCT(MAX(ROW(E620:E$2)*(E621=E620:E$2)))))</f>
        <v> </v>
      </c>
      <c r="J621" s="25" t="str">
        <f>IF(OR(E621="",E621="!!!",F621="NEW"),"",COUNTBLANK(OFFSET(A$1,,,SUMPRODUCT(MAX(ROW(E$2:E621)*(E621=E$2:E621)))))-COUNTBLANK(OFFSET(A$1,,,SUMPRODUCT(MAX(ROW(E$1:E620)*(E2=E$1:E620))))))</f>
        <v> </v>
      </c>
      <c r="K621" s="25" t="str">
        <f>IF(OR(E621="",E621="!!!",F621="NEW"),"",INDEX(J$1:J620,SUMPRODUCT(MAX(ROW(E$1:E620)*(E621=E$1:E620)))))</f>
        <v> </v>
      </c>
      <c r="L621" s="26"/>
    </row>
    <row r="622" spans="1:12">
      <c r="A622" s="20" t="s">
        <v>750</v>
      </c>
      <c r="E622" s="21">
        <f>IF(D622="?OLD","!!!","")</f>
        <v/>
      </c>
      <c r="F622" s="22" t="str">
        <f>IF(OR(E622="",E622="!!!"),"",IF(NOT(ISNA(VLOOKUP(E622,E$1:E621,1,FALSE()))),"OLD",IF(AND(E622&lt;&gt;"",E622&lt;&gt;"!!!"),"NEW","")))</f>
        <v> </v>
      </c>
      <c r="G622" s="23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> </v>
      </c>
      <c r="H622" s="24" t="str">
        <f>IF(J622&lt;&gt;1,"",IF(I622="SBJ","CB","?"))</f>
        <v> </v>
      </c>
      <c r="I622" s="25" t="str">
        <f>IF(OR(E622="",E622="!!!",F622="NEW"),"",INDEX(B621:B$2,-1+SUMPRODUCT(MAX(ROW(E621:E$2)*(E622=E621:E$2)))))</f>
        <v> </v>
      </c>
      <c r="J622" s="25" t="str">
        <f>IF(OR(E622="",E622="!!!",F622="NEW"),"",COUNTBLANK(OFFSET(A$1,,,SUMPRODUCT(MAX(ROW(E$2:E622)*(E622=E$2:E622)))))-COUNTBLANK(OFFSET(A$1,,,SUMPRODUCT(MAX(ROW(E$1:E621)*(E2=E$1:E621))))))</f>
        <v> </v>
      </c>
      <c r="K622" s="25" t="str">
        <f>IF(OR(E622="",E622="!!!",F622="NEW"),"",INDEX(J$1:J621,SUMPRODUCT(MAX(ROW(E$1:E621)*(E622=E$1:E621)))))</f>
        <v> </v>
      </c>
      <c r="L622" s="26"/>
    </row>
    <row r="623" spans="1:12">
      <c r="A623" s="20"/>
    </row>
    <row r="624" spans="1:12">
      <c r="A624" s="20" t="s">
        <v>751</v>
      </c>
    </row>
    <row r="625" spans="1:12">
      <c r="A625" s="20" t="s">
        <v>686</v>
      </c>
      <c r="E625" s="21">
        <f>IF(D625="?OLD","!!!","")</f>
        <v/>
      </c>
      <c r="F625" s="22" t="str">
        <f>IF(OR(E625="",E625="!!!"),"",IF(NOT(ISNA(VLOOKUP(E625,E$1:E624,1,FALSE()))),"OLD",IF(AND(E625&lt;&gt;"",E625&lt;&gt;"!!!"),"NEW","")))</f>
        <v> </v>
      </c>
      <c r="G625" s="23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> </v>
      </c>
      <c r="H625" s="24" t="str">
        <f>IF(J625&lt;&gt;1,"",IF(I625="SBJ","CB","?"))</f>
        <v> </v>
      </c>
      <c r="I625" s="25" t="str">
        <f>IF(OR(E625="",E625="!!!",F625="NEW"),"",INDEX(B624:B$2,-1+SUMPRODUCT(MAX(ROW(E624:E$2)*(E625=E624:E$2)))))</f>
        <v> </v>
      </c>
      <c r="J625" s="25" t="str">
        <f>IF(OR(E625="",E625="!!!",F625="NEW"),"",COUNTBLANK(OFFSET(A$1,,,SUMPRODUCT(MAX(ROW(E$2:E625)*(E625=E$2:E625)))))-COUNTBLANK(OFFSET(A$1,,,SUMPRODUCT(MAX(ROW(E$1:E624)*(E2=E$1:E624))))))</f>
        <v> </v>
      </c>
      <c r="K625" s="25" t="str">
        <f>IF(OR(E625="",E625="!!!",F625="NEW"),"",INDEX(J$1:J624,SUMPRODUCT(MAX(ROW(E$1:E624)*(E625=E$1:E624)))))</f>
        <v> </v>
      </c>
      <c r="L625" s="26"/>
    </row>
    <row r="626" spans="1:12">
      <c r="A626" s="20" t="s">
        <v>752</v>
      </c>
      <c r="E626" s="21">
        <f>IF(D626="?OLD","!!!","")</f>
        <v/>
      </c>
      <c r="F626" s="22" t="str">
        <f>IF(OR(E626="",E626="!!!"),"",IF(NOT(ISNA(VLOOKUP(E626,E$1:E625,1,FALSE()))),"OLD",IF(AND(E626&lt;&gt;"",E626&lt;&gt;"!!!"),"NEW","")))</f>
        <v> </v>
      </c>
      <c r="G626" s="23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> </v>
      </c>
      <c r="H626" s="24" t="str">
        <f>IF(J626&lt;&gt;1,"",IF(I626="SBJ","CB","?"))</f>
        <v> </v>
      </c>
      <c r="I626" s="25" t="str">
        <f>IF(OR(E626="",E626="!!!",F626="NEW"),"",INDEX(B625:B$2,-1+SUMPRODUCT(MAX(ROW(E625:E$2)*(E626=E625:E$2)))))</f>
        <v> </v>
      </c>
      <c r="J626" s="25" t="str">
        <f>IF(OR(E626="",E626="!!!",F626="NEW"),"",COUNTBLANK(OFFSET(A$1,,,SUMPRODUCT(MAX(ROW(E$2:E626)*(E626=E$2:E626)))))-COUNTBLANK(OFFSET(A$1,,,SUMPRODUCT(MAX(ROW(E$1:E625)*(E2=E$1:E625))))))</f>
        <v> </v>
      </c>
      <c r="K626" s="25" t="str">
        <f>IF(OR(E626="",E626="!!!",F626="NEW"),"",INDEX(J$1:J625,SUMPRODUCT(MAX(ROW(E$1:E625)*(E626=E$1:E625)))))</f>
        <v> </v>
      </c>
      <c r="L626" s="26"/>
    </row>
    <row r="627" spans="1:12">
      <c r="A627" s="20" t="s">
        <v>512</v>
      </c>
      <c r="B627" s="27" t="s">
        <v>537</v>
      </c>
      <c r="C627" s="27" t="s">
        <v>482</v>
      </c>
      <c r="D627" s="27" t="s">
        <v>483</v>
      </c>
      <c r="E627" s="21">
        <f>IF(D627="?OLD","!!!","")</f>
        <v/>
      </c>
      <c r="F627" s="22" t="str">
        <f>IF(OR(E627="",E627="!!!"),"",IF(NOT(ISNA(VLOOKUP(E627,E$1:E626,1,FALSE()))),"OLD",IF(AND(E627&lt;&gt;"",E627&lt;&gt;"!!!"),"NEW","")))</f>
        <v> </v>
      </c>
      <c r="G627" s="23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> </v>
      </c>
      <c r="H627" s="24" t="str">
        <f>IF(J627&lt;&gt;1,"",IF(I627="SBJ","CB","?"))</f>
        <v> </v>
      </c>
      <c r="I627" s="25" t="str">
        <f>IF(OR(E627="",E627="!!!",F627="NEW"),"",INDEX(B626:B$2,-1+SUMPRODUCT(MAX(ROW(E626:E$2)*(E627=E626:E$2)))))</f>
        <v> </v>
      </c>
      <c r="J627" s="25" t="str">
        <f>IF(OR(E627="",E627="!!!",F627="NEW"),"",COUNTBLANK(OFFSET(A$1,,,SUMPRODUCT(MAX(ROW(E$2:E627)*(E627=E$2:E627)))))-COUNTBLANK(OFFSET(A$1,,,SUMPRODUCT(MAX(ROW(E$1:E626)*(E2=E$1:E626))))))</f>
        <v> </v>
      </c>
      <c r="K627" s="25" t="str">
        <f>IF(OR(E627="",E627="!!!",F627="NEW"),"",INDEX(J$1:J626,SUMPRODUCT(MAX(ROW(E$1:E626)*(E627=E$1:E626)))))</f>
        <v> </v>
      </c>
      <c r="L627" s="26"/>
    </row>
    <row r="628" spans="1:12">
      <c r="A628" s="20" t="s">
        <v>480</v>
      </c>
      <c r="B628" s="27" t="s">
        <v>542</v>
      </c>
      <c r="C628" s="27" t="s">
        <v>482</v>
      </c>
      <c r="D628" s="27" t="s">
        <v>483</v>
      </c>
      <c r="E628" s="21">
        <f>IF(D628="?OLD","!!!","")</f>
        <v/>
      </c>
      <c r="F628" s="22" t="str">
        <f>IF(OR(E628="",E628="!!!"),"",IF(NOT(ISNA(VLOOKUP(E628,E$1:E627,1,FALSE()))),"OLD",IF(AND(E628&lt;&gt;"",E628&lt;&gt;"!!!"),"NEW","")))</f>
        <v> </v>
      </c>
      <c r="G628" s="23" t="str">
        <f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> </v>
      </c>
      <c r="H628" s="24" t="str">
        <f>IF(J628&lt;&gt;1,"",IF(I628="SBJ","CB","?"))</f>
        <v> </v>
      </c>
      <c r="I628" s="25" t="str">
        <f>IF(OR(E628="",E628="!!!",F628="NEW"),"",INDEX(B627:B$2,-1+SUMPRODUCT(MAX(ROW(E627:E$2)*(E628=E627:E$2)))))</f>
        <v> </v>
      </c>
      <c r="J628" s="25" t="str">
        <f>IF(OR(E628="",E628="!!!",F628="NEW"),"",COUNTBLANK(OFFSET(A$1,,,SUMPRODUCT(MAX(ROW(E$2:E628)*(E628=E$2:E628)))))-COUNTBLANK(OFFSET(A$1,,,SUMPRODUCT(MAX(ROW(E$1:E627)*(E2=E$1:E627))))))</f>
        <v> </v>
      </c>
      <c r="K628" s="25" t="str">
        <f>IF(OR(E628="",E628="!!!",F628="NEW"),"",INDEX(J$1:J627,SUMPRODUCT(MAX(ROW(E$1:E627)*(E628=E$1:E627)))))</f>
        <v> </v>
      </c>
      <c r="L628" s="26"/>
    </row>
    <row r="629" spans="1:12">
      <c r="A629" s="20" t="s">
        <v>753</v>
      </c>
      <c r="E629" s="21">
        <f>IF(D629="?OLD","!!!","")</f>
        <v/>
      </c>
      <c r="F629" s="22" t="str">
        <f>IF(OR(E629="",E629="!!!"),"",IF(NOT(ISNA(VLOOKUP(E629,E$1:E628,1,FALSE()))),"OLD",IF(AND(E629&lt;&gt;"",E629&lt;&gt;"!!!"),"NEW","")))</f>
        <v> </v>
      </c>
      <c r="G629" s="23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> </v>
      </c>
      <c r="H629" s="24" t="str">
        <f>IF(J629&lt;&gt;1,"",IF(I629="SBJ","CB","?"))</f>
        <v> </v>
      </c>
      <c r="I629" s="25" t="str">
        <f>IF(OR(E629="",E629="!!!",F629="NEW"),"",INDEX(B628:B$2,-1+SUMPRODUCT(MAX(ROW(E628:E$2)*(E629=E628:E$2)))))</f>
        <v> </v>
      </c>
      <c r="J629" s="25" t="str">
        <f>IF(OR(E629="",E629="!!!",F629="NEW"),"",COUNTBLANK(OFFSET(A$1,,,SUMPRODUCT(MAX(ROW(E$2:E629)*(E629=E$2:E629)))))-COUNTBLANK(OFFSET(A$1,,,SUMPRODUCT(MAX(ROW(E$1:E628)*(E2=E$1:E628))))))</f>
        <v> </v>
      </c>
      <c r="K629" s="25" t="str">
        <f>IF(OR(E629="",E629="!!!",F629="NEW"),"",INDEX(J$1:J628,SUMPRODUCT(MAX(ROW(E$1:E628)*(E629=E$1:E628)))))</f>
        <v> </v>
      </c>
      <c r="L629" s="26"/>
    </row>
    <row r="630" spans="1:12">
      <c r="A630" s="20" t="s">
        <v>489</v>
      </c>
      <c r="E630" s="21">
        <f>IF(D630="?OLD","!!!","")</f>
        <v/>
      </c>
      <c r="F630" s="22" t="str">
        <f>IF(OR(E630="",E630="!!!"),"",IF(NOT(ISNA(VLOOKUP(E630,E$1:E629,1,FALSE()))),"OLD",IF(AND(E630&lt;&gt;"",E630&lt;&gt;"!!!"),"NEW","")))</f>
        <v> </v>
      </c>
      <c r="G630" s="23" t="str">
        <f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> </v>
      </c>
      <c r="H630" s="24" t="str">
        <f>IF(J630&lt;&gt;1,"",IF(I630="SBJ","CB","?"))</f>
        <v> </v>
      </c>
      <c r="I630" s="25" t="str">
        <f>IF(OR(E630="",E630="!!!",F630="NEW"),"",INDEX(B629:B$2,-1+SUMPRODUCT(MAX(ROW(E629:E$2)*(E630=E629:E$2)))))</f>
        <v> </v>
      </c>
      <c r="J630" s="25" t="str">
        <f>IF(OR(E630="",E630="!!!",F630="NEW"),"",COUNTBLANK(OFFSET(A$1,,,SUMPRODUCT(MAX(ROW(E$2:E630)*(E630=E$2:E630)))))-COUNTBLANK(OFFSET(A$1,,,SUMPRODUCT(MAX(ROW(E$1:E629)*(E2=E$1:E629))))))</f>
        <v> </v>
      </c>
      <c r="K630" s="25" t="str">
        <f>IF(OR(E630="",E630="!!!",F630="NEW"),"",INDEX(J$1:J629,SUMPRODUCT(MAX(ROW(E$1:E629)*(E630=E$1:E629)))))</f>
        <v> </v>
      </c>
      <c r="L630" s="26"/>
    </row>
    <row r="631" spans="1:12">
      <c r="A631" s="20" t="s">
        <v>485</v>
      </c>
      <c r="E631" s="21">
        <f>IF(D631="?OLD","!!!","")</f>
        <v/>
      </c>
      <c r="F631" s="22" t="str">
        <f>IF(OR(E631="",E631="!!!"),"",IF(NOT(ISNA(VLOOKUP(E631,E$1:E630,1,FALSE()))),"OLD",IF(AND(E631&lt;&gt;"",E631&lt;&gt;"!!!"),"NEW","")))</f>
        <v> </v>
      </c>
      <c r="G631" s="23" t="str">
        <f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> </v>
      </c>
      <c r="H631" s="24" t="str">
        <f>IF(J631&lt;&gt;1,"",IF(I631="SBJ","CB","?"))</f>
        <v> </v>
      </c>
      <c r="I631" s="25" t="str">
        <f>IF(OR(E631="",E631="!!!",F631="NEW"),"",INDEX(B630:B$2,-1+SUMPRODUCT(MAX(ROW(E630:E$2)*(E631=E630:E$2)))))</f>
        <v> </v>
      </c>
      <c r="J631" s="25" t="str">
        <f>IF(OR(E631="",E631="!!!",F631="NEW"),"",COUNTBLANK(OFFSET(A$1,,,SUMPRODUCT(MAX(ROW(E$2:E631)*(E631=E$2:E631)))))-COUNTBLANK(OFFSET(A$1,,,SUMPRODUCT(MAX(ROW(E$1:E630)*(E2=E$1:E630))))))</f>
        <v> </v>
      </c>
      <c r="K631" s="25" t="str">
        <f>IF(OR(E631="",E631="!!!",F631="NEW"),"",INDEX(J$1:J630,SUMPRODUCT(MAX(ROW(E$1:E630)*(E631=E$1:E630)))))</f>
        <v> </v>
      </c>
      <c r="L631" s="26"/>
    </row>
    <row r="632" spans="1:12">
      <c r="A632" s="20" t="s">
        <v>668</v>
      </c>
      <c r="B632" s="27" t="s">
        <v>490</v>
      </c>
      <c r="C632" s="27" t="s">
        <v>635</v>
      </c>
      <c r="D632" s="27" t="s">
        <v>483</v>
      </c>
      <c r="E632" s="21">
        <f>IF(D632="?OLD","!!!","")</f>
        <v/>
      </c>
      <c r="F632" s="22" t="str">
        <f>IF(OR(E632="",E632="!!!"),"",IF(NOT(ISNA(VLOOKUP(E632,E$1:E631,1,FALSE()))),"OLD",IF(AND(E632&lt;&gt;"",E632&lt;&gt;"!!!"),"NEW","")))</f>
        <v> </v>
      </c>
      <c r="G632" s="23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> </v>
      </c>
      <c r="H632" s="24" t="str">
        <f>IF(J632&lt;&gt;1,"",IF(I632="SBJ","CB","?"))</f>
        <v> </v>
      </c>
      <c r="I632" s="25" t="str">
        <f>IF(OR(E632="",E632="!!!",F632="NEW"),"",INDEX(B631:B$2,-1+SUMPRODUCT(MAX(ROW(E631:E$2)*(E632=E631:E$2)))))</f>
        <v> </v>
      </c>
      <c r="J632" s="25" t="str">
        <f>IF(OR(E632="",E632="!!!",F632="NEW"),"",COUNTBLANK(OFFSET(A$1,,,SUMPRODUCT(MAX(ROW(E$2:E632)*(E632=E$2:E632)))))-COUNTBLANK(OFFSET(A$1,,,SUMPRODUCT(MAX(ROW(E$1:E631)*(E2=E$1:E631))))))</f>
        <v> </v>
      </c>
      <c r="K632" s="25" t="str">
        <f>IF(OR(E632="",E632="!!!",F632="NEW"),"",INDEX(J$1:J631,SUMPRODUCT(MAX(ROW(E$1:E631)*(E632=E$1:E631)))))</f>
        <v> </v>
      </c>
      <c r="L632" s="26"/>
    </row>
    <row r="633" spans="1:12">
      <c r="A633" s="20" t="s">
        <v>730</v>
      </c>
      <c r="B633" s="27" t="s">
        <v>549</v>
      </c>
      <c r="C633" s="27" t="s">
        <v>487</v>
      </c>
      <c r="D633" s="27" t="s">
        <v>483</v>
      </c>
      <c r="E633" s="21">
        <f>IF(D633="?OLD","!!!","")</f>
        <v/>
      </c>
      <c r="F633" s="22" t="str">
        <f>IF(OR(E633="",E633="!!!"),"",IF(NOT(ISNA(VLOOKUP(E633,E$1:E632,1,FALSE()))),"OLD",IF(AND(E633&lt;&gt;"",E633&lt;&gt;"!!!"),"NEW","")))</f>
        <v> </v>
      </c>
      <c r="G633" s="23" t="str">
        <f>IF(OR(E633="",E633="!!!"),"",IF(OR(J633=0,AND(J633=1,K633=1),AND(J633=1,I633="SBJ"),AND(J633=1,I633=0)),"?IN_FOCUS",IF(J633&lt;=2,"?ACTIVATED",IF(J633&lt;&gt;"","?FAMILIAR",IF(F633="NEW",IF(ISNA(VLOOKUP(E633,#REF!,1,FALSE())),"?TYPE_IDENTIFIABLE","?REFERENTIAL"),"_")))))</f>
        <v> </v>
      </c>
      <c r="H633" s="24" t="str">
        <f>IF(J633&lt;&gt;1,"",IF(I633="SBJ","CB","?"))</f>
        <v> </v>
      </c>
      <c r="I633" s="25" t="str">
        <f>IF(OR(E633="",E633="!!!",F633="NEW"),"",INDEX(B632:B$2,-1+SUMPRODUCT(MAX(ROW(E632:E$2)*(E633=E632:E$2)))))</f>
        <v> </v>
      </c>
      <c r="J633" s="25" t="str">
        <f>IF(OR(E633="",E633="!!!",F633="NEW"),"",COUNTBLANK(OFFSET(A$1,,,SUMPRODUCT(MAX(ROW(E$2:E633)*(E633=E$2:E633)))))-COUNTBLANK(OFFSET(A$1,,,SUMPRODUCT(MAX(ROW(E$1:E632)*(E2=E$1:E632))))))</f>
        <v> </v>
      </c>
      <c r="K633" s="25" t="str">
        <f>IF(OR(E633="",E633="!!!",F633="NEW"),"",INDEX(J$1:J632,SUMPRODUCT(MAX(ROW(E$1:E632)*(E633=E$1:E632)))))</f>
        <v> </v>
      </c>
      <c r="L633" s="26"/>
    </row>
    <row r="634" spans="1:12">
      <c r="A634" s="20" t="s">
        <v>754</v>
      </c>
      <c r="E634" s="21">
        <f>IF(D634="?OLD","!!!","")</f>
        <v/>
      </c>
      <c r="F634" s="22" t="str">
        <f>IF(OR(E634="",E634="!!!"),"",IF(NOT(ISNA(VLOOKUP(E634,E$1:E633,1,FALSE()))),"OLD",IF(AND(E634&lt;&gt;"",E634&lt;&gt;"!!!"),"NEW","")))</f>
        <v> </v>
      </c>
      <c r="G634" s="23" t="str">
        <f>IF(OR(E634="",E634="!!!"),"",IF(OR(J634=0,AND(J634=1,K634=1),AND(J634=1,I634="SBJ"),AND(J634=1,I634=0)),"?IN_FOCUS",IF(J634&lt;=2,"?ACTIVATED",IF(J634&lt;&gt;"","?FAMILIAR",IF(F634="NEW",IF(ISNA(VLOOKUP(E634,#REF!,1,FALSE())),"?TYPE_IDENTIFIABLE","?REFERENTIAL"),"_")))))</f>
        <v> </v>
      </c>
      <c r="H634" s="24" t="str">
        <f>IF(J634&lt;&gt;1,"",IF(I634="SBJ","CB","?"))</f>
        <v> </v>
      </c>
      <c r="I634" s="25" t="str">
        <f>IF(OR(E634="",E634="!!!",F634="NEW"),"",INDEX(B633:B$2,-1+SUMPRODUCT(MAX(ROW(E633:E$2)*(E634=E633:E$2)))))</f>
        <v> </v>
      </c>
      <c r="J634" s="25" t="str">
        <f>IF(OR(E634="",E634="!!!",F634="NEW"),"",COUNTBLANK(OFFSET(A$1,,,SUMPRODUCT(MAX(ROW(E$2:E634)*(E634=E$2:E634)))))-COUNTBLANK(OFFSET(A$1,,,SUMPRODUCT(MAX(ROW(E$1:E633)*(E2=E$1:E633))))))</f>
        <v> </v>
      </c>
      <c r="K634" s="25" t="str">
        <f>IF(OR(E634="",E634="!!!",F634="NEW"),"",INDEX(J$1:J633,SUMPRODUCT(MAX(ROW(E$1:E633)*(E634=E$1:E633)))))</f>
        <v> </v>
      </c>
      <c r="L634" s="26"/>
    </row>
    <row r="635" spans="1:12">
      <c r="A635" s="20" t="s">
        <v>529</v>
      </c>
      <c r="E635" s="21">
        <f>IF(D635="?OLD","!!!","")</f>
        <v/>
      </c>
      <c r="F635" s="22" t="str">
        <f>IF(OR(E635="",E635="!!!"),"",IF(NOT(ISNA(VLOOKUP(E635,E$1:E634,1,FALSE()))),"OLD",IF(AND(E635&lt;&gt;"",E635&lt;&gt;"!!!"),"NEW","")))</f>
        <v> </v>
      </c>
      <c r="G635" s="23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> </v>
      </c>
      <c r="H635" s="24" t="str">
        <f>IF(J635&lt;&gt;1,"",IF(I635="SBJ","CB","?"))</f>
        <v> </v>
      </c>
      <c r="I635" s="25" t="str">
        <f>IF(OR(E635="",E635="!!!",F635="NEW"),"",INDEX(B634:B$2,-1+SUMPRODUCT(MAX(ROW(E634:E$2)*(E635=E634:E$2)))))</f>
        <v> </v>
      </c>
      <c r="J635" s="25" t="str">
        <f>IF(OR(E635="",E635="!!!",F635="NEW"),"",COUNTBLANK(OFFSET(A$1,,,SUMPRODUCT(MAX(ROW(E$2:E635)*(E635=E$2:E635)))))-COUNTBLANK(OFFSET(A$1,,,SUMPRODUCT(MAX(ROW(E$1:E634)*(E2=E$1:E634))))))</f>
        <v> </v>
      </c>
      <c r="K635" s="25" t="str">
        <f>IF(OR(E635="",E635="!!!",F635="NEW"),"",INDEX(J$1:J634,SUMPRODUCT(MAX(ROW(E$1:E634)*(E635=E$1:E634)))))</f>
        <v> </v>
      </c>
      <c r="L635" s="26"/>
    </row>
    <row r="636" spans="1:12">
      <c r="A636" s="20" t="s">
        <v>531</v>
      </c>
      <c r="E636" s="21">
        <f>IF(D636="?OLD","!!!","")</f>
        <v/>
      </c>
      <c r="F636" s="22" t="str">
        <f>IF(OR(E636="",E636="!!!"),"",IF(NOT(ISNA(VLOOKUP(E636,E$1:E635,1,FALSE()))),"OLD",IF(AND(E636&lt;&gt;"",E636&lt;&gt;"!!!"),"NEW","")))</f>
        <v> </v>
      </c>
      <c r="G636" s="23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> </v>
      </c>
      <c r="H636" s="24" t="str">
        <f>IF(J636&lt;&gt;1,"",IF(I636="SBJ","CB","?"))</f>
        <v> </v>
      </c>
      <c r="I636" s="25" t="str">
        <f>IF(OR(E636="",E636="!!!",F636="NEW"),"",INDEX(B635:B$2,-1+SUMPRODUCT(MAX(ROW(E635:E$2)*(E636=E635:E$2)))))</f>
        <v> </v>
      </c>
      <c r="J636" s="25" t="str">
        <f>IF(OR(E636="",E636="!!!",F636="NEW"),"",COUNTBLANK(OFFSET(A$1,,,SUMPRODUCT(MAX(ROW(E$2:E636)*(E636=E$2:E636)))))-COUNTBLANK(OFFSET(A$1,,,SUMPRODUCT(MAX(ROW(E$1:E635)*(E2=E$1:E635))))))</f>
        <v> </v>
      </c>
      <c r="K636" s="25" t="str">
        <f>IF(OR(E636="",E636="!!!",F636="NEW"),"",INDEX(J$1:J635,SUMPRODUCT(MAX(ROW(E$1:E635)*(E636=E$1:E635)))))</f>
        <v> </v>
      </c>
      <c r="L636" s="26"/>
    </row>
    <row r="637" spans="1:12">
      <c r="A637" s="20"/>
    </row>
    <row r="638" spans="1:12">
      <c r="A638" s="20" t="s">
        <v>755</v>
      </c>
    </row>
    <row r="639" spans="1:12">
      <c r="A639" s="20" t="s">
        <v>533</v>
      </c>
      <c r="E639" s="21">
        <f>IF(D639="?OLD","!!!","")</f>
        <v/>
      </c>
      <c r="F639" s="22" t="str">
        <f>IF(OR(E639="",E639="!!!"),"",IF(NOT(ISNA(VLOOKUP(E639,E$1:E638,1,FALSE()))),"OLD",IF(AND(E639&lt;&gt;"",E639&lt;&gt;"!!!"),"NEW","")))</f>
        <v> </v>
      </c>
      <c r="G639" s="23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> </v>
      </c>
      <c r="H639" s="24" t="str">
        <f>IF(J639&lt;&gt;1,"",IF(I639="SBJ","CB","?"))</f>
        <v> </v>
      </c>
      <c r="I639" s="25" t="str">
        <f>IF(OR(E639="",E639="!!!",F639="NEW"),"",INDEX(B638:B$2,-1+SUMPRODUCT(MAX(ROW(E638:E$2)*(E639=E638:E$2)))))</f>
        <v> </v>
      </c>
      <c r="J639" s="25" t="str">
        <f>IF(OR(E639="",E639="!!!",F639="NEW"),"",COUNTBLANK(OFFSET(A$1,,,SUMPRODUCT(MAX(ROW(E$2:E639)*(E639=E$2:E639)))))-COUNTBLANK(OFFSET(A$1,,,SUMPRODUCT(MAX(ROW(E$1:E638)*(E2=E$1:E638))))))</f>
        <v> </v>
      </c>
      <c r="K639" s="25" t="str">
        <f>IF(OR(E639="",E639="!!!",F639="NEW"),"",INDEX(J$1:J638,SUMPRODUCT(MAX(ROW(E$1:E638)*(E639=E$1:E638)))))</f>
        <v> </v>
      </c>
      <c r="L639" s="26"/>
    </row>
    <row r="640" spans="1:12">
      <c r="A640" s="20" t="s">
        <v>492</v>
      </c>
      <c r="B640" s="27" t="s">
        <v>490</v>
      </c>
      <c r="C640" s="27" t="s">
        <v>756</v>
      </c>
      <c r="E640" s="21">
        <f>IF(D640="?OLD","!!!","")</f>
        <v/>
      </c>
      <c r="F640" s="22" t="str">
        <f>IF(OR(E640="",E640="!!!"),"",IF(NOT(ISNA(VLOOKUP(E640,E$1:E639,1,FALSE()))),"OLD",IF(AND(E640&lt;&gt;"",E640&lt;&gt;"!!!"),"NEW","")))</f>
        <v> </v>
      </c>
      <c r="G640" s="23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> </v>
      </c>
      <c r="H640" s="24" t="str">
        <f>IF(J640&lt;&gt;1,"",IF(I640="SBJ","CB","?"))</f>
        <v> </v>
      </c>
      <c r="I640" s="25" t="str">
        <f>IF(OR(E640="",E640="!!!",F640="NEW"),"",INDEX(B639:B$2,-1+SUMPRODUCT(MAX(ROW(E639:E$2)*(E640=E639:E$2)))))</f>
        <v> </v>
      </c>
      <c r="J640" s="25" t="str">
        <f>IF(OR(E640="",E640="!!!",F640="NEW"),"",COUNTBLANK(OFFSET(A$1,,,SUMPRODUCT(MAX(ROW(E$2:E640)*(E640=E$2:E640)))))-COUNTBLANK(OFFSET(A$1,,,SUMPRODUCT(MAX(ROW(E$1:E639)*(E2=E$1:E639))))))</f>
        <v> </v>
      </c>
      <c r="K640" s="25" t="str">
        <f>IF(OR(E640="",E640="!!!",F640="NEW"),"",INDEX(J$1:J639,SUMPRODUCT(MAX(ROW(E$1:E639)*(E640=E$1:E639)))))</f>
        <v> </v>
      </c>
      <c r="L640" s="26"/>
    </row>
    <row r="641" spans="1:12">
      <c r="A641" s="20" t="s">
        <v>757</v>
      </c>
      <c r="B641" s="27" t="s">
        <v>477</v>
      </c>
      <c r="C641" s="27" t="s">
        <v>478</v>
      </c>
      <c r="E641" s="21">
        <f>IF(D641="?OLD","!!!","")</f>
        <v/>
      </c>
      <c r="F641" s="22" t="str">
        <f>IF(OR(E641="",E641="!!!"),"",IF(NOT(ISNA(VLOOKUP(E641,E$1:E640,1,FALSE()))),"OLD",IF(AND(E641&lt;&gt;"",E641&lt;&gt;"!!!"),"NEW","")))</f>
        <v> </v>
      </c>
      <c r="G641" s="23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> </v>
      </c>
      <c r="H641" s="24" t="str">
        <f>IF(J641&lt;&gt;1,"",IF(I641="SBJ","CB","?"))</f>
        <v> </v>
      </c>
      <c r="I641" s="25" t="str">
        <f>IF(OR(E641="",E641="!!!",F641="NEW"),"",INDEX(B640:B$2,-1+SUMPRODUCT(MAX(ROW(E640:E$2)*(E641=E640:E$2)))))</f>
        <v> </v>
      </c>
      <c r="J641" s="25" t="str">
        <f>IF(OR(E641="",E641="!!!",F641="NEW"),"",COUNTBLANK(OFFSET(A$1,,,SUMPRODUCT(MAX(ROW(E$2:E641)*(E641=E$2:E641)))))-COUNTBLANK(OFFSET(A$1,,,SUMPRODUCT(MAX(ROW(E$1:E640)*(E2=E$1:E640))))))</f>
        <v> </v>
      </c>
      <c r="K641" s="25" t="str">
        <f>IF(OR(E641="",E641="!!!",F641="NEW"),"",INDEX(J$1:J640,SUMPRODUCT(MAX(ROW(E$1:E640)*(E641=E$1:E640)))))</f>
        <v> </v>
      </c>
      <c r="L641" s="26"/>
    </row>
    <row r="642" spans="1:12">
      <c r="A642" s="20" t="s">
        <v>662</v>
      </c>
      <c r="B642" s="27" t="s">
        <v>549</v>
      </c>
      <c r="C642" s="27" t="s">
        <v>491</v>
      </c>
      <c r="D642" s="27" t="s">
        <v>483</v>
      </c>
      <c r="E642" s="21">
        <f>IF(D642="?OLD","!!!","")</f>
        <v/>
      </c>
      <c r="F642" s="22" t="str">
        <f>IF(OR(E642="",E642="!!!"),"",IF(NOT(ISNA(VLOOKUP(E642,E$1:E641,1,FALSE()))),"OLD",IF(AND(E642&lt;&gt;"",E642&lt;&gt;"!!!"),"NEW","")))</f>
        <v> </v>
      </c>
      <c r="G642" s="23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> </v>
      </c>
      <c r="H642" s="24" t="str">
        <f>IF(J642&lt;&gt;1,"",IF(I642="SBJ","CB","?"))</f>
        <v> </v>
      </c>
      <c r="I642" s="25" t="str">
        <f>IF(OR(E642="",E642="!!!",F642="NEW"),"",INDEX(B641:B$2,-1+SUMPRODUCT(MAX(ROW(E641:E$2)*(E642=E641:E$2)))))</f>
        <v> </v>
      </c>
      <c r="J642" s="25" t="str">
        <f>IF(OR(E642="",E642="!!!",F642="NEW"),"",COUNTBLANK(OFFSET(A$1,,,SUMPRODUCT(MAX(ROW(E$2:E642)*(E642=E$2:E642)))))-COUNTBLANK(OFFSET(A$1,,,SUMPRODUCT(MAX(ROW(E$1:E641)*(E2=E$1:E641))))))</f>
        <v> </v>
      </c>
      <c r="K642" s="25" t="str">
        <f>IF(OR(E642="",E642="!!!",F642="NEW"),"",INDEX(J$1:J641,SUMPRODUCT(MAX(ROW(E$1:E641)*(E642=E$1:E641)))))</f>
        <v> </v>
      </c>
      <c r="L642" s="26"/>
    </row>
    <row r="643" spans="1:12">
      <c r="A643" s="20" t="s">
        <v>558</v>
      </c>
      <c r="E643" s="21">
        <f>IF(D643="?OLD","!!!","")</f>
        <v/>
      </c>
      <c r="F643" s="22" t="str">
        <f>IF(OR(E643="",E643="!!!"),"",IF(NOT(ISNA(VLOOKUP(E643,E$1:E642,1,FALSE()))),"OLD",IF(AND(E643&lt;&gt;"",E643&lt;&gt;"!!!"),"NEW","")))</f>
        <v> </v>
      </c>
      <c r="G643" s="23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> </v>
      </c>
      <c r="H643" s="24" t="str">
        <f>IF(J643&lt;&gt;1,"",IF(I643="SBJ","CB","?"))</f>
        <v> </v>
      </c>
      <c r="I643" s="25" t="str">
        <f>IF(OR(E643="",E643="!!!",F643="NEW"),"",INDEX(B642:B$2,-1+SUMPRODUCT(MAX(ROW(E642:E$2)*(E643=E642:E$2)))))</f>
        <v> </v>
      </c>
      <c r="J643" s="25" t="str">
        <f>IF(OR(E643="",E643="!!!",F643="NEW"),"",COUNTBLANK(OFFSET(A$1,,,SUMPRODUCT(MAX(ROW(E$2:E643)*(E643=E$2:E643)))))-COUNTBLANK(OFFSET(A$1,,,SUMPRODUCT(MAX(ROW(E$1:E642)*(E2=E$1:E642))))))</f>
        <v> </v>
      </c>
      <c r="K643" s="25" t="str">
        <f>IF(OR(E643="",E643="!!!",F643="NEW"),"",INDEX(J$1:J642,SUMPRODUCT(MAX(ROW(E$1:E642)*(E643=E$1:E642)))))</f>
        <v> </v>
      </c>
      <c r="L643" s="26"/>
    </row>
    <row r="644" spans="1:12">
      <c r="A644" s="20" t="s">
        <v>758</v>
      </c>
      <c r="E644" s="21">
        <f>IF(D644="?OLD","!!!","")</f>
        <v/>
      </c>
      <c r="F644" s="22" t="str">
        <f>IF(OR(E644="",E644="!!!"),"",IF(NOT(ISNA(VLOOKUP(E644,E$1:E643,1,FALSE()))),"OLD",IF(AND(E644&lt;&gt;"",E644&lt;&gt;"!!!"),"NEW","")))</f>
        <v> </v>
      </c>
      <c r="G644" s="23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> </v>
      </c>
      <c r="H644" s="24" t="str">
        <f>IF(J644&lt;&gt;1,"",IF(I644="SBJ","CB","?"))</f>
        <v> </v>
      </c>
      <c r="I644" s="25" t="str">
        <f>IF(OR(E644="",E644="!!!",F644="NEW"),"",INDEX(B643:B$2,-1+SUMPRODUCT(MAX(ROW(E643:E$2)*(E644=E643:E$2)))))</f>
        <v> </v>
      </c>
      <c r="J644" s="25" t="str">
        <f>IF(OR(E644="",E644="!!!",F644="NEW"),"",COUNTBLANK(OFFSET(A$1,,,SUMPRODUCT(MAX(ROW(E$2:E644)*(E644=E$2:E644)))))-COUNTBLANK(OFFSET(A$1,,,SUMPRODUCT(MAX(ROW(E$1:E643)*(E2=E$1:E643))))))</f>
        <v> </v>
      </c>
      <c r="K644" s="25" t="str">
        <f>IF(OR(E644="",E644="!!!",F644="NEW"),"",INDEX(J$1:J643,SUMPRODUCT(MAX(ROW(E$1:E643)*(E644=E$1:E643)))))</f>
        <v> </v>
      </c>
      <c r="L644" s="26"/>
    </row>
    <row r="645" spans="1:12">
      <c r="A645" s="20" t="s">
        <v>750</v>
      </c>
      <c r="E645" s="21">
        <f>IF(D645="?OLD","!!!","")</f>
        <v/>
      </c>
      <c r="F645" s="22" t="str">
        <f>IF(OR(E645="",E645="!!!"),"",IF(NOT(ISNA(VLOOKUP(E645,E$1:E644,1,FALSE()))),"OLD",IF(AND(E645&lt;&gt;"",E645&lt;&gt;"!!!"),"NEW","")))</f>
        <v> </v>
      </c>
      <c r="G645" s="23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> </v>
      </c>
      <c r="H645" s="24" t="str">
        <f>IF(J645&lt;&gt;1,"",IF(I645="SBJ","CB","?"))</f>
        <v> </v>
      </c>
      <c r="I645" s="25" t="str">
        <f>IF(OR(E645="",E645="!!!",F645="NEW"),"",INDEX(B644:B$2,-1+SUMPRODUCT(MAX(ROW(E644:E$2)*(E645=E644:E$2)))))</f>
        <v> </v>
      </c>
      <c r="J645" s="25" t="str">
        <f>IF(OR(E645="",E645="!!!",F645="NEW"),"",COUNTBLANK(OFFSET(A$1,,,SUMPRODUCT(MAX(ROW(E$2:E645)*(E645=E$2:E645)))))-COUNTBLANK(OFFSET(A$1,,,SUMPRODUCT(MAX(ROW(E$1:E644)*(E2=E$1:E644))))))</f>
        <v> </v>
      </c>
      <c r="K645" s="25" t="str">
        <f>IF(OR(E645="",E645="!!!",F645="NEW"),"",INDEX(J$1:J644,SUMPRODUCT(MAX(ROW(E$1:E644)*(E645=E$1:E644)))))</f>
        <v> </v>
      </c>
      <c r="L645" s="26"/>
    </row>
    <row r="646" spans="1:12">
      <c r="A646" s="20"/>
    </row>
    <row r="647" spans="1:12">
      <c r="A647" s="20" t="s">
        <v>759</v>
      </c>
    </row>
    <row r="648" spans="1:12">
      <c r="A648" s="20" t="s">
        <v>760</v>
      </c>
      <c r="E648" s="21">
        <f>IF(D648="?OLD","!!!","")</f>
        <v/>
      </c>
      <c r="F648" s="22" t="str">
        <f>IF(OR(E648="",E648="!!!"),"",IF(NOT(ISNA(VLOOKUP(E648,E$1:E647,1,FALSE()))),"OLD",IF(AND(E648&lt;&gt;"",E648&lt;&gt;"!!!"),"NEW","")))</f>
        <v> </v>
      </c>
      <c r="G648" s="23" t="str">
        <f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> </v>
      </c>
      <c r="H648" s="24" t="str">
        <f>IF(J648&lt;&gt;1,"",IF(I648="SBJ","CB","?"))</f>
        <v> </v>
      </c>
      <c r="I648" s="25" t="str">
        <f>IF(OR(E648="",E648="!!!",F648="NEW"),"",INDEX(B647:B$2,-1+SUMPRODUCT(MAX(ROW(E647:E$2)*(E648=E647:E$2)))))</f>
        <v> </v>
      </c>
      <c r="J648" s="25" t="str">
        <f>IF(OR(E648="",E648="!!!",F648="NEW"),"",COUNTBLANK(OFFSET(A$1,,,SUMPRODUCT(MAX(ROW(E$2:E648)*(E648=E$2:E648)))))-COUNTBLANK(OFFSET(A$1,,,SUMPRODUCT(MAX(ROW(E$1:E647)*(E2=E$1:E647))))))</f>
        <v> </v>
      </c>
      <c r="K648" s="25" t="str">
        <f>IF(OR(E648="",E648="!!!",F648="NEW"),"",INDEX(J$1:J647,SUMPRODUCT(MAX(ROW(E$1:E647)*(E648=E$1:E647)))))</f>
        <v> </v>
      </c>
      <c r="L648" s="26"/>
    </row>
    <row r="649" spans="1:12">
      <c r="A649" s="20" t="s">
        <v>558</v>
      </c>
      <c r="E649" s="21">
        <f>IF(D649="?OLD","!!!","")</f>
        <v/>
      </c>
      <c r="F649" s="22" t="str">
        <f>IF(OR(E649="",E649="!!!"),"",IF(NOT(ISNA(VLOOKUP(E649,E$1:E648,1,FALSE()))),"OLD",IF(AND(E649&lt;&gt;"",E649&lt;&gt;"!!!"),"NEW","")))</f>
        <v> </v>
      </c>
      <c r="G649" s="23" t="str">
        <f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> </v>
      </c>
      <c r="H649" s="24" t="str">
        <f>IF(J649&lt;&gt;1,"",IF(I649="SBJ","CB","?"))</f>
        <v> </v>
      </c>
      <c r="I649" s="25" t="str">
        <f>IF(OR(E649="",E649="!!!",F649="NEW"),"",INDEX(B648:B$2,-1+SUMPRODUCT(MAX(ROW(E648:E$2)*(E649=E648:E$2)))))</f>
        <v> </v>
      </c>
      <c r="J649" s="25" t="str">
        <f>IF(OR(E649="",E649="!!!",F649="NEW"),"",COUNTBLANK(OFFSET(A$1,,,SUMPRODUCT(MAX(ROW(E$2:E649)*(E649=E$2:E649)))))-COUNTBLANK(OFFSET(A$1,,,SUMPRODUCT(MAX(ROW(E$1:E648)*(E2=E$1:E648))))))</f>
        <v> </v>
      </c>
      <c r="K649" s="25" t="str">
        <f>IF(OR(E649="",E649="!!!",F649="NEW"),"",INDEX(J$1:J648,SUMPRODUCT(MAX(ROW(E$1:E648)*(E649=E$1:E648)))))</f>
        <v> </v>
      </c>
      <c r="L649" s="26"/>
    </row>
    <row r="650" spans="1:12">
      <c r="A650" s="20" t="s">
        <v>492</v>
      </c>
      <c r="E650" s="21">
        <f>IF(D650="?OLD","!!!","")</f>
        <v/>
      </c>
      <c r="F650" s="22" t="str">
        <f>IF(OR(E650="",E650="!!!"),"",IF(NOT(ISNA(VLOOKUP(E650,E$1:E649,1,FALSE()))),"OLD",IF(AND(E650&lt;&gt;"",E650&lt;&gt;"!!!"),"NEW","")))</f>
        <v> </v>
      </c>
      <c r="G650" s="23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> </v>
      </c>
      <c r="H650" s="24" t="str">
        <f>IF(J650&lt;&gt;1,"",IF(I650="SBJ","CB","?"))</f>
        <v> </v>
      </c>
      <c r="I650" s="25" t="str">
        <f>IF(OR(E650="",E650="!!!",F650="NEW"),"",INDEX(B649:B$2,-1+SUMPRODUCT(MAX(ROW(E649:E$2)*(E650=E649:E$2)))))</f>
        <v> </v>
      </c>
      <c r="J650" s="25" t="str">
        <f>IF(OR(E650="",E650="!!!",F650="NEW"),"",COUNTBLANK(OFFSET(A$1,,,SUMPRODUCT(MAX(ROW(E$2:E650)*(E650=E$2:E650)))))-COUNTBLANK(OFFSET(A$1,,,SUMPRODUCT(MAX(ROW(E$1:E649)*(E2=E$1:E649))))))</f>
        <v> </v>
      </c>
      <c r="K650" s="25" t="str">
        <f>IF(OR(E650="",E650="!!!",F650="NEW"),"",INDEX(J$1:J649,SUMPRODUCT(MAX(ROW(E$1:E649)*(E650=E$1:E649)))))</f>
        <v> </v>
      </c>
      <c r="L650" s="26"/>
    </row>
    <row r="651" spans="1:12">
      <c r="A651" s="20" t="s">
        <v>680</v>
      </c>
      <c r="E651" s="21">
        <f>IF(D651="?OLD","!!!","")</f>
        <v/>
      </c>
      <c r="F651" s="22" t="str">
        <f>IF(OR(E651="",E651="!!!"),"",IF(NOT(ISNA(VLOOKUP(E651,E$1:E650,1,FALSE()))),"OLD",IF(AND(E651&lt;&gt;"",E651&lt;&gt;"!!!"),"NEW","")))</f>
        <v> </v>
      </c>
      <c r="G651" s="23" t="str">
        <f>IF(OR(E651="",E651="!!!"),"",IF(OR(J651=0,AND(J651=1,K651=1),AND(J651=1,I651="SBJ"),AND(J651=1,I651=0)),"?IN_FOCUS",IF(J651&lt;=2,"?ACTIVATED",IF(J651&lt;&gt;"","?FAMILIAR",IF(F651="NEW",IF(ISNA(VLOOKUP(E651,#REF!,1,FALSE())),"?TYPE_IDENTIFIABLE","?REFERENTIAL"),"_")))))</f>
        <v> </v>
      </c>
      <c r="H651" s="24" t="str">
        <f>IF(J651&lt;&gt;1,"",IF(I651="SBJ","CB","?"))</f>
        <v> </v>
      </c>
      <c r="I651" s="25" t="str">
        <f>IF(OR(E651="",E651="!!!",F651="NEW"),"",INDEX(B650:B$2,-1+SUMPRODUCT(MAX(ROW(E650:E$2)*(E651=E650:E$2)))))</f>
        <v> </v>
      </c>
      <c r="J651" s="25" t="str">
        <f>IF(OR(E651="",E651="!!!",F651="NEW"),"",COUNTBLANK(OFFSET(A$1,,,SUMPRODUCT(MAX(ROW(E$2:E651)*(E651=E$2:E651)))))-COUNTBLANK(OFFSET(A$1,,,SUMPRODUCT(MAX(ROW(E$1:E650)*(E2=E$1:E650))))))</f>
        <v> </v>
      </c>
      <c r="K651" s="25" t="str">
        <f>IF(OR(E651="",E651="!!!",F651="NEW"),"",INDEX(J$1:J650,SUMPRODUCT(MAX(ROW(E$1:E650)*(E651=E$1:E650)))))</f>
        <v> </v>
      </c>
      <c r="L651" s="26"/>
    </row>
    <row r="652" spans="1:12">
      <c r="A652" s="20" t="s">
        <v>761</v>
      </c>
      <c r="E652" s="21">
        <f>IF(D652="?OLD","!!!","")</f>
        <v/>
      </c>
      <c r="F652" s="22" t="str">
        <f>IF(OR(E652="",E652="!!!"),"",IF(NOT(ISNA(VLOOKUP(E652,E$1:E651,1,FALSE()))),"OLD",IF(AND(E652&lt;&gt;"",E652&lt;&gt;"!!!"),"NEW","")))</f>
        <v> </v>
      </c>
      <c r="G652" s="23" t="str">
        <f>IF(OR(E652="",E652="!!!"),"",IF(OR(J652=0,AND(J652=1,K652=1),AND(J652=1,I652="SBJ"),AND(J652=1,I652=0)),"?IN_FOCUS",IF(J652&lt;=2,"?ACTIVATED",IF(J652&lt;&gt;"","?FAMILIAR",IF(F652="NEW",IF(ISNA(VLOOKUP(E652,#REF!,1,FALSE())),"?TYPE_IDENTIFIABLE","?REFERENTIAL"),"_")))))</f>
        <v> </v>
      </c>
      <c r="H652" s="24" t="str">
        <f>IF(J652&lt;&gt;1,"",IF(I652="SBJ","CB","?"))</f>
        <v> </v>
      </c>
      <c r="I652" s="25" t="str">
        <f>IF(OR(E652="",E652="!!!",F652="NEW"),"",INDEX(B651:B$2,-1+SUMPRODUCT(MAX(ROW(E651:E$2)*(E652=E651:E$2)))))</f>
        <v> </v>
      </c>
      <c r="J652" s="25" t="str">
        <f>IF(OR(E652="",E652="!!!",F652="NEW"),"",COUNTBLANK(OFFSET(A$1,,,SUMPRODUCT(MAX(ROW(E$2:E652)*(E652=E$2:E652)))))-COUNTBLANK(OFFSET(A$1,,,SUMPRODUCT(MAX(ROW(E$1:E651)*(E2=E$1:E651))))))</f>
        <v> </v>
      </c>
      <c r="K652" s="25" t="str">
        <f>IF(OR(E652="",E652="!!!",F652="NEW"),"",INDEX(J$1:J651,SUMPRODUCT(MAX(ROW(E$1:E651)*(E652=E$1:E651)))))</f>
        <v> </v>
      </c>
      <c r="L652" s="26"/>
    </row>
    <row r="653" spans="1:12">
      <c r="A653" s="20" t="s">
        <v>492</v>
      </c>
      <c r="E653" s="21">
        <f>IF(D653="?OLD","!!!","")</f>
        <v/>
      </c>
      <c r="F653" s="22" t="str">
        <f>IF(OR(E653="",E653="!!!"),"",IF(NOT(ISNA(VLOOKUP(E653,E$1:E652,1,FALSE()))),"OLD",IF(AND(E653&lt;&gt;"",E653&lt;&gt;"!!!"),"NEW","")))</f>
        <v> </v>
      </c>
      <c r="G653" s="23" t="str">
        <f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> </v>
      </c>
      <c r="H653" s="24" t="str">
        <f>IF(J653&lt;&gt;1,"",IF(I653="SBJ","CB","?"))</f>
        <v> </v>
      </c>
      <c r="I653" s="25" t="str">
        <f>IF(OR(E653="",E653="!!!",F653="NEW"),"",INDEX(B652:B$2,-1+SUMPRODUCT(MAX(ROW(E652:E$2)*(E653=E652:E$2)))))</f>
        <v> </v>
      </c>
      <c r="J653" s="25" t="str">
        <f>IF(OR(E653="",E653="!!!",F653="NEW"),"",COUNTBLANK(OFFSET(A$1,,,SUMPRODUCT(MAX(ROW(E$2:E653)*(E653=E$2:E653)))))-COUNTBLANK(OFFSET(A$1,,,SUMPRODUCT(MAX(ROW(E$1:E652)*(E2=E$1:E652))))))</f>
        <v> </v>
      </c>
      <c r="K653" s="25" t="str">
        <f>IF(OR(E653="",E653="!!!",F653="NEW"),"",INDEX(J$1:J652,SUMPRODUCT(MAX(ROW(E$1:E652)*(E653=E$1:E652)))))</f>
        <v> </v>
      </c>
      <c r="L653" s="26"/>
    </row>
    <row r="654" spans="1:12">
      <c r="A654" s="20" t="s">
        <v>637</v>
      </c>
      <c r="E654" s="21">
        <f>IF(D654="?OLD","!!!","")</f>
        <v/>
      </c>
      <c r="F654" s="22" t="str">
        <f>IF(OR(E654="",E654="!!!"),"",IF(NOT(ISNA(VLOOKUP(E654,E$1:E653,1,FALSE()))),"OLD",IF(AND(E654&lt;&gt;"",E654&lt;&gt;"!!!"),"NEW","")))</f>
        <v> </v>
      </c>
      <c r="G654" s="23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> </v>
      </c>
      <c r="H654" s="24" t="str">
        <f>IF(J654&lt;&gt;1,"",IF(I654="SBJ","CB","?"))</f>
        <v> </v>
      </c>
      <c r="I654" s="25" t="str">
        <f>IF(OR(E654="",E654="!!!",F654="NEW"),"",INDEX(B653:B$2,-1+SUMPRODUCT(MAX(ROW(E653:E$2)*(E654=E653:E$2)))))</f>
        <v> </v>
      </c>
      <c r="J654" s="25" t="str">
        <f>IF(OR(E654="",E654="!!!",F654="NEW"),"",COUNTBLANK(OFFSET(A$1,,,SUMPRODUCT(MAX(ROW(E$2:E654)*(E654=E$2:E654)))))-COUNTBLANK(OFFSET(A$1,,,SUMPRODUCT(MAX(ROW(E$1:E653)*(E2=E$1:E653))))))</f>
        <v> </v>
      </c>
      <c r="K654" s="25" t="str">
        <f>IF(OR(E654="",E654="!!!",F654="NEW"),"",INDEX(J$1:J653,SUMPRODUCT(MAX(ROW(E$1:E653)*(E654=E$1:E653)))))</f>
        <v> </v>
      </c>
      <c r="L654" s="26"/>
    </row>
    <row r="655" spans="1:12">
      <c r="A655" s="20" t="s">
        <v>570</v>
      </c>
      <c r="E655" s="21">
        <f>IF(D655="?OLD","!!!","")</f>
        <v/>
      </c>
      <c r="F655" s="22" t="str">
        <f>IF(OR(E655="",E655="!!!"),"",IF(NOT(ISNA(VLOOKUP(E655,E$1:E654,1,FALSE()))),"OLD",IF(AND(E655&lt;&gt;"",E655&lt;&gt;"!!!"),"NEW","")))</f>
        <v> </v>
      </c>
      <c r="G655" s="23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> </v>
      </c>
      <c r="H655" s="24" t="str">
        <f>IF(J655&lt;&gt;1,"",IF(I655="SBJ","CB","?"))</f>
        <v> </v>
      </c>
      <c r="I655" s="25" t="str">
        <f>IF(OR(E655="",E655="!!!",F655="NEW"),"",INDEX(B654:B$2,-1+SUMPRODUCT(MAX(ROW(E654:E$2)*(E655=E654:E$2)))))</f>
        <v> </v>
      </c>
      <c r="J655" s="25" t="str">
        <f>IF(OR(E655="",E655="!!!",F655="NEW"),"",COUNTBLANK(OFFSET(A$1,,,SUMPRODUCT(MAX(ROW(E$2:E655)*(E655=E$2:E655)))))-COUNTBLANK(OFFSET(A$1,,,SUMPRODUCT(MAX(ROW(E$1:E654)*(E2=E$1:E654))))))</f>
        <v> </v>
      </c>
      <c r="K655" s="25" t="str">
        <f>IF(OR(E655="",E655="!!!",F655="NEW"),"",INDEX(J$1:J654,SUMPRODUCT(MAX(ROW(E$1:E654)*(E655=E$1:E654)))))</f>
        <v> </v>
      </c>
      <c r="L655" s="26"/>
    </row>
    <row r="656" spans="1:12">
      <c r="A656" s="20" t="s">
        <v>762</v>
      </c>
      <c r="E656" s="21">
        <f>IF(D656="?OLD","!!!","")</f>
        <v/>
      </c>
      <c r="F656" s="22" t="str">
        <f>IF(OR(E656="",E656="!!!"),"",IF(NOT(ISNA(VLOOKUP(E656,E$1:E655,1,FALSE()))),"OLD",IF(AND(E656&lt;&gt;"",E656&lt;&gt;"!!!"),"NEW","")))</f>
        <v> </v>
      </c>
      <c r="G656" s="23" t="str">
        <f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> </v>
      </c>
      <c r="H656" s="24" t="str">
        <f>IF(J656&lt;&gt;1,"",IF(I656="SBJ","CB","?"))</f>
        <v> </v>
      </c>
      <c r="I656" s="25" t="str">
        <f>IF(OR(E656="",E656="!!!",F656="NEW"),"",INDEX(B655:B$2,-1+SUMPRODUCT(MAX(ROW(E655:E$2)*(E656=E655:E$2)))))</f>
        <v> </v>
      </c>
      <c r="J656" s="25" t="str">
        <f>IF(OR(E656="",E656="!!!",F656="NEW"),"",COUNTBLANK(OFFSET(A$1,,,SUMPRODUCT(MAX(ROW(E$2:E656)*(E656=E$2:E656)))))-COUNTBLANK(OFFSET(A$1,,,SUMPRODUCT(MAX(ROW(E$1:E655)*(E2=E$1:E655))))))</f>
        <v> </v>
      </c>
      <c r="K656" s="25" t="str">
        <f>IF(OR(E656="",E656="!!!",F656="NEW"),"",INDEX(J$1:J655,SUMPRODUCT(MAX(ROW(E$1:E655)*(E656=E$1:E655)))))</f>
        <v> </v>
      </c>
      <c r="L656" s="26"/>
    </row>
    <row r="657" spans="1:12">
      <c r="A657" s="20" t="s">
        <v>763</v>
      </c>
      <c r="B657" s="27" t="s">
        <v>542</v>
      </c>
      <c r="C657" s="27" t="s">
        <v>764</v>
      </c>
      <c r="E657" s="21">
        <f>IF(D657="?OLD","!!!","")</f>
        <v/>
      </c>
      <c r="F657" s="22" t="str">
        <f>IF(OR(E657="",E657="!!!"),"",IF(NOT(ISNA(VLOOKUP(E657,E$1:E656,1,FALSE()))),"OLD",IF(AND(E657&lt;&gt;"",E657&lt;&gt;"!!!"),"NEW","")))</f>
        <v> </v>
      </c>
      <c r="G657" s="23" t="str">
        <f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> </v>
      </c>
      <c r="H657" s="24" t="str">
        <f>IF(J657&lt;&gt;1,"",IF(I657="SBJ","CB","?"))</f>
        <v> </v>
      </c>
      <c r="I657" s="25" t="str">
        <f>IF(OR(E657="",E657="!!!",F657="NEW"),"",INDEX(B656:B$2,-1+SUMPRODUCT(MAX(ROW(E656:E$2)*(E657=E656:E$2)))))</f>
        <v> </v>
      </c>
      <c r="J657" s="25" t="str">
        <f>IF(OR(E657="",E657="!!!",F657="NEW"),"",COUNTBLANK(OFFSET(A$1,,,SUMPRODUCT(MAX(ROW(E$2:E657)*(E657=E$2:E657)))))-COUNTBLANK(OFFSET(A$1,,,SUMPRODUCT(MAX(ROW(E$1:E656)*(E2=E$1:E656))))))</f>
        <v> </v>
      </c>
      <c r="K657" s="25" t="str">
        <f>IF(OR(E657="",E657="!!!",F657="NEW"),"",INDEX(J$1:J656,SUMPRODUCT(MAX(ROW(E$1:E656)*(E657=E$1:E656)))))</f>
        <v> </v>
      </c>
      <c r="L657" s="26"/>
    </row>
    <row r="658" spans="1:12">
      <c r="A658" s="20" t="s">
        <v>649</v>
      </c>
      <c r="E658" s="21">
        <f>IF(D658="?OLD","!!!","")</f>
        <v/>
      </c>
      <c r="F658" s="22" t="str">
        <f>IF(OR(E658="",E658="!!!"),"",IF(NOT(ISNA(VLOOKUP(E658,E$1:E657,1,FALSE()))),"OLD",IF(AND(E658&lt;&gt;"",E658&lt;&gt;"!!!"),"NEW","")))</f>
        <v> </v>
      </c>
      <c r="G658" s="23" t="str">
        <f>IF(OR(E658="",E658="!!!"),"",IF(OR(J658=0,AND(J658=1,K658=1),AND(J658=1,I658="SBJ"),AND(J658=1,I658=0)),"?IN_FOCUS",IF(J658&lt;=2,"?ACTIVATED",IF(J658&lt;&gt;"","?FAMILIAR",IF(F658="NEW",IF(ISNA(VLOOKUP(E658,#REF!,1,FALSE())),"?TYPE_IDENTIFIABLE","?REFERENTIAL"),"_")))))</f>
        <v> </v>
      </c>
      <c r="H658" s="24" t="str">
        <f>IF(J658&lt;&gt;1,"",IF(I658="SBJ","CB","?"))</f>
        <v> </v>
      </c>
      <c r="I658" s="25" t="str">
        <f>IF(OR(E658="",E658="!!!",F658="NEW"),"",INDEX(B657:B$2,-1+SUMPRODUCT(MAX(ROW(E657:E$2)*(E658=E657:E$2)))))</f>
        <v> </v>
      </c>
      <c r="J658" s="25" t="str">
        <f>IF(OR(E658="",E658="!!!",F658="NEW"),"",COUNTBLANK(OFFSET(A$1,,,SUMPRODUCT(MAX(ROW(E$2:E658)*(E658=E$2:E658)))))-COUNTBLANK(OFFSET(A$1,,,SUMPRODUCT(MAX(ROW(E$1:E657)*(E2=E$1:E657))))))</f>
        <v> </v>
      </c>
      <c r="K658" s="25" t="str">
        <f>IF(OR(E658="",E658="!!!",F658="NEW"),"",INDEX(J$1:J657,SUMPRODUCT(MAX(ROW(E$1:E657)*(E658=E$1:E657)))))</f>
        <v> </v>
      </c>
      <c r="L658" s="26"/>
    </row>
    <row r="659" spans="1:12">
      <c r="A659" s="20" t="s">
        <v>507</v>
      </c>
      <c r="E659" s="21">
        <f>IF(D659="?OLD","!!!","")</f>
        <v/>
      </c>
      <c r="F659" s="22" t="str">
        <f>IF(OR(E659="",E659="!!!"),"",IF(NOT(ISNA(VLOOKUP(E659,E$1:E658,1,FALSE()))),"OLD",IF(AND(E659&lt;&gt;"",E659&lt;&gt;"!!!"),"NEW","")))</f>
        <v> </v>
      </c>
      <c r="G659" s="23" t="str">
        <f>IF(OR(E659="",E659="!!!"),"",IF(OR(J659=0,AND(J659=1,K659=1),AND(J659=1,I659="SBJ"),AND(J659=1,I659=0)),"?IN_FOCUS",IF(J659&lt;=2,"?ACTIVATED",IF(J659&lt;&gt;"","?FAMILIAR",IF(F659="NEW",IF(ISNA(VLOOKUP(E659,#REF!,1,FALSE())),"?TYPE_IDENTIFIABLE","?REFERENTIAL"),"_")))))</f>
        <v> </v>
      </c>
      <c r="H659" s="24" t="str">
        <f>IF(J659&lt;&gt;1,"",IF(I659="SBJ","CB","?"))</f>
        <v> </v>
      </c>
      <c r="I659" s="25" t="str">
        <f>IF(OR(E659="",E659="!!!",F659="NEW"),"",INDEX(B658:B$2,-1+SUMPRODUCT(MAX(ROW(E658:E$2)*(E659=E658:E$2)))))</f>
        <v> </v>
      </c>
      <c r="J659" s="25" t="str">
        <f>IF(OR(E659="",E659="!!!",F659="NEW"),"",COUNTBLANK(OFFSET(A$1,,,SUMPRODUCT(MAX(ROW(E$2:E659)*(E659=E$2:E659)))))-COUNTBLANK(OFFSET(A$1,,,SUMPRODUCT(MAX(ROW(E$1:E658)*(E2=E$1:E658))))))</f>
        <v> </v>
      </c>
      <c r="K659" s="25" t="str">
        <f>IF(OR(E659="",E659="!!!",F659="NEW"),"",INDEX(J$1:J658,SUMPRODUCT(MAX(ROW(E$1:E658)*(E659=E$1:E658)))))</f>
        <v> </v>
      </c>
      <c r="L659" s="26"/>
    </row>
    <row r="660" spans="1:12">
      <c r="A660" s="20" t="s">
        <v>765</v>
      </c>
      <c r="B660" s="27" t="s">
        <v>490</v>
      </c>
      <c r="C660" s="27" t="s">
        <v>516</v>
      </c>
      <c r="E660" s="21">
        <f>IF(D660="?OLD","!!!","")</f>
        <v/>
      </c>
      <c r="F660" s="22" t="str">
        <f>IF(OR(E660="",E660="!!!"),"",IF(NOT(ISNA(VLOOKUP(E660,E$1:E659,1,FALSE()))),"OLD",IF(AND(E660&lt;&gt;"",E660&lt;&gt;"!!!"),"NEW","")))</f>
        <v> </v>
      </c>
      <c r="G660" s="23" t="str">
        <f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> </v>
      </c>
      <c r="H660" s="24" t="str">
        <f>IF(J660&lt;&gt;1,"",IF(I660="SBJ","CB","?"))</f>
        <v> </v>
      </c>
      <c r="I660" s="25" t="str">
        <f>IF(OR(E660="",E660="!!!",F660="NEW"),"",INDEX(B659:B$2,-1+SUMPRODUCT(MAX(ROW(E659:E$2)*(E660=E659:E$2)))))</f>
        <v> </v>
      </c>
      <c r="J660" s="25" t="str">
        <f>IF(OR(E660="",E660="!!!",F660="NEW"),"",COUNTBLANK(OFFSET(A$1,,,SUMPRODUCT(MAX(ROW(E$2:E660)*(E660=E$2:E660)))))-COUNTBLANK(OFFSET(A$1,,,SUMPRODUCT(MAX(ROW(E$1:E659)*(E2=E$1:E659))))))</f>
        <v> </v>
      </c>
      <c r="K660" s="25" t="str">
        <f>IF(OR(E660="",E660="!!!",F660="NEW"),"",INDEX(J$1:J659,SUMPRODUCT(MAX(ROW(E$1:E659)*(E660=E$1:E659)))))</f>
        <v> </v>
      </c>
      <c r="L660" s="26"/>
    </row>
    <row r="661" spans="1:12">
      <c r="A661" s="20" t="s">
        <v>750</v>
      </c>
      <c r="E661" s="21">
        <f>IF(D661="?OLD","!!!","")</f>
        <v/>
      </c>
      <c r="F661" s="22" t="str">
        <f>IF(OR(E661="",E661="!!!"),"",IF(NOT(ISNA(VLOOKUP(E661,E$1:E660,1,FALSE()))),"OLD",IF(AND(E661&lt;&gt;"",E661&lt;&gt;"!!!"),"NEW","")))</f>
        <v> </v>
      </c>
      <c r="G661" s="23" t="str">
        <f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> </v>
      </c>
      <c r="H661" s="24" t="str">
        <f>IF(J661&lt;&gt;1,"",IF(I661="SBJ","CB","?"))</f>
        <v> </v>
      </c>
      <c r="I661" s="25" t="str">
        <f>IF(OR(E661="",E661="!!!",F661="NEW"),"",INDEX(B660:B$2,-1+SUMPRODUCT(MAX(ROW(E660:E$2)*(E661=E660:E$2)))))</f>
        <v> </v>
      </c>
      <c r="J661" s="25" t="str">
        <f>IF(OR(E661="",E661="!!!",F661="NEW"),"",COUNTBLANK(OFFSET(A$1,,,SUMPRODUCT(MAX(ROW(E$2:E661)*(E661=E$2:E661)))))-COUNTBLANK(OFFSET(A$1,,,SUMPRODUCT(MAX(ROW(E$1:E660)*(E2=E$1:E660))))))</f>
        <v> </v>
      </c>
      <c r="K661" s="25" t="str">
        <f>IF(OR(E661="",E661="!!!",F661="NEW"),"",INDEX(J$1:J660,SUMPRODUCT(MAX(ROW(E$1:E660)*(E661=E$1:E660)))))</f>
        <v> </v>
      </c>
      <c r="L661" s="26"/>
    </row>
    <row r="662" spans="1:12">
      <c r="A662" s="20"/>
    </row>
    <row r="663" spans="1:12">
      <c r="A663" s="20" t="s">
        <v>766</v>
      </c>
    </row>
    <row r="664" spans="1:12">
      <c r="A664" s="20" t="s">
        <v>760</v>
      </c>
      <c r="E664" s="21">
        <f>IF(D664="?OLD","!!!","")</f>
        <v/>
      </c>
      <c r="F664" s="22" t="str">
        <f>IF(OR(E664="",E664="!!!"),"",IF(NOT(ISNA(VLOOKUP(E664,E$1:E663,1,FALSE()))),"OLD",IF(AND(E664&lt;&gt;"",E664&lt;&gt;"!!!"),"NEW","")))</f>
        <v> </v>
      </c>
      <c r="G664" s="23" t="str">
        <f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> </v>
      </c>
      <c r="H664" s="24" t="str">
        <f>IF(J664&lt;&gt;1,"",IF(I664="SBJ","CB","?"))</f>
        <v> </v>
      </c>
      <c r="I664" s="25" t="str">
        <f>IF(OR(E664="",E664="!!!",F664="NEW"),"",INDEX(B663:B$2,-1+SUMPRODUCT(MAX(ROW(E663:E$2)*(E664=E663:E$2)))))</f>
        <v> </v>
      </c>
      <c r="J664" s="25" t="str">
        <f>IF(OR(E664="",E664="!!!",F664="NEW"),"",COUNTBLANK(OFFSET(A$1,,,SUMPRODUCT(MAX(ROW(E$2:E664)*(E664=E$2:E664)))))-COUNTBLANK(OFFSET(A$1,,,SUMPRODUCT(MAX(ROW(E$1:E663)*(E2=E$1:E663))))))</f>
        <v> </v>
      </c>
      <c r="K664" s="25" t="str">
        <f>IF(OR(E664="",E664="!!!",F664="NEW"),"",INDEX(J$1:J663,SUMPRODUCT(MAX(ROW(E$1:E663)*(E664=E$1:E663)))))</f>
        <v> </v>
      </c>
      <c r="L664" s="26"/>
    </row>
    <row r="665" spans="1:12">
      <c r="A665" s="20" t="s">
        <v>503</v>
      </c>
      <c r="E665" s="21">
        <f>IF(D665="?OLD","!!!","")</f>
        <v/>
      </c>
      <c r="F665" s="22" t="str">
        <f>IF(OR(E665="",E665="!!!"),"",IF(NOT(ISNA(VLOOKUP(E665,E$1:E664,1,FALSE()))),"OLD",IF(AND(E665&lt;&gt;"",E665&lt;&gt;"!!!"),"NEW","")))</f>
        <v> </v>
      </c>
      <c r="G665" s="23" t="str">
        <f>IF(OR(E665="",E665="!!!"),"",IF(OR(J665=0,AND(J665=1,K665=1),AND(J665=1,I665="SBJ"),AND(J665=1,I665=0)),"?IN_FOCUS",IF(J665&lt;=2,"?ACTIVATED",IF(J665&lt;&gt;"","?FAMILIAR",IF(F665="NEW",IF(ISNA(VLOOKUP(E665,#REF!,1,FALSE())),"?TYPE_IDENTIFIABLE","?REFERENTIAL"),"_")))))</f>
        <v> </v>
      </c>
      <c r="H665" s="24" t="str">
        <f>IF(J665&lt;&gt;1,"",IF(I665="SBJ","CB","?"))</f>
        <v> </v>
      </c>
      <c r="I665" s="25" t="str">
        <f>IF(OR(E665="",E665="!!!",F665="NEW"),"",INDEX(B664:B$2,-1+SUMPRODUCT(MAX(ROW(E664:E$2)*(E665=E664:E$2)))))</f>
        <v> </v>
      </c>
      <c r="J665" s="25" t="str">
        <f>IF(OR(E665="",E665="!!!",F665="NEW"),"",COUNTBLANK(OFFSET(A$1,,,SUMPRODUCT(MAX(ROW(E$2:E665)*(E665=E$2:E665)))))-COUNTBLANK(OFFSET(A$1,,,SUMPRODUCT(MAX(ROW(E$1:E664)*(E2=E$1:E664))))))</f>
        <v> </v>
      </c>
      <c r="K665" s="25" t="str">
        <f>IF(OR(E665="",E665="!!!",F665="NEW"),"",INDEX(J$1:J664,SUMPRODUCT(MAX(ROW(E$1:E664)*(E665=E$1:E664)))))</f>
        <v> </v>
      </c>
      <c r="L665" s="26"/>
    </row>
    <row r="666" spans="1:12">
      <c r="A666" s="20" t="s">
        <v>767</v>
      </c>
      <c r="B666" s="27" t="s">
        <v>537</v>
      </c>
      <c r="C666" s="27" t="s">
        <v>487</v>
      </c>
      <c r="D666" s="27" t="s">
        <v>483</v>
      </c>
      <c r="E666" s="21">
        <f>IF(D666="?OLD","!!!","")</f>
        <v/>
      </c>
      <c r="F666" s="22" t="str">
        <f>IF(OR(E666="",E666="!!!"),"",IF(NOT(ISNA(VLOOKUP(E666,E$1:E665,1,FALSE()))),"OLD",IF(AND(E666&lt;&gt;"",E666&lt;&gt;"!!!"),"NEW","")))</f>
        <v> </v>
      </c>
      <c r="G666" s="23" t="str">
        <f>IF(OR(E666="",E666="!!!"),"",IF(OR(J666=0,AND(J666=1,K666=1),AND(J666=1,I666="SBJ"),AND(J666=1,I666=0)),"?IN_FOCUS",IF(J666&lt;=2,"?ACTIVATED",IF(J666&lt;&gt;"","?FAMILIAR",IF(F666="NEW",IF(ISNA(VLOOKUP(E666,#REF!,1,FALSE())),"?TYPE_IDENTIFIABLE","?REFERENTIAL"),"_")))))</f>
        <v> </v>
      </c>
      <c r="H666" s="24" t="str">
        <f>IF(J666&lt;&gt;1,"",IF(I666="SBJ","CB","?"))</f>
        <v> </v>
      </c>
      <c r="I666" s="25" t="str">
        <f>IF(OR(E666="",E666="!!!",F666="NEW"),"",INDEX(B665:B$2,-1+SUMPRODUCT(MAX(ROW(E665:E$2)*(E666=E665:E$2)))))</f>
        <v> </v>
      </c>
      <c r="J666" s="25" t="str">
        <f>IF(OR(E666="",E666="!!!",F666="NEW"),"",COUNTBLANK(OFFSET(A$1,,,SUMPRODUCT(MAX(ROW(E$2:E666)*(E666=E$2:E666)))))-COUNTBLANK(OFFSET(A$1,,,SUMPRODUCT(MAX(ROW(E$1:E665)*(E2=E$1:E665))))))</f>
        <v> </v>
      </c>
      <c r="K666" s="25" t="str">
        <f>IF(OR(E666="",E666="!!!",F666="NEW"),"",INDEX(J$1:J665,SUMPRODUCT(MAX(ROW(E$1:E665)*(E666=E$1:E665)))))</f>
        <v> </v>
      </c>
      <c r="L666" s="26"/>
    </row>
    <row r="667" spans="1:12">
      <c r="A667" s="20" t="s">
        <v>489</v>
      </c>
      <c r="E667" s="21">
        <f>IF(D667="?OLD","!!!","")</f>
        <v/>
      </c>
      <c r="F667" s="22" t="str">
        <f>IF(OR(E667="",E667="!!!"),"",IF(NOT(ISNA(VLOOKUP(E667,E$1:E666,1,FALSE()))),"OLD",IF(AND(E667&lt;&gt;"",E667&lt;&gt;"!!!"),"NEW","")))</f>
        <v> </v>
      </c>
      <c r="G667" s="23" t="str">
        <f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> </v>
      </c>
      <c r="H667" s="24" t="str">
        <f>IF(J667&lt;&gt;1,"",IF(I667="SBJ","CB","?"))</f>
        <v> </v>
      </c>
      <c r="I667" s="25" t="str">
        <f>IF(OR(E667="",E667="!!!",F667="NEW"),"",INDEX(B666:B$2,-1+SUMPRODUCT(MAX(ROW(E666:E$2)*(E667=E666:E$2)))))</f>
        <v> </v>
      </c>
      <c r="J667" s="25" t="str">
        <f>IF(OR(E667="",E667="!!!",F667="NEW"),"",COUNTBLANK(OFFSET(A$1,,,SUMPRODUCT(MAX(ROW(E$2:E667)*(E667=E$2:E667)))))-COUNTBLANK(OFFSET(A$1,,,SUMPRODUCT(MAX(ROW(E$1:E666)*(E2=E$1:E666))))))</f>
        <v> </v>
      </c>
      <c r="K667" s="25" t="str">
        <f>IF(OR(E667="",E667="!!!",F667="NEW"),"",INDEX(J$1:J666,SUMPRODUCT(MAX(ROW(E$1:E666)*(E667=E$1:E666)))))</f>
        <v> </v>
      </c>
      <c r="L667" s="26"/>
    </row>
    <row r="668" spans="1:12">
      <c r="A668" s="20" t="s">
        <v>592</v>
      </c>
      <c r="E668" s="21">
        <f>IF(D668="?OLD","!!!","")</f>
        <v/>
      </c>
      <c r="F668" s="22" t="str">
        <f>IF(OR(E668="",E668="!!!"),"",IF(NOT(ISNA(VLOOKUP(E668,E$1:E667,1,FALSE()))),"OLD",IF(AND(E668&lt;&gt;"",E668&lt;&gt;"!!!"),"NEW","")))</f>
        <v> </v>
      </c>
      <c r="G668" s="23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> </v>
      </c>
      <c r="H668" s="24" t="str">
        <f>IF(J668&lt;&gt;1,"",IF(I668="SBJ","CB","?"))</f>
        <v> </v>
      </c>
      <c r="I668" s="25" t="str">
        <f>IF(OR(E668="",E668="!!!",F668="NEW"),"",INDEX(B667:B$2,-1+SUMPRODUCT(MAX(ROW(E667:E$2)*(E668=E667:E$2)))))</f>
        <v> </v>
      </c>
      <c r="J668" s="25" t="str">
        <f>IF(OR(E668="",E668="!!!",F668="NEW"),"",COUNTBLANK(OFFSET(A$1,,,SUMPRODUCT(MAX(ROW(E$2:E668)*(E668=E$2:E668)))))-COUNTBLANK(OFFSET(A$1,,,SUMPRODUCT(MAX(ROW(E$1:E667)*(E2=E$1:E667))))))</f>
        <v> </v>
      </c>
      <c r="K668" s="25" t="str">
        <f>IF(OR(E668="",E668="!!!",F668="NEW"),"",INDEX(J$1:J667,SUMPRODUCT(MAX(ROW(E$1:E667)*(E668=E$1:E667)))))</f>
        <v> </v>
      </c>
      <c r="L668" s="26"/>
    </row>
    <row r="669" spans="1:12">
      <c r="A669" s="20" t="s">
        <v>503</v>
      </c>
      <c r="E669" s="21">
        <f>IF(D669="?OLD","!!!","")</f>
        <v/>
      </c>
      <c r="F669" s="22" t="str">
        <f>IF(OR(E669="",E669="!!!"),"",IF(NOT(ISNA(VLOOKUP(E669,E$1:E668,1,FALSE()))),"OLD",IF(AND(E669&lt;&gt;"",E669&lt;&gt;"!!!"),"NEW","")))</f>
        <v> </v>
      </c>
      <c r="G669" s="23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> </v>
      </c>
      <c r="H669" s="24" t="str">
        <f>IF(J669&lt;&gt;1,"",IF(I669="SBJ","CB","?"))</f>
        <v> </v>
      </c>
      <c r="I669" s="25" t="str">
        <f>IF(OR(E669="",E669="!!!",F669="NEW"),"",INDEX(B668:B$2,-1+SUMPRODUCT(MAX(ROW(E668:E$2)*(E669=E668:E$2)))))</f>
        <v> </v>
      </c>
      <c r="J669" s="25" t="str">
        <f>IF(OR(E669="",E669="!!!",F669="NEW"),"",COUNTBLANK(OFFSET(A$1,,,SUMPRODUCT(MAX(ROW(E$2:E669)*(E669=E$2:E669)))))-COUNTBLANK(OFFSET(A$1,,,SUMPRODUCT(MAX(ROW(E$1:E668)*(E2=E$1:E668))))))</f>
        <v> </v>
      </c>
      <c r="K669" s="25" t="str">
        <f>IF(OR(E669="",E669="!!!",F669="NEW"),"",INDEX(J$1:J668,SUMPRODUCT(MAX(ROW(E$1:E668)*(E669=E$1:E668)))))</f>
        <v> </v>
      </c>
      <c r="L669" s="26"/>
    </row>
    <row r="670" spans="1:12">
      <c r="A670" s="20" t="s">
        <v>768</v>
      </c>
      <c r="B670" s="27" t="s">
        <v>540</v>
      </c>
      <c r="C670" s="27" t="s">
        <v>487</v>
      </c>
      <c r="D670" s="27" t="s">
        <v>483</v>
      </c>
      <c r="E670" s="21">
        <f>IF(D670="?OLD","!!!","")</f>
        <v/>
      </c>
      <c r="F670" s="22" t="str">
        <f>IF(OR(E670="",E670="!!!"),"",IF(NOT(ISNA(VLOOKUP(E670,E$1:E669,1,FALSE()))),"OLD",IF(AND(E670&lt;&gt;"",E670&lt;&gt;"!!!"),"NEW","")))</f>
        <v> </v>
      </c>
      <c r="G670" s="23" t="str">
        <f>IF(OR(E670="",E670="!!!"),"",IF(OR(J670=0,AND(J670=1,K670=1),AND(J670=1,I670="SBJ"),AND(J670=1,I670=0)),"?IN_FOCUS",IF(J670&lt;=2,"?ACTIVATED",IF(J670&lt;&gt;"","?FAMILIAR",IF(F670="NEW",IF(ISNA(VLOOKUP(E670,#REF!,1,FALSE())),"?TYPE_IDENTIFIABLE","?REFERENTIAL"),"_")))))</f>
        <v> </v>
      </c>
      <c r="H670" s="24" t="str">
        <f>IF(J670&lt;&gt;1,"",IF(I670="SBJ","CB","?"))</f>
        <v> </v>
      </c>
      <c r="I670" s="25" t="str">
        <f>IF(OR(E670="",E670="!!!",F670="NEW"),"",INDEX(B669:B$2,-1+SUMPRODUCT(MAX(ROW(E669:E$2)*(E670=E669:E$2)))))</f>
        <v> </v>
      </c>
      <c r="J670" s="25" t="str">
        <f>IF(OR(E670="",E670="!!!",F670="NEW"),"",COUNTBLANK(OFFSET(A$1,,,SUMPRODUCT(MAX(ROW(E$2:E670)*(E670=E$2:E670)))))-COUNTBLANK(OFFSET(A$1,,,SUMPRODUCT(MAX(ROW(E$1:E669)*(E2=E$1:E669))))))</f>
        <v> </v>
      </c>
      <c r="K670" s="25" t="str">
        <f>IF(OR(E670="",E670="!!!",F670="NEW"),"",INDEX(J$1:J669,SUMPRODUCT(MAX(ROW(E$1:E669)*(E670=E$1:E669)))))</f>
        <v> </v>
      </c>
      <c r="L670" s="26"/>
    </row>
    <row r="671" spans="1:12">
      <c r="A671" s="20" t="s">
        <v>594</v>
      </c>
      <c r="E671" s="21">
        <f>IF(D671="?OLD","!!!","")</f>
        <v/>
      </c>
      <c r="F671" s="22" t="str">
        <f>IF(OR(E671="",E671="!!!"),"",IF(NOT(ISNA(VLOOKUP(E671,E$1:E670,1,FALSE()))),"OLD",IF(AND(E671&lt;&gt;"",E671&lt;&gt;"!!!"),"NEW","")))</f>
        <v> </v>
      </c>
      <c r="G671" s="23" t="str">
        <f>IF(OR(E671="",E671="!!!"),"",IF(OR(J671=0,AND(J671=1,K671=1),AND(J671=1,I671="SBJ"),AND(J671=1,I671=0)),"?IN_FOCUS",IF(J671&lt;=2,"?ACTIVATED",IF(J671&lt;&gt;"","?FAMILIAR",IF(F671="NEW",IF(ISNA(VLOOKUP(E671,#REF!,1,FALSE())),"?TYPE_IDENTIFIABLE","?REFERENTIAL"),"_")))))</f>
        <v> </v>
      </c>
      <c r="H671" s="24" t="str">
        <f>IF(J671&lt;&gt;1,"",IF(I671="SBJ","CB","?"))</f>
        <v> </v>
      </c>
      <c r="I671" s="25" t="str">
        <f>IF(OR(E671="",E671="!!!",F671="NEW"),"",INDEX(B670:B$2,-1+SUMPRODUCT(MAX(ROW(E670:E$2)*(E671=E670:E$2)))))</f>
        <v> </v>
      </c>
      <c r="J671" s="25" t="str">
        <f>IF(OR(E671="",E671="!!!",F671="NEW"),"",COUNTBLANK(OFFSET(A$1,,,SUMPRODUCT(MAX(ROW(E$2:E671)*(E671=E$2:E671)))))-COUNTBLANK(OFFSET(A$1,,,SUMPRODUCT(MAX(ROW(E$1:E670)*(E2=E$1:E670))))))</f>
        <v> </v>
      </c>
      <c r="K671" s="25" t="str">
        <f>IF(OR(E671="",E671="!!!",F671="NEW"),"",INDEX(J$1:J670,SUMPRODUCT(MAX(ROW(E$1:E670)*(E671=E$1:E670)))))</f>
        <v> </v>
      </c>
      <c r="L671" s="26"/>
    </row>
    <row r="672" spans="1:12">
      <c r="A672" s="20" t="s">
        <v>769</v>
      </c>
      <c r="B672" s="27" t="s">
        <v>654</v>
      </c>
      <c r="C672" s="27" t="s">
        <v>491</v>
      </c>
      <c r="D672" s="27" t="s">
        <v>483</v>
      </c>
      <c r="E672" s="21">
        <f>IF(D672="?OLD","!!!","")</f>
        <v/>
      </c>
      <c r="F672" s="22" t="str">
        <f>IF(OR(E672="",E672="!!!"),"",IF(NOT(ISNA(VLOOKUP(E672,E$1:E671,1,FALSE()))),"OLD",IF(AND(E672&lt;&gt;"",E672&lt;&gt;"!!!"),"NEW","")))</f>
        <v> </v>
      </c>
      <c r="G672" s="23" t="str">
        <f>IF(OR(E672="",E672="!!!"),"",IF(OR(J672=0,AND(J672=1,K672=1),AND(J672=1,I672="SBJ"),AND(J672=1,I672=0)),"?IN_FOCUS",IF(J672&lt;=2,"?ACTIVATED",IF(J672&lt;&gt;"","?FAMILIAR",IF(F672="NEW",IF(ISNA(VLOOKUP(E672,#REF!,1,FALSE())),"?TYPE_IDENTIFIABLE","?REFERENTIAL"),"_")))))</f>
        <v> </v>
      </c>
      <c r="H672" s="24" t="str">
        <f>IF(J672&lt;&gt;1,"",IF(I672="SBJ","CB","?"))</f>
        <v> </v>
      </c>
      <c r="I672" s="25" t="str">
        <f>IF(OR(E672="",E672="!!!",F672="NEW"),"",INDEX(B671:B$2,-1+SUMPRODUCT(MAX(ROW(E671:E$2)*(E672=E671:E$2)))))</f>
        <v> </v>
      </c>
      <c r="J672" s="25" t="str">
        <f>IF(OR(E672="",E672="!!!",F672="NEW"),"",COUNTBLANK(OFFSET(A$1,,,SUMPRODUCT(MAX(ROW(E$2:E672)*(E672=E$2:E672)))))-COUNTBLANK(OFFSET(A$1,,,SUMPRODUCT(MAX(ROW(E$1:E671)*(E2=E$1:E671))))))</f>
        <v> </v>
      </c>
      <c r="K672" s="25" t="str">
        <f>IF(OR(E672="",E672="!!!",F672="NEW"),"",INDEX(J$1:J671,SUMPRODUCT(MAX(ROW(E$1:E671)*(E672=E$1:E671)))))</f>
        <v> </v>
      </c>
      <c r="L672" s="26"/>
    </row>
    <row r="673" spans="1:12">
      <c r="A673" s="20" t="s">
        <v>770</v>
      </c>
      <c r="E673" s="21">
        <f>IF(D673="?OLD","!!!","")</f>
        <v/>
      </c>
      <c r="F673" s="22" t="str">
        <f>IF(OR(E673="",E673="!!!"),"",IF(NOT(ISNA(VLOOKUP(E673,E$1:E672,1,FALSE()))),"OLD",IF(AND(E673&lt;&gt;"",E673&lt;&gt;"!!!"),"NEW","")))</f>
        <v> </v>
      </c>
      <c r="G673" s="23" t="str">
        <f>IF(OR(E673="",E673="!!!"),"",IF(OR(J673=0,AND(J673=1,K673=1),AND(J673=1,I673="SBJ"),AND(J673=1,I673=0)),"?IN_FOCUS",IF(J673&lt;=2,"?ACTIVATED",IF(J673&lt;&gt;"","?FAMILIAR",IF(F673="NEW",IF(ISNA(VLOOKUP(E673,#REF!,1,FALSE())),"?TYPE_IDENTIFIABLE","?REFERENTIAL"),"_")))))</f>
        <v> </v>
      </c>
      <c r="H673" s="24" t="str">
        <f>IF(J673&lt;&gt;1,"",IF(I673="SBJ","CB","?"))</f>
        <v> </v>
      </c>
      <c r="I673" s="25" t="str">
        <f>IF(OR(E673="",E673="!!!",F673="NEW"),"",INDEX(B672:B$2,-1+SUMPRODUCT(MAX(ROW(E672:E$2)*(E673=E672:E$2)))))</f>
        <v> </v>
      </c>
      <c r="J673" s="25" t="str">
        <f>IF(OR(E673="",E673="!!!",F673="NEW"),"",COUNTBLANK(OFFSET(A$1,,,SUMPRODUCT(MAX(ROW(E$2:E673)*(E673=E$2:E673)))))-COUNTBLANK(OFFSET(A$1,,,SUMPRODUCT(MAX(ROW(E$1:E672)*(E2=E$1:E672))))))</f>
        <v> </v>
      </c>
      <c r="K673" s="25" t="str">
        <f>IF(OR(E673="",E673="!!!",F673="NEW"),"",INDEX(J$1:J672,SUMPRODUCT(MAX(ROW(E$1:E672)*(E673=E$1:E672)))))</f>
        <v> </v>
      </c>
      <c r="L673" s="26"/>
    </row>
    <row r="674" spans="1:12">
      <c r="A674" s="20" t="s">
        <v>503</v>
      </c>
      <c r="E674" s="21">
        <f>IF(D674="?OLD","!!!","")</f>
        <v/>
      </c>
      <c r="F674" s="22" t="str">
        <f>IF(OR(E674="",E674="!!!"),"",IF(NOT(ISNA(VLOOKUP(E674,E$1:E673,1,FALSE()))),"OLD",IF(AND(E674&lt;&gt;"",E674&lt;&gt;"!!!"),"NEW","")))</f>
        <v> </v>
      </c>
      <c r="G674" s="23" t="str">
        <f>IF(OR(E674="",E674="!!!"),"",IF(OR(J674=0,AND(J674=1,K674=1),AND(J674=1,I674="SBJ"),AND(J674=1,I674=0)),"?IN_FOCUS",IF(J674&lt;=2,"?ACTIVATED",IF(J674&lt;&gt;"","?FAMILIAR",IF(F674="NEW",IF(ISNA(VLOOKUP(E674,#REF!,1,FALSE())),"?TYPE_IDENTIFIABLE","?REFERENTIAL"),"_")))))</f>
        <v> </v>
      </c>
      <c r="H674" s="24" t="str">
        <f>IF(J674&lt;&gt;1,"",IF(I674="SBJ","CB","?"))</f>
        <v> </v>
      </c>
      <c r="I674" s="25" t="str">
        <f>IF(OR(E674="",E674="!!!",F674="NEW"),"",INDEX(B673:B$2,-1+SUMPRODUCT(MAX(ROW(E673:E$2)*(E674=E673:E$2)))))</f>
        <v> </v>
      </c>
      <c r="J674" s="25" t="str">
        <f>IF(OR(E674="",E674="!!!",F674="NEW"),"",COUNTBLANK(OFFSET(A$1,,,SUMPRODUCT(MAX(ROW(E$2:E674)*(E674=E$2:E674)))))-COUNTBLANK(OFFSET(A$1,,,SUMPRODUCT(MAX(ROW(E$1:E673)*(E2=E$1:E673))))))</f>
        <v> </v>
      </c>
      <c r="K674" s="25" t="str">
        <f>IF(OR(E674="",E674="!!!",F674="NEW"),"",INDEX(J$1:J673,SUMPRODUCT(MAX(ROW(E$1:E673)*(E674=E$1:E673)))))</f>
        <v> </v>
      </c>
      <c r="L674" s="26"/>
    </row>
    <row r="675" spans="1:12">
      <c r="A675" s="20" t="s">
        <v>771</v>
      </c>
      <c r="B675" s="27" t="s">
        <v>556</v>
      </c>
      <c r="C675" s="27" t="s">
        <v>487</v>
      </c>
      <c r="D675" s="27" t="s">
        <v>483</v>
      </c>
      <c r="E675" s="21">
        <f>IF(D675="?OLD","!!!","")</f>
        <v/>
      </c>
      <c r="F675" s="22" t="str">
        <f>IF(OR(E675="",E675="!!!"),"",IF(NOT(ISNA(VLOOKUP(E675,E$1:E674,1,FALSE()))),"OLD",IF(AND(E675&lt;&gt;"",E675&lt;&gt;"!!!"),"NEW","")))</f>
        <v> </v>
      </c>
      <c r="G675" s="23" t="str">
        <f>IF(OR(E675="",E675="!!!"),"",IF(OR(J675=0,AND(J675=1,K675=1),AND(J675=1,I675="SBJ"),AND(J675=1,I675=0)),"?IN_FOCUS",IF(J675&lt;=2,"?ACTIVATED",IF(J675&lt;&gt;"","?FAMILIAR",IF(F675="NEW",IF(ISNA(VLOOKUP(E675,#REF!,1,FALSE())),"?TYPE_IDENTIFIABLE","?REFERENTIAL"),"_")))))</f>
        <v> </v>
      </c>
      <c r="H675" s="24" t="str">
        <f>IF(J675&lt;&gt;1,"",IF(I675="SBJ","CB","?"))</f>
        <v> </v>
      </c>
      <c r="I675" s="25" t="str">
        <f>IF(OR(E675="",E675="!!!",F675="NEW"),"",INDEX(B674:B$2,-1+SUMPRODUCT(MAX(ROW(E674:E$2)*(E675=E674:E$2)))))</f>
        <v> </v>
      </c>
      <c r="J675" s="25" t="str">
        <f>IF(OR(E675="",E675="!!!",F675="NEW"),"",COUNTBLANK(OFFSET(A$1,,,SUMPRODUCT(MAX(ROW(E$2:E675)*(E675=E$2:E675)))))-COUNTBLANK(OFFSET(A$1,,,SUMPRODUCT(MAX(ROW(E$1:E674)*(E2=E$1:E674))))))</f>
        <v> </v>
      </c>
      <c r="K675" s="25" t="str">
        <f>IF(OR(E675="",E675="!!!",F675="NEW"),"",INDEX(J$1:J674,SUMPRODUCT(MAX(ROW(E$1:E674)*(E675=E$1:E674)))))</f>
        <v> </v>
      </c>
      <c r="L675" s="26"/>
    </row>
    <row r="676" spans="1:12">
      <c r="A676" s="20" t="s">
        <v>489</v>
      </c>
      <c r="E676" s="21">
        <f>IF(D676="?OLD","!!!","")</f>
        <v/>
      </c>
      <c r="F676" s="22" t="str">
        <f>IF(OR(E676="",E676="!!!"),"",IF(NOT(ISNA(VLOOKUP(E676,E$1:E675,1,FALSE()))),"OLD",IF(AND(E676&lt;&gt;"",E676&lt;&gt;"!!!"),"NEW","")))</f>
        <v> </v>
      </c>
      <c r="G676" s="23" t="str">
        <f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> </v>
      </c>
      <c r="H676" s="24" t="str">
        <f>IF(J676&lt;&gt;1,"",IF(I676="SBJ","CB","?"))</f>
        <v> </v>
      </c>
      <c r="I676" s="25" t="str">
        <f>IF(OR(E676="",E676="!!!",F676="NEW"),"",INDEX(B675:B$2,-1+SUMPRODUCT(MAX(ROW(E675:E$2)*(E676=E675:E$2)))))</f>
        <v> </v>
      </c>
      <c r="J676" s="25" t="str">
        <f>IF(OR(E676="",E676="!!!",F676="NEW"),"",COUNTBLANK(OFFSET(A$1,,,SUMPRODUCT(MAX(ROW(E$2:E676)*(E676=E$2:E676)))))-COUNTBLANK(OFFSET(A$1,,,SUMPRODUCT(MAX(ROW(E$1:E675)*(E2=E$1:E675))))))</f>
        <v> </v>
      </c>
      <c r="K676" s="25" t="str">
        <f>IF(OR(E676="",E676="!!!",F676="NEW"),"",INDEX(J$1:J675,SUMPRODUCT(MAX(ROW(E$1:E675)*(E676=E$1:E675)))))</f>
        <v> </v>
      </c>
      <c r="L676" s="26"/>
    </row>
    <row r="677" spans="1:12">
      <c r="A677" s="20" t="s">
        <v>680</v>
      </c>
      <c r="E677" s="21">
        <f>IF(D677="?OLD","!!!","")</f>
        <v/>
      </c>
      <c r="F677" s="22" t="str">
        <f>IF(OR(E677="",E677="!!!"),"",IF(NOT(ISNA(VLOOKUP(E677,E$1:E676,1,FALSE()))),"OLD",IF(AND(E677&lt;&gt;"",E677&lt;&gt;"!!!"),"NEW","")))</f>
        <v> </v>
      </c>
      <c r="G677" s="23" t="str">
        <f>IF(OR(E677="",E677="!!!"),"",IF(OR(J677=0,AND(J677=1,K677=1),AND(J677=1,I677="SBJ"),AND(J677=1,I677=0)),"?IN_FOCUS",IF(J677&lt;=2,"?ACTIVATED",IF(J677&lt;&gt;"","?FAMILIAR",IF(F677="NEW",IF(ISNA(VLOOKUP(E677,#REF!,1,FALSE())),"?TYPE_IDENTIFIABLE","?REFERENTIAL"),"_")))))</f>
        <v> </v>
      </c>
      <c r="H677" s="24" t="str">
        <f>IF(J677&lt;&gt;1,"",IF(I677="SBJ","CB","?"))</f>
        <v> </v>
      </c>
      <c r="I677" s="25" t="str">
        <f>IF(OR(E677="",E677="!!!",F677="NEW"),"",INDEX(B676:B$2,-1+SUMPRODUCT(MAX(ROW(E676:E$2)*(E677=E676:E$2)))))</f>
        <v> </v>
      </c>
      <c r="J677" s="25" t="str">
        <f>IF(OR(E677="",E677="!!!",F677="NEW"),"",COUNTBLANK(OFFSET(A$1,,,SUMPRODUCT(MAX(ROW(E$2:E677)*(E677=E$2:E677)))))-COUNTBLANK(OFFSET(A$1,,,SUMPRODUCT(MAX(ROW(E$1:E676)*(E2=E$1:E676))))))</f>
        <v> </v>
      </c>
      <c r="K677" s="25" t="str">
        <f>IF(OR(E677="",E677="!!!",F677="NEW"),"",INDEX(J$1:J676,SUMPRODUCT(MAX(ROW(E$1:E676)*(E677=E$1:E676)))))</f>
        <v> </v>
      </c>
      <c r="L677" s="26"/>
    </row>
    <row r="678" spans="1:12">
      <c r="A678" s="20" t="s">
        <v>772</v>
      </c>
      <c r="E678" s="21">
        <f>IF(D678="?OLD","!!!","")</f>
        <v/>
      </c>
      <c r="F678" s="22" t="str">
        <f>IF(OR(E678="",E678="!!!"),"",IF(NOT(ISNA(VLOOKUP(E678,E$1:E677,1,FALSE()))),"OLD",IF(AND(E678&lt;&gt;"",E678&lt;&gt;"!!!"),"NEW","")))</f>
        <v> </v>
      </c>
      <c r="G678" s="23" t="str">
        <f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> </v>
      </c>
      <c r="H678" s="24" t="str">
        <f>IF(J678&lt;&gt;1,"",IF(I678="SBJ","CB","?"))</f>
        <v> </v>
      </c>
      <c r="I678" s="25" t="str">
        <f>IF(OR(E678="",E678="!!!",F678="NEW"),"",INDEX(B677:B$2,-1+SUMPRODUCT(MAX(ROW(E677:E$2)*(E678=E677:E$2)))))</f>
        <v> </v>
      </c>
      <c r="J678" s="25" t="str">
        <f>IF(OR(E678="",E678="!!!",F678="NEW"),"",COUNTBLANK(OFFSET(A$1,,,SUMPRODUCT(MAX(ROW(E$2:E678)*(E678=E$2:E678)))))-COUNTBLANK(OFFSET(A$1,,,SUMPRODUCT(MAX(ROW(E$1:E677)*(E2=E$1:E677))))))</f>
        <v> </v>
      </c>
      <c r="K678" s="25" t="str">
        <f>IF(OR(E678="",E678="!!!",F678="NEW"),"",INDEX(J$1:J677,SUMPRODUCT(MAX(ROW(E$1:E677)*(E678=E$1:E677)))))</f>
        <v> </v>
      </c>
      <c r="L678" s="26"/>
    </row>
    <row r="679" spans="1:12">
      <c r="A679" s="20" t="s">
        <v>489</v>
      </c>
      <c r="E679" s="21">
        <f>IF(D679="?OLD","!!!","")</f>
        <v/>
      </c>
      <c r="F679" s="22" t="str">
        <f>IF(OR(E679="",E679="!!!"),"",IF(NOT(ISNA(VLOOKUP(E679,E$1:E678,1,FALSE()))),"OLD",IF(AND(E679&lt;&gt;"",E679&lt;&gt;"!!!"),"NEW","")))</f>
        <v> </v>
      </c>
      <c r="G679" s="23" t="str">
        <f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> </v>
      </c>
      <c r="H679" s="24" t="str">
        <f>IF(J679&lt;&gt;1,"",IF(I679="SBJ","CB","?"))</f>
        <v> </v>
      </c>
      <c r="I679" s="25" t="str">
        <f>IF(OR(E679="",E679="!!!",F679="NEW"),"",INDEX(B678:B$2,-1+SUMPRODUCT(MAX(ROW(E678:E$2)*(E679=E678:E$2)))))</f>
        <v> </v>
      </c>
      <c r="J679" s="25" t="str">
        <f>IF(OR(E679="",E679="!!!",F679="NEW"),"",COUNTBLANK(OFFSET(A$1,,,SUMPRODUCT(MAX(ROW(E$2:E679)*(E679=E$2:E679)))))-COUNTBLANK(OFFSET(A$1,,,SUMPRODUCT(MAX(ROW(E$1:E678)*(E2=E$1:E678))))))</f>
        <v> </v>
      </c>
      <c r="K679" s="25" t="str">
        <f>IF(OR(E679="",E679="!!!",F679="NEW"),"",INDEX(J$1:J678,SUMPRODUCT(MAX(ROW(E$1:E678)*(E679=E$1:E678)))))</f>
        <v> </v>
      </c>
      <c r="L679" s="26"/>
    </row>
    <row r="680" spans="1:12">
      <c r="A680" s="20" t="s">
        <v>380</v>
      </c>
      <c r="E680" s="21">
        <f>IF(D680="?OLD","!!!","")</f>
        <v/>
      </c>
      <c r="F680" s="22" t="str">
        <f>IF(OR(E680="",E680="!!!"),"",IF(NOT(ISNA(VLOOKUP(E680,E$1:E679,1,FALSE()))),"OLD",IF(AND(E680&lt;&gt;"",E680&lt;&gt;"!!!"),"NEW","")))</f>
        <v> </v>
      </c>
      <c r="G680" s="23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> </v>
      </c>
      <c r="H680" s="24" t="str">
        <f>IF(J680&lt;&gt;1,"",IF(I680="SBJ","CB","?"))</f>
        <v> </v>
      </c>
      <c r="I680" s="25" t="str">
        <f>IF(OR(E680="",E680="!!!",F680="NEW"),"",INDEX(B679:B$2,-1+SUMPRODUCT(MAX(ROW(E679:E$2)*(E680=E679:E$2)))))</f>
        <v> </v>
      </c>
      <c r="J680" s="25" t="str">
        <f>IF(OR(E680="",E680="!!!",F680="NEW"),"",COUNTBLANK(OFFSET(A$1,,,SUMPRODUCT(MAX(ROW(E$2:E680)*(E680=E$2:E680)))))-COUNTBLANK(OFFSET(A$1,,,SUMPRODUCT(MAX(ROW(E$1:E679)*(E2=E$1:E679))))))</f>
        <v> </v>
      </c>
      <c r="K680" s="25" t="str">
        <f>IF(OR(E680="",E680="!!!",F680="NEW"),"",INDEX(J$1:J679,SUMPRODUCT(MAX(ROW(E$1:E679)*(E680=E$1:E679)))))</f>
        <v> </v>
      </c>
      <c r="L680" s="26"/>
    </row>
    <row r="681" spans="1:12">
      <c r="A681" s="20" t="s">
        <v>489</v>
      </c>
      <c r="E681" s="21">
        <f>IF(D681="?OLD","!!!","")</f>
        <v/>
      </c>
      <c r="F681" s="22" t="str">
        <f>IF(OR(E681="",E681="!!!"),"",IF(NOT(ISNA(VLOOKUP(E681,E$1:E680,1,FALSE()))),"OLD",IF(AND(E681&lt;&gt;"",E681&lt;&gt;"!!!"),"NEW","")))</f>
        <v> </v>
      </c>
      <c r="G681" s="23" t="str">
        <f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> </v>
      </c>
      <c r="H681" s="24" t="str">
        <f>IF(J681&lt;&gt;1,"",IF(I681="SBJ","CB","?"))</f>
        <v> </v>
      </c>
      <c r="I681" s="25" t="str">
        <f>IF(OR(E681="",E681="!!!",F681="NEW"),"",INDEX(B680:B$2,-1+SUMPRODUCT(MAX(ROW(E680:E$2)*(E681=E680:E$2)))))</f>
        <v> </v>
      </c>
      <c r="J681" s="25" t="str">
        <f>IF(OR(E681="",E681="!!!",F681="NEW"),"",COUNTBLANK(OFFSET(A$1,,,SUMPRODUCT(MAX(ROW(E$2:E681)*(E681=E$2:E681)))))-COUNTBLANK(OFFSET(A$1,,,SUMPRODUCT(MAX(ROW(E$1:E680)*(E2=E$1:E680))))))</f>
        <v> </v>
      </c>
      <c r="K681" s="25" t="str">
        <f>IF(OR(E681="",E681="!!!",F681="NEW"),"",INDEX(J$1:J680,SUMPRODUCT(MAX(ROW(E$1:E680)*(E681=E$1:E680)))))</f>
        <v> </v>
      </c>
      <c r="L681" s="26"/>
    </row>
    <row r="682" spans="1:12">
      <c r="A682" s="20" t="s">
        <v>773</v>
      </c>
      <c r="E682" s="21">
        <f>IF(D682="?OLD","!!!","")</f>
        <v/>
      </c>
      <c r="F682" s="22" t="str">
        <f>IF(OR(E682="",E682="!!!"),"",IF(NOT(ISNA(VLOOKUP(E682,E$1:E681,1,FALSE()))),"OLD",IF(AND(E682&lt;&gt;"",E682&lt;&gt;"!!!"),"NEW","")))</f>
        <v> </v>
      </c>
      <c r="G682" s="23" t="str">
        <f>IF(OR(E682="",E682="!!!"),"",IF(OR(J682=0,AND(J682=1,K682=1),AND(J682=1,I682="SBJ"),AND(J682=1,I682=0)),"?IN_FOCUS",IF(J682&lt;=2,"?ACTIVATED",IF(J682&lt;&gt;"","?FAMILIAR",IF(F682="NEW",IF(ISNA(VLOOKUP(E682,#REF!,1,FALSE())),"?TYPE_IDENTIFIABLE","?REFERENTIAL"),"_")))))</f>
        <v> </v>
      </c>
      <c r="H682" s="24" t="str">
        <f>IF(J682&lt;&gt;1,"",IF(I682="SBJ","CB","?"))</f>
        <v> </v>
      </c>
      <c r="I682" s="25" t="str">
        <f>IF(OR(E682="",E682="!!!",F682="NEW"),"",INDEX(B681:B$2,-1+SUMPRODUCT(MAX(ROW(E681:E$2)*(E682=E681:E$2)))))</f>
        <v> </v>
      </c>
      <c r="J682" s="25" t="str">
        <f>IF(OR(E682="",E682="!!!",F682="NEW"),"",COUNTBLANK(OFFSET(A$1,,,SUMPRODUCT(MAX(ROW(E$2:E682)*(E682=E$2:E682)))))-COUNTBLANK(OFFSET(A$1,,,SUMPRODUCT(MAX(ROW(E$1:E681)*(E2=E$1:E681))))))</f>
        <v> </v>
      </c>
      <c r="K682" s="25" t="str">
        <f>IF(OR(E682="",E682="!!!",F682="NEW"),"",INDEX(J$1:J681,SUMPRODUCT(MAX(ROW(E$1:E681)*(E682=E$1:E681)))))</f>
        <v> </v>
      </c>
      <c r="L682" s="26"/>
    </row>
    <row r="683" spans="1:12">
      <c r="A683" s="20" t="s">
        <v>489</v>
      </c>
      <c r="E683" s="21">
        <f>IF(D683="?OLD","!!!","")</f>
        <v/>
      </c>
      <c r="F683" s="22" t="str">
        <f>IF(OR(E683="",E683="!!!"),"",IF(NOT(ISNA(VLOOKUP(E683,E$1:E682,1,FALSE()))),"OLD",IF(AND(E683&lt;&gt;"",E683&lt;&gt;"!!!"),"NEW","")))</f>
        <v> </v>
      </c>
      <c r="G683" s="23" t="str">
        <f>IF(OR(E683="",E683="!!!"),"",IF(OR(J683=0,AND(J683=1,K683=1),AND(J683=1,I683="SBJ"),AND(J683=1,I683=0)),"?IN_FOCUS",IF(J683&lt;=2,"?ACTIVATED",IF(J683&lt;&gt;"","?FAMILIAR",IF(F683="NEW",IF(ISNA(VLOOKUP(E683,#REF!,1,FALSE())),"?TYPE_IDENTIFIABLE","?REFERENTIAL"),"_")))))</f>
        <v> </v>
      </c>
      <c r="H683" s="24" t="str">
        <f>IF(J683&lt;&gt;1,"",IF(I683="SBJ","CB","?"))</f>
        <v> </v>
      </c>
      <c r="I683" s="25" t="str">
        <f>IF(OR(E683="",E683="!!!",F683="NEW"),"",INDEX(B682:B$2,-1+SUMPRODUCT(MAX(ROW(E682:E$2)*(E683=E682:E$2)))))</f>
        <v> </v>
      </c>
      <c r="J683" s="25" t="str">
        <f>IF(OR(E683="",E683="!!!",F683="NEW"),"",COUNTBLANK(OFFSET(A$1,,,SUMPRODUCT(MAX(ROW(E$2:E683)*(E683=E$2:E683)))))-COUNTBLANK(OFFSET(A$1,,,SUMPRODUCT(MAX(ROW(E$1:E682)*(E2=E$1:E682))))))</f>
        <v> </v>
      </c>
      <c r="K683" s="25" t="str">
        <f>IF(OR(E683="",E683="!!!",F683="NEW"),"",INDEX(J$1:J682,SUMPRODUCT(MAX(ROW(E$1:E682)*(E683=E$1:E682)))))</f>
        <v> </v>
      </c>
      <c r="L683" s="26"/>
    </row>
    <row r="684" spans="1:12">
      <c r="A684" s="20" t="s">
        <v>762</v>
      </c>
      <c r="E684" s="21">
        <f>IF(D684="?OLD","!!!","")</f>
        <v/>
      </c>
      <c r="F684" s="22" t="str">
        <f>IF(OR(E684="",E684="!!!"),"",IF(NOT(ISNA(VLOOKUP(E684,E$1:E683,1,FALSE()))),"OLD",IF(AND(E684&lt;&gt;"",E684&lt;&gt;"!!!"),"NEW","")))</f>
        <v> </v>
      </c>
      <c r="G684" s="23" t="str">
        <f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> </v>
      </c>
      <c r="H684" s="24" t="str">
        <f>IF(J684&lt;&gt;1,"",IF(I684="SBJ","CB","?"))</f>
        <v> </v>
      </c>
      <c r="I684" s="25" t="str">
        <f>IF(OR(E684="",E684="!!!",F684="NEW"),"",INDEX(B683:B$2,-1+SUMPRODUCT(MAX(ROW(E683:E$2)*(E684=E683:E$2)))))</f>
        <v> </v>
      </c>
      <c r="J684" s="25" t="str">
        <f>IF(OR(E684="",E684="!!!",F684="NEW"),"",COUNTBLANK(OFFSET(A$1,,,SUMPRODUCT(MAX(ROW(E$2:E684)*(E684=E$2:E684)))))-COUNTBLANK(OFFSET(A$1,,,SUMPRODUCT(MAX(ROW(E$1:E683)*(E2=E$1:E683))))))</f>
        <v> </v>
      </c>
      <c r="K684" s="25" t="str">
        <f>IF(OR(E684="",E684="!!!",F684="NEW"),"",INDEX(J$1:J683,SUMPRODUCT(MAX(ROW(E$1:E683)*(E684=E$1:E683)))))</f>
        <v> </v>
      </c>
      <c r="L684" s="26"/>
    </row>
    <row r="685" spans="1:12">
      <c r="A685" s="20" t="s">
        <v>548</v>
      </c>
      <c r="E685" s="21">
        <f>IF(D685="?OLD","!!!","")</f>
        <v/>
      </c>
      <c r="F685" s="22" t="str">
        <f>IF(OR(E685="",E685="!!!"),"",IF(NOT(ISNA(VLOOKUP(E685,E$1:E684,1,FALSE()))),"OLD",IF(AND(E685&lt;&gt;"",E685&lt;&gt;"!!!"),"NEW","")))</f>
        <v> </v>
      </c>
      <c r="G685" s="23" t="str">
        <f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> </v>
      </c>
      <c r="H685" s="24" t="str">
        <f>IF(J685&lt;&gt;1,"",IF(I685="SBJ","CB","?"))</f>
        <v> </v>
      </c>
      <c r="I685" s="25" t="str">
        <f>IF(OR(E685="",E685="!!!",F685="NEW"),"",INDEX(B684:B$2,-1+SUMPRODUCT(MAX(ROW(E684:E$2)*(E685=E684:E$2)))))</f>
        <v> </v>
      </c>
      <c r="J685" s="25" t="str">
        <f>IF(OR(E685="",E685="!!!",F685="NEW"),"",COUNTBLANK(OFFSET(A$1,,,SUMPRODUCT(MAX(ROW(E$2:E685)*(E685=E$2:E685)))))-COUNTBLANK(OFFSET(A$1,,,SUMPRODUCT(MAX(ROW(E$1:E684)*(E2=E$1:E684))))))</f>
        <v> </v>
      </c>
      <c r="K685" s="25" t="str">
        <f>IF(OR(E685="",E685="!!!",F685="NEW"),"",INDEX(J$1:J684,SUMPRODUCT(MAX(ROW(E$1:E684)*(E685=E$1:E684)))))</f>
        <v> </v>
      </c>
      <c r="L685" s="26"/>
    </row>
    <row r="686" spans="1:12">
      <c r="A686" s="20" t="s">
        <v>503</v>
      </c>
      <c r="E686" s="21">
        <f>IF(D686="?OLD","!!!","")</f>
        <v/>
      </c>
      <c r="F686" s="22" t="str">
        <f>IF(OR(E686="",E686="!!!"),"",IF(NOT(ISNA(VLOOKUP(E686,E$1:E685,1,FALSE()))),"OLD",IF(AND(E686&lt;&gt;"",E686&lt;&gt;"!!!"),"NEW","")))</f>
        <v> </v>
      </c>
      <c r="G686" s="23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> </v>
      </c>
      <c r="H686" s="24" t="str">
        <f>IF(J686&lt;&gt;1,"",IF(I686="SBJ","CB","?"))</f>
        <v> </v>
      </c>
      <c r="I686" s="25" t="str">
        <f>IF(OR(E686="",E686="!!!",F686="NEW"),"",INDEX(B685:B$2,-1+SUMPRODUCT(MAX(ROW(E685:E$2)*(E686=E685:E$2)))))</f>
        <v> </v>
      </c>
      <c r="J686" s="25" t="str">
        <f>IF(OR(E686="",E686="!!!",F686="NEW"),"",COUNTBLANK(OFFSET(A$1,,,SUMPRODUCT(MAX(ROW(E$2:E686)*(E686=E$2:E686)))))-COUNTBLANK(OFFSET(A$1,,,SUMPRODUCT(MAX(ROW(E$1:E685)*(E2=E$1:E685))))))</f>
        <v> </v>
      </c>
      <c r="K686" s="25" t="str">
        <f>IF(OR(E686="",E686="!!!",F686="NEW"),"",INDEX(J$1:J685,SUMPRODUCT(MAX(ROW(E$1:E685)*(E686=E$1:E685)))))</f>
        <v> </v>
      </c>
      <c r="L686" s="26"/>
    </row>
    <row r="687" spans="1:12">
      <c r="A687" s="20" t="s">
        <v>767</v>
      </c>
      <c r="B687" s="27" t="s">
        <v>549</v>
      </c>
      <c r="C687" s="27" t="s">
        <v>615</v>
      </c>
      <c r="D687" s="27" t="s">
        <v>483</v>
      </c>
      <c r="E687" s="21">
        <f>IF(D687="?OLD","!!!","")</f>
        <v/>
      </c>
      <c r="F687" s="22" t="str">
        <f>IF(OR(E687="",E687="!!!"),"",IF(NOT(ISNA(VLOOKUP(E687,E$1:E686,1,FALSE()))),"OLD",IF(AND(E687&lt;&gt;"",E687&lt;&gt;"!!!"),"NEW","")))</f>
        <v> </v>
      </c>
      <c r="G687" s="23" t="str">
        <f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> </v>
      </c>
      <c r="H687" s="24" t="str">
        <f>IF(J687&lt;&gt;1,"",IF(I687="SBJ","CB","?"))</f>
        <v> </v>
      </c>
      <c r="I687" s="25" t="str">
        <f>IF(OR(E687="",E687="!!!",F687="NEW"),"",INDEX(B686:B$2,-1+SUMPRODUCT(MAX(ROW(E686:E$2)*(E687=E686:E$2)))))</f>
        <v> </v>
      </c>
      <c r="J687" s="25" t="str">
        <f>IF(OR(E687="",E687="!!!",F687="NEW"),"",COUNTBLANK(OFFSET(A$1,,,SUMPRODUCT(MAX(ROW(E$2:E687)*(E687=E$2:E687)))))-COUNTBLANK(OFFSET(A$1,,,SUMPRODUCT(MAX(ROW(E$1:E686)*(E2=E$1:E686))))))</f>
        <v> </v>
      </c>
      <c r="K687" s="25" t="str">
        <f>IF(OR(E687="",E687="!!!",F687="NEW"),"",INDEX(J$1:J686,SUMPRODUCT(MAX(ROW(E$1:E686)*(E687=E$1:E686)))))</f>
        <v> </v>
      </c>
      <c r="L687" s="26"/>
    </row>
    <row r="688" spans="1:12">
      <c r="A688" s="20" t="s">
        <v>774</v>
      </c>
      <c r="E688" s="21">
        <f>IF(D688="?OLD","!!!","")</f>
        <v/>
      </c>
      <c r="F688" s="22" t="str">
        <f>IF(OR(E688="",E688="!!!"),"",IF(NOT(ISNA(VLOOKUP(E688,E$1:E687,1,FALSE()))),"OLD",IF(AND(E688&lt;&gt;"",E688&lt;&gt;"!!!"),"NEW","")))</f>
        <v> </v>
      </c>
      <c r="G688" s="23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> </v>
      </c>
      <c r="H688" s="24" t="str">
        <f>IF(J688&lt;&gt;1,"",IF(I688="SBJ","CB","?"))</f>
        <v> </v>
      </c>
      <c r="I688" s="25" t="str">
        <f>IF(OR(E688="",E688="!!!",F688="NEW"),"",INDEX(B687:B$2,-1+SUMPRODUCT(MAX(ROW(E687:E$2)*(E688=E687:E$2)))))</f>
        <v> </v>
      </c>
      <c r="J688" s="25" t="str">
        <f>IF(OR(E688="",E688="!!!",F688="NEW"),"",COUNTBLANK(OFFSET(A$1,,,SUMPRODUCT(MAX(ROW(E$2:E688)*(E688=E$2:E688)))))-COUNTBLANK(OFFSET(A$1,,,SUMPRODUCT(MAX(ROW(E$1:E687)*(E2=E$1:E687))))))</f>
        <v> </v>
      </c>
      <c r="K688" s="25" t="str">
        <f>IF(OR(E688="",E688="!!!",F688="NEW"),"",INDEX(J$1:J687,SUMPRODUCT(MAX(ROW(E$1:E687)*(E688=E$1:E687)))))</f>
        <v> </v>
      </c>
      <c r="L688" s="26"/>
    </row>
    <row r="689" spans="1:12">
      <c r="A689" s="20" t="s">
        <v>508</v>
      </c>
      <c r="B689" s="27" t="s">
        <v>481</v>
      </c>
      <c r="E689" s="21">
        <f>IF(D689="?OLD","!!!","")</f>
        <v/>
      </c>
      <c r="F689" s="22" t="str">
        <f>IF(OR(E689="",E689="!!!"),"",IF(NOT(ISNA(VLOOKUP(E689,E$1:E688,1,FALSE()))),"OLD",IF(AND(E689&lt;&gt;"",E689&lt;&gt;"!!!"),"NEW","")))</f>
        <v> </v>
      </c>
      <c r="G689" s="23" t="str">
        <f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> </v>
      </c>
      <c r="H689" s="24" t="str">
        <f>IF(J689&lt;&gt;1,"",IF(I689="SBJ","CB","?"))</f>
        <v> </v>
      </c>
      <c r="I689" s="25" t="str">
        <f>IF(OR(E689="",E689="!!!",F689="NEW"),"",INDEX(B688:B$2,-1+SUMPRODUCT(MAX(ROW(E688:E$2)*(E689=E688:E$2)))))</f>
        <v> </v>
      </c>
      <c r="J689" s="25" t="str">
        <f>IF(OR(E689="",E689="!!!",F689="NEW"),"",COUNTBLANK(OFFSET(A$1,,,SUMPRODUCT(MAX(ROW(E$2:E689)*(E689=E$2:E689)))))-COUNTBLANK(OFFSET(A$1,,,SUMPRODUCT(MAX(ROW(E$1:E688)*(E2=E$1:E688))))))</f>
        <v> </v>
      </c>
      <c r="K689" s="25" t="str">
        <f>IF(OR(E689="",E689="!!!",F689="NEW"),"",INDEX(J$1:J688,SUMPRODUCT(MAX(ROW(E$1:E688)*(E689=E$1:E688)))))</f>
        <v> </v>
      </c>
      <c r="L689" s="26"/>
    </row>
    <row r="690" spans="1:12">
      <c r="A690" s="20" t="s">
        <v>531</v>
      </c>
      <c r="E690" s="21">
        <f>IF(D690="?OLD","!!!","")</f>
        <v/>
      </c>
      <c r="F690" s="22" t="str">
        <f>IF(OR(E690="",E690="!!!"),"",IF(NOT(ISNA(VLOOKUP(E690,E$1:E689,1,FALSE()))),"OLD",IF(AND(E690&lt;&gt;"",E690&lt;&gt;"!!!"),"NEW","")))</f>
        <v> </v>
      </c>
      <c r="G690" s="23" t="str">
        <f>IF(OR(E690="",E690="!!!"),"",IF(OR(J690=0,AND(J690=1,K690=1),AND(J690=1,I690="SBJ"),AND(J690=1,I690=0)),"?IN_FOCUS",IF(J690&lt;=2,"?ACTIVATED",IF(J690&lt;&gt;"","?FAMILIAR",IF(F690="NEW",IF(ISNA(VLOOKUP(E690,#REF!,1,FALSE())),"?TYPE_IDENTIFIABLE","?REFERENTIAL"),"_")))))</f>
        <v> </v>
      </c>
      <c r="H690" s="24" t="str">
        <f>IF(J690&lt;&gt;1,"",IF(I690="SBJ","CB","?"))</f>
        <v> </v>
      </c>
      <c r="I690" s="25" t="str">
        <f>IF(OR(E690="",E690="!!!",F690="NEW"),"",INDEX(B689:B$2,-1+SUMPRODUCT(MAX(ROW(E689:E$2)*(E690=E689:E$2)))))</f>
        <v> </v>
      </c>
      <c r="J690" s="25" t="str">
        <f>IF(OR(E690="",E690="!!!",F690="NEW"),"",COUNTBLANK(OFFSET(A$1,,,SUMPRODUCT(MAX(ROW(E$2:E690)*(E690=E$2:E690)))))-COUNTBLANK(OFFSET(A$1,,,SUMPRODUCT(MAX(ROW(E$1:E689)*(E2=E$1:E689))))))</f>
        <v> </v>
      </c>
      <c r="K690" s="25" t="str">
        <f>IF(OR(E690="",E690="!!!",F690="NEW"),"",INDEX(J$1:J689,SUMPRODUCT(MAX(ROW(E$1:E689)*(E690=E$1:E689)))))</f>
        <v> </v>
      </c>
      <c r="L690" s="26"/>
    </row>
    <row r="691" spans="1:12">
      <c r="A691" s="20"/>
    </row>
    <row r="692" spans="1:12">
      <c r="A692" s="20" t="s">
        <v>775</v>
      </c>
    </row>
    <row r="693" spans="1:12">
      <c r="A693" s="20" t="s">
        <v>776</v>
      </c>
      <c r="E693" s="21">
        <f>IF(D693="?OLD","!!!","")</f>
        <v/>
      </c>
      <c r="F693" s="22" t="str">
        <f>IF(OR(E693="",E693="!!!"),"",IF(NOT(ISNA(VLOOKUP(E693,E$1:E692,1,FALSE()))),"OLD",IF(AND(E693&lt;&gt;"",E693&lt;&gt;"!!!"),"NEW","")))</f>
        <v> </v>
      </c>
      <c r="G693" s="23" t="str">
        <f>IF(OR(E693="",E693="!!!"),"",IF(OR(J693=0,AND(J693=1,K693=1),AND(J693=1,I693="SBJ"),AND(J693=1,I693=0)),"?IN_FOCUS",IF(J693&lt;=2,"?ACTIVATED",IF(J693&lt;&gt;"","?FAMILIAR",IF(F693="NEW",IF(ISNA(VLOOKUP(E693,#REF!,1,FALSE())),"?TYPE_IDENTIFIABLE","?REFERENTIAL"),"_")))))</f>
        <v> </v>
      </c>
      <c r="H693" s="24" t="str">
        <f>IF(J693&lt;&gt;1,"",IF(I693="SBJ","CB","?"))</f>
        <v> </v>
      </c>
      <c r="I693" s="25" t="str">
        <f>IF(OR(E693="",E693="!!!",F693="NEW"),"",INDEX(B692:B$2,-1+SUMPRODUCT(MAX(ROW(E692:E$2)*(E693=E692:E$2)))))</f>
        <v> </v>
      </c>
      <c r="J693" s="25" t="str">
        <f>IF(OR(E693="",E693="!!!",F693="NEW"),"",COUNTBLANK(OFFSET(A$1,,,SUMPRODUCT(MAX(ROW(E$2:E693)*(E693=E$2:E693)))))-COUNTBLANK(OFFSET(A$1,,,SUMPRODUCT(MAX(ROW(E$1:E692)*(E2=E$1:E692))))))</f>
        <v> </v>
      </c>
      <c r="K693" s="25" t="str">
        <f>IF(OR(E693="",E693="!!!",F693="NEW"),"",INDEX(J$1:J692,SUMPRODUCT(MAX(ROW(E$1:E692)*(E693=E$1:E692)))))</f>
        <v> </v>
      </c>
      <c r="L693" s="26"/>
    </row>
    <row r="694" spans="1:12">
      <c r="A694" s="20" t="s">
        <v>680</v>
      </c>
      <c r="E694" s="21">
        <f>IF(D694="?OLD","!!!","")</f>
        <v/>
      </c>
      <c r="F694" s="22" t="str">
        <f>IF(OR(E694="",E694="!!!"),"",IF(NOT(ISNA(VLOOKUP(E694,E$1:E693,1,FALSE()))),"OLD",IF(AND(E694&lt;&gt;"",E694&lt;&gt;"!!!"),"NEW","")))</f>
        <v> </v>
      </c>
      <c r="G694" s="23" t="str">
        <f>IF(OR(E694="",E694="!!!"),"",IF(OR(J694=0,AND(J694=1,K694=1),AND(J694=1,I694="SBJ"),AND(J694=1,I694=0)),"?IN_FOCUS",IF(J694&lt;=2,"?ACTIVATED",IF(J694&lt;&gt;"","?FAMILIAR",IF(F694="NEW",IF(ISNA(VLOOKUP(E694,#REF!,1,FALSE())),"?TYPE_IDENTIFIABLE","?REFERENTIAL"),"_")))))</f>
        <v> </v>
      </c>
      <c r="H694" s="24" t="str">
        <f>IF(J694&lt;&gt;1,"",IF(I694="SBJ","CB","?"))</f>
        <v> </v>
      </c>
      <c r="I694" s="25" t="str">
        <f>IF(OR(E694="",E694="!!!",F694="NEW"),"",INDEX(B693:B$2,-1+SUMPRODUCT(MAX(ROW(E693:E$2)*(E694=E693:E$2)))))</f>
        <v> </v>
      </c>
      <c r="J694" s="25" t="str">
        <f>IF(OR(E694="",E694="!!!",F694="NEW"),"",COUNTBLANK(OFFSET(A$1,,,SUMPRODUCT(MAX(ROW(E$2:E694)*(E694=E$2:E694)))))-COUNTBLANK(OFFSET(A$1,,,SUMPRODUCT(MAX(ROW(E$1:E693)*(E2=E$1:E693))))))</f>
        <v> </v>
      </c>
      <c r="K694" s="25" t="str">
        <f>IF(OR(E694="",E694="!!!",F694="NEW"),"",INDEX(J$1:J693,SUMPRODUCT(MAX(ROW(E$1:E693)*(E694=E$1:E693)))))</f>
        <v> </v>
      </c>
      <c r="L694" s="26"/>
    </row>
    <row r="695" spans="1:12">
      <c r="A695" s="20" t="s">
        <v>558</v>
      </c>
      <c r="E695" s="21">
        <f>IF(D695="?OLD","!!!","")</f>
        <v/>
      </c>
      <c r="F695" s="22" t="str">
        <f>IF(OR(E695="",E695="!!!"),"",IF(NOT(ISNA(VLOOKUP(E695,E$1:E694,1,FALSE()))),"OLD",IF(AND(E695&lt;&gt;"",E695&lt;&gt;"!!!"),"NEW","")))</f>
        <v> </v>
      </c>
      <c r="G695" s="23" t="str">
        <f>IF(OR(E695="",E695="!!!"),"",IF(OR(J695=0,AND(J695=1,K695=1),AND(J695=1,I695="SBJ"),AND(J695=1,I695=0)),"?IN_FOCUS",IF(J695&lt;=2,"?ACTIVATED",IF(J695&lt;&gt;"","?FAMILIAR",IF(F695="NEW",IF(ISNA(VLOOKUP(E695,#REF!,1,FALSE())),"?TYPE_IDENTIFIABLE","?REFERENTIAL"),"_")))))</f>
        <v> </v>
      </c>
      <c r="H695" s="24" t="str">
        <f>IF(J695&lt;&gt;1,"",IF(I695="SBJ","CB","?"))</f>
        <v> </v>
      </c>
      <c r="I695" s="25" t="str">
        <f>IF(OR(E695="",E695="!!!",F695="NEW"),"",INDEX(B694:B$2,-1+SUMPRODUCT(MAX(ROW(E694:E$2)*(E695=E694:E$2)))))</f>
        <v> </v>
      </c>
      <c r="J695" s="25" t="str">
        <f>IF(OR(E695="",E695="!!!",F695="NEW"),"",COUNTBLANK(OFFSET(A$1,,,SUMPRODUCT(MAX(ROW(E$2:E695)*(E695=E$2:E695)))))-COUNTBLANK(OFFSET(A$1,,,SUMPRODUCT(MAX(ROW(E$1:E694)*(E2=E$1:E694))))))</f>
        <v> </v>
      </c>
      <c r="K695" s="25" t="str">
        <f>IF(OR(E695="",E695="!!!",F695="NEW"),"",INDEX(J$1:J694,SUMPRODUCT(MAX(ROW(E$1:E694)*(E695=E$1:E694)))))</f>
        <v> </v>
      </c>
      <c r="L695" s="26"/>
    </row>
    <row r="696" spans="1:12">
      <c r="A696" s="20" t="s">
        <v>569</v>
      </c>
      <c r="B696" s="27" t="s">
        <v>477</v>
      </c>
      <c r="C696" s="27" t="s">
        <v>491</v>
      </c>
      <c r="D696" s="27" t="s">
        <v>483</v>
      </c>
      <c r="E696" s="21">
        <f>IF(D696="?OLD","!!!","")</f>
        <v/>
      </c>
      <c r="F696" s="22" t="str">
        <f>IF(OR(E696="",E696="!!!"),"",IF(NOT(ISNA(VLOOKUP(E696,E$1:E695,1,FALSE()))),"OLD",IF(AND(E696&lt;&gt;"",E696&lt;&gt;"!!!"),"NEW","")))</f>
        <v> </v>
      </c>
      <c r="G696" s="23" t="str">
        <f>IF(OR(E696="",E696="!!!"),"",IF(OR(J696=0,AND(J696=1,K696=1),AND(J696=1,I696="SBJ"),AND(J696=1,I696=0)),"?IN_FOCUS",IF(J696&lt;=2,"?ACTIVATED",IF(J696&lt;&gt;"","?FAMILIAR",IF(F696="NEW",IF(ISNA(VLOOKUP(E696,#REF!,1,FALSE())),"?TYPE_IDENTIFIABLE","?REFERENTIAL"),"_")))))</f>
        <v> </v>
      </c>
      <c r="H696" s="24" t="str">
        <f>IF(J696&lt;&gt;1,"",IF(I696="SBJ","CB","?"))</f>
        <v> </v>
      </c>
      <c r="I696" s="25" t="str">
        <f>IF(OR(E696="",E696="!!!",F696="NEW"),"",INDEX(B695:B$2,-1+SUMPRODUCT(MAX(ROW(E695:E$2)*(E696=E695:E$2)))))</f>
        <v> </v>
      </c>
      <c r="J696" s="25" t="str">
        <f>IF(OR(E696="",E696="!!!",F696="NEW"),"",COUNTBLANK(OFFSET(A$1,,,SUMPRODUCT(MAX(ROW(E$2:E696)*(E696=E$2:E696)))))-COUNTBLANK(OFFSET(A$1,,,SUMPRODUCT(MAX(ROW(E$1:E695)*(E2=E$1:E695))))))</f>
        <v> </v>
      </c>
      <c r="K696" s="25" t="str">
        <f>IF(OR(E696="",E696="!!!",F696="NEW"),"",INDEX(J$1:J695,SUMPRODUCT(MAX(ROW(E$1:E695)*(E696=E$1:E695)))))</f>
        <v> </v>
      </c>
      <c r="L696" s="26"/>
    </row>
    <row r="697" spans="1:12">
      <c r="A697" s="20" t="s">
        <v>492</v>
      </c>
      <c r="B697" s="27" t="s">
        <v>542</v>
      </c>
      <c r="E697" s="21">
        <f>IF(D697="?OLD","!!!","")</f>
        <v/>
      </c>
      <c r="F697" s="22" t="str">
        <f>IF(OR(E697="",E697="!!!"),"",IF(NOT(ISNA(VLOOKUP(E697,E$1:E696,1,FALSE()))),"OLD",IF(AND(E697&lt;&gt;"",E697&lt;&gt;"!!!"),"NEW","")))</f>
        <v> </v>
      </c>
      <c r="G697" s="23" t="str">
        <f>IF(OR(E697="",E697="!!!"),"",IF(OR(J697=0,AND(J697=1,K697=1),AND(J697=1,I697="SBJ"),AND(J697=1,I697=0)),"?IN_FOCUS",IF(J697&lt;=2,"?ACTIVATED",IF(J697&lt;&gt;"","?FAMILIAR",IF(F697="NEW",IF(ISNA(VLOOKUP(E697,#REF!,1,FALSE())),"?TYPE_IDENTIFIABLE","?REFERENTIAL"),"_")))))</f>
        <v> </v>
      </c>
      <c r="H697" s="24" t="str">
        <f>IF(J697&lt;&gt;1,"",IF(I697="SBJ","CB","?"))</f>
        <v> </v>
      </c>
      <c r="I697" s="25" t="str">
        <f>IF(OR(E697="",E697="!!!",F697="NEW"),"",INDEX(B696:B$2,-1+SUMPRODUCT(MAX(ROW(E696:E$2)*(E697=E696:E$2)))))</f>
        <v> </v>
      </c>
      <c r="J697" s="25" t="str">
        <f>IF(OR(E697="",E697="!!!",F697="NEW"),"",COUNTBLANK(OFFSET(A$1,,,SUMPRODUCT(MAX(ROW(E$2:E697)*(E697=E$2:E697)))))-COUNTBLANK(OFFSET(A$1,,,SUMPRODUCT(MAX(ROW(E$1:E696)*(E2=E$1:E696))))))</f>
        <v> </v>
      </c>
      <c r="K697" s="25" t="str">
        <f>IF(OR(E697="",E697="!!!",F697="NEW"),"",INDEX(J$1:J696,SUMPRODUCT(MAX(ROW(E$1:E696)*(E697=E$1:E696)))))</f>
        <v> </v>
      </c>
      <c r="L697" s="26"/>
    </row>
    <row r="698" spans="1:12">
      <c r="A698" s="20" t="s">
        <v>777</v>
      </c>
      <c r="E698" s="21">
        <f>IF(D698="?OLD","!!!","")</f>
        <v/>
      </c>
      <c r="F698" s="22" t="str">
        <f>IF(OR(E698="",E698="!!!"),"",IF(NOT(ISNA(VLOOKUP(E698,E$1:E697,1,FALSE()))),"OLD",IF(AND(E698&lt;&gt;"",E698&lt;&gt;"!!!"),"NEW","")))</f>
        <v> </v>
      </c>
      <c r="G698" s="23" t="str">
        <f>IF(OR(E698="",E698="!!!"),"",IF(OR(J698=0,AND(J698=1,K698=1),AND(J698=1,I698="SBJ"),AND(J698=1,I698=0)),"?IN_FOCUS",IF(J698&lt;=2,"?ACTIVATED",IF(J698&lt;&gt;"","?FAMILIAR",IF(F698="NEW",IF(ISNA(VLOOKUP(E698,#REF!,1,FALSE())),"?TYPE_IDENTIFIABLE","?REFERENTIAL"),"_")))))</f>
        <v> </v>
      </c>
      <c r="H698" s="24" t="str">
        <f>IF(J698&lt;&gt;1,"",IF(I698="SBJ","CB","?"))</f>
        <v> </v>
      </c>
      <c r="I698" s="25" t="str">
        <f>IF(OR(E698="",E698="!!!",F698="NEW"),"",INDEX(B697:B$2,-1+SUMPRODUCT(MAX(ROW(E697:E$2)*(E698=E697:E$2)))))</f>
        <v> </v>
      </c>
      <c r="J698" s="25" t="str">
        <f>IF(OR(E698="",E698="!!!",F698="NEW"),"",COUNTBLANK(OFFSET(A$1,,,SUMPRODUCT(MAX(ROW(E$2:E698)*(E698=E$2:E698)))))-COUNTBLANK(OFFSET(A$1,,,SUMPRODUCT(MAX(ROW(E$1:E697)*(E2=E$1:E697))))))</f>
        <v> </v>
      </c>
      <c r="K698" s="25" t="str">
        <f>IF(OR(E698="",E698="!!!",F698="NEW"),"",INDEX(J$1:J697,SUMPRODUCT(MAX(ROW(E$1:E697)*(E698=E$1:E697)))))</f>
        <v> </v>
      </c>
      <c r="L698" s="26"/>
    </row>
    <row r="699" spans="1:12">
      <c r="A699" s="20" t="s">
        <v>531</v>
      </c>
      <c r="E699" s="21">
        <f>IF(D699="?OLD","!!!","")</f>
        <v/>
      </c>
      <c r="F699" s="22" t="str">
        <f>IF(OR(E699="",E699="!!!"),"",IF(NOT(ISNA(VLOOKUP(E699,E$1:E698,1,FALSE()))),"OLD",IF(AND(E699&lt;&gt;"",E699&lt;&gt;"!!!"),"NEW","")))</f>
        <v> </v>
      </c>
      <c r="G699" s="23" t="str">
        <f>IF(OR(E699="",E699="!!!"),"",IF(OR(J699=0,AND(J699=1,K699=1),AND(J699=1,I699="SBJ"),AND(J699=1,I699=0)),"?IN_FOCUS",IF(J699&lt;=2,"?ACTIVATED",IF(J699&lt;&gt;"","?FAMILIAR",IF(F699="NEW",IF(ISNA(VLOOKUP(E699,#REF!,1,FALSE())),"?TYPE_IDENTIFIABLE","?REFERENTIAL"),"_")))))</f>
        <v> </v>
      </c>
      <c r="H699" s="24" t="str">
        <f>IF(J699&lt;&gt;1,"",IF(I699="SBJ","CB","?"))</f>
        <v> </v>
      </c>
      <c r="I699" s="25" t="str">
        <f>IF(OR(E699="",E699="!!!",F699="NEW"),"",INDEX(B698:B$2,-1+SUMPRODUCT(MAX(ROW(E698:E$2)*(E699=E698:E$2)))))</f>
        <v> </v>
      </c>
      <c r="J699" s="25" t="str">
        <f>IF(OR(E699="",E699="!!!",F699="NEW"),"",COUNTBLANK(OFFSET(A$1,,,SUMPRODUCT(MAX(ROW(E$2:E699)*(E699=E$2:E699)))))-COUNTBLANK(OFFSET(A$1,,,SUMPRODUCT(MAX(ROW(E$1:E698)*(E2=E$1:E698))))))</f>
        <v> </v>
      </c>
      <c r="K699" s="25" t="str">
        <f>IF(OR(E699="",E699="!!!",F699="NEW"),"",INDEX(J$1:J698,SUMPRODUCT(MAX(ROW(E$1:E698)*(E699=E$1:E698)))))</f>
        <v> </v>
      </c>
      <c r="L699" s="26"/>
    </row>
    <row r="700" spans="1:12">
      <c r="A700" s="20"/>
    </row>
    <row r="701" spans="1:12">
      <c r="A701" s="20" t="s">
        <v>778</v>
      </c>
    </row>
    <row r="702" spans="1:12">
      <c r="A702" s="20" t="s">
        <v>779</v>
      </c>
      <c r="E702" s="21">
        <f>IF(D702="?OLD","!!!","")</f>
        <v/>
      </c>
      <c r="F702" s="22" t="str">
        <f>IF(OR(E702="",E702="!!!"),"",IF(NOT(ISNA(VLOOKUP(E702,E$1:E701,1,FALSE()))),"OLD",IF(AND(E702&lt;&gt;"",E702&lt;&gt;"!!!"),"NEW","")))</f>
        <v> </v>
      </c>
      <c r="G702" s="23" t="str">
        <f>IF(OR(E702="",E702="!!!"),"",IF(OR(J702=0,AND(J702=1,K702=1),AND(J702=1,I702="SBJ"),AND(J702=1,I702=0)),"?IN_FOCUS",IF(J702&lt;=2,"?ACTIVATED",IF(J702&lt;&gt;"","?FAMILIAR",IF(F702="NEW",IF(ISNA(VLOOKUP(E702,#REF!,1,FALSE())),"?TYPE_IDENTIFIABLE","?REFERENTIAL"),"_")))))</f>
        <v> </v>
      </c>
      <c r="H702" s="24" t="str">
        <f>IF(J702&lt;&gt;1,"",IF(I702="SBJ","CB","?"))</f>
        <v> </v>
      </c>
      <c r="I702" s="25" t="str">
        <f>IF(OR(E702="",E702="!!!",F702="NEW"),"",INDEX(B701:B$2,-1+SUMPRODUCT(MAX(ROW(E701:E$2)*(E702=E701:E$2)))))</f>
        <v> </v>
      </c>
      <c r="J702" s="25" t="str">
        <f>IF(OR(E702="",E702="!!!",F702="NEW"),"",COUNTBLANK(OFFSET(A$1,,,SUMPRODUCT(MAX(ROW(E$2:E702)*(E702=E$2:E702)))))-COUNTBLANK(OFFSET(A$1,,,SUMPRODUCT(MAX(ROW(E$1:E701)*(E2=E$1:E701))))))</f>
        <v> </v>
      </c>
      <c r="K702" s="25" t="str">
        <f>IF(OR(E702="",E702="!!!",F702="NEW"),"",INDEX(J$1:J701,SUMPRODUCT(MAX(ROW(E$1:E701)*(E702=E$1:E701)))))</f>
        <v> </v>
      </c>
      <c r="L702" s="26"/>
    </row>
    <row r="703" spans="1:12">
      <c r="A703" s="20" t="s">
        <v>780</v>
      </c>
      <c r="E703" s="21">
        <f>IF(D703="?OLD","!!!","")</f>
        <v/>
      </c>
      <c r="F703" s="22" t="str">
        <f>IF(OR(E703="",E703="!!!"),"",IF(NOT(ISNA(VLOOKUP(E703,E$1:E702,1,FALSE()))),"OLD",IF(AND(E703&lt;&gt;"",E703&lt;&gt;"!!!"),"NEW","")))</f>
        <v> </v>
      </c>
      <c r="G703" s="23" t="str">
        <f>IF(OR(E703="",E703="!!!"),"",IF(OR(J703=0,AND(J703=1,K703=1),AND(J703=1,I703="SBJ"),AND(J703=1,I703=0)),"?IN_FOCUS",IF(J703&lt;=2,"?ACTIVATED",IF(J703&lt;&gt;"","?FAMILIAR",IF(F703="NEW",IF(ISNA(VLOOKUP(E703,#REF!,1,FALSE())),"?TYPE_IDENTIFIABLE","?REFERENTIAL"),"_")))))</f>
        <v> </v>
      </c>
      <c r="H703" s="24" t="str">
        <f>IF(J703&lt;&gt;1,"",IF(I703="SBJ","CB","?"))</f>
        <v> </v>
      </c>
      <c r="I703" s="25" t="str">
        <f>IF(OR(E703="",E703="!!!",F703="NEW"),"",INDEX(B702:B$2,-1+SUMPRODUCT(MAX(ROW(E702:E$2)*(E703=E702:E$2)))))</f>
        <v> </v>
      </c>
      <c r="J703" s="25" t="str">
        <f>IF(OR(E703="",E703="!!!",F703="NEW"),"",COUNTBLANK(OFFSET(A$1,,,SUMPRODUCT(MAX(ROW(E$2:E703)*(E703=E$2:E703)))))-COUNTBLANK(OFFSET(A$1,,,SUMPRODUCT(MAX(ROW(E$1:E702)*(E2=E$1:E702))))))</f>
        <v> </v>
      </c>
      <c r="K703" s="25" t="str">
        <f>IF(OR(E703="",E703="!!!",F703="NEW"),"",INDEX(J$1:J702,SUMPRODUCT(MAX(ROW(E$1:E702)*(E703=E$1:E702)))))</f>
        <v> </v>
      </c>
      <c r="L703" s="26"/>
    </row>
    <row r="704" spans="1:12">
      <c r="A704" s="20" t="s">
        <v>503</v>
      </c>
      <c r="E704" s="21">
        <f>IF(D704="?OLD","!!!","")</f>
        <v/>
      </c>
      <c r="F704" s="22" t="str">
        <f>IF(OR(E704="",E704="!!!"),"",IF(NOT(ISNA(VLOOKUP(E704,E$1:E703,1,FALSE()))),"OLD",IF(AND(E704&lt;&gt;"",E704&lt;&gt;"!!!"),"NEW","")))</f>
        <v> </v>
      </c>
      <c r="G704" s="23" t="str">
        <f>IF(OR(E704="",E704="!!!"),"",IF(OR(J704=0,AND(J704=1,K704=1),AND(J704=1,I704="SBJ"),AND(J704=1,I704=0)),"?IN_FOCUS",IF(J704&lt;=2,"?ACTIVATED",IF(J704&lt;&gt;"","?FAMILIAR",IF(F704="NEW",IF(ISNA(VLOOKUP(E704,#REF!,1,FALSE())),"?TYPE_IDENTIFIABLE","?REFERENTIAL"),"_")))))</f>
        <v> </v>
      </c>
      <c r="H704" s="24" t="str">
        <f>IF(J704&lt;&gt;1,"",IF(I704="SBJ","CB","?"))</f>
        <v> </v>
      </c>
      <c r="I704" s="25" t="str">
        <f>IF(OR(E704="",E704="!!!",F704="NEW"),"",INDEX(B703:B$2,-1+SUMPRODUCT(MAX(ROW(E703:E$2)*(E704=E703:E$2)))))</f>
        <v> </v>
      </c>
      <c r="J704" s="25" t="str">
        <f>IF(OR(E704="",E704="!!!",F704="NEW"),"",COUNTBLANK(OFFSET(A$1,,,SUMPRODUCT(MAX(ROW(E$2:E704)*(E704=E$2:E704)))))-COUNTBLANK(OFFSET(A$1,,,SUMPRODUCT(MAX(ROW(E$1:E703)*(E2=E$1:E703))))))</f>
        <v> </v>
      </c>
      <c r="K704" s="25" t="str">
        <f>IF(OR(E704="",E704="!!!",F704="NEW"),"",INDEX(J$1:J703,SUMPRODUCT(MAX(ROW(E$1:E703)*(E704=E$1:E703)))))</f>
        <v> </v>
      </c>
      <c r="L704" s="26"/>
    </row>
    <row r="705" spans="1:12">
      <c r="A705" s="20" t="s">
        <v>65</v>
      </c>
      <c r="B705" s="27" t="s">
        <v>481</v>
      </c>
      <c r="C705" s="27" t="s">
        <v>487</v>
      </c>
      <c r="D705" s="27" t="s">
        <v>483</v>
      </c>
      <c r="E705" s="21">
        <f>IF(D705="?OLD","!!!","")</f>
        <v/>
      </c>
      <c r="F705" s="22" t="str">
        <f>IF(OR(E705="",E705="!!!"),"",IF(NOT(ISNA(VLOOKUP(E705,E$1:E704,1,FALSE()))),"OLD",IF(AND(E705&lt;&gt;"",E705&lt;&gt;"!!!"),"NEW","")))</f>
        <v> </v>
      </c>
      <c r="G705" s="23" t="str">
        <f>IF(OR(E705="",E705="!!!"),"",IF(OR(J705=0,AND(J705=1,K705=1),AND(J705=1,I705="SBJ"),AND(J705=1,I705=0)),"?IN_FOCUS",IF(J705&lt;=2,"?ACTIVATED",IF(J705&lt;&gt;"","?FAMILIAR",IF(F705="NEW",IF(ISNA(VLOOKUP(E705,#REF!,1,FALSE())),"?TYPE_IDENTIFIABLE","?REFERENTIAL"),"_")))))</f>
        <v> </v>
      </c>
      <c r="H705" s="24" t="str">
        <f>IF(J705&lt;&gt;1,"",IF(I705="SBJ","CB","?"))</f>
        <v> </v>
      </c>
      <c r="I705" s="25" t="str">
        <f>IF(OR(E705="",E705="!!!",F705="NEW"),"",INDEX(B704:B$2,-1+SUMPRODUCT(MAX(ROW(E704:E$2)*(E705=E704:E$2)))))</f>
        <v> </v>
      </c>
      <c r="J705" s="25" t="str">
        <f>IF(OR(E705="",E705="!!!",F705="NEW"),"",COUNTBLANK(OFFSET(A$1,,,SUMPRODUCT(MAX(ROW(E$2:E705)*(E705=E$2:E705)))))-COUNTBLANK(OFFSET(A$1,,,SUMPRODUCT(MAX(ROW(E$1:E704)*(E2=E$1:E704))))))</f>
        <v> </v>
      </c>
      <c r="K705" s="25" t="str">
        <f>IF(OR(E705="",E705="!!!",F705="NEW"),"",INDEX(J$1:J704,SUMPRODUCT(MAX(ROW(E$1:E704)*(E705=E$1:E704)))))</f>
        <v> </v>
      </c>
      <c r="L705" s="26"/>
    </row>
    <row r="706" spans="1:12">
      <c r="A706" s="20" t="s">
        <v>531</v>
      </c>
      <c r="E706" s="21">
        <f>IF(D706="?OLD","!!!","")</f>
        <v/>
      </c>
      <c r="F706" s="22" t="str">
        <f>IF(OR(E706="",E706="!!!"),"",IF(NOT(ISNA(VLOOKUP(E706,E$1:E705,1,FALSE()))),"OLD",IF(AND(E706&lt;&gt;"",E706&lt;&gt;"!!!"),"NEW","")))</f>
        <v> </v>
      </c>
      <c r="G706" s="23" t="str">
        <f>IF(OR(E706="",E706="!!!"),"",IF(OR(J706=0,AND(J706=1,K706=1),AND(J706=1,I706="SBJ"),AND(J706=1,I706=0)),"?IN_FOCUS",IF(J706&lt;=2,"?ACTIVATED",IF(J706&lt;&gt;"","?FAMILIAR",IF(F706="NEW",IF(ISNA(VLOOKUP(E706,#REF!,1,FALSE())),"?TYPE_IDENTIFIABLE","?REFERENTIAL"),"_")))))</f>
        <v> </v>
      </c>
      <c r="H706" s="24" t="str">
        <f>IF(J706&lt;&gt;1,"",IF(I706="SBJ","CB","?"))</f>
        <v> </v>
      </c>
      <c r="I706" s="25" t="str">
        <f>IF(OR(E706="",E706="!!!",F706="NEW"),"",INDEX(B705:B$2,-1+SUMPRODUCT(MAX(ROW(E705:E$2)*(E706=E705:E$2)))))</f>
        <v> </v>
      </c>
      <c r="J706" s="25" t="str">
        <f>IF(OR(E706="",E706="!!!",F706="NEW"),"",COUNTBLANK(OFFSET(A$1,,,SUMPRODUCT(MAX(ROW(E$2:E706)*(E706=E$2:E706)))))-COUNTBLANK(OFFSET(A$1,,,SUMPRODUCT(MAX(ROW(E$1:E705)*(E2=E$1:E705))))))</f>
        <v> </v>
      </c>
      <c r="K706" s="25" t="str">
        <f>IF(OR(E706="",E706="!!!",F706="NEW"),"",INDEX(J$1:J705,SUMPRODUCT(MAX(ROW(E$1:E705)*(E706=E$1:E705)))))</f>
        <v> </v>
      </c>
      <c r="L706" s="26"/>
    </row>
    <row r="707" spans="1:12">
      <c r="A707" s="20"/>
    </row>
    <row r="708" spans="1:12">
      <c r="A708" s="20" t="s">
        <v>781</v>
      </c>
    </row>
    <row r="709" spans="1:12">
      <c r="A709" s="20" t="s">
        <v>782</v>
      </c>
      <c r="E709" s="21">
        <f>IF(D709="?OLD","!!!","")</f>
        <v/>
      </c>
      <c r="F709" s="22" t="str">
        <f>IF(OR(E709="",E709="!!!"),"",IF(NOT(ISNA(VLOOKUP(E709,E$1:E708,1,FALSE()))),"OLD",IF(AND(E709&lt;&gt;"",E709&lt;&gt;"!!!"),"NEW","")))</f>
        <v> </v>
      </c>
      <c r="G709" s="23" t="str">
        <f>IF(OR(E709="",E709="!!!"),"",IF(OR(J709=0,AND(J709=1,K709=1),AND(J709=1,I709="SBJ"),AND(J709=1,I709=0)),"?IN_FOCUS",IF(J709&lt;=2,"?ACTIVATED",IF(J709&lt;&gt;"","?FAMILIAR",IF(F709="NEW",IF(ISNA(VLOOKUP(E709,#REF!,1,FALSE())),"?TYPE_IDENTIFIABLE","?REFERENTIAL"),"_")))))</f>
        <v> </v>
      </c>
      <c r="H709" s="24" t="str">
        <f>IF(J709&lt;&gt;1,"",IF(I709="SBJ","CB","?"))</f>
        <v> </v>
      </c>
      <c r="I709" s="25" t="str">
        <f>IF(OR(E709="",E709="!!!",F709="NEW"),"",INDEX(B708:B$2,-1+SUMPRODUCT(MAX(ROW(E708:E$2)*(E709=E708:E$2)))))</f>
        <v> </v>
      </c>
      <c r="J709" s="25" t="str">
        <f>IF(OR(E709="",E709="!!!",F709="NEW"),"",COUNTBLANK(OFFSET(A$1,,,SUMPRODUCT(MAX(ROW(E$2:E709)*(E709=E$2:E709)))))-COUNTBLANK(OFFSET(A$1,,,SUMPRODUCT(MAX(ROW(E$1:E708)*(E2=E$1:E708))))))</f>
        <v> </v>
      </c>
      <c r="K709" s="25" t="str">
        <f>IF(OR(E709="",E709="!!!",F709="NEW"),"",INDEX(J$1:J708,SUMPRODUCT(MAX(ROW(E$1:E708)*(E709=E$1:E708)))))</f>
        <v> </v>
      </c>
      <c r="L709" s="26"/>
    </row>
    <row r="710" spans="1:12">
      <c r="A710" s="20" t="s">
        <v>492</v>
      </c>
      <c r="E710" s="21">
        <f>IF(D710="?OLD","!!!","")</f>
        <v/>
      </c>
      <c r="F710" s="22" t="str">
        <f>IF(OR(E710="",E710="!!!"),"",IF(NOT(ISNA(VLOOKUP(E710,E$1:E709,1,FALSE()))),"OLD",IF(AND(E710&lt;&gt;"",E710&lt;&gt;"!!!"),"NEW","")))</f>
        <v> </v>
      </c>
      <c r="G710" s="23" t="str">
        <f>IF(OR(E710="",E710="!!!"),"",IF(OR(J710=0,AND(J710=1,K710=1),AND(J710=1,I710="SBJ"),AND(J710=1,I710=0)),"?IN_FOCUS",IF(J710&lt;=2,"?ACTIVATED",IF(J710&lt;&gt;"","?FAMILIAR",IF(F710="NEW",IF(ISNA(VLOOKUP(E710,#REF!,1,FALSE())),"?TYPE_IDENTIFIABLE","?REFERENTIAL"),"_")))))</f>
        <v> </v>
      </c>
      <c r="H710" s="24" t="str">
        <f>IF(J710&lt;&gt;1,"",IF(I710="SBJ","CB","?"))</f>
        <v> </v>
      </c>
      <c r="I710" s="25" t="str">
        <f>IF(OR(E710="",E710="!!!",F710="NEW"),"",INDEX(B709:B$2,-1+SUMPRODUCT(MAX(ROW(E709:E$2)*(E710=E709:E$2)))))</f>
        <v> </v>
      </c>
      <c r="J710" s="25" t="str">
        <f>IF(OR(E710="",E710="!!!",F710="NEW"),"",COUNTBLANK(OFFSET(A$1,,,SUMPRODUCT(MAX(ROW(E$2:E710)*(E710=E$2:E710)))))-COUNTBLANK(OFFSET(A$1,,,SUMPRODUCT(MAX(ROW(E$1:E709)*(E2=E$1:E709))))))</f>
        <v> </v>
      </c>
      <c r="K710" s="25" t="str">
        <f>IF(OR(E710="",E710="!!!",F710="NEW"),"",INDEX(J$1:J709,SUMPRODUCT(MAX(ROW(E$1:E709)*(E710=E$1:E709)))))</f>
        <v> </v>
      </c>
      <c r="L710" s="26"/>
    </row>
    <row r="711" spans="1:12">
      <c r="A711" s="20" t="s">
        <v>503</v>
      </c>
      <c r="E711" s="21">
        <f>IF(D711="?OLD","!!!","")</f>
        <v/>
      </c>
      <c r="F711" s="22" t="str">
        <f>IF(OR(E711="",E711="!!!"),"",IF(NOT(ISNA(VLOOKUP(E711,E$1:E710,1,FALSE()))),"OLD",IF(AND(E711&lt;&gt;"",E711&lt;&gt;"!!!"),"NEW","")))</f>
        <v> </v>
      </c>
      <c r="G711" s="23" t="str">
        <f>IF(OR(E711="",E711="!!!"),"",IF(OR(J711=0,AND(J711=1,K711=1),AND(J711=1,I711="SBJ"),AND(J711=1,I711=0)),"?IN_FOCUS",IF(J711&lt;=2,"?ACTIVATED",IF(J711&lt;&gt;"","?FAMILIAR",IF(F711="NEW",IF(ISNA(VLOOKUP(E711,#REF!,1,FALSE())),"?TYPE_IDENTIFIABLE","?REFERENTIAL"),"_")))))</f>
        <v> </v>
      </c>
      <c r="H711" s="24" t="str">
        <f>IF(J711&lt;&gt;1,"",IF(I711="SBJ","CB","?"))</f>
        <v> </v>
      </c>
      <c r="I711" s="25" t="str">
        <f>IF(OR(E711="",E711="!!!",F711="NEW"),"",INDEX(B710:B$2,-1+SUMPRODUCT(MAX(ROW(E710:E$2)*(E711=E710:E$2)))))</f>
        <v> </v>
      </c>
      <c r="J711" s="25" t="str">
        <f>IF(OR(E711="",E711="!!!",F711="NEW"),"",COUNTBLANK(OFFSET(A$1,,,SUMPRODUCT(MAX(ROW(E$2:E711)*(E711=E$2:E711)))))-COUNTBLANK(OFFSET(A$1,,,SUMPRODUCT(MAX(ROW(E$1:E710)*(E2=E$1:E710))))))</f>
        <v> </v>
      </c>
      <c r="K711" s="25" t="str">
        <f>IF(OR(E711="",E711="!!!",F711="NEW"),"",INDEX(J$1:J710,SUMPRODUCT(MAX(ROW(E$1:E710)*(E711=E$1:E710)))))</f>
        <v> </v>
      </c>
      <c r="L711" s="26"/>
    </row>
    <row r="712" spans="1:12">
      <c r="A712" s="20" t="s">
        <v>61</v>
      </c>
      <c r="B712" s="27" t="s">
        <v>549</v>
      </c>
      <c r="C712" s="27" t="s">
        <v>487</v>
      </c>
      <c r="D712" s="27" t="s">
        <v>483</v>
      </c>
      <c r="E712" s="21">
        <f>IF(D712="?OLD","!!!","")</f>
        <v/>
      </c>
      <c r="F712" s="22" t="str">
        <f>IF(OR(E712="",E712="!!!"),"",IF(NOT(ISNA(VLOOKUP(E712,E$1:E711,1,FALSE()))),"OLD",IF(AND(E712&lt;&gt;"",E712&lt;&gt;"!!!"),"NEW","")))</f>
        <v> </v>
      </c>
      <c r="G712" s="23" t="str">
        <f>IF(OR(E712="",E712="!!!"),"",IF(OR(J712=0,AND(J712=1,K712=1),AND(J712=1,I712="SBJ"),AND(J712=1,I712=0)),"?IN_FOCUS",IF(J712&lt;=2,"?ACTIVATED",IF(J712&lt;&gt;"","?FAMILIAR",IF(F712="NEW",IF(ISNA(VLOOKUP(E712,#REF!,1,FALSE())),"?TYPE_IDENTIFIABLE","?REFERENTIAL"),"_")))))</f>
        <v> </v>
      </c>
      <c r="H712" s="24" t="str">
        <f>IF(J712&lt;&gt;1,"",IF(I712="SBJ","CB","?"))</f>
        <v> </v>
      </c>
      <c r="I712" s="25" t="str">
        <f>IF(OR(E712="",E712="!!!",F712="NEW"),"",INDEX(B711:B$2,-1+SUMPRODUCT(MAX(ROW(E711:E$2)*(E712=E711:E$2)))))</f>
        <v> </v>
      </c>
      <c r="J712" s="25" t="str">
        <f>IF(OR(E712="",E712="!!!",F712="NEW"),"",COUNTBLANK(OFFSET(A$1,,,SUMPRODUCT(MAX(ROW(E$2:E712)*(E712=E$2:E712)))))-COUNTBLANK(OFFSET(A$1,,,SUMPRODUCT(MAX(ROW(E$1:E711)*(E2=E$1:E711))))))</f>
        <v> </v>
      </c>
      <c r="K712" s="25" t="str">
        <f>IF(OR(E712="",E712="!!!",F712="NEW"),"",INDEX(J$1:J711,SUMPRODUCT(MAX(ROW(E$1:E711)*(E712=E$1:E711)))))</f>
        <v> </v>
      </c>
      <c r="L712" s="26"/>
    </row>
    <row r="713" spans="1:12">
      <c r="A713" s="20" t="s">
        <v>557</v>
      </c>
      <c r="E713" s="21">
        <f>IF(D713="?OLD","!!!","")</f>
        <v/>
      </c>
      <c r="F713" s="22" t="str">
        <f>IF(OR(E713="",E713="!!!"),"",IF(NOT(ISNA(VLOOKUP(E713,E$1:E712,1,FALSE()))),"OLD",IF(AND(E713&lt;&gt;"",E713&lt;&gt;"!!!"),"NEW","")))</f>
        <v> </v>
      </c>
      <c r="G713" s="23" t="str">
        <f>IF(OR(E713="",E713="!!!"),"",IF(OR(J713=0,AND(J713=1,K713=1),AND(J713=1,I713="SBJ"),AND(J713=1,I713=0)),"?IN_FOCUS",IF(J713&lt;=2,"?ACTIVATED",IF(J713&lt;&gt;"","?FAMILIAR",IF(F713="NEW",IF(ISNA(VLOOKUP(E713,#REF!,1,FALSE())),"?TYPE_IDENTIFIABLE","?REFERENTIAL"),"_")))))</f>
        <v> </v>
      </c>
      <c r="H713" s="24" t="str">
        <f>IF(J713&lt;&gt;1,"",IF(I713="SBJ","CB","?"))</f>
        <v> </v>
      </c>
      <c r="I713" s="25" t="str">
        <f>IF(OR(E713="",E713="!!!",F713="NEW"),"",INDEX(B712:B$2,-1+SUMPRODUCT(MAX(ROW(E712:E$2)*(E713=E712:E$2)))))</f>
        <v> </v>
      </c>
      <c r="J713" s="25" t="str">
        <f>IF(OR(E713="",E713="!!!",F713="NEW"),"",COUNTBLANK(OFFSET(A$1,,,SUMPRODUCT(MAX(ROW(E$2:E713)*(E713=E$2:E713)))))-COUNTBLANK(OFFSET(A$1,,,SUMPRODUCT(MAX(ROW(E$1:E712)*(E2=E$1:E712))))))</f>
        <v> </v>
      </c>
      <c r="K713" s="25" t="str">
        <f>IF(OR(E713="",E713="!!!",F713="NEW"),"",INDEX(J$1:J712,SUMPRODUCT(MAX(ROW(E$1:E712)*(E713=E$1:E712)))))</f>
        <v> </v>
      </c>
      <c r="L713" s="26"/>
    </row>
    <row r="714" spans="1:12">
      <c r="A714" s="20" t="s">
        <v>676</v>
      </c>
      <c r="E714" s="21">
        <f>IF(D714="?OLD","!!!","")</f>
        <v/>
      </c>
      <c r="F714" s="22" t="str">
        <f>IF(OR(E714="",E714="!!!"),"",IF(NOT(ISNA(VLOOKUP(E714,E$1:E713,1,FALSE()))),"OLD",IF(AND(E714&lt;&gt;"",E714&lt;&gt;"!!!"),"NEW","")))</f>
        <v> </v>
      </c>
      <c r="G714" s="23" t="str">
        <f>IF(OR(E714="",E714="!!!"),"",IF(OR(J714=0,AND(J714=1,K714=1),AND(J714=1,I714="SBJ"),AND(J714=1,I714=0)),"?IN_FOCUS",IF(J714&lt;=2,"?ACTIVATED",IF(J714&lt;&gt;"","?FAMILIAR",IF(F714="NEW",IF(ISNA(VLOOKUP(E714,#REF!,1,FALSE())),"?TYPE_IDENTIFIABLE","?REFERENTIAL"),"_")))))</f>
        <v> </v>
      </c>
      <c r="H714" s="24" t="str">
        <f>IF(J714&lt;&gt;1,"",IF(I714="SBJ","CB","?"))</f>
        <v> </v>
      </c>
      <c r="I714" s="25" t="str">
        <f>IF(OR(E714="",E714="!!!",F714="NEW"),"",INDEX(B713:B$2,-1+SUMPRODUCT(MAX(ROW(E713:E$2)*(E714=E713:E$2)))))</f>
        <v> </v>
      </c>
      <c r="J714" s="25" t="str">
        <f>IF(OR(E714="",E714="!!!",F714="NEW"),"",COUNTBLANK(OFFSET(A$1,,,SUMPRODUCT(MAX(ROW(E$2:E714)*(E714=E$2:E714)))))-COUNTBLANK(OFFSET(A$1,,,SUMPRODUCT(MAX(ROW(E$1:E713)*(E2=E$1:E713))))))</f>
        <v> </v>
      </c>
      <c r="K714" s="25" t="str">
        <f>IF(OR(E714="",E714="!!!",F714="NEW"),"",INDEX(J$1:J713,SUMPRODUCT(MAX(ROW(E$1:E713)*(E714=E$1:E713)))))</f>
        <v> </v>
      </c>
      <c r="L714" s="26"/>
    </row>
    <row r="715" spans="1:12">
      <c r="A715" s="20" t="s">
        <v>489</v>
      </c>
      <c r="E715" s="21">
        <f>IF(D715="?OLD","!!!","")</f>
        <v/>
      </c>
      <c r="F715" s="22" t="str">
        <f>IF(OR(E715="",E715="!!!"),"",IF(NOT(ISNA(VLOOKUP(E715,E$1:E714,1,FALSE()))),"OLD",IF(AND(E715&lt;&gt;"",E715&lt;&gt;"!!!"),"NEW","")))</f>
        <v> </v>
      </c>
      <c r="G715" s="23" t="str">
        <f>IF(OR(E715="",E715="!!!"),"",IF(OR(J715=0,AND(J715=1,K715=1),AND(J715=1,I715="SBJ"),AND(J715=1,I715=0)),"?IN_FOCUS",IF(J715&lt;=2,"?ACTIVATED",IF(J715&lt;&gt;"","?FAMILIAR",IF(F715="NEW",IF(ISNA(VLOOKUP(E715,#REF!,1,FALSE())),"?TYPE_IDENTIFIABLE","?REFERENTIAL"),"_")))))</f>
        <v> </v>
      </c>
      <c r="H715" s="24" t="str">
        <f>IF(J715&lt;&gt;1,"",IF(I715="SBJ","CB","?"))</f>
        <v> </v>
      </c>
      <c r="I715" s="25" t="str">
        <f>IF(OR(E715="",E715="!!!",F715="NEW"),"",INDEX(B714:B$2,-1+SUMPRODUCT(MAX(ROW(E714:E$2)*(E715=E714:E$2)))))</f>
        <v> </v>
      </c>
      <c r="J715" s="25" t="str">
        <f>IF(OR(E715="",E715="!!!",F715="NEW"),"",COUNTBLANK(OFFSET(A$1,,,SUMPRODUCT(MAX(ROW(E$2:E715)*(E715=E$2:E715)))))-COUNTBLANK(OFFSET(A$1,,,SUMPRODUCT(MAX(ROW(E$1:E714)*(E2=E$1:E714))))))</f>
        <v> </v>
      </c>
      <c r="K715" s="25" t="str">
        <f>IF(OR(E715="",E715="!!!",F715="NEW"),"",INDEX(J$1:J714,SUMPRODUCT(MAX(ROW(E$1:E714)*(E715=E$1:E714)))))</f>
        <v> </v>
      </c>
      <c r="L715" s="26"/>
    </row>
    <row r="716" spans="1:12">
      <c r="A716" s="20" t="s">
        <v>680</v>
      </c>
      <c r="E716" s="21">
        <f>IF(D716="?OLD","!!!","")</f>
        <v/>
      </c>
      <c r="F716" s="22" t="str">
        <f>IF(OR(E716="",E716="!!!"),"",IF(NOT(ISNA(VLOOKUP(E716,E$1:E715,1,FALSE()))),"OLD",IF(AND(E716&lt;&gt;"",E716&lt;&gt;"!!!"),"NEW","")))</f>
        <v> </v>
      </c>
      <c r="G716" s="23" t="str">
        <f>IF(OR(E716="",E716="!!!"),"",IF(OR(J716=0,AND(J716=1,K716=1),AND(J716=1,I716="SBJ"),AND(J716=1,I716=0)),"?IN_FOCUS",IF(J716&lt;=2,"?ACTIVATED",IF(J716&lt;&gt;"","?FAMILIAR",IF(F716="NEW",IF(ISNA(VLOOKUP(E716,#REF!,1,FALSE())),"?TYPE_IDENTIFIABLE","?REFERENTIAL"),"_")))))</f>
        <v> </v>
      </c>
      <c r="H716" s="24" t="str">
        <f>IF(J716&lt;&gt;1,"",IF(I716="SBJ","CB","?"))</f>
        <v> </v>
      </c>
      <c r="I716" s="25" t="str">
        <f>IF(OR(E716="",E716="!!!",F716="NEW"),"",INDEX(B715:B$2,-1+SUMPRODUCT(MAX(ROW(E715:E$2)*(E716=E715:E$2)))))</f>
        <v> </v>
      </c>
      <c r="J716" s="25" t="str">
        <f>IF(OR(E716="",E716="!!!",F716="NEW"),"",COUNTBLANK(OFFSET(A$1,,,SUMPRODUCT(MAX(ROW(E$2:E716)*(E716=E$2:E716)))))-COUNTBLANK(OFFSET(A$1,,,SUMPRODUCT(MAX(ROW(E$1:E715)*(E2=E$1:E715))))))</f>
        <v> </v>
      </c>
      <c r="K716" s="25" t="str">
        <f>IF(OR(E716="",E716="!!!",F716="NEW"),"",INDEX(J$1:J715,SUMPRODUCT(MAX(ROW(E$1:E715)*(E716=E$1:E715)))))</f>
        <v> </v>
      </c>
      <c r="L716" s="26"/>
    </row>
    <row r="717" spans="1:12">
      <c r="A717" s="20" t="s">
        <v>484</v>
      </c>
      <c r="E717" s="21">
        <f>IF(D717="?OLD","!!!","")</f>
        <v/>
      </c>
      <c r="F717" s="22" t="str">
        <f>IF(OR(E717="",E717="!!!"),"",IF(NOT(ISNA(VLOOKUP(E717,E$1:E716,1,FALSE()))),"OLD",IF(AND(E717&lt;&gt;"",E717&lt;&gt;"!!!"),"NEW","")))</f>
        <v> </v>
      </c>
      <c r="G717" s="23" t="str">
        <f>IF(OR(E717="",E717="!!!"),"",IF(OR(J717=0,AND(J717=1,K717=1),AND(J717=1,I717="SBJ"),AND(J717=1,I717=0)),"?IN_FOCUS",IF(J717&lt;=2,"?ACTIVATED",IF(J717&lt;&gt;"","?FAMILIAR",IF(F717="NEW",IF(ISNA(VLOOKUP(E717,#REF!,1,FALSE())),"?TYPE_IDENTIFIABLE","?REFERENTIAL"),"_")))))</f>
        <v> </v>
      </c>
      <c r="H717" s="24" t="str">
        <f>IF(J717&lt;&gt;1,"",IF(I717="SBJ","CB","?"))</f>
        <v> </v>
      </c>
      <c r="I717" s="25" t="str">
        <f>IF(OR(E717="",E717="!!!",F717="NEW"),"",INDEX(B716:B$2,-1+SUMPRODUCT(MAX(ROW(E716:E$2)*(E717=E716:E$2)))))</f>
        <v> </v>
      </c>
      <c r="J717" s="25" t="str">
        <f>IF(OR(E717="",E717="!!!",F717="NEW"),"",COUNTBLANK(OFFSET(A$1,,,SUMPRODUCT(MAX(ROW(E$2:E717)*(E717=E$2:E717)))))-COUNTBLANK(OFFSET(A$1,,,SUMPRODUCT(MAX(ROW(E$1:E716)*(E2=E$1:E716))))))</f>
        <v> </v>
      </c>
      <c r="K717" s="25" t="str">
        <f>IF(OR(E717="",E717="!!!",F717="NEW"),"",INDEX(J$1:J716,SUMPRODUCT(MAX(ROW(E$1:E716)*(E717=E$1:E716)))))</f>
        <v> </v>
      </c>
      <c r="L717" s="26"/>
    </row>
    <row r="718" spans="1:12">
      <c r="A718" s="20" t="s">
        <v>670</v>
      </c>
      <c r="B718" s="27" t="s">
        <v>477</v>
      </c>
      <c r="C718" s="27" t="s">
        <v>516</v>
      </c>
      <c r="E718" s="21">
        <f>IF(D718="?OLD","!!!","")</f>
        <v/>
      </c>
      <c r="F718" s="22" t="str">
        <f>IF(OR(E718="",E718="!!!"),"",IF(NOT(ISNA(VLOOKUP(E718,E$1:E717,1,FALSE()))),"OLD",IF(AND(E718&lt;&gt;"",E718&lt;&gt;"!!!"),"NEW","")))</f>
        <v> </v>
      </c>
      <c r="G718" s="23" t="str">
        <f>IF(OR(E718="",E718="!!!"),"",IF(OR(J718=0,AND(J718=1,K718=1),AND(J718=1,I718="SBJ"),AND(J718=1,I718=0)),"?IN_FOCUS",IF(J718&lt;=2,"?ACTIVATED",IF(J718&lt;&gt;"","?FAMILIAR",IF(F718="NEW",IF(ISNA(VLOOKUP(E718,#REF!,1,FALSE())),"?TYPE_IDENTIFIABLE","?REFERENTIAL"),"_")))))</f>
        <v> </v>
      </c>
      <c r="H718" s="24" t="str">
        <f>IF(J718&lt;&gt;1,"",IF(I718="SBJ","CB","?"))</f>
        <v> </v>
      </c>
      <c r="I718" s="25" t="str">
        <f>IF(OR(E718="",E718="!!!",F718="NEW"),"",INDEX(B717:B$2,-1+SUMPRODUCT(MAX(ROW(E717:E$2)*(E718=E717:E$2)))))</f>
        <v> </v>
      </c>
      <c r="J718" s="25" t="str">
        <f>IF(OR(E718="",E718="!!!",F718="NEW"),"",COUNTBLANK(OFFSET(A$1,,,SUMPRODUCT(MAX(ROW(E$2:E718)*(E718=E$2:E718)))))-COUNTBLANK(OFFSET(A$1,,,SUMPRODUCT(MAX(ROW(E$1:E717)*(E2=E$1:E717))))))</f>
        <v> </v>
      </c>
      <c r="K718" s="25" t="str">
        <f>IF(OR(E718="",E718="!!!",F718="NEW"),"",INDEX(J$1:J717,SUMPRODUCT(MAX(ROW(E$1:E717)*(E718=E$1:E717)))))</f>
        <v> </v>
      </c>
      <c r="L718" s="26"/>
    </row>
    <row r="719" spans="1:12">
      <c r="A719" s="20" t="s">
        <v>671</v>
      </c>
      <c r="E719" s="21">
        <f>IF(D719="?OLD","!!!","")</f>
        <v/>
      </c>
      <c r="F719" s="22" t="str">
        <f>IF(OR(E719="",E719="!!!"),"",IF(NOT(ISNA(VLOOKUP(E719,E$1:E718,1,FALSE()))),"OLD",IF(AND(E719&lt;&gt;"",E719&lt;&gt;"!!!"),"NEW","")))</f>
        <v> </v>
      </c>
      <c r="G719" s="23" t="str">
        <f>IF(OR(E719="",E719="!!!"),"",IF(OR(J719=0,AND(J719=1,K719=1),AND(J719=1,I719="SBJ"),AND(J719=1,I719=0)),"?IN_FOCUS",IF(J719&lt;=2,"?ACTIVATED",IF(J719&lt;&gt;"","?FAMILIAR",IF(F719="NEW",IF(ISNA(VLOOKUP(E719,#REF!,1,FALSE())),"?TYPE_IDENTIFIABLE","?REFERENTIAL"),"_")))))</f>
        <v> </v>
      </c>
      <c r="H719" s="24" t="str">
        <f>IF(J719&lt;&gt;1,"",IF(I719="SBJ","CB","?"))</f>
        <v> </v>
      </c>
      <c r="I719" s="25" t="str">
        <f>IF(OR(E719="",E719="!!!",F719="NEW"),"",INDEX(B718:B$2,-1+SUMPRODUCT(MAX(ROW(E718:E$2)*(E719=E718:E$2)))))</f>
        <v> </v>
      </c>
      <c r="J719" s="25" t="str">
        <f>IF(OR(E719="",E719="!!!",F719="NEW"),"",COUNTBLANK(OFFSET(A$1,,,SUMPRODUCT(MAX(ROW(E$2:E719)*(E719=E$2:E719)))))-COUNTBLANK(OFFSET(A$1,,,SUMPRODUCT(MAX(ROW(E$1:E718)*(E2=E$1:E718))))))</f>
        <v> </v>
      </c>
      <c r="K719" s="25" t="str">
        <f>IF(OR(E719="",E719="!!!",F719="NEW"),"",INDEX(J$1:J718,SUMPRODUCT(MAX(ROW(E$1:E718)*(E719=E$1:E718)))))</f>
        <v> </v>
      </c>
      <c r="L719" s="26"/>
    </row>
    <row r="720" spans="1:12">
      <c r="A720" s="20" t="s">
        <v>489</v>
      </c>
      <c r="E720" s="21">
        <f>IF(D720="?OLD","!!!","")</f>
        <v/>
      </c>
      <c r="F720" s="22" t="str">
        <f>IF(OR(E720="",E720="!!!"),"",IF(NOT(ISNA(VLOOKUP(E720,E$1:E719,1,FALSE()))),"OLD",IF(AND(E720&lt;&gt;"",E720&lt;&gt;"!!!"),"NEW","")))</f>
        <v> </v>
      </c>
      <c r="G720" s="23" t="str">
        <f>IF(OR(E720="",E720="!!!"),"",IF(OR(J720=0,AND(J720=1,K720=1),AND(J720=1,I720="SBJ"),AND(J720=1,I720=0)),"?IN_FOCUS",IF(J720&lt;=2,"?ACTIVATED",IF(J720&lt;&gt;"","?FAMILIAR",IF(F720="NEW",IF(ISNA(VLOOKUP(E720,#REF!,1,FALSE())),"?TYPE_IDENTIFIABLE","?REFERENTIAL"),"_")))))</f>
        <v> </v>
      </c>
      <c r="H720" s="24" t="str">
        <f>IF(J720&lt;&gt;1,"",IF(I720="SBJ","CB","?"))</f>
        <v> </v>
      </c>
      <c r="I720" s="25" t="str">
        <f>IF(OR(E720="",E720="!!!",F720="NEW"),"",INDEX(B719:B$2,-1+SUMPRODUCT(MAX(ROW(E719:E$2)*(E720=E719:E$2)))))</f>
        <v> </v>
      </c>
      <c r="J720" s="25" t="str">
        <f>IF(OR(E720="",E720="!!!",F720="NEW"),"",COUNTBLANK(OFFSET(A$1,,,SUMPRODUCT(MAX(ROW(E$2:E720)*(E720=E$2:E720)))))-COUNTBLANK(OFFSET(A$1,,,SUMPRODUCT(MAX(ROW(E$1:E719)*(E2=E$1:E719))))))</f>
        <v> </v>
      </c>
      <c r="K720" s="25" t="str">
        <f>IF(OR(E720="",E720="!!!",F720="NEW"),"",INDEX(J$1:J719,SUMPRODUCT(MAX(ROW(E$1:E719)*(E720=E$1:E719)))))</f>
        <v> </v>
      </c>
      <c r="L720" s="26"/>
    </row>
    <row r="721" spans="1:12">
      <c r="A721" s="20" t="s">
        <v>783</v>
      </c>
      <c r="E721" s="21">
        <f>IF(D721="?OLD","!!!","")</f>
        <v/>
      </c>
      <c r="F721" s="22" t="str">
        <f>IF(OR(E721="",E721="!!!"),"",IF(NOT(ISNA(VLOOKUP(E721,E$1:E720,1,FALSE()))),"OLD",IF(AND(E721&lt;&gt;"",E721&lt;&gt;"!!!"),"NEW","")))</f>
        <v> </v>
      </c>
      <c r="G721" s="23" t="str">
        <f>IF(OR(E721="",E721="!!!"),"",IF(OR(J721=0,AND(J721=1,K721=1),AND(J721=1,I721="SBJ"),AND(J721=1,I721=0)),"?IN_FOCUS",IF(J721&lt;=2,"?ACTIVATED",IF(J721&lt;&gt;"","?FAMILIAR",IF(F721="NEW",IF(ISNA(VLOOKUP(E721,#REF!,1,FALSE())),"?TYPE_IDENTIFIABLE","?REFERENTIAL"),"_")))))</f>
        <v> </v>
      </c>
      <c r="H721" s="24" t="str">
        <f>IF(J721&lt;&gt;1,"",IF(I721="SBJ","CB","?"))</f>
        <v> </v>
      </c>
      <c r="I721" s="25" t="str">
        <f>IF(OR(E721="",E721="!!!",F721="NEW"),"",INDEX(B720:B$2,-1+SUMPRODUCT(MAX(ROW(E720:E$2)*(E721=E720:E$2)))))</f>
        <v> </v>
      </c>
      <c r="J721" s="25" t="str">
        <f>IF(OR(E721="",E721="!!!",F721="NEW"),"",COUNTBLANK(OFFSET(A$1,,,SUMPRODUCT(MAX(ROW(E$2:E721)*(E721=E$2:E721)))))-COUNTBLANK(OFFSET(A$1,,,SUMPRODUCT(MAX(ROW(E$1:E720)*(E2=E$1:E720))))))</f>
        <v> </v>
      </c>
      <c r="K721" s="25" t="str">
        <f>IF(OR(E721="",E721="!!!",F721="NEW"),"",INDEX(J$1:J720,SUMPRODUCT(MAX(ROW(E$1:E720)*(E721=E$1:E720)))))</f>
        <v> </v>
      </c>
      <c r="L721" s="26"/>
    </row>
    <row r="722" spans="1:12">
      <c r="A722" s="20" t="s">
        <v>784</v>
      </c>
      <c r="E722" s="21">
        <f>IF(D722="?OLD","!!!","")</f>
        <v/>
      </c>
      <c r="F722" s="22" t="str">
        <f>IF(OR(E722="",E722="!!!"),"",IF(NOT(ISNA(VLOOKUP(E722,E$1:E721,1,FALSE()))),"OLD",IF(AND(E722&lt;&gt;"",E722&lt;&gt;"!!!"),"NEW","")))</f>
        <v> </v>
      </c>
      <c r="G722" s="23" t="str">
        <f>IF(OR(E722="",E722="!!!"),"",IF(OR(J722=0,AND(J722=1,K722=1),AND(J722=1,I722="SBJ"),AND(J722=1,I722=0)),"?IN_FOCUS",IF(J722&lt;=2,"?ACTIVATED",IF(J722&lt;&gt;"","?FAMILIAR",IF(F722="NEW",IF(ISNA(VLOOKUP(E722,#REF!,1,FALSE())),"?TYPE_IDENTIFIABLE","?REFERENTIAL"),"_")))))</f>
        <v> </v>
      </c>
      <c r="H722" s="24" t="str">
        <f>IF(J722&lt;&gt;1,"",IF(I722="SBJ","CB","?"))</f>
        <v> </v>
      </c>
      <c r="I722" s="25" t="str">
        <f>IF(OR(E722="",E722="!!!",F722="NEW"),"",INDEX(B721:B$2,-1+SUMPRODUCT(MAX(ROW(E721:E$2)*(E722=E721:E$2)))))</f>
        <v> </v>
      </c>
      <c r="J722" s="25" t="str">
        <f>IF(OR(E722="",E722="!!!",F722="NEW"),"",COUNTBLANK(OFFSET(A$1,,,SUMPRODUCT(MAX(ROW(E$2:E722)*(E722=E$2:E722)))))-COUNTBLANK(OFFSET(A$1,,,SUMPRODUCT(MAX(ROW(E$1:E721)*(E2=E$1:E721))))))</f>
        <v> </v>
      </c>
      <c r="K722" s="25" t="str">
        <f>IF(OR(E722="",E722="!!!",F722="NEW"),"",INDEX(J$1:J721,SUMPRODUCT(MAX(ROW(E$1:E721)*(E722=E$1:E721)))))</f>
        <v> </v>
      </c>
      <c r="L722" s="26"/>
    </row>
    <row r="723" spans="1:12">
      <c r="A723" s="20" t="s">
        <v>528</v>
      </c>
      <c r="E723" s="21">
        <f>IF(D723="?OLD","!!!","")</f>
        <v/>
      </c>
      <c r="F723" s="22" t="str">
        <f>IF(OR(E723="",E723="!!!"),"",IF(NOT(ISNA(VLOOKUP(E723,E$1:E722,1,FALSE()))),"OLD",IF(AND(E723&lt;&gt;"",E723&lt;&gt;"!!!"),"NEW","")))</f>
        <v> </v>
      </c>
      <c r="G723" s="23" t="str">
        <f>IF(OR(E723="",E723="!!!"),"",IF(OR(J723=0,AND(J723=1,K723=1),AND(J723=1,I723="SBJ"),AND(J723=1,I723=0)),"?IN_FOCUS",IF(J723&lt;=2,"?ACTIVATED",IF(J723&lt;&gt;"","?FAMILIAR",IF(F723="NEW",IF(ISNA(VLOOKUP(E723,#REF!,1,FALSE())),"?TYPE_IDENTIFIABLE","?REFERENTIAL"),"_")))))</f>
        <v> </v>
      </c>
      <c r="H723" s="24" t="str">
        <f>IF(J723&lt;&gt;1,"",IF(I723="SBJ","CB","?"))</f>
        <v> </v>
      </c>
      <c r="I723" s="25" t="str">
        <f>IF(OR(E723="",E723="!!!",F723="NEW"),"",INDEX(B722:B$2,-1+SUMPRODUCT(MAX(ROW(E722:E$2)*(E723=E722:E$2)))))</f>
        <v> </v>
      </c>
      <c r="J723" s="25" t="str">
        <f>IF(OR(E723="",E723="!!!",F723="NEW"),"",COUNTBLANK(OFFSET(A$1,,,SUMPRODUCT(MAX(ROW(E$2:E723)*(E723=E$2:E723)))))-COUNTBLANK(OFFSET(A$1,,,SUMPRODUCT(MAX(ROW(E$1:E722)*(E2=E$1:E722))))))</f>
        <v> </v>
      </c>
      <c r="K723" s="25" t="str">
        <f>IF(OR(E723="",E723="!!!",F723="NEW"),"",INDEX(J$1:J722,SUMPRODUCT(MAX(ROW(E$1:E722)*(E723=E$1:E722)))))</f>
        <v> </v>
      </c>
      <c r="L723" s="26"/>
    </row>
    <row r="724" spans="1:12">
      <c r="A724" s="20" t="s">
        <v>495</v>
      </c>
      <c r="E724" s="21">
        <f>IF(D724="?OLD","!!!","")</f>
        <v/>
      </c>
      <c r="F724" s="22" t="str">
        <f>IF(OR(E724="",E724="!!!"),"",IF(NOT(ISNA(VLOOKUP(E724,E$1:E723,1,FALSE()))),"OLD",IF(AND(E724&lt;&gt;"",E724&lt;&gt;"!!!"),"NEW","")))</f>
        <v> </v>
      </c>
      <c r="G724" s="23" t="str">
        <f>IF(OR(E724="",E724="!!!"),"",IF(OR(J724=0,AND(J724=1,K724=1),AND(J724=1,I724="SBJ"),AND(J724=1,I724=0)),"?IN_FOCUS",IF(J724&lt;=2,"?ACTIVATED",IF(J724&lt;&gt;"","?FAMILIAR",IF(F724="NEW",IF(ISNA(VLOOKUP(E724,#REF!,1,FALSE())),"?TYPE_IDENTIFIABLE","?REFERENTIAL"),"_")))))</f>
        <v> </v>
      </c>
      <c r="H724" s="24" t="str">
        <f>IF(J724&lt;&gt;1,"",IF(I724="SBJ","CB","?"))</f>
        <v> </v>
      </c>
      <c r="I724" s="25" t="str">
        <f>IF(OR(E724="",E724="!!!",F724="NEW"),"",INDEX(B723:B$2,-1+SUMPRODUCT(MAX(ROW(E723:E$2)*(E724=E723:E$2)))))</f>
        <v> </v>
      </c>
      <c r="J724" s="25" t="str">
        <f>IF(OR(E724="",E724="!!!",F724="NEW"),"",COUNTBLANK(OFFSET(A$1,,,SUMPRODUCT(MAX(ROW(E$2:E724)*(E724=E$2:E724)))))-COUNTBLANK(OFFSET(A$1,,,SUMPRODUCT(MAX(ROW(E$1:E723)*(E2=E$1:E723))))))</f>
        <v> </v>
      </c>
      <c r="K724" s="25" t="str">
        <f>IF(OR(E724="",E724="!!!",F724="NEW"),"",INDEX(J$1:J723,SUMPRODUCT(MAX(ROW(E$1:E723)*(E724=E$1:E723)))))</f>
        <v> </v>
      </c>
      <c r="L724" s="26"/>
    </row>
    <row r="725" spans="1:12">
      <c r="A725" s="20" t="s">
        <v>785</v>
      </c>
      <c r="B725" s="27" t="s">
        <v>547</v>
      </c>
      <c r="C725" s="27" t="s">
        <v>498</v>
      </c>
      <c r="E725" s="21">
        <f>IF(D725="?OLD","!!!","")</f>
        <v/>
      </c>
      <c r="F725" s="22" t="str">
        <f>IF(OR(E725="",E725="!!!"),"",IF(NOT(ISNA(VLOOKUP(E725,E$1:E724,1,FALSE()))),"OLD",IF(AND(E725&lt;&gt;"",E725&lt;&gt;"!!!"),"NEW","")))</f>
        <v> </v>
      </c>
      <c r="G725" s="23" t="str">
        <f>IF(OR(E725="",E725="!!!"),"",IF(OR(J725=0,AND(J725=1,K725=1),AND(J725=1,I725="SBJ"),AND(J725=1,I725=0)),"?IN_FOCUS",IF(J725&lt;=2,"?ACTIVATED",IF(J725&lt;&gt;"","?FAMILIAR",IF(F725="NEW",IF(ISNA(VLOOKUP(E725,#REF!,1,FALSE())),"?TYPE_IDENTIFIABLE","?REFERENTIAL"),"_")))))</f>
        <v> </v>
      </c>
      <c r="H725" s="24" t="str">
        <f>IF(J725&lt;&gt;1,"",IF(I725="SBJ","CB","?"))</f>
        <v> </v>
      </c>
      <c r="I725" s="25" t="str">
        <f>IF(OR(E725="",E725="!!!",F725="NEW"),"",INDEX(B724:B$2,-1+SUMPRODUCT(MAX(ROW(E724:E$2)*(E725=E724:E$2)))))</f>
        <v> </v>
      </c>
      <c r="J725" s="25" t="str">
        <f>IF(OR(E725="",E725="!!!",F725="NEW"),"",COUNTBLANK(OFFSET(A$1,,,SUMPRODUCT(MAX(ROW(E$2:E725)*(E725=E$2:E725)))))-COUNTBLANK(OFFSET(A$1,,,SUMPRODUCT(MAX(ROW(E$1:E724)*(E2=E$1:E724))))))</f>
        <v> </v>
      </c>
      <c r="K725" s="25" t="str">
        <f>IF(OR(E725="",E725="!!!",F725="NEW"),"",INDEX(J$1:J724,SUMPRODUCT(MAX(ROW(E$1:E724)*(E725=E$1:E724)))))</f>
        <v> </v>
      </c>
      <c r="L725" s="26"/>
    </row>
    <row r="726" spans="1:12">
      <c r="A726" s="20" t="s">
        <v>489</v>
      </c>
      <c r="E726" s="21">
        <f>IF(D726="?OLD","!!!","")</f>
        <v/>
      </c>
      <c r="F726" s="22" t="str">
        <f>IF(OR(E726="",E726="!!!"),"",IF(NOT(ISNA(VLOOKUP(E726,E$1:E725,1,FALSE()))),"OLD",IF(AND(E726&lt;&gt;"",E726&lt;&gt;"!!!"),"NEW","")))</f>
        <v> </v>
      </c>
      <c r="G726" s="23" t="str">
        <f>IF(OR(E726="",E726="!!!"),"",IF(OR(J726=0,AND(J726=1,K726=1),AND(J726=1,I726="SBJ"),AND(J726=1,I726=0)),"?IN_FOCUS",IF(J726&lt;=2,"?ACTIVATED",IF(J726&lt;&gt;"","?FAMILIAR",IF(F726="NEW",IF(ISNA(VLOOKUP(E726,#REF!,1,FALSE())),"?TYPE_IDENTIFIABLE","?REFERENTIAL"),"_")))))</f>
        <v> </v>
      </c>
      <c r="H726" s="24" t="str">
        <f>IF(J726&lt;&gt;1,"",IF(I726="SBJ","CB","?"))</f>
        <v> </v>
      </c>
      <c r="I726" s="25" t="str">
        <f>IF(OR(E726="",E726="!!!",F726="NEW"),"",INDEX(B725:B$2,-1+SUMPRODUCT(MAX(ROW(E725:E$2)*(E726=E725:E$2)))))</f>
        <v> </v>
      </c>
      <c r="J726" s="25" t="str">
        <f>IF(OR(E726="",E726="!!!",F726="NEW"),"",COUNTBLANK(OFFSET(A$1,,,SUMPRODUCT(MAX(ROW(E$2:E726)*(E726=E$2:E726)))))-COUNTBLANK(OFFSET(A$1,,,SUMPRODUCT(MAX(ROW(E$1:E725)*(E2=E$1:E725))))))</f>
        <v> </v>
      </c>
      <c r="K726" s="25" t="str">
        <f>IF(OR(E726="",E726="!!!",F726="NEW"),"",INDEX(J$1:J725,SUMPRODUCT(MAX(ROW(E$1:E725)*(E726=E$1:E725)))))</f>
        <v> </v>
      </c>
      <c r="L726" s="26"/>
    </row>
    <row r="727" spans="1:12">
      <c r="A727" s="20" t="s">
        <v>485</v>
      </c>
      <c r="E727" s="21">
        <f>IF(D727="?OLD","!!!","")</f>
        <v/>
      </c>
      <c r="F727" s="22" t="str">
        <f>IF(OR(E727="",E727="!!!"),"",IF(NOT(ISNA(VLOOKUP(E727,E$1:E726,1,FALSE()))),"OLD",IF(AND(E727&lt;&gt;"",E727&lt;&gt;"!!!"),"NEW","")))</f>
        <v> </v>
      </c>
      <c r="G727" s="23" t="str">
        <f>IF(OR(E727="",E727="!!!"),"",IF(OR(J727=0,AND(J727=1,K727=1),AND(J727=1,I727="SBJ"),AND(J727=1,I727=0)),"?IN_FOCUS",IF(J727&lt;=2,"?ACTIVATED",IF(J727&lt;&gt;"","?FAMILIAR",IF(F727="NEW",IF(ISNA(VLOOKUP(E727,#REF!,1,FALSE())),"?TYPE_IDENTIFIABLE","?REFERENTIAL"),"_")))))</f>
        <v> </v>
      </c>
      <c r="H727" s="24" t="str">
        <f>IF(J727&lt;&gt;1,"",IF(I727="SBJ","CB","?"))</f>
        <v> </v>
      </c>
      <c r="I727" s="25" t="str">
        <f>IF(OR(E727="",E727="!!!",F727="NEW"),"",INDEX(B726:B$2,-1+SUMPRODUCT(MAX(ROW(E726:E$2)*(E727=E726:E$2)))))</f>
        <v> </v>
      </c>
      <c r="J727" s="25" t="str">
        <f>IF(OR(E727="",E727="!!!",F727="NEW"),"",COUNTBLANK(OFFSET(A$1,,,SUMPRODUCT(MAX(ROW(E$2:E727)*(E727=E$2:E727)))))-COUNTBLANK(OFFSET(A$1,,,SUMPRODUCT(MAX(ROW(E$1:E726)*(E2=E$1:E726))))))</f>
        <v> </v>
      </c>
      <c r="K727" s="25" t="str">
        <f>IF(OR(E727="",E727="!!!",F727="NEW"),"",INDEX(J$1:J726,SUMPRODUCT(MAX(ROW(E$1:E726)*(E727=E$1:E726)))))</f>
        <v> </v>
      </c>
      <c r="L727" s="26"/>
    </row>
    <row r="728" spans="1:12">
      <c r="A728" s="20" t="s">
        <v>668</v>
      </c>
      <c r="B728" s="27" t="s">
        <v>547</v>
      </c>
      <c r="C728" s="27" t="s">
        <v>635</v>
      </c>
      <c r="D728" s="27" t="s">
        <v>483</v>
      </c>
      <c r="E728" s="21">
        <f>IF(D728="?OLD","!!!","")</f>
        <v/>
      </c>
      <c r="F728" s="22" t="str">
        <f>IF(OR(E728="",E728="!!!"),"",IF(NOT(ISNA(VLOOKUP(E728,E$1:E727,1,FALSE()))),"OLD",IF(AND(E728&lt;&gt;"",E728&lt;&gt;"!!!"),"NEW","")))</f>
        <v> </v>
      </c>
      <c r="G728" s="23" t="str">
        <f>IF(OR(E728="",E728="!!!"),"",IF(OR(J728=0,AND(J728=1,K728=1),AND(J728=1,I728="SBJ"),AND(J728=1,I728=0)),"?IN_FOCUS",IF(J728&lt;=2,"?ACTIVATED",IF(J728&lt;&gt;"","?FAMILIAR",IF(F728="NEW",IF(ISNA(VLOOKUP(E728,#REF!,1,FALSE())),"?TYPE_IDENTIFIABLE","?REFERENTIAL"),"_")))))</f>
        <v> </v>
      </c>
      <c r="H728" s="24" t="str">
        <f>IF(J728&lt;&gt;1,"",IF(I728="SBJ","CB","?"))</f>
        <v> </v>
      </c>
      <c r="I728" s="25" t="str">
        <f>IF(OR(E728="",E728="!!!",F728="NEW"),"",INDEX(B727:B$2,-1+SUMPRODUCT(MAX(ROW(E727:E$2)*(E728=E727:E$2)))))</f>
        <v> </v>
      </c>
      <c r="J728" s="25" t="str">
        <f>IF(OR(E728="",E728="!!!",F728="NEW"),"",COUNTBLANK(OFFSET(A$1,,,SUMPRODUCT(MAX(ROW(E$2:E728)*(E728=E$2:E728)))))-COUNTBLANK(OFFSET(A$1,,,SUMPRODUCT(MAX(ROW(E$1:E727)*(E2=E$1:E727))))))</f>
        <v> </v>
      </c>
      <c r="K728" s="25" t="str">
        <f>IF(OR(E728="",E728="!!!",F728="NEW"),"",INDEX(J$1:J727,SUMPRODUCT(MAX(ROW(E$1:E727)*(E728=E$1:E727)))))</f>
        <v> </v>
      </c>
      <c r="L728" s="26"/>
    </row>
    <row r="729" spans="1:12">
      <c r="A729" s="20" t="s">
        <v>730</v>
      </c>
      <c r="B729" s="27" t="s">
        <v>553</v>
      </c>
      <c r="C729" s="27" t="s">
        <v>487</v>
      </c>
      <c r="D729" s="27" t="s">
        <v>483</v>
      </c>
      <c r="E729" s="21">
        <f>IF(D729="?OLD","!!!","")</f>
        <v/>
      </c>
      <c r="F729" s="22" t="str">
        <f>IF(OR(E729="",E729="!!!"),"",IF(NOT(ISNA(VLOOKUP(E729,E$1:E728,1,FALSE()))),"OLD",IF(AND(E729&lt;&gt;"",E729&lt;&gt;"!!!"),"NEW","")))</f>
        <v> </v>
      </c>
      <c r="G729" s="23" t="str">
        <f>IF(OR(E729="",E729="!!!"),"",IF(OR(J729=0,AND(J729=1,K729=1),AND(J729=1,I729="SBJ"),AND(J729=1,I729=0)),"?IN_FOCUS",IF(J729&lt;=2,"?ACTIVATED",IF(J729&lt;&gt;"","?FAMILIAR",IF(F729="NEW",IF(ISNA(VLOOKUP(E729,#REF!,1,FALSE())),"?TYPE_IDENTIFIABLE","?REFERENTIAL"),"_")))))</f>
        <v> </v>
      </c>
      <c r="H729" s="24" t="str">
        <f>IF(J729&lt;&gt;1,"",IF(I729="SBJ","CB","?"))</f>
        <v> </v>
      </c>
      <c r="I729" s="25" t="str">
        <f>IF(OR(E729="",E729="!!!",F729="NEW"),"",INDEX(B728:B$2,-1+SUMPRODUCT(MAX(ROW(E728:E$2)*(E729=E728:E$2)))))</f>
        <v> </v>
      </c>
      <c r="J729" s="25" t="str">
        <f>IF(OR(E729="",E729="!!!",F729="NEW"),"",COUNTBLANK(OFFSET(A$1,,,SUMPRODUCT(MAX(ROW(E$2:E729)*(E729=E$2:E729)))))-COUNTBLANK(OFFSET(A$1,,,SUMPRODUCT(MAX(ROW(E$1:E728)*(E2=E$1:E728))))))</f>
        <v> </v>
      </c>
      <c r="K729" s="25" t="str">
        <f>IF(OR(E729="",E729="!!!",F729="NEW"),"",INDEX(J$1:J728,SUMPRODUCT(MAX(ROW(E$1:E728)*(E729=E$1:E728)))))</f>
        <v> </v>
      </c>
      <c r="L729" s="26"/>
    </row>
    <row r="730" spans="1:12">
      <c r="A730" s="20" t="s">
        <v>731</v>
      </c>
      <c r="E730" s="21">
        <f>IF(D730="?OLD","!!!","")</f>
        <v/>
      </c>
      <c r="F730" s="22" t="str">
        <f>IF(OR(E730="",E730="!!!"),"",IF(NOT(ISNA(VLOOKUP(E730,E$1:E729,1,FALSE()))),"OLD",IF(AND(E730&lt;&gt;"",E730&lt;&gt;"!!!"),"NEW","")))</f>
        <v> </v>
      </c>
      <c r="G730" s="23" t="str">
        <f>IF(OR(E730="",E730="!!!"),"",IF(OR(J730=0,AND(J730=1,K730=1),AND(J730=1,I730="SBJ"),AND(J730=1,I730=0)),"?IN_FOCUS",IF(J730&lt;=2,"?ACTIVATED",IF(J730&lt;&gt;"","?FAMILIAR",IF(F730="NEW",IF(ISNA(VLOOKUP(E730,#REF!,1,FALSE())),"?TYPE_IDENTIFIABLE","?REFERENTIAL"),"_")))))</f>
        <v> </v>
      </c>
      <c r="H730" s="24" t="str">
        <f>IF(J730&lt;&gt;1,"",IF(I730="SBJ","CB","?"))</f>
        <v> </v>
      </c>
      <c r="I730" s="25" t="str">
        <f>IF(OR(E730="",E730="!!!",F730="NEW"),"",INDEX(B729:B$2,-1+SUMPRODUCT(MAX(ROW(E729:E$2)*(E730=E729:E$2)))))</f>
        <v> </v>
      </c>
      <c r="J730" s="25" t="str">
        <f>IF(OR(E730="",E730="!!!",F730="NEW"),"",COUNTBLANK(OFFSET(A$1,,,SUMPRODUCT(MAX(ROW(E$2:E730)*(E730=E$2:E730)))))-COUNTBLANK(OFFSET(A$1,,,SUMPRODUCT(MAX(ROW(E$1:E729)*(E2=E$1:E729))))))</f>
        <v> </v>
      </c>
      <c r="K730" s="25" t="str">
        <f>IF(OR(E730="",E730="!!!",F730="NEW"),"",INDEX(J$1:J729,SUMPRODUCT(MAX(ROW(E$1:E729)*(E730=E$1:E729)))))</f>
        <v> </v>
      </c>
      <c r="L730" s="26"/>
    </row>
    <row r="731" spans="1:12">
      <c r="A731" s="20" t="s">
        <v>557</v>
      </c>
      <c r="E731" s="21">
        <f>IF(D731="?OLD","!!!","")</f>
        <v/>
      </c>
      <c r="F731" s="22" t="str">
        <f>IF(OR(E731="",E731="!!!"),"",IF(NOT(ISNA(VLOOKUP(E731,E$1:E730,1,FALSE()))),"OLD",IF(AND(E731&lt;&gt;"",E731&lt;&gt;"!!!"),"NEW","")))</f>
        <v> </v>
      </c>
      <c r="G731" s="23" t="str">
        <f>IF(OR(E731="",E731="!!!"),"",IF(OR(J731=0,AND(J731=1,K731=1),AND(J731=1,I731="SBJ"),AND(J731=1,I731=0)),"?IN_FOCUS",IF(J731&lt;=2,"?ACTIVATED",IF(J731&lt;&gt;"","?FAMILIAR",IF(F731="NEW",IF(ISNA(VLOOKUP(E731,#REF!,1,FALSE())),"?TYPE_IDENTIFIABLE","?REFERENTIAL"),"_")))))</f>
        <v> </v>
      </c>
      <c r="H731" s="24" t="str">
        <f>IF(J731&lt;&gt;1,"",IF(I731="SBJ","CB","?"))</f>
        <v> </v>
      </c>
      <c r="I731" s="25" t="str">
        <f>IF(OR(E731="",E731="!!!",F731="NEW"),"",INDEX(B730:B$2,-1+SUMPRODUCT(MAX(ROW(E730:E$2)*(E731=E730:E$2)))))</f>
        <v> </v>
      </c>
      <c r="J731" s="25" t="str">
        <f>IF(OR(E731="",E731="!!!",F731="NEW"),"",COUNTBLANK(OFFSET(A$1,,,SUMPRODUCT(MAX(ROW(E$2:E731)*(E731=E$2:E731)))))-COUNTBLANK(OFFSET(A$1,,,SUMPRODUCT(MAX(ROW(E$1:E730)*(E2=E$1:E730))))))</f>
        <v> </v>
      </c>
      <c r="K731" s="25" t="str">
        <f>IF(OR(E731="",E731="!!!",F731="NEW"),"",INDEX(J$1:J730,SUMPRODUCT(MAX(ROW(E$1:E730)*(E731=E$1:E730)))))</f>
        <v> </v>
      </c>
      <c r="L731" s="26"/>
    </row>
    <row r="732" spans="1:12">
      <c r="A732" s="20" t="s">
        <v>649</v>
      </c>
      <c r="E732" s="21">
        <f>IF(D732="?OLD","!!!","")</f>
        <v/>
      </c>
      <c r="F732" s="22" t="str">
        <f>IF(OR(E732="",E732="!!!"),"",IF(NOT(ISNA(VLOOKUP(E732,E$1:E731,1,FALSE()))),"OLD",IF(AND(E732&lt;&gt;"",E732&lt;&gt;"!!!"),"NEW","")))</f>
        <v> </v>
      </c>
      <c r="G732" s="23" t="str">
        <f>IF(OR(E732="",E732="!!!"),"",IF(OR(J732=0,AND(J732=1,K732=1),AND(J732=1,I732="SBJ"),AND(J732=1,I732=0)),"?IN_FOCUS",IF(J732&lt;=2,"?ACTIVATED",IF(J732&lt;&gt;"","?FAMILIAR",IF(F732="NEW",IF(ISNA(VLOOKUP(E732,#REF!,1,FALSE())),"?TYPE_IDENTIFIABLE","?REFERENTIAL"),"_")))))</f>
        <v> </v>
      </c>
      <c r="H732" s="24" t="str">
        <f>IF(J732&lt;&gt;1,"",IF(I732="SBJ","CB","?"))</f>
        <v> </v>
      </c>
      <c r="I732" s="25" t="str">
        <f>IF(OR(E732="",E732="!!!",F732="NEW"),"",INDEX(B731:B$2,-1+SUMPRODUCT(MAX(ROW(E731:E$2)*(E732=E731:E$2)))))</f>
        <v> </v>
      </c>
      <c r="J732" s="25" t="str">
        <f>IF(OR(E732="",E732="!!!",F732="NEW"),"",COUNTBLANK(OFFSET(A$1,,,SUMPRODUCT(MAX(ROW(E$2:E732)*(E732=E$2:E732)))))-COUNTBLANK(OFFSET(A$1,,,SUMPRODUCT(MAX(ROW(E$1:E731)*(E2=E$1:E731))))))</f>
        <v> </v>
      </c>
      <c r="K732" s="25" t="str">
        <f>IF(OR(E732="",E732="!!!",F732="NEW"),"",INDEX(J$1:J731,SUMPRODUCT(MAX(ROW(E$1:E731)*(E732=E$1:E731)))))</f>
        <v> </v>
      </c>
      <c r="L732" s="26"/>
    </row>
    <row r="733" spans="1:12">
      <c r="A733" s="20" t="s">
        <v>531</v>
      </c>
      <c r="E733" s="21">
        <f>IF(D733="?OLD","!!!","")</f>
        <v/>
      </c>
      <c r="F733" s="22" t="str">
        <f>IF(OR(E733="",E733="!!!"),"",IF(NOT(ISNA(VLOOKUP(E733,E$1:E732,1,FALSE()))),"OLD",IF(AND(E733&lt;&gt;"",E733&lt;&gt;"!!!"),"NEW","")))</f>
        <v> </v>
      </c>
      <c r="G733" s="23" t="str">
        <f>IF(OR(E733="",E733="!!!"),"",IF(OR(J733=0,AND(J733=1,K733=1),AND(J733=1,I733="SBJ"),AND(J733=1,I733=0)),"?IN_FOCUS",IF(J733&lt;=2,"?ACTIVATED",IF(J733&lt;&gt;"","?FAMILIAR",IF(F733="NEW",IF(ISNA(VLOOKUP(E733,#REF!,1,FALSE())),"?TYPE_IDENTIFIABLE","?REFERENTIAL"),"_")))))</f>
        <v> </v>
      </c>
      <c r="H733" s="24" t="str">
        <f>IF(J733&lt;&gt;1,"",IF(I733="SBJ","CB","?"))</f>
        <v> </v>
      </c>
      <c r="I733" s="25" t="str">
        <f>IF(OR(E733="",E733="!!!",F733="NEW"),"",INDEX(B732:B$2,-1+SUMPRODUCT(MAX(ROW(E732:E$2)*(E733=E732:E$2)))))</f>
        <v> </v>
      </c>
      <c r="J733" s="25" t="str">
        <f>IF(OR(E733="",E733="!!!",F733="NEW"),"",COUNTBLANK(OFFSET(A$1,,,SUMPRODUCT(MAX(ROW(E$2:E733)*(E733=E$2:E733)))))-COUNTBLANK(OFFSET(A$1,,,SUMPRODUCT(MAX(ROW(E$1:E732)*(E2=E$1:E732))))))</f>
        <v> </v>
      </c>
      <c r="K733" s="25" t="str">
        <f>IF(OR(E733="",E733="!!!",F733="NEW"),"",INDEX(J$1:J732,SUMPRODUCT(MAX(ROW(E$1:E732)*(E733=E$1:E732)))))</f>
        <v> </v>
      </c>
      <c r="L733" s="26"/>
    </row>
    <row r="734" spans="1:12">
      <c r="A734" s="20"/>
    </row>
    <row r="735" spans="1:12">
      <c r="A735" s="20" t="s">
        <v>786</v>
      </c>
    </row>
    <row r="736" spans="1:12">
      <c r="A736" s="20" t="s">
        <v>686</v>
      </c>
      <c r="E736" s="21">
        <f>IF(D736="?OLD","!!!","")</f>
        <v/>
      </c>
      <c r="F736" s="22" t="str">
        <f>IF(OR(E736="",E736="!!!"),"",IF(NOT(ISNA(VLOOKUP(E736,E$1:E735,1,FALSE()))),"OLD",IF(AND(E736&lt;&gt;"",E736&lt;&gt;"!!!"),"NEW","")))</f>
        <v> </v>
      </c>
      <c r="G736" s="23" t="str">
        <f>IF(OR(E736="",E736="!!!"),"",IF(OR(J736=0,AND(J736=1,K736=1),AND(J736=1,I736="SBJ"),AND(J736=1,I736=0)),"?IN_FOCUS",IF(J736&lt;=2,"?ACTIVATED",IF(J736&lt;&gt;"","?FAMILIAR",IF(F736="NEW",IF(ISNA(VLOOKUP(E736,#REF!,1,FALSE())),"?TYPE_IDENTIFIABLE","?REFERENTIAL"),"_")))))</f>
        <v> </v>
      </c>
      <c r="H736" s="24" t="str">
        <f>IF(J736&lt;&gt;1,"",IF(I736="SBJ","CB","?"))</f>
        <v> </v>
      </c>
      <c r="I736" s="25" t="str">
        <f>IF(OR(E736="",E736="!!!",F736="NEW"),"",INDEX(B735:B$2,-1+SUMPRODUCT(MAX(ROW(E735:E$2)*(E736=E735:E$2)))))</f>
        <v> </v>
      </c>
      <c r="J736" s="25" t="str">
        <f>IF(OR(E736="",E736="!!!",F736="NEW"),"",COUNTBLANK(OFFSET(A$1,,,SUMPRODUCT(MAX(ROW(E$2:E736)*(E736=E$2:E736)))))-COUNTBLANK(OFFSET(A$1,,,SUMPRODUCT(MAX(ROW(E$1:E735)*(E2=E$1:E735))))))</f>
        <v> </v>
      </c>
      <c r="K736" s="25" t="str">
        <f>IF(OR(E736="",E736="!!!",F736="NEW"),"",INDEX(J$1:J735,SUMPRODUCT(MAX(ROW(E$1:E735)*(E736=E$1:E735)))))</f>
        <v> </v>
      </c>
      <c r="L736" s="26"/>
    </row>
    <row r="737" spans="1:12">
      <c r="A737" s="20" t="s">
        <v>752</v>
      </c>
      <c r="E737" s="21">
        <f>IF(D737="?OLD","!!!","")</f>
        <v/>
      </c>
      <c r="F737" s="22" t="str">
        <f>IF(OR(E737="",E737="!!!"),"",IF(NOT(ISNA(VLOOKUP(E737,E$1:E736,1,FALSE()))),"OLD",IF(AND(E737&lt;&gt;"",E737&lt;&gt;"!!!"),"NEW","")))</f>
        <v> </v>
      </c>
      <c r="G737" s="23" t="str">
        <f>IF(OR(E737="",E737="!!!"),"",IF(OR(J737=0,AND(J737=1,K737=1),AND(J737=1,I737="SBJ"),AND(J737=1,I737=0)),"?IN_FOCUS",IF(J737&lt;=2,"?ACTIVATED",IF(J737&lt;&gt;"","?FAMILIAR",IF(F737="NEW",IF(ISNA(VLOOKUP(E737,#REF!,1,FALSE())),"?TYPE_IDENTIFIABLE","?REFERENTIAL"),"_")))))</f>
        <v> </v>
      </c>
      <c r="H737" s="24" t="str">
        <f>IF(J737&lt;&gt;1,"",IF(I737="SBJ","CB","?"))</f>
        <v> </v>
      </c>
      <c r="I737" s="25" t="str">
        <f>IF(OR(E737="",E737="!!!",F737="NEW"),"",INDEX(B736:B$2,-1+SUMPRODUCT(MAX(ROW(E736:E$2)*(E737=E736:E$2)))))</f>
        <v> </v>
      </c>
      <c r="J737" s="25" t="str">
        <f>IF(OR(E737="",E737="!!!",F737="NEW"),"",COUNTBLANK(OFFSET(A$1,,,SUMPRODUCT(MAX(ROW(E$2:E737)*(E737=E$2:E737)))))-COUNTBLANK(OFFSET(A$1,,,SUMPRODUCT(MAX(ROW(E$1:E736)*(E2=E$1:E736))))))</f>
        <v> </v>
      </c>
      <c r="K737" s="25" t="str">
        <f>IF(OR(E737="",E737="!!!",F737="NEW"),"",INDEX(J$1:J736,SUMPRODUCT(MAX(ROW(E$1:E736)*(E737=E$1:E736)))))</f>
        <v> </v>
      </c>
      <c r="L737" s="26"/>
    </row>
    <row r="738" spans="1:12">
      <c r="A738" s="20" t="s">
        <v>787</v>
      </c>
      <c r="E738" s="21">
        <f>IF(D738="?OLD","!!!","")</f>
        <v/>
      </c>
      <c r="F738" s="22" t="str">
        <f>IF(OR(E738="",E738="!!!"),"",IF(NOT(ISNA(VLOOKUP(E738,E$1:E737,1,FALSE()))),"OLD",IF(AND(E738&lt;&gt;"",E738&lt;&gt;"!!!"),"NEW","")))</f>
        <v> </v>
      </c>
      <c r="G738" s="23" t="str">
        <f>IF(OR(E738="",E738="!!!"),"",IF(OR(J738=0,AND(J738=1,K738=1),AND(J738=1,I738="SBJ"),AND(J738=1,I738=0)),"?IN_FOCUS",IF(J738&lt;=2,"?ACTIVATED",IF(J738&lt;&gt;"","?FAMILIAR",IF(F738="NEW",IF(ISNA(VLOOKUP(E738,#REF!,1,FALSE())),"?TYPE_IDENTIFIABLE","?REFERENTIAL"),"_")))))</f>
        <v> </v>
      </c>
      <c r="H738" s="24" t="str">
        <f>IF(J738&lt;&gt;1,"",IF(I738="SBJ","CB","?"))</f>
        <v> </v>
      </c>
      <c r="I738" s="25" t="str">
        <f>IF(OR(E738="",E738="!!!",F738="NEW"),"",INDEX(B737:B$2,-1+SUMPRODUCT(MAX(ROW(E737:E$2)*(E738=E737:E$2)))))</f>
        <v> </v>
      </c>
      <c r="J738" s="25" t="str">
        <f>IF(OR(E738="",E738="!!!",F738="NEW"),"",COUNTBLANK(OFFSET(A$1,,,SUMPRODUCT(MAX(ROW(E$2:E738)*(E738=E$2:E738)))))-COUNTBLANK(OFFSET(A$1,,,SUMPRODUCT(MAX(ROW(E$1:E737)*(E2=E$1:E737))))))</f>
        <v> </v>
      </c>
      <c r="K738" s="25" t="str">
        <f>IF(OR(E738="",E738="!!!",F738="NEW"),"",INDEX(J$1:J737,SUMPRODUCT(MAX(ROW(E$1:E737)*(E738=E$1:E737)))))</f>
        <v> </v>
      </c>
      <c r="L738" s="26"/>
    </row>
    <row r="739" spans="1:12">
      <c r="A739" s="20" t="s">
        <v>485</v>
      </c>
      <c r="E739" s="21">
        <f>IF(D739="?OLD","!!!","")</f>
        <v/>
      </c>
      <c r="F739" s="22" t="str">
        <f>IF(OR(E739="",E739="!!!"),"",IF(NOT(ISNA(VLOOKUP(E739,E$1:E738,1,FALSE()))),"OLD",IF(AND(E739&lt;&gt;"",E739&lt;&gt;"!!!"),"NEW","")))</f>
        <v> </v>
      </c>
      <c r="G739" s="23" t="str">
        <f>IF(OR(E739="",E739="!!!"),"",IF(OR(J739=0,AND(J739=1,K739=1),AND(J739=1,I739="SBJ"),AND(J739=1,I739=0)),"?IN_FOCUS",IF(J739&lt;=2,"?ACTIVATED",IF(J739&lt;&gt;"","?FAMILIAR",IF(F739="NEW",IF(ISNA(VLOOKUP(E739,#REF!,1,FALSE())),"?TYPE_IDENTIFIABLE","?REFERENTIAL"),"_")))))</f>
        <v> </v>
      </c>
      <c r="H739" s="24" t="str">
        <f>IF(J739&lt;&gt;1,"",IF(I739="SBJ","CB","?"))</f>
        <v> </v>
      </c>
      <c r="I739" s="25" t="str">
        <f>IF(OR(E739="",E739="!!!",F739="NEW"),"",INDEX(B738:B$2,-1+SUMPRODUCT(MAX(ROW(E738:E$2)*(E739=E738:E$2)))))</f>
        <v> </v>
      </c>
      <c r="J739" s="25" t="str">
        <f>IF(OR(E739="",E739="!!!",F739="NEW"),"",COUNTBLANK(OFFSET(A$1,,,SUMPRODUCT(MAX(ROW(E$2:E739)*(E739=E$2:E739)))))-COUNTBLANK(OFFSET(A$1,,,SUMPRODUCT(MAX(ROW(E$1:E738)*(E2=E$1:E738))))))</f>
        <v> </v>
      </c>
      <c r="K739" s="25" t="str">
        <f>IF(OR(E739="",E739="!!!",F739="NEW"),"",INDEX(J$1:J738,SUMPRODUCT(MAX(ROW(E$1:E738)*(E739=E$1:E738)))))</f>
        <v> </v>
      </c>
      <c r="L739" s="26"/>
    </row>
    <row r="740" spans="1:12">
      <c r="A740" s="20" t="s">
        <v>668</v>
      </c>
      <c r="B740" s="27" t="s">
        <v>490</v>
      </c>
      <c r="C740" s="27" t="s">
        <v>635</v>
      </c>
      <c r="D740" s="27" t="s">
        <v>483</v>
      </c>
      <c r="E740" s="21">
        <f>IF(D740="?OLD","!!!","")</f>
        <v/>
      </c>
      <c r="F740" s="22" t="str">
        <f>IF(OR(E740="",E740="!!!"),"",IF(NOT(ISNA(VLOOKUP(E740,E$1:E739,1,FALSE()))),"OLD",IF(AND(E740&lt;&gt;"",E740&lt;&gt;"!!!"),"NEW","")))</f>
        <v> </v>
      </c>
      <c r="G740" s="23" t="str">
        <f>IF(OR(E740="",E740="!!!"),"",IF(OR(J740=0,AND(J740=1,K740=1),AND(J740=1,I740="SBJ"),AND(J740=1,I740=0)),"?IN_FOCUS",IF(J740&lt;=2,"?ACTIVATED",IF(J740&lt;&gt;"","?FAMILIAR",IF(F740="NEW",IF(ISNA(VLOOKUP(E740,#REF!,1,FALSE())),"?TYPE_IDENTIFIABLE","?REFERENTIAL"),"_")))))</f>
        <v> </v>
      </c>
      <c r="H740" s="24" t="str">
        <f>IF(J740&lt;&gt;1,"",IF(I740="SBJ","CB","?"))</f>
        <v> </v>
      </c>
      <c r="I740" s="25" t="str">
        <f>IF(OR(E740="",E740="!!!",F740="NEW"),"",INDEX(B739:B$2,-1+SUMPRODUCT(MAX(ROW(E739:E$2)*(E740=E739:E$2)))))</f>
        <v> </v>
      </c>
      <c r="J740" s="25" t="str">
        <f>IF(OR(E740="",E740="!!!",F740="NEW"),"",COUNTBLANK(OFFSET(A$1,,,SUMPRODUCT(MAX(ROW(E$2:E740)*(E740=E$2:E740)))))-COUNTBLANK(OFFSET(A$1,,,SUMPRODUCT(MAX(ROW(E$1:E739)*(E2=E$1:E739))))))</f>
        <v> </v>
      </c>
      <c r="K740" s="25" t="str">
        <f>IF(OR(E740="",E740="!!!",F740="NEW"),"",INDEX(J$1:J739,SUMPRODUCT(MAX(ROW(E$1:E739)*(E740=E$1:E739)))))</f>
        <v> </v>
      </c>
      <c r="L740" s="26"/>
    </row>
    <row r="741" spans="1:12">
      <c r="A741" s="20" t="s">
        <v>730</v>
      </c>
      <c r="B741" s="27" t="s">
        <v>481</v>
      </c>
      <c r="C741" s="27" t="s">
        <v>487</v>
      </c>
      <c r="D741" s="27" t="s">
        <v>483</v>
      </c>
      <c r="E741" s="21">
        <f>IF(D741="?OLD","!!!","")</f>
        <v/>
      </c>
      <c r="F741" s="22" t="str">
        <f>IF(OR(E741="",E741="!!!"),"",IF(NOT(ISNA(VLOOKUP(E741,E$1:E740,1,FALSE()))),"OLD",IF(AND(E741&lt;&gt;"",E741&lt;&gt;"!!!"),"NEW","")))</f>
        <v> </v>
      </c>
      <c r="G741" s="23" t="str">
        <f>IF(OR(E741="",E741="!!!"),"",IF(OR(J741=0,AND(J741=1,K741=1),AND(J741=1,I741="SBJ"),AND(J741=1,I741=0)),"?IN_FOCUS",IF(J741&lt;=2,"?ACTIVATED",IF(J741&lt;&gt;"","?FAMILIAR",IF(F741="NEW",IF(ISNA(VLOOKUP(E741,#REF!,1,FALSE())),"?TYPE_IDENTIFIABLE","?REFERENTIAL"),"_")))))</f>
        <v> </v>
      </c>
      <c r="H741" s="24" t="str">
        <f>IF(J741&lt;&gt;1,"",IF(I741="SBJ","CB","?"))</f>
        <v> </v>
      </c>
      <c r="I741" s="25" t="str">
        <f>IF(OR(E741="",E741="!!!",F741="NEW"),"",INDEX(B740:B$2,-1+SUMPRODUCT(MAX(ROW(E740:E$2)*(E741=E740:E$2)))))</f>
        <v> </v>
      </c>
      <c r="J741" s="25" t="str">
        <f>IF(OR(E741="",E741="!!!",F741="NEW"),"",COUNTBLANK(OFFSET(A$1,,,SUMPRODUCT(MAX(ROW(E$2:E741)*(E741=E$2:E741)))))-COUNTBLANK(OFFSET(A$1,,,SUMPRODUCT(MAX(ROW(E$1:E740)*(E2=E$1:E740))))))</f>
        <v> </v>
      </c>
      <c r="K741" s="25" t="str">
        <f>IF(OR(E741="",E741="!!!",F741="NEW"),"",INDEX(J$1:J740,SUMPRODUCT(MAX(ROW(E$1:E740)*(E741=E$1:E740)))))</f>
        <v> </v>
      </c>
      <c r="L741" s="26"/>
    </row>
    <row r="742" spans="1:12">
      <c r="A742" s="20" t="s">
        <v>489</v>
      </c>
      <c r="E742" s="21">
        <f>IF(D742="?OLD","!!!","")</f>
        <v/>
      </c>
      <c r="F742" s="22" t="str">
        <f>IF(OR(E742="",E742="!!!"),"",IF(NOT(ISNA(VLOOKUP(E742,E$1:E741,1,FALSE()))),"OLD",IF(AND(E742&lt;&gt;"",E742&lt;&gt;"!!!"),"NEW","")))</f>
        <v> </v>
      </c>
      <c r="G742" s="23" t="str">
        <f>IF(OR(E742="",E742="!!!"),"",IF(OR(J742=0,AND(J742=1,K742=1),AND(J742=1,I742="SBJ"),AND(J742=1,I742=0)),"?IN_FOCUS",IF(J742&lt;=2,"?ACTIVATED",IF(J742&lt;&gt;"","?FAMILIAR",IF(F742="NEW",IF(ISNA(VLOOKUP(E742,#REF!,1,FALSE())),"?TYPE_IDENTIFIABLE","?REFERENTIAL"),"_")))))</f>
        <v> </v>
      </c>
      <c r="H742" s="24" t="str">
        <f>IF(J742&lt;&gt;1,"",IF(I742="SBJ","CB","?"))</f>
        <v> </v>
      </c>
      <c r="I742" s="25" t="str">
        <f>IF(OR(E742="",E742="!!!",F742="NEW"),"",INDEX(B741:B$2,-1+SUMPRODUCT(MAX(ROW(E741:E$2)*(E742=E741:E$2)))))</f>
        <v> </v>
      </c>
      <c r="J742" s="25" t="str">
        <f>IF(OR(E742="",E742="!!!",F742="NEW"),"",COUNTBLANK(OFFSET(A$1,,,SUMPRODUCT(MAX(ROW(E$2:E742)*(E742=E$2:E742)))))-COUNTBLANK(OFFSET(A$1,,,SUMPRODUCT(MAX(ROW(E$1:E741)*(E2=E$1:E741))))))</f>
        <v> </v>
      </c>
      <c r="K742" s="25" t="str">
        <f>IF(OR(E742="",E742="!!!",F742="NEW"),"",INDEX(J$1:J741,SUMPRODUCT(MAX(ROW(E$1:E741)*(E742=E$1:E741)))))</f>
        <v> </v>
      </c>
      <c r="L742" s="26"/>
    </row>
    <row r="743" spans="1:12">
      <c r="A743" s="20" t="s">
        <v>503</v>
      </c>
      <c r="E743" s="21">
        <f>IF(D743="?OLD","!!!","")</f>
        <v/>
      </c>
      <c r="F743" s="22" t="str">
        <f>IF(OR(E743="",E743="!!!"),"",IF(NOT(ISNA(VLOOKUP(E743,E$1:E742,1,FALSE()))),"OLD",IF(AND(E743&lt;&gt;"",E743&lt;&gt;"!!!"),"NEW","")))</f>
        <v> </v>
      </c>
      <c r="G743" s="23" t="str">
        <f>IF(OR(E743="",E743="!!!"),"",IF(OR(J743=0,AND(J743=1,K743=1),AND(J743=1,I743="SBJ"),AND(J743=1,I743=0)),"?IN_FOCUS",IF(J743&lt;=2,"?ACTIVATED",IF(J743&lt;&gt;"","?FAMILIAR",IF(F743="NEW",IF(ISNA(VLOOKUP(E743,#REF!,1,FALSE())),"?TYPE_IDENTIFIABLE","?REFERENTIAL"),"_")))))</f>
        <v> </v>
      </c>
      <c r="H743" s="24" t="str">
        <f>IF(J743&lt;&gt;1,"",IF(I743="SBJ","CB","?"))</f>
        <v> </v>
      </c>
      <c r="I743" s="25" t="str">
        <f>IF(OR(E743="",E743="!!!",F743="NEW"),"",INDEX(B742:B$2,-1+SUMPRODUCT(MAX(ROW(E742:E$2)*(E743=E742:E$2)))))</f>
        <v> </v>
      </c>
      <c r="J743" s="25" t="str">
        <f>IF(OR(E743="",E743="!!!",F743="NEW"),"",COUNTBLANK(OFFSET(A$1,,,SUMPRODUCT(MAX(ROW(E$2:E743)*(E743=E$2:E743)))))-COUNTBLANK(OFFSET(A$1,,,SUMPRODUCT(MAX(ROW(E$1:E742)*(E2=E$1:E742))))))</f>
        <v> </v>
      </c>
      <c r="K743" s="25" t="str">
        <f>IF(OR(E743="",E743="!!!",F743="NEW"),"",INDEX(J$1:J742,SUMPRODUCT(MAX(ROW(E$1:E742)*(E743=E$1:E742)))))</f>
        <v> </v>
      </c>
      <c r="L743" s="26"/>
    </row>
    <row r="744" spans="1:12">
      <c r="A744" s="20" t="s">
        <v>788</v>
      </c>
      <c r="E744" s="21">
        <f>IF(D744="?OLD","!!!","")</f>
        <v/>
      </c>
      <c r="F744" s="22" t="str">
        <f>IF(OR(E744="",E744="!!!"),"",IF(NOT(ISNA(VLOOKUP(E744,E$1:E743,1,FALSE()))),"OLD",IF(AND(E744&lt;&gt;"",E744&lt;&gt;"!!!"),"NEW","")))</f>
        <v> </v>
      </c>
      <c r="G744" s="23" t="str">
        <f>IF(OR(E744="",E744="!!!"),"",IF(OR(J744=0,AND(J744=1,K744=1),AND(J744=1,I744="SBJ"),AND(J744=1,I744=0)),"?IN_FOCUS",IF(J744&lt;=2,"?ACTIVATED",IF(J744&lt;&gt;"","?FAMILIAR",IF(F744="NEW",IF(ISNA(VLOOKUP(E744,#REF!,1,FALSE())),"?TYPE_IDENTIFIABLE","?REFERENTIAL"),"_")))))</f>
        <v> </v>
      </c>
      <c r="H744" s="24" t="str">
        <f>IF(J744&lt;&gt;1,"",IF(I744="SBJ","CB","?"))</f>
        <v> </v>
      </c>
      <c r="I744" s="25" t="str">
        <f>IF(OR(E744="",E744="!!!",F744="NEW"),"",INDEX(B743:B$2,-1+SUMPRODUCT(MAX(ROW(E743:E$2)*(E744=E743:E$2)))))</f>
        <v> </v>
      </c>
      <c r="J744" s="25" t="str">
        <f>IF(OR(E744="",E744="!!!",F744="NEW"),"",COUNTBLANK(OFFSET(A$1,,,SUMPRODUCT(MAX(ROW(E$2:E744)*(E744=E$2:E744)))))-COUNTBLANK(OFFSET(A$1,,,SUMPRODUCT(MAX(ROW(E$1:E743)*(E2=E$1:E743))))))</f>
        <v> </v>
      </c>
      <c r="K744" s="25" t="str">
        <f>IF(OR(E744="",E744="!!!",F744="NEW"),"",INDEX(J$1:J743,SUMPRODUCT(MAX(ROW(E$1:E743)*(E744=E$1:E743)))))</f>
        <v> </v>
      </c>
      <c r="L744" s="26"/>
    </row>
    <row r="745" spans="1:12">
      <c r="A745" s="20" t="s">
        <v>496</v>
      </c>
      <c r="B745" s="27" t="s">
        <v>549</v>
      </c>
      <c r="C745" s="27" t="s">
        <v>487</v>
      </c>
      <c r="D745" s="27" t="s">
        <v>483</v>
      </c>
      <c r="E745" s="21">
        <f>IF(D745="?OLD","!!!","")</f>
        <v/>
      </c>
      <c r="F745" s="22" t="str">
        <f>IF(OR(E745="",E745="!!!"),"",IF(NOT(ISNA(VLOOKUP(E745,E$1:E744,1,FALSE()))),"OLD",IF(AND(E745&lt;&gt;"",E745&lt;&gt;"!!!"),"NEW","")))</f>
        <v> </v>
      </c>
      <c r="G745" s="23" t="str">
        <f>IF(OR(E745="",E745="!!!"),"",IF(OR(J745=0,AND(J745=1,K745=1),AND(J745=1,I745="SBJ"),AND(J745=1,I745=0)),"?IN_FOCUS",IF(J745&lt;=2,"?ACTIVATED",IF(J745&lt;&gt;"","?FAMILIAR",IF(F745="NEW",IF(ISNA(VLOOKUP(E745,#REF!,1,FALSE())),"?TYPE_IDENTIFIABLE","?REFERENTIAL"),"_")))))</f>
        <v> </v>
      </c>
      <c r="H745" s="24" t="str">
        <f>IF(J745&lt;&gt;1,"",IF(I745="SBJ","CB","?"))</f>
        <v> </v>
      </c>
      <c r="I745" s="25" t="str">
        <f>IF(OR(E745="",E745="!!!",F745="NEW"),"",INDEX(B744:B$2,-1+SUMPRODUCT(MAX(ROW(E744:E$2)*(E745=E744:E$2)))))</f>
        <v> </v>
      </c>
      <c r="J745" s="25" t="str">
        <f>IF(OR(E745="",E745="!!!",F745="NEW"),"",COUNTBLANK(OFFSET(A$1,,,SUMPRODUCT(MAX(ROW(E$2:E745)*(E745=E$2:E745)))))-COUNTBLANK(OFFSET(A$1,,,SUMPRODUCT(MAX(ROW(E$1:E744)*(E2=E$1:E744))))))</f>
        <v> </v>
      </c>
      <c r="K745" s="25" t="str">
        <f>IF(OR(E745="",E745="!!!",F745="NEW"),"",INDEX(J$1:J744,SUMPRODUCT(MAX(ROW(E$1:E744)*(E745=E$1:E744)))))</f>
        <v> </v>
      </c>
      <c r="L745" s="26"/>
    </row>
    <row r="746" spans="1:12">
      <c r="A746" s="20" t="s">
        <v>531</v>
      </c>
      <c r="E746" s="21">
        <f>IF(D746="?OLD","!!!","")</f>
        <v/>
      </c>
      <c r="F746" s="22" t="str">
        <f>IF(OR(E746="",E746="!!!"),"",IF(NOT(ISNA(VLOOKUP(E746,E$1:E745,1,FALSE()))),"OLD",IF(AND(E746&lt;&gt;"",E746&lt;&gt;"!!!"),"NEW","")))</f>
        <v> </v>
      </c>
      <c r="G746" s="23" t="str">
        <f>IF(OR(E746="",E746="!!!"),"",IF(OR(J746=0,AND(J746=1,K746=1),AND(J746=1,I746="SBJ"),AND(J746=1,I746=0)),"?IN_FOCUS",IF(J746&lt;=2,"?ACTIVATED",IF(J746&lt;&gt;"","?FAMILIAR",IF(F746="NEW",IF(ISNA(VLOOKUP(E746,#REF!,1,FALSE())),"?TYPE_IDENTIFIABLE","?REFERENTIAL"),"_")))))</f>
        <v> </v>
      </c>
      <c r="H746" s="24" t="str">
        <f>IF(J746&lt;&gt;1,"",IF(I746="SBJ","CB","?"))</f>
        <v> </v>
      </c>
      <c r="I746" s="25" t="str">
        <f>IF(OR(E746="",E746="!!!",F746="NEW"),"",INDEX(B745:B$2,-1+SUMPRODUCT(MAX(ROW(E745:E$2)*(E746=E745:E$2)))))</f>
        <v> </v>
      </c>
      <c r="J746" s="25" t="str">
        <f>IF(OR(E746="",E746="!!!",F746="NEW"),"",COUNTBLANK(OFFSET(A$1,,,SUMPRODUCT(MAX(ROW(E$2:E746)*(E746=E$2:E746)))))-COUNTBLANK(OFFSET(A$1,,,SUMPRODUCT(MAX(ROW(E$1:E745)*(E2=E$1:E745))))))</f>
        <v> </v>
      </c>
      <c r="K746" s="25" t="str">
        <f>IF(OR(E746="",E746="!!!",F746="NEW"),"",INDEX(J$1:J745,SUMPRODUCT(MAX(ROW(E$1:E745)*(E746=E$1:E745)))))</f>
        <v> </v>
      </c>
      <c r="L746" s="26"/>
    </row>
    <row r="747" spans="1:12">
      <c r="A747" s="20"/>
    </row>
    <row r="748" spans="1:12">
      <c r="A748" s="20" t="s">
        <v>789</v>
      </c>
    </row>
    <row r="749" spans="1:12">
      <c r="A749" s="20" t="s">
        <v>790</v>
      </c>
      <c r="E749" s="21">
        <f>IF(D749="?OLD","!!!","")</f>
        <v/>
      </c>
      <c r="F749" s="22" t="str">
        <f>IF(OR(E749="",E749="!!!"),"",IF(NOT(ISNA(VLOOKUP(E749,E$1:E748,1,FALSE()))),"OLD",IF(AND(E749&lt;&gt;"",E749&lt;&gt;"!!!"),"NEW","")))</f>
        <v> </v>
      </c>
      <c r="G749" s="23" t="str">
        <f>IF(OR(E749="",E749="!!!"),"",IF(OR(J749=0,AND(J749=1,K749=1),AND(J749=1,I749="SBJ"),AND(J749=1,I749=0)),"?IN_FOCUS",IF(J749&lt;=2,"?ACTIVATED",IF(J749&lt;&gt;"","?FAMILIAR",IF(F749="NEW",IF(ISNA(VLOOKUP(E749,#REF!,1,FALSE())),"?TYPE_IDENTIFIABLE","?REFERENTIAL"),"_")))))</f>
        <v> </v>
      </c>
      <c r="H749" s="24" t="str">
        <f>IF(J749&lt;&gt;1,"",IF(I749="SBJ","CB","?"))</f>
        <v> </v>
      </c>
      <c r="I749" s="25" t="str">
        <f>IF(OR(E749="",E749="!!!",F749="NEW"),"",INDEX(B748:B$2,-1+SUMPRODUCT(MAX(ROW(E748:E$2)*(E749=E748:E$2)))))</f>
        <v> </v>
      </c>
      <c r="J749" s="25" t="str">
        <f>IF(OR(E749="",E749="!!!",F749="NEW"),"",COUNTBLANK(OFFSET(A$1,,,SUMPRODUCT(MAX(ROW(E$2:E749)*(E749=E$2:E749)))))-COUNTBLANK(OFFSET(A$1,,,SUMPRODUCT(MAX(ROW(E$1:E748)*(E2=E$1:E748))))))</f>
        <v> </v>
      </c>
      <c r="K749" s="25" t="str">
        <f>IF(OR(E749="",E749="!!!",F749="NEW"),"",INDEX(J$1:J748,SUMPRODUCT(MAX(ROW(E$1:E748)*(E749=E$1:E748)))))</f>
        <v> </v>
      </c>
      <c r="L749" s="26"/>
    </row>
    <row r="750" spans="1:12">
      <c r="A750" s="20" t="s">
        <v>480</v>
      </c>
      <c r="B750" s="27" t="s">
        <v>542</v>
      </c>
      <c r="C750" s="27" t="s">
        <v>482</v>
      </c>
      <c r="D750" s="27" t="s">
        <v>483</v>
      </c>
      <c r="E750" s="21">
        <f>IF(D750="?OLD","!!!","")</f>
        <v/>
      </c>
      <c r="F750" s="22" t="str">
        <f>IF(OR(E750="",E750="!!!"),"",IF(NOT(ISNA(VLOOKUP(E750,E$1:E749,1,FALSE()))),"OLD",IF(AND(E750&lt;&gt;"",E750&lt;&gt;"!!!"),"NEW","")))</f>
        <v> </v>
      </c>
      <c r="G750" s="23" t="str">
        <f>IF(OR(E750="",E750="!!!"),"",IF(OR(J750=0,AND(J750=1,K750=1),AND(J750=1,I750="SBJ"),AND(J750=1,I750=0)),"?IN_FOCUS",IF(J750&lt;=2,"?ACTIVATED",IF(J750&lt;&gt;"","?FAMILIAR",IF(F750="NEW",IF(ISNA(VLOOKUP(E750,#REF!,1,FALSE())),"?TYPE_IDENTIFIABLE","?REFERENTIAL"),"_")))))</f>
        <v> </v>
      </c>
      <c r="H750" s="24" t="str">
        <f>IF(J750&lt;&gt;1,"",IF(I750="SBJ","CB","?"))</f>
        <v> </v>
      </c>
      <c r="I750" s="25" t="str">
        <f>IF(OR(E750="",E750="!!!",F750="NEW"),"",INDEX(B749:B$2,-1+SUMPRODUCT(MAX(ROW(E749:E$2)*(E750=E749:E$2)))))</f>
        <v> </v>
      </c>
      <c r="J750" s="25" t="str">
        <f>IF(OR(E750="",E750="!!!",F750="NEW"),"",COUNTBLANK(OFFSET(A$1,,,SUMPRODUCT(MAX(ROW(E$2:E750)*(E750=E$2:E750)))))-COUNTBLANK(OFFSET(A$1,,,SUMPRODUCT(MAX(ROW(E$1:E749)*(E2=E$1:E749))))))</f>
        <v> </v>
      </c>
      <c r="K750" s="25" t="str">
        <f>IF(OR(E750="",E750="!!!",F750="NEW"),"",INDEX(J$1:J749,SUMPRODUCT(MAX(ROW(E$1:E749)*(E750=E$1:E749)))))</f>
        <v> </v>
      </c>
      <c r="L750" s="26"/>
    </row>
    <row r="751" spans="1:12">
      <c r="A751" s="20" t="s">
        <v>753</v>
      </c>
      <c r="E751" s="21">
        <f>IF(D751="?OLD","!!!","")</f>
        <v/>
      </c>
      <c r="F751" s="22" t="str">
        <f>IF(OR(E751="",E751="!!!"),"",IF(NOT(ISNA(VLOOKUP(E751,E$1:E750,1,FALSE()))),"OLD",IF(AND(E751&lt;&gt;"",E751&lt;&gt;"!!!"),"NEW","")))</f>
        <v> </v>
      </c>
      <c r="G751" s="23" t="str">
        <f>IF(OR(E751="",E751="!!!"),"",IF(OR(J751=0,AND(J751=1,K751=1),AND(J751=1,I751="SBJ"),AND(J751=1,I751=0)),"?IN_FOCUS",IF(J751&lt;=2,"?ACTIVATED",IF(J751&lt;&gt;"","?FAMILIAR",IF(F751="NEW",IF(ISNA(VLOOKUP(E751,#REF!,1,FALSE())),"?TYPE_IDENTIFIABLE","?REFERENTIAL"),"_")))))</f>
        <v> </v>
      </c>
      <c r="H751" s="24" t="str">
        <f>IF(J751&lt;&gt;1,"",IF(I751="SBJ","CB","?"))</f>
        <v> </v>
      </c>
      <c r="I751" s="25" t="str">
        <f>IF(OR(E751="",E751="!!!",F751="NEW"),"",INDEX(B750:B$2,-1+SUMPRODUCT(MAX(ROW(E750:E$2)*(E751=E750:E$2)))))</f>
        <v> </v>
      </c>
      <c r="J751" s="25" t="str">
        <f>IF(OR(E751="",E751="!!!",F751="NEW"),"",COUNTBLANK(OFFSET(A$1,,,SUMPRODUCT(MAX(ROW(E$2:E751)*(E751=E$2:E751)))))-COUNTBLANK(OFFSET(A$1,,,SUMPRODUCT(MAX(ROW(E$1:E750)*(E2=E$1:E750))))))</f>
        <v> </v>
      </c>
      <c r="K751" s="25" t="str">
        <f>IF(OR(E751="",E751="!!!",F751="NEW"),"",INDEX(J$1:J750,SUMPRODUCT(MAX(ROW(E$1:E750)*(E751=E$1:E750)))))</f>
        <v> </v>
      </c>
      <c r="L751" s="26"/>
    </row>
    <row r="752" spans="1:12">
      <c r="A752" s="20" t="s">
        <v>791</v>
      </c>
      <c r="E752" s="21">
        <f>IF(D752="?OLD","!!!","")</f>
        <v/>
      </c>
      <c r="F752" s="22" t="str">
        <f>IF(OR(E752="",E752="!!!"),"",IF(NOT(ISNA(VLOOKUP(E752,E$1:E751,1,FALSE()))),"OLD",IF(AND(E752&lt;&gt;"",E752&lt;&gt;"!!!"),"NEW","")))</f>
        <v> </v>
      </c>
      <c r="G752" s="23" t="str">
        <f>IF(OR(E752="",E752="!!!"),"",IF(OR(J752=0,AND(J752=1,K752=1),AND(J752=1,I752="SBJ"),AND(J752=1,I752=0)),"?IN_FOCUS",IF(J752&lt;=2,"?ACTIVATED",IF(J752&lt;&gt;"","?FAMILIAR",IF(F752="NEW",IF(ISNA(VLOOKUP(E752,#REF!,1,FALSE())),"?TYPE_IDENTIFIABLE","?REFERENTIAL"),"_")))))</f>
        <v> </v>
      </c>
      <c r="H752" s="24" t="str">
        <f>IF(J752&lt;&gt;1,"",IF(I752="SBJ","CB","?"))</f>
        <v> </v>
      </c>
      <c r="I752" s="25" t="str">
        <f>IF(OR(E752="",E752="!!!",F752="NEW"),"",INDEX(B751:B$2,-1+SUMPRODUCT(MAX(ROW(E751:E$2)*(E752=E751:E$2)))))</f>
        <v> </v>
      </c>
      <c r="J752" s="25" t="str">
        <f>IF(OR(E752="",E752="!!!",F752="NEW"),"",COUNTBLANK(OFFSET(A$1,,,SUMPRODUCT(MAX(ROW(E$2:E752)*(E752=E$2:E752)))))-COUNTBLANK(OFFSET(A$1,,,SUMPRODUCT(MAX(ROW(E$1:E751)*(E2=E$1:E751))))))</f>
        <v> </v>
      </c>
      <c r="K752" s="25" t="str">
        <f>IF(OR(E752="",E752="!!!",F752="NEW"),"",INDEX(J$1:J751,SUMPRODUCT(MAX(ROW(E$1:E751)*(E752=E$1:E751)))))</f>
        <v> </v>
      </c>
      <c r="L752" s="26"/>
    </row>
    <row r="753" spans="1:12">
      <c r="A753" s="20" t="s">
        <v>792</v>
      </c>
      <c r="B753" s="27" t="s">
        <v>490</v>
      </c>
      <c r="C753" s="27" t="s">
        <v>478</v>
      </c>
      <c r="E753" s="21">
        <f>IF(D753="?OLD","!!!","")</f>
        <v/>
      </c>
      <c r="F753" s="22" t="str">
        <f>IF(OR(E753="",E753="!!!"),"",IF(NOT(ISNA(VLOOKUP(E753,E$1:E752,1,FALSE()))),"OLD",IF(AND(E753&lt;&gt;"",E753&lt;&gt;"!!!"),"NEW","")))</f>
        <v> </v>
      </c>
      <c r="G753" s="23" t="str">
        <f>IF(OR(E753="",E753="!!!"),"",IF(OR(J753=0,AND(J753=1,K753=1),AND(J753=1,I753="SBJ"),AND(J753=1,I753=0)),"?IN_FOCUS",IF(J753&lt;=2,"?ACTIVATED",IF(J753&lt;&gt;"","?FAMILIAR",IF(F753="NEW",IF(ISNA(VLOOKUP(E753,#REF!,1,FALSE())),"?TYPE_IDENTIFIABLE","?REFERENTIAL"),"_")))))</f>
        <v> </v>
      </c>
      <c r="H753" s="24" t="str">
        <f>IF(J753&lt;&gt;1,"",IF(I753="SBJ","CB","?"))</f>
        <v> </v>
      </c>
      <c r="I753" s="25" t="str">
        <f>IF(OR(E753="",E753="!!!",F753="NEW"),"",INDEX(B752:B$2,-1+SUMPRODUCT(MAX(ROW(E752:E$2)*(E753=E752:E$2)))))</f>
        <v> </v>
      </c>
      <c r="J753" s="25" t="str">
        <f>IF(OR(E753="",E753="!!!",F753="NEW"),"",COUNTBLANK(OFFSET(A$1,,,SUMPRODUCT(MAX(ROW(E$2:E753)*(E753=E$2:E753)))))-COUNTBLANK(OFFSET(A$1,,,SUMPRODUCT(MAX(ROW(E$1:E752)*(E2=E$1:E752))))))</f>
        <v> </v>
      </c>
      <c r="K753" s="25" t="str">
        <f>IF(OR(E753="",E753="!!!",F753="NEW"),"",INDEX(J$1:J752,SUMPRODUCT(MAX(ROW(E$1:E752)*(E753=E$1:E752)))))</f>
        <v> </v>
      </c>
      <c r="L753" s="26"/>
    </row>
    <row r="754" spans="1:12">
      <c r="A754" s="20" t="s">
        <v>489</v>
      </c>
      <c r="E754" s="21">
        <f>IF(D754="?OLD","!!!","")</f>
        <v/>
      </c>
      <c r="F754" s="22" t="str">
        <f>IF(OR(E754="",E754="!!!"),"",IF(NOT(ISNA(VLOOKUP(E754,E$1:E753,1,FALSE()))),"OLD",IF(AND(E754&lt;&gt;"",E754&lt;&gt;"!!!"),"NEW","")))</f>
        <v> </v>
      </c>
      <c r="G754" s="23" t="str">
        <f>IF(OR(E754="",E754="!!!"),"",IF(OR(J754=0,AND(J754=1,K754=1),AND(J754=1,I754="SBJ"),AND(J754=1,I754=0)),"?IN_FOCUS",IF(J754&lt;=2,"?ACTIVATED",IF(J754&lt;&gt;"","?FAMILIAR",IF(F754="NEW",IF(ISNA(VLOOKUP(E754,#REF!,1,FALSE())),"?TYPE_IDENTIFIABLE","?REFERENTIAL"),"_")))))</f>
        <v> </v>
      </c>
      <c r="H754" s="24" t="str">
        <f>IF(J754&lt;&gt;1,"",IF(I754="SBJ","CB","?"))</f>
        <v> </v>
      </c>
      <c r="I754" s="25" t="str">
        <f>IF(OR(E754="",E754="!!!",F754="NEW"),"",INDEX(B753:B$2,-1+SUMPRODUCT(MAX(ROW(E753:E$2)*(E754=E753:E$2)))))</f>
        <v> </v>
      </c>
      <c r="J754" s="25" t="str">
        <f>IF(OR(E754="",E754="!!!",F754="NEW"),"",COUNTBLANK(OFFSET(A$1,,,SUMPRODUCT(MAX(ROW(E$2:E754)*(E754=E$2:E754)))))-COUNTBLANK(OFFSET(A$1,,,SUMPRODUCT(MAX(ROW(E$1:E753)*(E2=E$1:E753))))))</f>
        <v> </v>
      </c>
      <c r="K754" s="25" t="str">
        <f>IF(OR(E754="",E754="!!!",F754="NEW"),"",INDEX(J$1:J753,SUMPRODUCT(MAX(ROW(E$1:E753)*(E754=E$1:E753)))))</f>
        <v> </v>
      </c>
      <c r="L754" s="26"/>
    </row>
    <row r="755" spans="1:12">
      <c r="A755" s="20" t="s">
        <v>652</v>
      </c>
      <c r="E755" s="21">
        <f>IF(D755="?OLD","!!!","")</f>
        <v/>
      </c>
      <c r="F755" s="22" t="str">
        <f>IF(OR(E755="",E755="!!!"),"",IF(NOT(ISNA(VLOOKUP(E755,E$1:E754,1,FALSE()))),"OLD",IF(AND(E755&lt;&gt;"",E755&lt;&gt;"!!!"),"NEW","")))</f>
        <v> </v>
      </c>
      <c r="G755" s="23" t="str">
        <f>IF(OR(E755="",E755="!!!"),"",IF(OR(J755=0,AND(J755=1,K755=1),AND(J755=1,I755="SBJ"),AND(J755=1,I755=0)),"?IN_FOCUS",IF(J755&lt;=2,"?ACTIVATED",IF(J755&lt;&gt;"","?FAMILIAR",IF(F755="NEW",IF(ISNA(VLOOKUP(E755,#REF!,1,FALSE())),"?TYPE_IDENTIFIABLE","?REFERENTIAL"),"_")))))</f>
        <v> </v>
      </c>
      <c r="H755" s="24" t="str">
        <f>IF(J755&lt;&gt;1,"",IF(I755="SBJ","CB","?"))</f>
        <v> </v>
      </c>
      <c r="I755" s="25" t="str">
        <f>IF(OR(E755="",E755="!!!",F755="NEW"),"",INDEX(B754:B$2,-1+SUMPRODUCT(MAX(ROW(E754:E$2)*(E755=E754:E$2)))))</f>
        <v> </v>
      </c>
      <c r="J755" s="25" t="str">
        <f>IF(OR(E755="",E755="!!!",F755="NEW"),"",COUNTBLANK(OFFSET(A$1,,,SUMPRODUCT(MAX(ROW(E$2:E755)*(E755=E$2:E755)))))-COUNTBLANK(OFFSET(A$1,,,SUMPRODUCT(MAX(ROW(E$1:E754)*(E2=E$1:E754))))))</f>
        <v> </v>
      </c>
      <c r="K755" s="25" t="str">
        <f>IF(OR(E755="",E755="!!!",F755="NEW"),"",INDEX(J$1:J754,SUMPRODUCT(MAX(ROW(E$1:E754)*(E755=E$1:E754)))))</f>
        <v> </v>
      </c>
      <c r="L755" s="26"/>
    </row>
    <row r="756" spans="1:12">
      <c r="A756" s="20" t="s">
        <v>793</v>
      </c>
      <c r="B756" s="27" t="s">
        <v>549</v>
      </c>
      <c r="C756" s="27" t="s">
        <v>598</v>
      </c>
      <c r="D756" s="27" t="s">
        <v>483</v>
      </c>
      <c r="E756" s="21">
        <f>IF(D756="?OLD","!!!","")</f>
        <v/>
      </c>
      <c r="F756" s="22" t="str">
        <f>IF(OR(E756="",E756="!!!"),"",IF(NOT(ISNA(VLOOKUP(E756,E$1:E755,1,FALSE()))),"OLD",IF(AND(E756&lt;&gt;"",E756&lt;&gt;"!!!"),"NEW","")))</f>
        <v> </v>
      </c>
      <c r="G756" s="23" t="str">
        <f>IF(OR(E756="",E756="!!!"),"",IF(OR(J756=0,AND(J756=1,K756=1),AND(J756=1,I756="SBJ"),AND(J756=1,I756=0)),"?IN_FOCUS",IF(J756&lt;=2,"?ACTIVATED",IF(J756&lt;&gt;"","?FAMILIAR",IF(F756="NEW",IF(ISNA(VLOOKUP(E756,#REF!,1,FALSE())),"?TYPE_IDENTIFIABLE","?REFERENTIAL"),"_")))))</f>
        <v> </v>
      </c>
      <c r="H756" s="24" t="str">
        <f>IF(J756&lt;&gt;1,"",IF(I756="SBJ","CB","?"))</f>
        <v> </v>
      </c>
      <c r="I756" s="25" t="str">
        <f>IF(OR(E756="",E756="!!!",F756="NEW"),"",INDEX(B755:B$2,-1+SUMPRODUCT(MAX(ROW(E755:E$2)*(E756=E755:E$2)))))</f>
        <v> </v>
      </c>
      <c r="J756" s="25" t="str">
        <f>IF(OR(E756="",E756="!!!",F756="NEW"),"",COUNTBLANK(OFFSET(A$1,,,SUMPRODUCT(MAX(ROW(E$2:E756)*(E756=E$2:E756)))))-COUNTBLANK(OFFSET(A$1,,,SUMPRODUCT(MAX(ROW(E$1:E755)*(E2=E$1:E755))))))</f>
        <v> </v>
      </c>
      <c r="K756" s="25" t="str">
        <f>IF(OR(E756="",E756="!!!",F756="NEW"),"",INDEX(J$1:J755,SUMPRODUCT(MAX(ROW(E$1:E755)*(E756=E$1:E755)))))</f>
        <v> </v>
      </c>
      <c r="L756" s="26"/>
    </row>
    <row r="757" spans="1:12">
      <c r="A757" s="20" t="s">
        <v>181</v>
      </c>
      <c r="E757" s="21">
        <f>IF(D757="?OLD","!!!","")</f>
        <v/>
      </c>
      <c r="F757" s="22" t="str">
        <f>IF(OR(E757="",E757="!!!"),"",IF(NOT(ISNA(VLOOKUP(E757,E$1:E756,1,FALSE()))),"OLD",IF(AND(E757&lt;&gt;"",E757&lt;&gt;"!!!"),"NEW","")))</f>
        <v> </v>
      </c>
      <c r="G757" s="23" t="str">
        <f>IF(OR(E757="",E757="!!!"),"",IF(OR(J757=0,AND(J757=1,K757=1),AND(J757=1,I757="SBJ"),AND(J757=1,I757=0)),"?IN_FOCUS",IF(J757&lt;=2,"?ACTIVATED",IF(J757&lt;&gt;"","?FAMILIAR",IF(F757="NEW",IF(ISNA(VLOOKUP(E757,#REF!,1,FALSE())),"?TYPE_IDENTIFIABLE","?REFERENTIAL"),"_")))))</f>
        <v> </v>
      </c>
      <c r="H757" s="24" t="str">
        <f>IF(J757&lt;&gt;1,"",IF(I757="SBJ","CB","?"))</f>
        <v> </v>
      </c>
      <c r="I757" s="25" t="str">
        <f>IF(OR(E757="",E757="!!!",F757="NEW"),"",INDEX(B756:B$2,-1+SUMPRODUCT(MAX(ROW(E756:E$2)*(E757=E756:E$2)))))</f>
        <v> </v>
      </c>
      <c r="J757" s="25" t="str">
        <f>IF(OR(E757="",E757="!!!",F757="NEW"),"",COUNTBLANK(OFFSET(A$1,,,SUMPRODUCT(MAX(ROW(E$2:E757)*(E757=E$2:E757)))))-COUNTBLANK(OFFSET(A$1,,,SUMPRODUCT(MAX(ROW(E$1:E756)*(E2=E$1:E756))))))</f>
        <v> </v>
      </c>
      <c r="K757" s="25" t="str">
        <f>IF(OR(E757="",E757="!!!",F757="NEW"),"",INDEX(J$1:J756,SUMPRODUCT(MAX(ROW(E$1:E756)*(E757=E$1:E756)))))</f>
        <v> </v>
      </c>
      <c r="L757" s="26"/>
    </row>
    <row r="758" spans="1:12">
      <c r="A758" s="20" t="s">
        <v>485</v>
      </c>
      <c r="E758" s="21">
        <f>IF(D758="?OLD","!!!","")</f>
        <v/>
      </c>
      <c r="F758" s="22" t="str">
        <f>IF(OR(E758="",E758="!!!"),"",IF(NOT(ISNA(VLOOKUP(E758,E$1:E757,1,FALSE()))),"OLD",IF(AND(E758&lt;&gt;"",E758&lt;&gt;"!!!"),"NEW","")))</f>
        <v> </v>
      </c>
      <c r="G758" s="23" t="str">
        <f>IF(OR(E758="",E758="!!!"),"",IF(OR(J758=0,AND(J758=1,K758=1),AND(J758=1,I758="SBJ"),AND(J758=1,I758=0)),"?IN_FOCUS",IF(J758&lt;=2,"?ACTIVATED",IF(J758&lt;&gt;"","?FAMILIAR",IF(F758="NEW",IF(ISNA(VLOOKUP(E758,#REF!,1,FALSE())),"?TYPE_IDENTIFIABLE","?REFERENTIAL"),"_")))))</f>
        <v> </v>
      </c>
      <c r="H758" s="24" t="str">
        <f>IF(J758&lt;&gt;1,"",IF(I758="SBJ","CB","?"))</f>
        <v> </v>
      </c>
      <c r="I758" s="25" t="str">
        <f>IF(OR(E758="",E758="!!!",F758="NEW"),"",INDEX(B757:B$2,-1+SUMPRODUCT(MAX(ROW(E757:E$2)*(E758=E757:E$2)))))</f>
        <v> </v>
      </c>
      <c r="J758" s="25" t="str">
        <f>IF(OR(E758="",E758="!!!",F758="NEW"),"",COUNTBLANK(OFFSET(A$1,,,SUMPRODUCT(MAX(ROW(E$2:E758)*(E758=E$2:E758)))))-COUNTBLANK(OFFSET(A$1,,,SUMPRODUCT(MAX(ROW(E$1:E757)*(E2=E$1:E757))))))</f>
        <v> </v>
      </c>
      <c r="K758" s="25" t="str">
        <f>IF(OR(E758="",E758="!!!",F758="NEW"),"",INDEX(J$1:J757,SUMPRODUCT(MAX(ROW(E$1:E757)*(E758=E$1:E757)))))</f>
        <v> </v>
      </c>
      <c r="L758" s="26"/>
    </row>
    <row r="759" spans="1:12">
      <c r="A759" s="20" t="s">
        <v>668</v>
      </c>
      <c r="B759" s="27" t="s">
        <v>490</v>
      </c>
      <c r="C759" s="27" t="s">
        <v>635</v>
      </c>
      <c r="D759" s="27" t="s">
        <v>483</v>
      </c>
      <c r="E759" s="21">
        <f>IF(D759="?OLD","!!!","")</f>
        <v/>
      </c>
      <c r="F759" s="22" t="str">
        <f>IF(OR(E759="",E759="!!!"),"",IF(NOT(ISNA(VLOOKUP(E759,E$1:E758,1,FALSE()))),"OLD",IF(AND(E759&lt;&gt;"",E759&lt;&gt;"!!!"),"NEW","")))</f>
        <v> </v>
      </c>
      <c r="G759" s="23" t="str">
        <f>IF(OR(E759="",E759="!!!"),"",IF(OR(J759=0,AND(J759=1,K759=1),AND(J759=1,I759="SBJ"),AND(J759=1,I759=0)),"?IN_FOCUS",IF(J759&lt;=2,"?ACTIVATED",IF(J759&lt;&gt;"","?FAMILIAR",IF(F759="NEW",IF(ISNA(VLOOKUP(E759,#REF!,1,FALSE())),"?TYPE_IDENTIFIABLE","?REFERENTIAL"),"_")))))</f>
        <v> </v>
      </c>
      <c r="H759" s="24" t="str">
        <f>IF(J759&lt;&gt;1,"",IF(I759="SBJ","CB","?"))</f>
        <v> </v>
      </c>
      <c r="I759" s="25" t="str">
        <f>IF(OR(E759="",E759="!!!",F759="NEW"),"",INDEX(B758:B$2,-1+SUMPRODUCT(MAX(ROW(E758:E$2)*(E759=E758:E$2)))))</f>
        <v> </v>
      </c>
      <c r="J759" s="25" t="str">
        <f>IF(OR(E759="",E759="!!!",F759="NEW"),"",COUNTBLANK(OFFSET(A$1,,,SUMPRODUCT(MAX(ROW(E$2:E759)*(E759=E$2:E759)))))-COUNTBLANK(OFFSET(A$1,,,SUMPRODUCT(MAX(ROW(E$1:E758)*(E2=E$1:E758))))))</f>
        <v> </v>
      </c>
      <c r="K759" s="25" t="str">
        <f>IF(OR(E759="",E759="!!!",F759="NEW"),"",INDEX(J$1:J758,SUMPRODUCT(MAX(ROW(E$1:E758)*(E759=E$1:E758)))))</f>
        <v> </v>
      </c>
      <c r="L759" s="26"/>
    </row>
    <row r="760" spans="1:12">
      <c r="A760" s="20" t="s">
        <v>730</v>
      </c>
      <c r="B760" s="27" t="s">
        <v>481</v>
      </c>
      <c r="C760" s="27" t="s">
        <v>487</v>
      </c>
      <c r="D760" s="27" t="s">
        <v>483</v>
      </c>
      <c r="E760" s="21">
        <f>IF(D760="?OLD","!!!","")</f>
        <v/>
      </c>
      <c r="F760" s="22" t="str">
        <f>IF(OR(E760="",E760="!!!"),"",IF(NOT(ISNA(VLOOKUP(E760,E$1:E759,1,FALSE()))),"OLD",IF(AND(E760&lt;&gt;"",E760&lt;&gt;"!!!"),"NEW","")))</f>
        <v> </v>
      </c>
      <c r="G760" s="23" t="str">
        <f>IF(OR(E760="",E760="!!!"),"",IF(OR(J760=0,AND(J760=1,K760=1),AND(J760=1,I760="SBJ"),AND(J760=1,I760=0)),"?IN_FOCUS",IF(J760&lt;=2,"?ACTIVATED",IF(J760&lt;&gt;"","?FAMILIAR",IF(F760="NEW",IF(ISNA(VLOOKUP(E760,#REF!,1,FALSE())),"?TYPE_IDENTIFIABLE","?REFERENTIAL"),"_")))))</f>
        <v> </v>
      </c>
      <c r="H760" s="24" t="str">
        <f>IF(J760&lt;&gt;1,"",IF(I760="SBJ","CB","?"))</f>
        <v> </v>
      </c>
      <c r="I760" s="25" t="str">
        <f>IF(OR(E760="",E760="!!!",F760="NEW"),"",INDEX(B759:B$2,-1+SUMPRODUCT(MAX(ROW(E759:E$2)*(E760=E759:E$2)))))</f>
        <v> </v>
      </c>
      <c r="J760" s="25" t="str">
        <f>IF(OR(E760="",E760="!!!",F760="NEW"),"",COUNTBLANK(OFFSET(A$1,,,SUMPRODUCT(MAX(ROW(E$2:E760)*(E760=E$2:E760)))))-COUNTBLANK(OFFSET(A$1,,,SUMPRODUCT(MAX(ROW(E$1:E759)*(E2=E$1:E759))))))</f>
        <v> </v>
      </c>
      <c r="K760" s="25" t="str">
        <f>IF(OR(E760="",E760="!!!",F760="NEW"),"",INDEX(J$1:J759,SUMPRODUCT(MAX(ROW(E$1:E759)*(E760=E$1:E759)))))</f>
        <v> </v>
      </c>
      <c r="L760" s="26"/>
    </row>
    <row r="761" spans="1:12">
      <c r="A761" s="20" t="s">
        <v>503</v>
      </c>
      <c r="E761" s="21">
        <f>IF(D761="?OLD","!!!","")</f>
        <v/>
      </c>
      <c r="F761" s="22" t="str">
        <f>IF(OR(E761="",E761="!!!"),"",IF(NOT(ISNA(VLOOKUP(E761,E$1:E760,1,FALSE()))),"OLD",IF(AND(E761&lt;&gt;"",E761&lt;&gt;"!!!"),"NEW","")))</f>
        <v> </v>
      </c>
      <c r="G761" s="23" t="str">
        <f>IF(OR(E761="",E761="!!!"),"",IF(OR(J761=0,AND(J761=1,K761=1),AND(J761=1,I761="SBJ"),AND(J761=1,I761=0)),"?IN_FOCUS",IF(J761&lt;=2,"?ACTIVATED",IF(J761&lt;&gt;"","?FAMILIAR",IF(F761="NEW",IF(ISNA(VLOOKUP(E761,#REF!,1,FALSE())),"?TYPE_IDENTIFIABLE","?REFERENTIAL"),"_")))))</f>
        <v> </v>
      </c>
      <c r="H761" s="24" t="str">
        <f>IF(J761&lt;&gt;1,"",IF(I761="SBJ","CB","?"))</f>
        <v> </v>
      </c>
      <c r="I761" s="25" t="str">
        <f>IF(OR(E761="",E761="!!!",F761="NEW"),"",INDEX(B760:B$2,-1+SUMPRODUCT(MAX(ROW(E760:E$2)*(E761=E760:E$2)))))</f>
        <v> </v>
      </c>
      <c r="J761" s="25" t="str">
        <f>IF(OR(E761="",E761="!!!",F761="NEW"),"",COUNTBLANK(OFFSET(A$1,,,SUMPRODUCT(MAX(ROW(E$2:E761)*(E761=E$2:E761)))))-COUNTBLANK(OFFSET(A$1,,,SUMPRODUCT(MAX(ROW(E$1:E760)*(E2=E$1:E760))))))</f>
        <v> </v>
      </c>
      <c r="K761" s="25" t="str">
        <f>IF(OR(E761="",E761="!!!",F761="NEW"),"",INDEX(J$1:J760,SUMPRODUCT(MAX(ROW(E$1:E760)*(E761=E$1:E760)))))</f>
        <v> </v>
      </c>
      <c r="L761" s="26"/>
    </row>
    <row r="762" spans="1:12">
      <c r="A762" s="20" t="s">
        <v>794</v>
      </c>
      <c r="E762" s="21">
        <f>IF(D762="?OLD","!!!","")</f>
        <v/>
      </c>
      <c r="F762" s="22" t="str">
        <f>IF(OR(E762="",E762="!!!"),"",IF(NOT(ISNA(VLOOKUP(E762,E$1:E761,1,FALSE()))),"OLD",IF(AND(E762&lt;&gt;"",E762&lt;&gt;"!!!"),"NEW","")))</f>
        <v> </v>
      </c>
      <c r="G762" s="23" t="str">
        <f>IF(OR(E762="",E762="!!!"),"",IF(OR(J762=0,AND(J762=1,K762=1),AND(J762=1,I762="SBJ"),AND(J762=1,I762=0)),"?IN_FOCUS",IF(J762&lt;=2,"?ACTIVATED",IF(J762&lt;&gt;"","?FAMILIAR",IF(F762="NEW",IF(ISNA(VLOOKUP(E762,#REF!,1,FALSE())),"?TYPE_IDENTIFIABLE","?REFERENTIAL"),"_")))))</f>
        <v> </v>
      </c>
      <c r="H762" s="24" t="str">
        <f>IF(J762&lt;&gt;1,"",IF(I762="SBJ","CB","?"))</f>
        <v> </v>
      </c>
      <c r="I762" s="25" t="str">
        <f>IF(OR(E762="",E762="!!!",F762="NEW"),"",INDEX(B761:B$2,-1+SUMPRODUCT(MAX(ROW(E761:E$2)*(E762=E761:E$2)))))</f>
        <v> </v>
      </c>
      <c r="J762" s="25" t="str">
        <f>IF(OR(E762="",E762="!!!",F762="NEW"),"",COUNTBLANK(OFFSET(A$1,,,SUMPRODUCT(MAX(ROW(E$2:E762)*(E762=E$2:E762)))))-COUNTBLANK(OFFSET(A$1,,,SUMPRODUCT(MAX(ROW(E$1:E761)*(E2=E$1:E761))))))</f>
        <v> </v>
      </c>
      <c r="K762" s="25" t="str">
        <f>IF(OR(E762="",E762="!!!",F762="NEW"),"",INDEX(J$1:J761,SUMPRODUCT(MAX(ROW(E$1:E761)*(E762=E$1:E761)))))</f>
        <v> </v>
      </c>
      <c r="L762" s="26"/>
    </row>
    <row r="763" spans="1:12">
      <c r="A763" s="20" t="s">
        <v>529</v>
      </c>
      <c r="E763" s="21">
        <f>IF(D763="?OLD","!!!","")</f>
        <v/>
      </c>
      <c r="F763" s="22" t="str">
        <f>IF(OR(E763="",E763="!!!"),"",IF(NOT(ISNA(VLOOKUP(E763,E$1:E762,1,FALSE()))),"OLD",IF(AND(E763&lt;&gt;"",E763&lt;&gt;"!!!"),"NEW","")))</f>
        <v> </v>
      </c>
      <c r="G763" s="23" t="str">
        <f>IF(OR(E763="",E763="!!!"),"",IF(OR(J763=0,AND(J763=1,K763=1),AND(J763=1,I763="SBJ"),AND(J763=1,I763=0)),"?IN_FOCUS",IF(J763&lt;=2,"?ACTIVATED",IF(J763&lt;&gt;"","?FAMILIAR",IF(F763="NEW",IF(ISNA(VLOOKUP(E763,#REF!,1,FALSE())),"?TYPE_IDENTIFIABLE","?REFERENTIAL"),"_")))))</f>
        <v> </v>
      </c>
      <c r="H763" s="24" t="str">
        <f>IF(J763&lt;&gt;1,"",IF(I763="SBJ","CB","?"))</f>
        <v> </v>
      </c>
      <c r="I763" s="25" t="str">
        <f>IF(OR(E763="",E763="!!!",F763="NEW"),"",INDEX(B762:B$2,-1+SUMPRODUCT(MAX(ROW(E762:E$2)*(E763=E762:E$2)))))</f>
        <v> </v>
      </c>
      <c r="J763" s="25" t="str">
        <f>IF(OR(E763="",E763="!!!",F763="NEW"),"",COUNTBLANK(OFFSET(A$1,,,SUMPRODUCT(MAX(ROW(E$2:E763)*(E763=E$2:E763)))))-COUNTBLANK(OFFSET(A$1,,,SUMPRODUCT(MAX(ROW(E$1:E762)*(E2=E$1:E762))))))</f>
        <v> </v>
      </c>
      <c r="K763" s="25" t="str">
        <f>IF(OR(E763="",E763="!!!",F763="NEW"),"",INDEX(J$1:J762,SUMPRODUCT(MAX(ROW(E$1:E762)*(E763=E$1:E762)))))</f>
        <v> </v>
      </c>
      <c r="L763" s="26"/>
    </row>
    <row r="764" spans="1:12">
      <c r="A764" s="20" t="s">
        <v>531</v>
      </c>
      <c r="E764" s="21">
        <f>IF(D764="?OLD","!!!","")</f>
        <v/>
      </c>
      <c r="F764" s="22" t="str">
        <f>IF(OR(E764="",E764="!!!"),"",IF(NOT(ISNA(VLOOKUP(E764,E$1:E763,1,FALSE()))),"OLD",IF(AND(E764&lt;&gt;"",E764&lt;&gt;"!!!"),"NEW","")))</f>
        <v> </v>
      </c>
      <c r="G764" s="23" t="str">
        <f>IF(OR(E764="",E764="!!!"),"",IF(OR(J764=0,AND(J764=1,K764=1),AND(J764=1,I764="SBJ"),AND(J764=1,I764=0)),"?IN_FOCUS",IF(J764&lt;=2,"?ACTIVATED",IF(J764&lt;&gt;"","?FAMILIAR",IF(F764="NEW",IF(ISNA(VLOOKUP(E764,#REF!,1,FALSE())),"?TYPE_IDENTIFIABLE","?REFERENTIAL"),"_")))))</f>
        <v> </v>
      </c>
      <c r="H764" s="24" t="str">
        <f>IF(J764&lt;&gt;1,"",IF(I764="SBJ","CB","?"))</f>
        <v> </v>
      </c>
      <c r="I764" s="25" t="str">
        <f>IF(OR(E764="",E764="!!!",F764="NEW"),"",INDEX(B763:B$2,-1+SUMPRODUCT(MAX(ROW(E763:E$2)*(E764=E763:E$2)))))</f>
        <v> </v>
      </c>
      <c r="J764" s="25" t="str">
        <f>IF(OR(E764="",E764="!!!",F764="NEW"),"",COUNTBLANK(OFFSET(A$1,,,SUMPRODUCT(MAX(ROW(E$2:E764)*(E764=E$2:E764)))))-COUNTBLANK(OFFSET(A$1,,,SUMPRODUCT(MAX(ROW(E$1:E763)*(E2=E$1:E763))))))</f>
        <v> </v>
      </c>
      <c r="K764" s="25" t="str">
        <f>IF(OR(E764="",E764="!!!",F764="NEW"),"",INDEX(J$1:J763,SUMPRODUCT(MAX(ROW(E$1:E763)*(E764=E$1:E763)))))</f>
        <v> </v>
      </c>
      <c r="L764" s="26"/>
    </row>
    <row r="765" spans="1:12">
      <c r="A765" s="20"/>
    </row>
    <row r="766" spans="1:12">
      <c r="A766" s="20" t="s">
        <v>795</v>
      </c>
    </row>
    <row r="767" spans="1:12">
      <c r="A767" s="20" t="s">
        <v>796</v>
      </c>
      <c r="E767" s="21">
        <f>IF(D767="?OLD","!!!","")</f>
        <v/>
      </c>
      <c r="F767" s="22" t="str">
        <f>IF(OR(E767="",E767="!!!"),"",IF(NOT(ISNA(VLOOKUP(E767,E$1:E766,1,FALSE()))),"OLD",IF(AND(E767&lt;&gt;"",E767&lt;&gt;"!!!"),"NEW","")))</f>
        <v> </v>
      </c>
      <c r="G767" s="23" t="str">
        <f>IF(OR(E767="",E767="!!!"),"",IF(OR(J767=0,AND(J767=1,K767=1),AND(J767=1,I767="SBJ"),AND(J767=1,I767=0)),"?IN_FOCUS",IF(J767&lt;=2,"?ACTIVATED",IF(J767&lt;&gt;"","?FAMILIAR",IF(F767="NEW",IF(ISNA(VLOOKUP(E767,#REF!,1,FALSE())),"?TYPE_IDENTIFIABLE","?REFERENTIAL"),"_")))))</f>
        <v> </v>
      </c>
      <c r="H767" s="24" t="str">
        <f>IF(J767&lt;&gt;1,"",IF(I767="SBJ","CB","?"))</f>
        <v> </v>
      </c>
      <c r="I767" s="25" t="str">
        <f>IF(OR(E767="",E767="!!!",F767="NEW"),"",INDEX(B766:B$2,-1+SUMPRODUCT(MAX(ROW(E766:E$2)*(E767=E766:E$2)))))</f>
        <v> </v>
      </c>
      <c r="J767" s="25" t="str">
        <f>IF(OR(E767="",E767="!!!",F767="NEW"),"",COUNTBLANK(OFFSET(A$1,,,SUMPRODUCT(MAX(ROW(E$2:E767)*(E767=E$2:E767)))))-COUNTBLANK(OFFSET(A$1,,,SUMPRODUCT(MAX(ROW(E$1:E766)*(E2=E$1:E766))))))</f>
        <v> </v>
      </c>
      <c r="K767" s="25" t="str">
        <f>IF(OR(E767="",E767="!!!",F767="NEW"),"",INDEX(J$1:J766,SUMPRODUCT(MAX(ROW(E$1:E766)*(E767=E$1:E766)))))</f>
        <v> </v>
      </c>
      <c r="L767" s="26"/>
    </row>
    <row r="768" spans="1:12">
      <c r="A768" s="20" t="s">
        <v>769</v>
      </c>
      <c r="E768" s="21">
        <f>IF(D768="?OLD","!!!","")</f>
        <v/>
      </c>
      <c r="F768" s="22" t="str">
        <f>IF(OR(E768="",E768="!!!"),"",IF(NOT(ISNA(VLOOKUP(E768,E$1:E767,1,FALSE()))),"OLD",IF(AND(E768&lt;&gt;"",E768&lt;&gt;"!!!"),"NEW","")))</f>
        <v> </v>
      </c>
      <c r="G768" s="23" t="str">
        <f>IF(OR(E768="",E768="!!!"),"",IF(OR(J768=0,AND(J768=1,K768=1),AND(J768=1,I768="SBJ"),AND(J768=1,I768=0)),"?IN_FOCUS",IF(J768&lt;=2,"?ACTIVATED",IF(J768&lt;&gt;"","?FAMILIAR",IF(F768="NEW",IF(ISNA(VLOOKUP(E768,#REF!,1,FALSE())),"?TYPE_IDENTIFIABLE","?REFERENTIAL"),"_")))))</f>
        <v> </v>
      </c>
      <c r="H768" s="24" t="str">
        <f>IF(J768&lt;&gt;1,"",IF(I768="SBJ","CB","?"))</f>
        <v> </v>
      </c>
      <c r="I768" s="25" t="str">
        <f>IF(OR(E768="",E768="!!!",F768="NEW"),"",INDEX(B767:B$2,-1+SUMPRODUCT(MAX(ROW(E767:E$2)*(E768=E767:E$2)))))</f>
        <v> </v>
      </c>
      <c r="J768" s="25" t="str">
        <f>IF(OR(E768="",E768="!!!",F768="NEW"),"",COUNTBLANK(OFFSET(A$1,,,SUMPRODUCT(MAX(ROW(E$2:E768)*(E768=E$2:E768)))))-COUNTBLANK(OFFSET(A$1,,,SUMPRODUCT(MAX(ROW(E$1:E767)*(E2=E$1:E767))))))</f>
        <v> </v>
      </c>
      <c r="K768" s="25" t="str">
        <f>IF(OR(E768="",E768="!!!",F768="NEW"),"",INDEX(J$1:J767,SUMPRODUCT(MAX(ROW(E$1:E767)*(E768=E$1:E767)))))</f>
        <v> </v>
      </c>
      <c r="L768" s="26"/>
    </row>
    <row r="769" spans="1:12">
      <c r="A769" s="20" t="s">
        <v>65</v>
      </c>
      <c r="B769" s="27" t="s">
        <v>481</v>
      </c>
      <c r="C769" s="27" t="s">
        <v>598</v>
      </c>
      <c r="D769" s="27" t="s">
        <v>483</v>
      </c>
      <c r="E769" s="21">
        <f>IF(D769="?OLD","!!!","")</f>
        <v/>
      </c>
      <c r="F769" s="22" t="str">
        <f>IF(OR(E769="",E769="!!!"),"",IF(NOT(ISNA(VLOOKUP(E769,E$1:E768,1,FALSE()))),"OLD",IF(AND(E769&lt;&gt;"",E769&lt;&gt;"!!!"),"NEW","")))</f>
        <v> </v>
      </c>
      <c r="G769" s="23" t="str">
        <f>IF(OR(E769="",E769="!!!"),"",IF(OR(J769=0,AND(J769=1,K769=1),AND(J769=1,I769="SBJ"),AND(J769=1,I769=0)),"?IN_FOCUS",IF(J769&lt;=2,"?ACTIVATED",IF(J769&lt;&gt;"","?FAMILIAR",IF(F769="NEW",IF(ISNA(VLOOKUP(E769,#REF!,1,FALSE())),"?TYPE_IDENTIFIABLE","?REFERENTIAL"),"_")))))</f>
        <v> </v>
      </c>
      <c r="H769" s="24" t="str">
        <f>IF(J769&lt;&gt;1,"",IF(I769="SBJ","CB","?"))</f>
        <v> </v>
      </c>
      <c r="I769" s="25" t="str">
        <f>IF(OR(E769="",E769="!!!",F769="NEW"),"",INDEX(B768:B$2,-1+SUMPRODUCT(MAX(ROW(E768:E$2)*(E769=E768:E$2)))))</f>
        <v> </v>
      </c>
      <c r="J769" s="25" t="str">
        <f>IF(OR(E769="",E769="!!!",F769="NEW"),"",COUNTBLANK(OFFSET(A$1,,,SUMPRODUCT(MAX(ROW(E$2:E769)*(E769=E$2:E769)))))-COUNTBLANK(OFFSET(A$1,,,SUMPRODUCT(MAX(ROW(E$1:E768)*(E2=E$1:E768))))))</f>
        <v> </v>
      </c>
      <c r="K769" s="25" t="str">
        <f>IF(OR(E769="",E769="!!!",F769="NEW"),"",INDEX(J$1:J768,SUMPRODUCT(MAX(ROW(E$1:E768)*(E769=E$1:E768)))))</f>
        <v> </v>
      </c>
      <c r="L769" s="26"/>
    </row>
    <row r="770" spans="1:12">
      <c r="A770" s="20" t="s">
        <v>531</v>
      </c>
      <c r="E770" s="21">
        <f>IF(D770="?OLD","!!!","")</f>
        <v/>
      </c>
      <c r="F770" s="22" t="str">
        <f>IF(OR(E770="",E770="!!!"),"",IF(NOT(ISNA(VLOOKUP(E770,E$1:E769,1,FALSE()))),"OLD",IF(AND(E770&lt;&gt;"",E770&lt;&gt;"!!!"),"NEW","")))</f>
        <v> </v>
      </c>
      <c r="G770" s="23" t="str">
        <f>IF(OR(E770="",E770="!!!"),"",IF(OR(J770=0,AND(J770=1,K770=1),AND(J770=1,I770="SBJ"),AND(J770=1,I770=0)),"?IN_FOCUS",IF(J770&lt;=2,"?ACTIVATED",IF(J770&lt;&gt;"","?FAMILIAR",IF(F770="NEW",IF(ISNA(VLOOKUP(E770,#REF!,1,FALSE())),"?TYPE_IDENTIFIABLE","?REFERENTIAL"),"_")))))</f>
        <v> </v>
      </c>
      <c r="H770" s="24" t="str">
        <f>IF(J770&lt;&gt;1,"",IF(I770="SBJ","CB","?"))</f>
        <v> </v>
      </c>
      <c r="I770" s="25" t="str">
        <f>IF(OR(E770="",E770="!!!",F770="NEW"),"",INDEX(B769:B$2,-1+SUMPRODUCT(MAX(ROW(E769:E$2)*(E770=E769:E$2)))))</f>
        <v> </v>
      </c>
      <c r="J770" s="25" t="str">
        <f>IF(OR(E770="",E770="!!!",F770="NEW"),"",COUNTBLANK(OFFSET(A$1,,,SUMPRODUCT(MAX(ROW(E$2:E770)*(E770=E$2:E770)))))-COUNTBLANK(OFFSET(A$1,,,SUMPRODUCT(MAX(ROW(E$1:E769)*(E2=E$1:E769))))))</f>
        <v> </v>
      </c>
      <c r="K770" s="25" t="str">
        <f>IF(OR(E770="",E770="!!!",F770="NEW"),"",INDEX(J$1:J769,SUMPRODUCT(MAX(ROW(E$1:E769)*(E770=E$1:E769)))))</f>
        <v> </v>
      </c>
      <c r="L770" s="26"/>
    </row>
    <row r="771" spans="1:12">
      <c r="A771" s="20"/>
    </row>
    <row r="772" spans="1:12">
      <c r="A772" s="20" t="s">
        <v>797</v>
      </c>
    </row>
    <row r="773" spans="1:12">
      <c r="A773" s="20" t="s">
        <v>189</v>
      </c>
      <c r="B773" s="27" t="s">
        <v>477</v>
      </c>
      <c r="C773" s="27" t="s">
        <v>538</v>
      </c>
      <c r="D773" s="27" t="s">
        <v>483</v>
      </c>
      <c r="E773" s="21">
        <f>IF(D773="?OLD","!!!","")</f>
        <v/>
      </c>
      <c r="F773" s="22" t="str">
        <f>IF(OR(E773="",E773="!!!"),"",IF(NOT(ISNA(VLOOKUP(E773,E$1:E772,1,FALSE()))),"OLD",IF(AND(E773&lt;&gt;"",E773&lt;&gt;"!!!"),"NEW","")))</f>
        <v> </v>
      </c>
      <c r="G773" s="23" t="str">
        <f>IF(OR(E773="",E773="!!!"),"",IF(OR(J773=0,AND(J773=1,K773=1),AND(J773=1,I773="SBJ"),AND(J773=1,I773=0)),"?IN_FOCUS",IF(J773&lt;=2,"?ACTIVATED",IF(J773&lt;&gt;"","?FAMILIAR",IF(F773="NEW",IF(ISNA(VLOOKUP(E773,#REF!,1,FALSE())),"?TYPE_IDENTIFIABLE","?REFERENTIAL"),"_")))))</f>
        <v> </v>
      </c>
      <c r="H773" s="24" t="str">
        <f>IF(J773&lt;&gt;1,"",IF(I773="SBJ","CB","?"))</f>
        <v> </v>
      </c>
      <c r="I773" s="25" t="str">
        <f>IF(OR(E773="",E773="!!!",F773="NEW"),"",INDEX(B772:B$2,-1+SUMPRODUCT(MAX(ROW(E772:E$2)*(E773=E772:E$2)))))</f>
        <v> </v>
      </c>
      <c r="J773" s="25" t="str">
        <f>IF(OR(E773="",E773="!!!",F773="NEW"),"",COUNTBLANK(OFFSET(A$1,,,SUMPRODUCT(MAX(ROW(E$2:E773)*(E773=E$2:E773)))))-COUNTBLANK(OFFSET(A$1,,,SUMPRODUCT(MAX(ROW(E$1:E772)*(E2=E$1:E772))))))</f>
        <v> </v>
      </c>
      <c r="K773" s="25" t="str">
        <f>IF(OR(E773="",E773="!!!",F773="NEW"),"",INDEX(J$1:J772,SUMPRODUCT(MAX(ROW(E$1:E772)*(E773=E$1:E772)))))</f>
        <v> </v>
      </c>
      <c r="L773" s="26"/>
    </row>
    <row r="774" spans="1:12">
      <c r="A774" s="20" t="s">
        <v>503</v>
      </c>
      <c r="E774" s="21">
        <f>IF(D774="?OLD","!!!","")</f>
        <v/>
      </c>
      <c r="F774" s="22" t="str">
        <f>IF(OR(E774="",E774="!!!"),"",IF(NOT(ISNA(VLOOKUP(E774,E$1:E773,1,FALSE()))),"OLD",IF(AND(E774&lt;&gt;"",E774&lt;&gt;"!!!"),"NEW","")))</f>
        <v> </v>
      </c>
      <c r="G774" s="23" t="str">
        <f>IF(OR(E774="",E774="!!!"),"",IF(OR(J774=0,AND(J774=1,K774=1),AND(J774=1,I774="SBJ"),AND(J774=1,I774=0)),"?IN_FOCUS",IF(J774&lt;=2,"?ACTIVATED",IF(J774&lt;&gt;"","?FAMILIAR",IF(F774="NEW",IF(ISNA(VLOOKUP(E774,#REF!,1,FALSE())),"?TYPE_IDENTIFIABLE","?REFERENTIAL"),"_")))))</f>
        <v> </v>
      </c>
      <c r="H774" s="24" t="str">
        <f>IF(J774&lt;&gt;1,"",IF(I774="SBJ","CB","?"))</f>
        <v> </v>
      </c>
      <c r="I774" s="25" t="str">
        <f>IF(OR(E774="",E774="!!!",F774="NEW"),"",INDEX(B773:B$2,-1+SUMPRODUCT(MAX(ROW(E773:E$2)*(E774=E773:E$2)))))</f>
        <v> </v>
      </c>
      <c r="J774" s="25" t="str">
        <f>IF(OR(E774="",E774="!!!",F774="NEW"),"",COUNTBLANK(OFFSET(A$1,,,SUMPRODUCT(MAX(ROW(E$2:E774)*(E774=E$2:E774)))))-COUNTBLANK(OFFSET(A$1,,,SUMPRODUCT(MAX(ROW(E$1:E773)*(E2=E$1:E773))))))</f>
        <v> </v>
      </c>
      <c r="K774" s="25" t="str">
        <f>IF(OR(E774="",E774="!!!",F774="NEW"),"",INDEX(J$1:J773,SUMPRODUCT(MAX(ROW(E$1:E773)*(E774=E$1:E773)))))</f>
        <v> </v>
      </c>
      <c r="L774" s="26"/>
    </row>
    <row r="775" spans="1:12">
      <c r="A775" s="20" t="s">
        <v>61</v>
      </c>
      <c r="B775" s="27" t="s">
        <v>477</v>
      </c>
      <c r="C775" s="27" t="s">
        <v>516</v>
      </c>
      <c r="E775" s="21">
        <f>IF(D775="?OLD","!!!","")</f>
        <v/>
      </c>
      <c r="F775" s="22" t="str">
        <f>IF(OR(E775="",E775="!!!"),"",IF(NOT(ISNA(VLOOKUP(E775,E$1:E774,1,FALSE()))),"OLD",IF(AND(E775&lt;&gt;"",E775&lt;&gt;"!!!"),"NEW","")))</f>
        <v> </v>
      </c>
      <c r="G775" s="23" t="str">
        <f>IF(OR(E775="",E775="!!!"),"",IF(OR(J775=0,AND(J775=1,K775=1),AND(J775=1,I775="SBJ"),AND(J775=1,I775=0)),"?IN_FOCUS",IF(J775&lt;=2,"?ACTIVATED",IF(J775&lt;&gt;"","?FAMILIAR",IF(F775="NEW",IF(ISNA(VLOOKUP(E775,#REF!,1,FALSE())),"?TYPE_IDENTIFIABLE","?REFERENTIAL"),"_")))))</f>
        <v> </v>
      </c>
      <c r="H775" s="24" t="str">
        <f>IF(J775&lt;&gt;1,"",IF(I775="SBJ","CB","?"))</f>
        <v> </v>
      </c>
      <c r="I775" s="25" t="str">
        <f>IF(OR(E775="",E775="!!!",F775="NEW"),"",INDEX(B774:B$2,-1+SUMPRODUCT(MAX(ROW(E774:E$2)*(E775=E774:E$2)))))</f>
        <v> </v>
      </c>
      <c r="J775" s="25" t="str">
        <f>IF(OR(E775="",E775="!!!",F775="NEW"),"",COUNTBLANK(OFFSET(A$1,,,SUMPRODUCT(MAX(ROW(E$2:E775)*(E775=E$2:E775)))))-COUNTBLANK(OFFSET(A$1,,,SUMPRODUCT(MAX(ROW(E$1:E774)*(E2=E$1:E774))))))</f>
        <v> </v>
      </c>
      <c r="K775" s="25" t="str">
        <f>IF(OR(E775="",E775="!!!",F775="NEW"),"",INDEX(J$1:J774,SUMPRODUCT(MAX(ROW(E$1:E774)*(E775=E$1:E774)))))</f>
        <v> </v>
      </c>
      <c r="L775" s="26"/>
    </row>
    <row r="776" spans="1:12">
      <c r="A776" s="20" t="s">
        <v>531</v>
      </c>
      <c r="E776" s="21">
        <f>IF(D776="?OLD","!!!","")</f>
        <v/>
      </c>
      <c r="F776" s="22" t="str">
        <f>IF(OR(E776="",E776="!!!"),"",IF(NOT(ISNA(VLOOKUP(E776,E$1:E775,1,FALSE()))),"OLD",IF(AND(E776&lt;&gt;"",E776&lt;&gt;"!!!"),"NEW","")))</f>
        <v> </v>
      </c>
      <c r="G776" s="23" t="str">
        <f>IF(OR(E776="",E776="!!!"),"",IF(OR(J776=0,AND(J776=1,K776=1),AND(J776=1,I776="SBJ"),AND(J776=1,I776=0)),"?IN_FOCUS",IF(J776&lt;=2,"?ACTIVATED",IF(J776&lt;&gt;"","?FAMILIAR",IF(F776="NEW",IF(ISNA(VLOOKUP(E776,#REF!,1,FALSE())),"?TYPE_IDENTIFIABLE","?REFERENTIAL"),"_")))))</f>
        <v> </v>
      </c>
      <c r="H776" s="24" t="str">
        <f>IF(J776&lt;&gt;1,"",IF(I776="SBJ","CB","?"))</f>
        <v> </v>
      </c>
      <c r="I776" s="25" t="str">
        <f>IF(OR(E776="",E776="!!!",F776="NEW"),"",INDEX(B775:B$2,-1+SUMPRODUCT(MAX(ROW(E775:E$2)*(E776=E775:E$2)))))</f>
        <v> </v>
      </c>
      <c r="J776" s="25" t="str">
        <f>IF(OR(E776="",E776="!!!",F776="NEW"),"",COUNTBLANK(OFFSET(A$1,,,SUMPRODUCT(MAX(ROW(E$2:E776)*(E776=E$2:E776)))))-COUNTBLANK(OFFSET(A$1,,,SUMPRODUCT(MAX(ROW(E$1:E775)*(E2=E$1:E775))))))</f>
        <v> </v>
      </c>
      <c r="K776" s="25" t="str">
        <f>IF(OR(E776="",E776="!!!",F776="NEW"),"",INDEX(J$1:J775,SUMPRODUCT(MAX(ROW(E$1:E775)*(E776=E$1:E775)))))</f>
        <v> </v>
      </c>
      <c r="L776" s="26"/>
    </row>
    <row r="777" spans="1:12">
      <c r="A777" s="20"/>
    </row>
    <row r="778" spans="1:12">
      <c r="A778" s="20" t="s">
        <v>798</v>
      </c>
    </row>
    <row r="779" spans="1:12">
      <c r="A779" s="20" t="s">
        <v>597</v>
      </c>
      <c r="B779" s="27" t="s">
        <v>549</v>
      </c>
      <c r="C779" s="27" t="s">
        <v>491</v>
      </c>
      <c r="D779" s="27" t="s">
        <v>483</v>
      </c>
      <c r="E779" s="21">
        <f>IF(D779="?OLD","!!!","")</f>
        <v/>
      </c>
      <c r="F779" s="22" t="str">
        <f>IF(OR(E779="",E779="!!!"),"",IF(NOT(ISNA(VLOOKUP(E779,E$1:E778,1,FALSE()))),"OLD",IF(AND(E779&lt;&gt;"",E779&lt;&gt;"!!!"),"NEW","")))</f>
        <v> </v>
      </c>
      <c r="G779" s="23" t="str">
        <f>IF(OR(E779="",E779="!!!"),"",IF(OR(J779=0,AND(J779=1,K779=1),AND(J779=1,I779="SBJ"),AND(J779=1,I779=0)),"?IN_FOCUS",IF(J779&lt;=2,"?ACTIVATED",IF(J779&lt;&gt;"","?FAMILIAR",IF(F779="NEW",IF(ISNA(VLOOKUP(E779,#REF!,1,FALSE())),"?TYPE_IDENTIFIABLE","?REFERENTIAL"),"_")))))</f>
        <v> </v>
      </c>
      <c r="H779" s="24" t="str">
        <f>IF(J779&lt;&gt;1,"",IF(I779="SBJ","CB","?"))</f>
        <v> </v>
      </c>
      <c r="I779" s="25" t="str">
        <f>IF(OR(E779="",E779="!!!",F779="NEW"),"",INDEX(B778:B$2,-1+SUMPRODUCT(MAX(ROW(E778:E$2)*(E779=E778:E$2)))))</f>
        <v> </v>
      </c>
      <c r="J779" s="25" t="str">
        <f>IF(OR(E779="",E779="!!!",F779="NEW"),"",COUNTBLANK(OFFSET(A$1,,,SUMPRODUCT(MAX(ROW(E$2:E779)*(E779=E$2:E779)))))-COUNTBLANK(OFFSET(A$1,,,SUMPRODUCT(MAX(ROW(E$1:E778)*(E2=E$1:E778))))))</f>
        <v> </v>
      </c>
      <c r="K779" s="25" t="str">
        <f>IF(OR(E779="",E779="!!!",F779="NEW"),"",INDEX(J$1:J778,SUMPRODUCT(MAX(ROW(E$1:E778)*(E779=E$1:E778)))))</f>
        <v> </v>
      </c>
      <c r="L779" s="26"/>
    </row>
    <row r="780" spans="1:12">
      <c r="A780" s="20" t="s">
        <v>558</v>
      </c>
      <c r="E780" s="21">
        <f>IF(D780="?OLD","!!!","")</f>
        <v/>
      </c>
      <c r="F780" s="22" t="str">
        <f>IF(OR(E780="",E780="!!!"),"",IF(NOT(ISNA(VLOOKUP(E780,E$1:E779,1,FALSE()))),"OLD",IF(AND(E780&lt;&gt;"",E780&lt;&gt;"!!!"),"NEW","")))</f>
        <v> </v>
      </c>
      <c r="G780" s="23" t="str">
        <f>IF(OR(E780="",E780="!!!"),"",IF(OR(J780=0,AND(J780=1,K780=1),AND(J780=1,I780="SBJ"),AND(J780=1,I780=0)),"?IN_FOCUS",IF(J780&lt;=2,"?ACTIVATED",IF(J780&lt;&gt;"","?FAMILIAR",IF(F780="NEW",IF(ISNA(VLOOKUP(E780,#REF!,1,FALSE())),"?TYPE_IDENTIFIABLE","?REFERENTIAL"),"_")))))</f>
        <v> </v>
      </c>
      <c r="H780" s="24" t="str">
        <f>IF(J780&lt;&gt;1,"",IF(I780="SBJ","CB","?"))</f>
        <v> </v>
      </c>
      <c r="I780" s="25" t="str">
        <f>IF(OR(E780="",E780="!!!",F780="NEW"),"",INDEX(B779:B$2,-1+SUMPRODUCT(MAX(ROW(E779:E$2)*(E780=E779:E$2)))))</f>
        <v> </v>
      </c>
      <c r="J780" s="25" t="str">
        <f>IF(OR(E780="",E780="!!!",F780="NEW"),"",COUNTBLANK(OFFSET(A$1,,,SUMPRODUCT(MAX(ROW(E$2:E780)*(E780=E$2:E780)))))-COUNTBLANK(OFFSET(A$1,,,SUMPRODUCT(MAX(ROW(E$1:E779)*(E2=E$1:E779))))))</f>
        <v> </v>
      </c>
      <c r="K780" s="25" t="str">
        <f>IF(OR(E780="",E780="!!!",F780="NEW"),"",INDEX(J$1:J779,SUMPRODUCT(MAX(ROW(E$1:E779)*(E780=E$1:E779)))))</f>
        <v> </v>
      </c>
      <c r="L780" s="26"/>
    </row>
    <row r="781" spans="1:12">
      <c r="A781" s="20" t="s">
        <v>380</v>
      </c>
      <c r="E781" s="21">
        <f>IF(D781="?OLD","!!!","")</f>
        <v/>
      </c>
      <c r="F781" s="22" t="str">
        <f>IF(OR(E781="",E781="!!!"),"",IF(NOT(ISNA(VLOOKUP(E781,E$1:E780,1,FALSE()))),"OLD",IF(AND(E781&lt;&gt;"",E781&lt;&gt;"!!!"),"NEW","")))</f>
        <v> </v>
      </c>
      <c r="G781" s="23" t="str">
        <f>IF(OR(E781="",E781="!!!"),"",IF(OR(J781=0,AND(J781=1,K781=1),AND(J781=1,I781="SBJ"),AND(J781=1,I781=0)),"?IN_FOCUS",IF(J781&lt;=2,"?ACTIVATED",IF(J781&lt;&gt;"","?FAMILIAR",IF(F781="NEW",IF(ISNA(VLOOKUP(E781,#REF!,1,FALSE())),"?TYPE_IDENTIFIABLE","?REFERENTIAL"),"_")))))</f>
        <v> </v>
      </c>
      <c r="H781" s="24" t="str">
        <f>IF(J781&lt;&gt;1,"",IF(I781="SBJ","CB","?"))</f>
        <v> </v>
      </c>
      <c r="I781" s="25" t="str">
        <f>IF(OR(E781="",E781="!!!",F781="NEW"),"",INDEX(B780:B$2,-1+SUMPRODUCT(MAX(ROW(E780:E$2)*(E781=E780:E$2)))))</f>
        <v> </v>
      </c>
      <c r="J781" s="25" t="str">
        <f>IF(OR(E781="",E781="!!!",F781="NEW"),"",COUNTBLANK(OFFSET(A$1,,,SUMPRODUCT(MAX(ROW(E$2:E781)*(E781=E$2:E781)))))-COUNTBLANK(OFFSET(A$1,,,SUMPRODUCT(MAX(ROW(E$1:E780)*(E2=E$1:E780))))))</f>
        <v> </v>
      </c>
      <c r="K781" s="25" t="str">
        <f>IF(OR(E781="",E781="!!!",F781="NEW"),"",INDEX(J$1:J780,SUMPRODUCT(MAX(ROW(E$1:E780)*(E781=E$1:E780)))))</f>
        <v> </v>
      </c>
      <c r="L781" s="26"/>
    </row>
    <row r="782" spans="1:12">
      <c r="A782" s="20" t="s">
        <v>586</v>
      </c>
      <c r="B782" s="27" t="s">
        <v>477</v>
      </c>
      <c r="C782" s="27" t="s">
        <v>498</v>
      </c>
      <c r="E782" s="21">
        <f>IF(D782="?OLD","!!!","")</f>
        <v/>
      </c>
      <c r="F782" s="22" t="str">
        <f>IF(OR(E782="",E782="!!!"),"",IF(NOT(ISNA(VLOOKUP(E782,E$1:E781,1,FALSE()))),"OLD",IF(AND(E782&lt;&gt;"",E782&lt;&gt;"!!!"),"NEW","")))</f>
        <v> </v>
      </c>
      <c r="G782" s="23" t="str">
        <f>IF(OR(E782="",E782="!!!"),"",IF(OR(J782=0,AND(J782=1,K782=1),AND(J782=1,I782="SBJ"),AND(J782=1,I782=0)),"?IN_FOCUS",IF(J782&lt;=2,"?ACTIVATED",IF(J782&lt;&gt;"","?FAMILIAR",IF(F782="NEW",IF(ISNA(VLOOKUP(E782,#REF!,1,FALSE())),"?TYPE_IDENTIFIABLE","?REFERENTIAL"),"_")))))</f>
        <v> </v>
      </c>
      <c r="H782" s="24" t="str">
        <f>IF(J782&lt;&gt;1,"",IF(I782="SBJ","CB","?"))</f>
        <v> </v>
      </c>
      <c r="I782" s="25" t="str">
        <f>IF(OR(E782="",E782="!!!",F782="NEW"),"",INDEX(B781:B$2,-1+SUMPRODUCT(MAX(ROW(E781:E$2)*(E782=E781:E$2)))))</f>
        <v> </v>
      </c>
      <c r="J782" s="25" t="str">
        <f>IF(OR(E782="",E782="!!!",F782="NEW"),"",COUNTBLANK(OFFSET(A$1,,,SUMPRODUCT(MAX(ROW(E$2:E782)*(E782=E$2:E782)))))-COUNTBLANK(OFFSET(A$1,,,SUMPRODUCT(MAX(ROW(E$1:E781)*(E2=E$1:E781))))))</f>
        <v> </v>
      </c>
      <c r="K782" s="25" t="str">
        <f>IF(OR(E782="",E782="!!!",F782="NEW"),"",INDEX(J$1:J781,SUMPRODUCT(MAX(ROW(E$1:E781)*(E782=E$1:E781)))))</f>
        <v> </v>
      </c>
      <c r="L782" s="26"/>
    </row>
    <row r="783" spans="1:12">
      <c r="A783" s="20" t="s">
        <v>492</v>
      </c>
      <c r="B783" s="27" t="s">
        <v>578</v>
      </c>
      <c r="E783" s="21">
        <f>IF(D783="?OLD","!!!","")</f>
        <v/>
      </c>
      <c r="F783" s="22" t="str">
        <f>IF(OR(E783="",E783="!!!"),"",IF(NOT(ISNA(VLOOKUP(E783,E$1:E782,1,FALSE()))),"OLD",IF(AND(E783&lt;&gt;"",E783&lt;&gt;"!!!"),"NEW","")))</f>
        <v> </v>
      </c>
      <c r="G783" s="23" t="str">
        <f>IF(OR(E783="",E783="!!!"),"",IF(OR(J783=0,AND(J783=1,K783=1),AND(J783=1,I783="SBJ"),AND(J783=1,I783=0)),"?IN_FOCUS",IF(J783&lt;=2,"?ACTIVATED",IF(J783&lt;&gt;"","?FAMILIAR",IF(F783="NEW",IF(ISNA(VLOOKUP(E783,#REF!,1,FALSE())),"?TYPE_IDENTIFIABLE","?REFERENTIAL"),"_")))))</f>
        <v> </v>
      </c>
      <c r="H783" s="24" t="str">
        <f>IF(J783&lt;&gt;1,"",IF(I783="SBJ","CB","?"))</f>
        <v> </v>
      </c>
      <c r="I783" s="25" t="str">
        <f>IF(OR(E783="",E783="!!!",F783="NEW"),"",INDEX(B782:B$2,-1+SUMPRODUCT(MAX(ROW(E782:E$2)*(E783=E782:E$2)))))</f>
        <v> </v>
      </c>
      <c r="J783" s="25" t="str">
        <f>IF(OR(E783="",E783="!!!",F783="NEW"),"",COUNTBLANK(OFFSET(A$1,,,SUMPRODUCT(MAX(ROW(E$2:E783)*(E783=E$2:E783)))))-COUNTBLANK(OFFSET(A$1,,,SUMPRODUCT(MAX(ROW(E$1:E782)*(E2=E$1:E782))))))</f>
        <v> </v>
      </c>
      <c r="K783" s="25" t="str">
        <f>IF(OR(E783="",E783="!!!",F783="NEW"),"",INDEX(J$1:J782,SUMPRODUCT(MAX(ROW(E$1:E782)*(E783=E$1:E782)))))</f>
        <v> </v>
      </c>
      <c r="L783" s="26"/>
    </row>
    <row r="784" spans="1:12">
      <c r="A784" s="20" t="s">
        <v>630</v>
      </c>
      <c r="E784" s="21">
        <f>IF(D784="?OLD","!!!","")</f>
        <v/>
      </c>
      <c r="F784" s="22" t="str">
        <f>IF(OR(E784="",E784="!!!"),"",IF(NOT(ISNA(VLOOKUP(E784,E$1:E783,1,FALSE()))),"OLD",IF(AND(E784&lt;&gt;"",E784&lt;&gt;"!!!"),"NEW","")))</f>
        <v> </v>
      </c>
      <c r="G784" s="23" t="str">
        <f>IF(OR(E784="",E784="!!!"),"",IF(OR(J784=0,AND(J784=1,K784=1),AND(J784=1,I784="SBJ"),AND(J784=1,I784=0)),"?IN_FOCUS",IF(J784&lt;=2,"?ACTIVATED",IF(J784&lt;&gt;"","?FAMILIAR",IF(F784="NEW",IF(ISNA(VLOOKUP(E784,#REF!,1,FALSE())),"?TYPE_IDENTIFIABLE","?REFERENTIAL"),"_")))))</f>
        <v> </v>
      </c>
      <c r="H784" s="24" t="str">
        <f>IF(J784&lt;&gt;1,"",IF(I784="SBJ","CB","?"))</f>
        <v> </v>
      </c>
      <c r="I784" s="25" t="str">
        <f>IF(OR(E784="",E784="!!!",F784="NEW"),"",INDEX(B783:B$2,-1+SUMPRODUCT(MAX(ROW(E783:E$2)*(E784=E783:E$2)))))</f>
        <v> </v>
      </c>
      <c r="J784" s="25" t="str">
        <f>IF(OR(E784="",E784="!!!",F784="NEW"),"",COUNTBLANK(OFFSET(A$1,,,SUMPRODUCT(MAX(ROW(E$2:E784)*(E784=E$2:E784)))))-COUNTBLANK(OFFSET(A$1,,,SUMPRODUCT(MAX(ROW(E$1:E783)*(E2=E$1:E783))))))</f>
        <v> </v>
      </c>
      <c r="K784" s="25" t="str">
        <f>IF(OR(E784="",E784="!!!",F784="NEW"),"",INDEX(J$1:J783,SUMPRODUCT(MAX(ROW(E$1:E783)*(E784=E$1:E783)))))</f>
        <v> </v>
      </c>
      <c r="L784" s="26"/>
    </row>
    <row r="785" spans="1:12">
      <c r="A785" s="20" t="s">
        <v>333</v>
      </c>
      <c r="E785" s="21">
        <f>IF(D785="?OLD","!!!","")</f>
        <v/>
      </c>
      <c r="F785" s="22" t="str">
        <f>IF(OR(E785="",E785="!!!"),"",IF(NOT(ISNA(VLOOKUP(E785,E$1:E784,1,FALSE()))),"OLD",IF(AND(E785&lt;&gt;"",E785&lt;&gt;"!!!"),"NEW","")))</f>
        <v> </v>
      </c>
      <c r="G785" s="23" t="str">
        <f>IF(OR(E785="",E785="!!!"),"",IF(OR(J785=0,AND(J785=1,K785=1),AND(J785=1,I785="SBJ"),AND(J785=1,I785=0)),"?IN_FOCUS",IF(J785&lt;=2,"?ACTIVATED",IF(J785&lt;&gt;"","?FAMILIAR",IF(F785="NEW",IF(ISNA(VLOOKUP(E785,#REF!,1,FALSE())),"?TYPE_IDENTIFIABLE","?REFERENTIAL"),"_")))))</f>
        <v> </v>
      </c>
      <c r="H785" s="24" t="str">
        <f>IF(J785&lt;&gt;1,"",IF(I785="SBJ","CB","?"))</f>
        <v> </v>
      </c>
      <c r="I785" s="25" t="str">
        <f>IF(OR(E785="",E785="!!!",F785="NEW"),"",INDEX(B784:B$2,-1+SUMPRODUCT(MAX(ROW(E784:E$2)*(E785=E784:E$2)))))</f>
        <v> </v>
      </c>
      <c r="J785" s="25" t="str">
        <f>IF(OR(E785="",E785="!!!",F785="NEW"),"",COUNTBLANK(OFFSET(A$1,,,SUMPRODUCT(MAX(ROW(E$2:E785)*(E785=E$2:E785)))))-COUNTBLANK(OFFSET(A$1,,,SUMPRODUCT(MAX(ROW(E$1:E784)*(E2=E$1:E784))))))</f>
        <v> </v>
      </c>
      <c r="K785" s="25" t="str">
        <f>IF(OR(E785="",E785="!!!",F785="NEW"),"",INDEX(J$1:J784,SUMPRODUCT(MAX(ROW(E$1:E784)*(E785=E$1:E784)))))</f>
        <v> </v>
      </c>
      <c r="L785" s="26"/>
    </row>
    <row r="786" spans="1:12">
      <c r="A786" s="20" t="s">
        <v>500</v>
      </c>
      <c r="E786" s="21">
        <f>IF(D786="?OLD","!!!","")</f>
        <v/>
      </c>
      <c r="F786" s="22" t="str">
        <f>IF(OR(E786="",E786="!!!"),"",IF(NOT(ISNA(VLOOKUP(E786,E$1:E785,1,FALSE()))),"OLD",IF(AND(E786&lt;&gt;"",E786&lt;&gt;"!!!"),"NEW","")))</f>
        <v> </v>
      </c>
      <c r="G786" s="23" t="str">
        <f>IF(OR(E786="",E786="!!!"),"",IF(OR(J786=0,AND(J786=1,K786=1),AND(J786=1,I786="SBJ"),AND(J786=1,I786=0)),"?IN_FOCUS",IF(J786&lt;=2,"?ACTIVATED",IF(J786&lt;&gt;"","?FAMILIAR",IF(F786="NEW",IF(ISNA(VLOOKUP(E786,#REF!,1,FALSE())),"?TYPE_IDENTIFIABLE","?REFERENTIAL"),"_")))))</f>
        <v> </v>
      </c>
      <c r="H786" s="24" t="str">
        <f>IF(J786&lt;&gt;1,"",IF(I786="SBJ","CB","?"))</f>
        <v> </v>
      </c>
      <c r="I786" s="25" t="str">
        <f>IF(OR(E786="",E786="!!!",F786="NEW"),"",INDEX(B785:B$2,-1+SUMPRODUCT(MAX(ROW(E785:E$2)*(E786=E785:E$2)))))</f>
        <v> </v>
      </c>
      <c r="J786" s="25" t="str">
        <f>IF(OR(E786="",E786="!!!",F786="NEW"),"",COUNTBLANK(OFFSET(A$1,,,SUMPRODUCT(MAX(ROW(E$2:E786)*(E786=E$2:E786)))))-COUNTBLANK(OFFSET(A$1,,,SUMPRODUCT(MAX(ROW(E$1:E785)*(E2=E$1:E785))))))</f>
        <v> </v>
      </c>
      <c r="K786" s="25" t="str">
        <f>IF(OR(E786="",E786="!!!",F786="NEW"),"",INDEX(J$1:J785,SUMPRODUCT(MAX(ROW(E$1:E785)*(E786=E$1:E785)))))</f>
        <v> </v>
      </c>
      <c r="L786" s="26"/>
    </row>
    <row r="787" spans="1:12">
      <c r="A787" s="20" t="s">
        <v>508</v>
      </c>
      <c r="E787" s="21">
        <f>IF(D787="?OLD","!!!","")</f>
        <v/>
      </c>
      <c r="F787" s="22" t="str">
        <f>IF(OR(E787="",E787="!!!"),"",IF(NOT(ISNA(VLOOKUP(E787,E$1:E786,1,FALSE()))),"OLD",IF(AND(E787&lt;&gt;"",E787&lt;&gt;"!!!"),"NEW","")))</f>
        <v> </v>
      </c>
      <c r="G787" s="23" t="str">
        <f>IF(OR(E787="",E787="!!!"),"",IF(OR(J787=0,AND(J787=1,K787=1),AND(J787=1,I787="SBJ"),AND(J787=1,I787=0)),"?IN_FOCUS",IF(J787&lt;=2,"?ACTIVATED",IF(J787&lt;&gt;"","?FAMILIAR",IF(F787="NEW",IF(ISNA(VLOOKUP(E787,#REF!,1,FALSE())),"?TYPE_IDENTIFIABLE","?REFERENTIAL"),"_")))))</f>
        <v> </v>
      </c>
      <c r="H787" s="24" t="str">
        <f>IF(J787&lt;&gt;1,"",IF(I787="SBJ","CB","?"))</f>
        <v> </v>
      </c>
      <c r="I787" s="25" t="str">
        <f>IF(OR(E787="",E787="!!!",F787="NEW"),"",INDEX(B786:B$2,-1+SUMPRODUCT(MAX(ROW(E786:E$2)*(E787=E786:E$2)))))</f>
        <v> </v>
      </c>
      <c r="J787" s="25" t="str">
        <f>IF(OR(E787="",E787="!!!",F787="NEW"),"",COUNTBLANK(OFFSET(A$1,,,SUMPRODUCT(MAX(ROW(E$2:E787)*(E787=E$2:E787)))))-COUNTBLANK(OFFSET(A$1,,,SUMPRODUCT(MAX(ROW(E$1:E786)*(E2=E$1:E786))))))</f>
        <v> </v>
      </c>
      <c r="K787" s="25" t="str">
        <f>IF(OR(E787="",E787="!!!",F787="NEW"),"",INDEX(J$1:J786,SUMPRODUCT(MAX(ROW(E$1:E786)*(E787=E$1:E786)))))</f>
        <v> </v>
      </c>
      <c r="L787" s="26"/>
    </row>
    <row r="788" spans="1:12">
      <c r="A788" s="20" t="s">
        <v>799</v>
      </c>
      <c r="B788" s="27" t="s">
        <v>540</v>
      </c>
      <c r="C788" s="27" t="s">
        <v>487</v>
      </c>
      <c r="D788" s="27" t="s">
        <v>483</v>
      </c>
      <c r="E788" s="21">
        <f>IF(D788="?OLD","!!!","")</f>
        <v/>
      </c>
      <c r="F788" s="22" t="str">
        <f>IF(OR(E788="",E788="!!!"),"",IF(NOT(ISNA(VLOOKUP(E788,E$1:E787,1,FALSE()))),"OLD",IF(AND(E788&lt;&gt;"",E788&lt;&gt;"!!!"),"NEW","")))</f>
        <v> </v>
      </c>
      <c r="G788" s="23" t="str">
        <f>IF(OR(E788="",E788="!!!"),"",IF(OR(J788=0,AND(J788=1,K788=1),AND(J788=1,I788="SBJ"),AND(J788=1,I788=0)),"?IN_FOCUS",IF(J788&lt;=2,"?ACTIVATED",IF(J788&lt;&gt;"","?FAMILIAR",IF(F788="NEW",IF(ISNA(VLOOKUP(E788,#REF!,1,FALSE())),"?TYPE_IDENTIFIABLE","?REFERENTIAL"),"_")))))</f>
        <v> </v>
      </c>
      <c r="H788" s="24" t="str">
        <f>IF(J788&lt;&gt;1,"",IF(I788="SBJ","CB","?"))</f>
        <v> </v>
      </c>
      <c r="I788" s="25" t="str">
        <f>IF(OR(E788="",E788="!!!",F788="NEW"),"",INDEX(B787:B$2,-1+SUMPRODUCT(MAX(ROW(E787:E$2)*(E788=E787:E$2)))))</f>
        <v> </v>
      </c>
      <c r="J788" s="25" t="str">
        <f>IF(OR(E788="",E788="!!!",F788="NEW"),"",COUNTBLANK(OFFSET(A$1,,,SUMPRODUCT(MAX(ROW(E$2:E788)*(E788=E$2:E788)))))-COUNTBLANK(OFFSET(A$1,,,SUMPRODUCT(MAX(ROW(E$1:E787)*(E2=E$1:E787))))))</f>
        <v> </v>
      </c>
      <c r="K788" s="25" t="str">
        <f>IF(OR(E788="",E788="!!!",F788="NEW"),"",INDEX(J$1:J787,SUMPRODUCT(MAX(ROW(E$1:E787)*(E788=E$1:E787)))))</f>
        <v> </v>
      </c>
      <c r="L788" s="26"/>
    </row>
    <row r="789" spans="1:12">
      <c r="A789" s="20" t="s">
        <v>800</v>
      </c>
      <c r="E789" s="21">
        <f>IF(D789="?OLD","!!!","")</f>
        <v/>
      </c>
      <c r="F789" s="22" t="str">
        <f>IF(OR(E789="",E789="!!!"),"",IF(NOT(ISNA(VLOOKUP(E789,E$1:E788,1,FALSE()))),"OLD",IF(AND(E789&lt;&gt;"",E789&lt;&gt;"!!!"),"NEW","")))</f>
        <v> </v>
      </c>
      <c r="G789" s="23" t="str">
        <f>IF(OR(E789="",E789="!!!"),"",IF(OR(J789=0,AND(J789=1,K789=1),AND(J789=1,I789="SBJ"),AND(J789=1,I789=0)),"?IN_FOCUS",IF(J789&lt;=2,"?ACTIVATED",IF(J789&lt;&gt;"","?FAMILIAR",IF(F789="NEW",IF(ISNA(VLOOKUP(E789,#REF!,1,FALSE())),"?TYPE_IDENTIFIABLE","?REFERENTIAL"),"_")))))</f>
        <v> </v>
      </c>
      <c r="H789" s="24" t="str">
        <f>IF(J789&lt;&gt;1,"",IF(I789="SBJ","CB","?"))</f>
        <v> </v>
      </c>
      <c r="I789" s="25" t="str">
        <f>IF(OR(E789="",E789="!!!",F789="NEW"),"",INDEX(B788:B$2,-1+SUMPRODUCT(MAX(ROW(E788:E$2)*(E789=E788:E$2)))))</f>
        <v> </v>
      </c>
      <c r="J789" s="25" t="str">
        <f>IF(OR(E789="",E789="!!!",F789="NEW"),"",COUNTBLANK(OFFSET(A$1,,,SUMPRODUCT(MAX(ROW(E$2:E789)*(E789=E$2:E789)))))-COUNTBLANK(OFFSET(A$1,,,SUMPRODUCT(MAX(ROW(E$1:E788)*(E2=E$1:E788))))))</f>
        <v> </v>
      </c>
      <c r="K789" s="25" t="str">
        <f>IF(OR(E789="",E789="!!!",F789="NEW"),"",INDEX(J$1:J788,SUMPRODUCT(MAX(ROW(E$1:E788)*(E789=E$1:E788)))))</f>
        <v> </v>
      </c>
      <c r="L789" s="26"/>
    </row>
    <row r="790" spans="1:12">
      <c r="A790" s="20" t="s">
        <v>592</v>
      </c>
      <c r="E790" s="21">
        <f>IF(D790="?OLD","!!!","")</f>
        <v/>
      </c>
      <c r="F790" s="22" t="str">
        <f>IF(OR(E790="",E790="!!!"),"",IF(NOT(ISNA(VLOOKUP(E790,E$1:E789,1,FALSE()))),"OLD",IF(AND(E790&lt;&gt;"",E790&lt;&gt;"!!!"),"NEW","")))</f>
        <v> </v>
      </c>
      <c r="G790" s="23" t="str">
        <f>IF(OR(E790="",E790="!!!"),"",IF(OR(J790=0,AND(J790=1,K790=1),AND(J790=1,I790="SBJ"),AND(J790=1,I790=0)),"?IN_FOCUS",IF(J790&lt;=2,"?ACTIVATED",IF(J790&lt;&gt;"","?FAMILIAR",IF(F790="NEW",IF(ISNA(VLOOKUP(E790,#REF!,1,FALSE())),"?TYPE_IDENTIFIABLE","?REFERENTIAL"),"_")))))</f>
        <v> </v>
      </c>
      <c r="H790" s="24" t="str">
        <f>IF(J790&lt;&gt;1,"",IF(I790="SBJ","CB","?"))</f>
        <v> </v>
      </c>
      <c r="I790" s="25" t="str">
        <f>IF(OR(E790="",E790="!!!",F790="NEW"),"",INDEX(B789:B$2,-1+SUMPRODUCT(MAX(ROW(E789:E$2)*(E790=E789:E$2)))))</f>
        <v> </v>
      </c>
      <c r="J790" s="25" t="str">
        <f>IF(OR(E790="",E790="!!!",F790="NEW"),"",COUNTBLANK(OFFSET(A$1,,,SUMPRODUCT(MAX(ROW(E$2:E790)*(E790=E$2:E790)))))-COUNTBLANK(OFFSET(A$1,,,SUMPRODUCT(MAX(ROW(E$1:E789)*(E2=E$1:E789))))))</f>
        <v> </v>
      </c>
      <c r="K790" s="25" t="str">
        <f>IF(OR(E790="",E790="!!!",F790="NEW"),"",INDEX(J$1:J789,SUMPRODUCT(MAX(ROW(E$1:E789)*(E790=E$1:E789)))))</f>
        <v> </v>
      </c>
      <c r="L790" s="26"/>
    </row>
    <row r="791" spans="1:12">
      <c r="A791" s="20" t="s">
        <v>801</v>
      </c>
      <c r="E791" s="21">
        <f>IF(D791="?OLD","!!!","")</f>
        <v/>
      </c>
      <c r="F791" s="22" t="str">
        <f>IF(OR(E791="",E791="!!!"),"",IF(NOT(ISNA(VLOOKUP(E791,E$1:E790,1,FALSE()))),"OLD",IF(AND(E791&lt;&gt;"",E791&lt;&gt;"!!!"),"NEW","")))</f>
        <v> </v>
      </c>
      <c r="G791" s="23" t="str">
        <f>IF(OR(E791="",E791="!!!"),"",IF(OR(J791=0,AND(J791=1,K791=1),AND(J791=1,I791="SBJ"),AND(J791=1,I791=0)),"?IN_FOCUS",IF(J791&lt;=2,"?ACTIVATED",IF(J791&lt;&gt;"","?FAMILIAR",IF(F791="NEW",IF(ISNA(VLOOKUP(E791,#REF!,1,FALSE())),"?TYPE_IDENTIFIABLE","?REFERENTIAL"),"_")))))</f>
        <v> </v>
      </c>
      <c r="H791" s="24" t="str">
        <f>IF(J791&lt;&gt;1,"",IF(I791="SBJ","CB","?"))</f>
        <v> </v>
      </c>
      <c r="I791" s="25" t="str">
        <f>IF(OR(E791="",E791="!!!",F791="NEW"),"",INDEX(B790:B$2,-1+SUMPRODUCT(MAX(ROW(E790:E$2)*(E791=E790:E$2)))))</f>
        <v> </v>
      </c>
      <c r="J791" s="25" t="str">
        <f>IF(OR(E791="",E791="!!!",F791="NEW"),"",COUNTBLANK(OFFSET(A$1,,,SUMPRODUCT(MAX(ROW(E$2:E791)*(E791=E$2:E791)))))-COUNTBLANK(OFFSET(A$1,,,SUMPRODUCT(MAX(ROW(E$1:E790)*(E2=E$1:E790))))))</f>
        <v> </v>
      </c>
      <c r="K791" s="25" t="str">
        <f>IF(OR(E791="",E791="!!!",F791="NEW"),"",INDEX(J$1:J790,SUMPRODUCT(MAX(ROW(E$1:E790)*(E791=E$1:E790)))))</f>
        <v> </v>
      </c>
      <c r="L791" s="26"/>
    </row>
    <row r="792" spans="1:12">
      <c r="A792" s="20" t="s">
        <v>531</v>
      </c>
      <c r="E792" s="21">
        <f>IF(D792="?OLD","!!!","")</f>
        <v/>
      </c>
      <c r="F792" s="22" t="str">
        <f>IF(OR(E792="",E792="!!!"),"",IF(NOT(ISNA(VLOOKUP(E792,E$1:E791,1,FALSE()))),"OLD",IF(AND(E792&lt;&gt;"",E792&lt;&gt;"!!!"),"NEW","")))</f>
        <v> </v>
      </c>
      <c r="G792" s="23" t="str">
        <f>IF(OR(E792="",E792="!!!"),"",IF(OR(J792=0,AND(J792=1,K792=1),AND(J792=1,I792="SBJ"),AND(J792=1,I792=0)),"?IN_FOCUS",IF(J792&lt;=2,"?ACTIVATED",IF(J792&lt;&gt;"","?FAMILIAR",IF(F792="NEW",IF(ISNA(VLOOKUP(E792,#REF!,1,FALSE())),"?TYPE_IDENTIFIABLE","?REFERENTIAL"),"_")))))</f>
        <v> </v>
      </c>
      <c r="H792" s="24" t="str">
        <f>IF(J792&lt;&gt;1,"",IF(I792="SBJ","CB","?"))</f>
        <v> </v>
      </c>
      <c r="I792" s="25" t="str">
        <f>IF(OR(E792="",E792="!!!",F792="NEW"),"",INDEX(B791:B$2,-1+SUMPRODUCT(MAX(ROW(E791:E$2)*(E792=E791:E$2)))))</f>
        <v> </v>
      </c>
      <c r="J792" s="25" t="str">
        <f>IF(OR(E792="",E792="!!!",F792="NEW"),"",COUNTBLANK(OFFSET(A$1,,,SUMPRODUCT(MAX(ROW(E$2:E792)*(E792=E$2:E792)))))-COUNTBLANK(OFFSET(A$1,,,SUMPRODUCT(MAX(ROW(E$1:E791)*(E2=E$1:E791))))))</f>
        <v> </v>
      </c>
      <c r="K792" s="25" t="str">
        <f>IF(OR(E792="",E792="!!!",F792="NEW"),"",INDEX(J$1:J791,SUMPRODUCT(MAX(ROW(E$1:E791)*(E792=E$1:E791)))))</f>
        <v> </v>
      </c>
      <c r="L792" s="26"/>
    </row>
    <row r="793" spans="1:12">
      <c r="A793" s="20"/>
    </row>
    <row r="794" spans="1:12">
      <c r="A794" s="20" t="s">
        <v>802</v>
      </c>
    </row>
    <row r="795" spans="1:12">
      <c r="A795" s="20" t="s">
        <v>803</v>
      </c>
      <c r="E795" s="21">
        <f>IF(D795="?OLD","!!!","")</f>
        <v/>
      </c>
      <c r="F795" s="22" t="str">
        <f>IF(OR(E795="",E795="!!!"),"",IF(NOT(ISNA(VLOOKUP(E795,E$1:E794,1,FALSE()))),"OLD",IF(AND(E795&lt;&gt;"",E795&lt;&gt;"!!!"),"NEW","")))</f>
        <v> </v>
      </c>
      <c r="G795" s="23" t="str">
        <f>IF(OR(E795="",E795="!!!"),"",IF(OR(J795=0,AND(J795=1,K795=1),AND(J795=1,I795="SBJ"),AND(J795=1,I795=0)),"?IN_FOCUS",IF(J795&lt;=2,"?ACTIVATED",IF(J795&lt;&gt;"","?FAMILIAR",IF(F795="NEW",IF(ISNA(VLOOKUP(E795,#REF!,1,FALSE())),"?TYPE_IDENTIFIABLE","?REFERENTIAL"),"_")))))</f>
        <v> </v>
      </c>
      <c r="H795" s="24" t="str">
        <f>IF(J795&lt;&gt;1,"",IF(I795="SBJ","CB","?"))</f>
        <v> </v>
      </c>
      <c r="I795" s="25" t="str">
        <f>IF(OR(E795="",E795="!!!",F795="NEW"),"",INDEX(B794:B$2,-1+SUMPRODUCT(MAX(ROW(E794:E$2)*(E795=E794:E$2)))))</f>
        <v> </v>
      </c>
      <c r="J795" s="25" t="str">
        <f>IF(OR(E795="",E795="!!!",F795="NEW"),"",COUNTBLANK(OFFSET(A$1,,,SUMPRODUCT(MAX(ROW(E$2:E795)*(E795=E$2:E795)))))-COUNTBLANK(OFFSET(A$1,,,SUMPRODUCT(MAX(ROW(E$1:E794)*(E2=E$1:E794))))))</f>
        <v> </v>
      </c>
      <c r="K795" s="25" t="str">
        <f>IF(OR(E795="",E795="!!!",F795="NEW"),"",INDEX(J$1:J794,SUMPRODUCT(MAX(ROW(E$1:E794)*(E795=E$1:E794)))))</f>
        <v> </v>
      </c>
      <c r="L795" s="26"/>
    </row>
    <row r="796" spans="1:12">
      <c r="A796" s="20" t="s">
        <v>531</v>
      </c>
      <c r="E796" s="21">
        <f>IF(D796="?OLD","!!!","")</f>
        <v/>
      </c>
      <c r="F796" s="22" t="str">
        <f>IF(OR(E796="",E796="!!!"),"",IF(NOT(ISNA(VLOOKUP(E796,E$1:E795,1,FALSE()))),"OLD",IF(AND(E796&lt;&gt;"",E796&lt;&gt;"!!!"),"NEW","")))</f>
        <v> </v>
      </c>
      <c r="G796" s="23" t="str">
        <f>IF(OR(E796="",E796="!!!"),"",IF(OR(J796=0,AND(J796=1,K796=1),AND(J796=1,I796="SBJ"),AND(J796=1,I796=0)),"?IN_FOCUS",IF(J796&lt;=2,"?ACTIVATED",IF(J796&lt;&gt;"","?FAMILIAR",IF(F796="NEW",IF(ISNA(VLOOKUP(E796,#REF!,1,FALSE())),"?TYPE_IDENTIFIABLE","?REFERENTIAL"),"_")))))</f>
        <v> </v>
      </c>
      <c r="H796" s="24" t="str">
        <f>IF(J796&lt;&gt;1,"",IF(I796="SBJ","CB","?"))</f>
        <v> </v>
      </c>
      <c r="I796" s="25" t="str">
        <f>IF(OR(E796="",E796="!!!",F796="NEW"),"",INDEX(B795:B$2,-1+SUMPRODUCT(MAX(ROW(E795:E$2)*(E796=E795:E$2)))))</f>
        <v> </v>
      </c>
      <c r="J796" s="25" t="str">
        <f>IF(OR(E796="",E796="!!!",F796="NEW"),"",COUNTBLANK(OFFSET(A$1,,,SUMPRODUCT(MAX(ROW(E$2:E796)*(E796=E$2:E796)))))-COUNTBLANK(OFFSET(A$1,,,SUMPRODUCT(MAX(ROW(E$1:E795)*(E2=E$1:E795))))))</f>
        <v> </v>
      </c>
      <c r="K796" s="25" t="str">
        <f>IF(OR(E796="",E796="!!!",F796="NEW"),"",INDEX(J$1:J795,SUMPRODUCT(MAX(ROW(E$1:E795)*(E796=E$1:E795)))))</f>
        <v> </v>
      </c>
      <c r="L796" s="26"/>
    </row>
    <row r="797" spans="1:12">
      <c r="A797" s="20"/>
    </row>
    <row r="798" spans="1:12">
      <c r="A798" s="20" t="s">
        <v>804</v>
      </c>
    </row>
    <row r="799" spans="1:12">
      <c r="A799" s="20" t="s">
        <v>12</v>
      </c>
      <c r="B799" s="27" t="s">
        <v>540</v>
      </c>
      <c r="C799" s="27" t="s">
        <v>491</v>
      </c>
      <c r="D799" s="27" t="s">
        <v>483</v>
      </c>
      <c r="E799" s="21">
        <f>IF(D799="?OLD","!!!","")</f>
        <v/>
      </c>
      <c r="F799" s="22" t="str">
        <f>IF(OR(E799="",E799="!!!"),"",IF(NOT(ISNA(VLOOKUP(E799,E$1:E798,1,FALSE()))),"OLD",IF(AND(E799&lt;&gt;"",E799&lt;&gt;"!!!"),"NEW","")))</f>
        <v> </v>
      </c>
      <c r="G799" s="23" t="str">
        <f>IF(OR(E799="",E799="!!!"),"",IF(OR(J799=0,AND(J799=1,K799=1),AND(J799=1,I799="SBJ"),AND(J799=1,I799=0)),"?IN_FOCUS",IF(J799&lt;=2,"?ACTIVATED",IF(J799&lt;&gt;"","?FAMILIAR",IF(F799="NEW",IF(ISNA(VLOOKUP(E799,#REF!,1,FALSE())),"?TYPE_IDENTIFIABLE","?REFERENTIAL"),"_")))))</f>
        <v> </v>
      </c>
      <c r="H799" s="24" t="str">
        <f>IF(J799&lt;&gt;1,"",IF(I799="SBJ","CB","?"))</f>
        <v> </v>
      </c>
      <c r="I799" s="25" t="str">
        <f>IF(OR(E799="",E799="!!!",F799="NEW"),"",INDEX(B798:B$2,-1+SUMPRODUCT(MAX(ROW(E798:E$2)*(E799=E798:E$2)))))</f>
        <v> </v>
      </c>
      <c r="J799" s="25" t="str">
        <f>IF(OR(E799="",E799="!!!",F799="NEW"),"",COUNTBLANK(OFFSET(A$1,,,SUMPRODUCT(MAX(ROW(E$2:E799)*(E799=E$2:E799)))))-COUNTBLANK(OFFSET(A$1,,,SUMPRODUCT(MAX(ROW(E$1:E798)*(E2=E$1:E798))))))</f>
        <v> </v>
      </c>
      <c r="K799" s="25" t="str">
        <f>IF(OR(E799="",E799="!!!",F799="NEW"),"",INDEX(J$1:J798,SUMPRODUCT(MAX(ROW(E$1:E798)*(E799=E$1:E798)))))</f>
        <v> </v>
      </c>
      <c r="L799" s="26"/>
    </row>
    <row r="800" spans="1:12">
      <c r="A800" s="20" t="s">
        <v>492</v>
      </c>
      <c r="B800" s="27" t="s">
        <v>542</v>
      </c>
      <c r="C800" s="27" t="s">
        <v>756</v>
      </c>
      <c r="E800" s="21">
        <f>IF(D800="?OLD","!!!","")</f>
        <v/>
      </c>
      <c r="F800" s="22" t="str">
        <f>IF(OR(E800="",E800="!!!"),"",IF(NOT(ISNA(VLOOKUP(E800,E$1:E799,1,FALSE()))),"OLD",IF(AND(E800&lt;&gt;"",E800&lt;&gt;"!!!"),"NEW","")))</f>
        <v> </v>
      </c>
      <c r="G800" s="23" t="str">
        <f>IF(OR(E800="",E800="!!!"),"",IF(OR(J800=0,AND(J800=1,K800=1),AND(J800=1,I800="SBJ"),AND(J800=1,I800=0)),"?IN_FOCUS",IF(J800&lt;=2,"?ACTIVATED",IF(J800&lt;&gt;"","?FAMILIAR",IF(F800="NEW",IF(ISNA(VLOOKUP(E800,#REF!,1,FALSE())),"?TYPE_IDENTIFIABLE","?REFERENTIAL"),"_")))))</f>
        <v> </v>
      </c>
      <c r="H800" s="24" t="str">
        <f>IF(J800&lt;&gt;1,"",IF(I800="SBJ","CB","?"))</f>
        <v> </v>
      </c>
      <c r="I800" s="25" t="str">
        <f>IF(OR(E800="",E800="!!!",F800="NEW"),"",INDEX(B799:B$2,-1+SUMPRODUCT(MAX(ROW(E799:E$2)*(E800=E799:E$2)))))</f>
        <v> </v>
      </c>
      <c r="J800" s="25" t="str">
        <f>IF(OR(E800="",E800="!!!",F800="NEW"),"",COUNTBLANK(OFFSET(A$1,,,SUMPRODUCT(MAX(ROW(E$2:E800)*(E800=E$2:E800)))))-COUNTBLANK(OFFSET(A$1,,,SUMPRODUCT(MAX(ROW(E$1:E799)*(E2=E$1:E799))))))</f>
        <v> </v>
      </c>
      <c r="K800" s="25" t="str">
        <f>IF(OR(E800="",E800="!!!",F800="NEW"),"",INDEX(J$1:J799,SUMPRODUCT(MAX(ROW(E$1:E799)*(E800=E$1:E799)))))</f>
        <v> </v>
      </c>
      <c r="L800" s="26"/>
    </row>
    <row r="801" spans="1:12">
      <c r="A801" s="20" t="s">
        <v>558</v>
      </c>
      <c r="E801" s="21">
        <f>IF(D801="?OLD","!!!","")</f>
        <v/>
      </c>
      <c r="F801" s="22" t="str">
        <f>IF(OR(E801="",E801="!!!"),"",IF(NOT(ISNA(VLOOKUP(E801,E$1:E800,1,FALSE()))),"OLD",IF(AND(E801&lt;&gt;"",E801&lt;&gt;"!!!"),"NEW","")))</f>
        <v> </v>
      </c>
      <c r="G801" s="23" t="str">
        <f>IF(OR(E801="",E801="!!!"),"",IF(OR(J801=0,AND(J801=1,K801=1),AND(J801=1,I801="SBJ"),AND(J801=1,I801=0)),"?IN_FOCUS",IF(J801&lt;=2,"?ACTIVATED",IF(J801&lt;&gt;"","?FAMILIAR",IF(F801="NEW",IF(ISNA(VLOOKUP(E801,#REF!,1,FALSE())),"?TYPE_IDENTIFIABLE","?REFERENTIAL"),"_")))))</f>
        <v> </v>
      </c>
      <c r="H801" s="24" t="str">
        <f>IF(J801&lt;&gt;1,"",IF(I801="SBJ","CB","?"))</f>
        <v> </v>
      </c>
      <c r="I801" s="25" t="str">
        <f>IF(OR(E801="",E801="!!!",F801="NEW"),"",INDEX(B800:B$2,-1+SUMPRODUCT(MAX(ROW(E800:E$2)*(E801=E800:E$2)))))</f>
        <v> </v>
      </c>
      <c r="J801" s="25" t="str">
        <f>IF(OR(E801="",E801="!!!",F801="NEW"),"",COUNTBLANK(OFFSET(A$1,,,SUMPRODUCT(MAX(ROW(E$2:E801)*(E801=E$2:E801)))))-COUNTBLANK(OFFSET(A$1,,,SUMPRODUCT(MAX(ROW(E$1:E800)*(E2=E$1:E800))))))</f>
        <v> </v>
      </c>
      <c r="K801" s="25" t="str">
        <f>IF(OR(E801="",E801="!!!",F801="NEW"),"",INDEX(J$1:J800,SUMPRODUCT(MAX(ROW(E$1:E800)*(E801=E$1:E800)))))</f>
        <v> </v>
      </c>
      <c r="L801" s="26"/>
    </row>
    <row r="802" spans="1:12">
      <c r="A802" s="20" t="s">
        <v>492</v>
      </c>
      <c r="E802" s="21">
        <f>IF(D802="?OLD","!!!","")</f>
        <v/>
      </c>
      <c r="F802" s="22" t="str">
        <f>IF(OR(E802="",E802="!!!"),"",IF(NOT(ISNA(VLOOKUP(E802,E$1:E801,1,FALSE()))),"OLD",IF(AND(E802&lt;&gt;"",E802&lt;&gt;"!!!"),"NEW","")))</f>
        <v> </v>
      </c>
      <c r="G802" s="23" t="str">
        <f>IF(OR(E802="",E802="!!!"),"",IF(OR(J802=0,AND(J802=1,K802=1),AND(J802=1,I802="SBJ"),AND(J802=1,I802=0)),"?IN_FOCUS",IF(J802&lt;=2,"?ACTIVATED",IF(J802&lt;&gt;"","?FAMILIAR",IF(F802="NEW",IF(ISNA(VLOOKUP(E802,#REF!,1,FALSE())),"?TYPE_IDENTIFIABLE","?REFERENTIAL"),"_")))))</f>
        <v> </v>
      </c>
      <c r="H802" s="24" t="str">
        <f>IF(J802&lt;&gt;1,"",IF(I802="SBJ","CB","?"))</f>
        <v> </v>
      </c>
      <c r="I802" s="25" t="str">
        <f>IF(OR(E802="",E802="!!!",F802="NEW"),"",INDEX(B801:B$2,-1+SUMPRODUCT(MAX(ROW(E801:E$2)*(E802=E801:E$2)))))</f>
        <v> </v>
      </c>
      <c r="J802" s="25" t="str">
        <f>IF(OR(E802="",E802="!!!",F802="NEW"),"",COUNTBLANK(OFFSET(A$1,,,SUMPRODUCT(MAX(ROW(E$2:E802)*(E802=E$2:E802)))))-COUNTBLANK(OFFSET(A$1,,,SUMPRODUCT(MAX(ROW(E$1:E801)*(E2=E$1:E801))))))</f>
        <v> </v>
      </c>
      <c r="K802" s="25" t="str">
        <f>IF(OR(E802="",E802="!!!",F802="NEW"),"",INDEX(J$1:J801,SUMPRODUCT(MAX(ROW(E$1:E801)*(E802=E$1:E801)))))</f>
        <v> </v>
      </c>
      <c r="L802" s="26"/>
    </row>
    <row r="803" spans="1:12">
      <c r="A803" s="20" t="s">
        <v>662</v>
      </c>
      <c r="B803" s="27" t="s">
        <v>549</v>
      </c>
      <c r="C803" s="27" t="s">
        <v>491</v>
      </c>
      <c r="D803" s="27" t="s">
        <v>483</v>
      </c>
      <c r="E803" s="21">
        <f>IF(D803="?OLD","!!!","")</f>
        <v/>
      </c>
      <c r="F803" s="22" t="str">
        <f>IF(OR(E803="",E803="!!!"),"",IF(NOT(ISNA(VLOOKUP(E803,E$1:E802,1,FALSE()))),"OLD",IF(AND(E803&lt;&gt;"",E803&lt;&gt;"!!!"),"NEW","")))</f>
        <v> </v>
      </c>
      <c r="G803" s="23" t="str">
        <f>IF(OR(E803="",E803="!!!"),"",IF(OR(J803=0,AND(J803=1,K803=1),AND(J803=1,I803="SBJ"),AND(J803=1,I803=0)),"?IN_FOCUS",IF(J803&lt;=2,"?ACTIVATED",IF(J803&lt;&gt;"","?FAMILIAR",IF(F803="NEW",IF(ISNA(VLOOKUP(E803,#REF!,1,FALSE())),"?TYPE_IDENTIFIABLE","?REFERENTIAL"),"_")))))</f>
        <v> </v>
      </c>
      <c r="H803" s="24" t="str">
        <f>IF(J803&lt;&gt;1,"",IF(I803="SBJ","CB","?"))</f>
        <v> </v>
      </c>
      <c r="I803" s="25" t="str">
        <f>IF(OR(E803="",E803="!!!",F803="NEW"),"",INDEX(B802:B$2,-1+SUMPRODUCT(MAX(ROW(E802:E$2)*(E803=E802:E$2)))))</f>
        <v> </v>
      </c>
      <c r="J803" s="25" t="str">
        <f>IF(OR(E803="",E803="!!!",F803="NEW"),"",COUNTBLANK(OFFSET(A$1,,,SUMPRODUCT(MAX(ROW(E$2:E803)*(E803=E$2:E803)))))-COUNTBLANK(OFFSET(A$1,,,SUMPRODUCT(MAX(ROW(E$1:E802)*(E2=E$1:E802))))))</f>
        <v> </v>
      </c>
      <c r="K803" s="25" t="str">
        <f>IF(OR(E803="",E803="!!!",F803="NEW"),"",INDEX(J$1:J802,SUMPRODUCT(MAX(ROW(E$1:E802)*(E803=E$1:E802)))))</f>
        <v> </v>
      </c>
      <c r="L803" s="26"/>
    </row>
    <row r="804" spans="1:12">
      <c r="A804" s="20" t="s">
        <v>577</v>
      </c>
      <c r="E804" s="21">
        <f>IF(D804="?OLD","!!!","")</f>
        <v/>
      </c>
      <c r="F804" s="22" t="str">
        <f>IF(OR(E804="",E804="!!!"),"",IF(NOT(ISNA(VLOOKUP(E804,E$1:E803,1,FALSE()))),"OLD",IF(AND(E804&lt;&gt;"",E804&lt;&gt;"!!!"),"NEW","")))</f>
        <v> </v>
      </c>
      <c r="G804" s="23" t="str">
        <f>IF(OR(E804="",E804="!!!"),"",IF(OR(J804=0,AND(J804=1,K804=1),AND(J804=1,I804="SBJ"),AND(J804=1,I804=0)),"?IN_FOCUS",IF(J804&lt;=2,"?ACTIVATED",IF(J804&lt;&gt;"","?FAMILIAR",IF(F804="NEW",IF(ISNA(VLOOKUP(E804,#REF!,1,FALSE())),"?TYPE_IDENTIFIABLE","?REFERENTIAL"),"_")))))</f>
        <v> </v>
      </c>
      <c r="H804" s="24" t="str">
        <f>IF(J804&lt;&gt;1,"",IF(I804="SBJ","CB","?"))</f>
        <v> </v>
      </c>
      <c r="I804" s="25" t="str">
        <f>IF(OR(E804="",E804="!!!",F804="NEW"),"",INDEX(B803:B$2,-1+SUMPRODUCT(MAX(ROW(E803:E$2)*(E804=E803:E$2)))))</f>
        <v> </v>
      </c>
      <c r="J804" s="25" t="str">
        <f>IF(OR(E804="",E804="!!!",F804="NEW"),"",COUNTBLANK(OFFSET(A$1,,,SUMPRODUCT(MAX(ROW(E$2:E804)*(E804=E$2:E804)))))-COUNTBLANK(OFFSET(A$1,,,SUMPRODUCT(MAX(ROW(E$1:E803)*(E2=E$1:E803))))))</f>
        <v> </v>
      </c>
      <c r="K804" s="25" t="str">
        <f>IF(OR(E804="",E804="!!!",F804="NEW"),"",INDEX(J$1:J803,SUMPRODUCT(MAX(ROW(E$1:E803)*(E804=E$1:E803)))))</f>
        <v> </v>
      </c>
      <c r="L804" s="26"/>
    </row>
    <row r="805" spans="1:12">
      <c r="A805" s="20" t="s">
        <v>503</v>
      </c>
      <c r="E805" s="21">
        <f>IF(D805="?OLD","!!!","")</f>
        <v/>
      </c>
      <c r="F805" s="22" t="str">
        <f>IF(OR(E805="",E805="!!!"),"",IF(NOT(ISNA(VLOOKUP(E805,E$1:E804,1,FALSE()))),"OLD",IF(AND(E805&lt;&gt;"",E805&lt;&gt;"!!!"),"NEW","")))</f>
        <v> </v>
      </c>
      <c r="G805" s="23" t="str">
        <f>IF(OR(E805="",E805="!!!"),"",IF(OR(J805=0,AND(J805=1,K805=1),AND(J805=1,I805="SBJ"),AND(J805=1,I805=0)),"?IN_FOCUS",IF(J805&lt;=2,"?ACTIVATED",IF(J805&lt;&gt;"","?FAMILIAR",IF(F805="NEW",IF(ISNA(VLOOKUP(E805,#REF!,1,FALSE())),"?TYPE_IDENTIFIABLE","?REFERENTIAL"),"_")))))</f>
        <v> </v>
      </c>
      <c r="H805" s="24" t="str">
        <f>IF(J805&lt;&gt;1,"",IF(I805="SBJ","CB","?"))</f>
        <v> </v>
      </c>
      <c r="I805" s="25" t="str">
        <f>IF(OR(E805="",E805="!!!",F805="NEW"),"",INDEX(B804:B$2,-1+SUMPRODUCT(MAX(ROW(E804:E$2)*(E805=E804:E$2)))))</f>
        <v> </v>
      </c>
      <c r="J805" s="25" t="str">
        <f>IF(OR(E805="",E805="!!!",F805="NEW"),"",COUNTBLANK(OFFSET(A$1,,,SUMPRODUCT(MAX(ROW(E$2:E805)*(E805=E$2:E805)))))-COUNTBLANK(OFFSET(A$1,,,SUMPRODUCT(MAX(ROW(E$1:E804)*(E2=E$1:E804))))))</f>
        <v> </v>
      </c>
      <c r="K805" s="25" t="str">
        <f>IF(OR(E805="",E805="!!!",F805="NEW"),"",INDEX(J$1:J804,SUMPRODUCT(MAX(ROW(E$1:E804)*(E805=E$1:E804)))))</f>
        <v> </v>
      </c>
      <c r="L805" s="26"/>
    </row>
    <row r="806" spans="1:12">
      <c r="A806" s="20" t="s">
        <v>72</v>
      </c>
      <c r="E806" s="21">
        <f>IF(D806="?OLD","!!!","")</f>
        <v/>
      </c>
      <c r="F806" s="22" t="str">
        <f>IF(OR(E806="",E806="!!!"),"",IF(NOT(ISNA(VLOOKUP(E806,E$1:E805,1,FALSE()))),"OLD",IF(AND(E806&lt;&gt;"",E806&lt;&gt;"!!!"),"NEW","")))</f>
        <v> </v>
      </c>
      <c r="G806" s="23" t="str">
        <f>IF(OR(E806="",E806="!!!"),"",IF(OR(J806=0,AND(J806=1,K806=1),AND(J806=1,I806="SBJ"),AND(J806=1,I806=0)),"?IN_FOCUS",IF(J806&lt;=2,"?ACTIVATED",IF(J806&lt;&gt;"","?FAMILIAR",IF(F806="NEW",IF(ISNA(VLOOKUP(E806,#REF!,1,FALSE())),"?TYPE_IDENTIFIABLE","?REFERENTIAL"),"_")))))</f>
        <v> </v>
      </c>
      <c r="H806" s="24" t="str">
        <f>IF(J806&lt;&gt;1,"",IF(I806="SBJ","CB","?"))</f>
        <v> </v>
      </c>
      <c r="I806" s="25" t="str">
        <f>IF(OR(E806="",E806="!!!",F806="NEW"),"",INDEX(B805:B$2,-1+SUMPRODUCT(MAX(ROW(E805:E$2)*(E806=E805:E$2)))))</f>
        <v> </v>
      </c>
      <c r="J806" s="25" t="str">
        <f>IF(OR(E806="",E806="!!!",F806="NEW"),"",COUNTBLANK(OFFSET(A$1,,,SUMPRODUCT(MAX(ROW(E$2:E806)*(E806=E$2:E806)))))-COUNTBLANK(OFFSET(A$1,,,SUMPRODUCT(MAX(ROW(E$1:E805)*(E2=E$1:E805))))))</f>
        <v> </v>
      </c>
      <c r="K806" s="25" t="str">
        <f>IF(OR(E806="",E806="!!!",F806="NEW"),"",INDEX(J$1:J805,SUMPRODUCT(MAX(ROW(E$1:E805)*(E806=E$1:E805)))))</f>
        <v> </v>
      </c>
      <c r="L806" s="26"/>
    </row>
    <row r="807" spans="1:12">
      <c r="A807" s="20" t="s">
        <v>805</v>
      </c>
      <c r="E807" s="21">
        <f>IF(D807="?OLD","!!!","")</f>
        <v/>
      </c>
      <c r="F807" s="22" t="str">
        <f>IF(OR(E807="",E807="!!!"),"",IF(NOT(ISNA(VLOOKUP(E807,E$1:E806,1,FALSE()))),"OLD",IF(AND(E807&lt;&gt;"",E807&lt;&gt;"!!!"),"NEW","")))</f>
        <v> </v>
      </c>
      <c r="G807" s="23" t="str">
        <f>IF(OR(E807="",E807="!!!"),"",IF(OR(J807=0,AND(J807=1,K807=1),AND(J807=1,I807="SBJ"),AND(J807=1,I807=0)),"?IN_FOCUS",IF(J807&lt;=2,"?ACTIVATED",IF(J807&lt;&gt;"","?FAMILIAR",IF(F807="NEW",IF(ISNA(VLOOKUP(E807,#REF!,1,FALSE())),"?TYPE_IDENTIFIABLE","?REFERENTIAL"),"_")))))</f>
        <v> </v>
      </c>
      <c r="H807" s="24" t="str">
        <f>IF(J807&lt;&gt;1,"",IF(I807="SBJ","CB","?"))</f>
        <v> </v>
      </c>
      <c r="I807" s="25" t="str">
        <f>IF(OR(E807="",E807="!!!",F807="NEW"),"",INDEX(B806:B$2,-1+SUMPRODUCT(MAX(ROW(E806:E$2)*(E807=E806:E$2)))))</f>
        <v> </v>
      </c>
      <c r="J807" s="25" t="str">
        <f>IF(OR(E807="",E807="!!!",F807="NEW"),"",COUNTBLANK(OFFSET(A$1,,,SUMPRODUCT(MAX(ROW(E$2:E807)*(E807=E$2:E807)))))-COUNTBLANK(OFFSET(A$1,,,SUMPRODUCT(MAX(ROW(E$1:E806)*(E2=E$1:E806))))))</f>
        <v> </v>
      </c>
      <c r="K807" s="25" t="str">
        <f>IF(OR(E807="",E807="!!!",F807="NEW"),"",INDEX(J$1:J806,SUMPRODUCT(MAX(ROW(E$1:E806)*(E807=E$1:E806)))))</f>
        <v> </v>
      </c>
      <c r="L807" s="26"/>
    </row>
    <row r="808" spans="1:12">
      <c r="A808" s="20" t="s">
        <v>485</v>
      </c>
      <c r="E808" s="21">
        <f>IF(D808="?OLD","!!!","")</f>
        <v/>
      </c>
      <c r="F808" s="22" t="str">
        <f>IF(OR(E808="",E808="!!!"),"",IF(NOT(ISNA(VLOOKUP(E808,E$1:E807,1,FALSE()))),"OLD",IF(AND(E808&lt;&gt;"",E808&lt;&gt;"!!!"),"NEW","")))</f>
        <v> </v>
      </c>
      <c r="G808" s="23" t="str">
        <f>IF(OR(E808="",E808="!!!"),"",IF(OR(J808=0,AND(J808=1,K808=1),AND(J808=1,I808="SBJ"),AND(J808=1,I808=0)),"?IN_FOCUS",IF(J808&lt;=2,"?ACTIVATED",IF(J808&lt;&gt;"","?FAMILIAR",IF(F808="NEW",IF(ISNA(VLOOKUP(E808,#REF!,1,FALSE())),"?TYPE_IDENTIFIABLE","?REFERENTIAL"),"_")))))</f>
        <v> </v>
      </c>
      <c r="H808" s="24" t="str">
        <f>IF(J808&lt;&gt;1,"",IF(I808="SBJ","CB","?"))</f>
        <v> </v>
      </c>
      <c r="I808" s="25" t="str">
        <f>IF(OR(E808="",E808="!!!",F808="NEW"),"",INDEX(B807:B$2,-1+SUMPRODUCT(MAX(ROW(E807:E$2)*(E808=E807:E$2)))))</f>
        <v> </v>
      </c>
      <c r="J808" s="25" t="str">
        <f>IF(OR(E808="",E808="!!!",F808="NEW"),"",COUNTBLANK(OFFSET(A$1,,,SUMPRODUCT(MAX(ROW(E$2:E808)*(E808=E$2:E808)))))-COUNTBLANK(OFFSET(A$1,,,SUMPRODUCT(MAX(ROW(E$1:E807)*(E2=E$1:E807))))))</f>
        <v> </v>
      </c>
      <c r="K808" s="25" t="str">
        <f>IF(OR(E808="",E808="!!!",F808="NEW"),"",INDEX(J$1:J807,SUMPRODUCT(MAX(ROW(E$1:E807)*(E808=E$1:E807)))))</f>
        <v> </v>
      </c>
      <c r="L808" s="26"/>
    </row>
    <row r="809" spans="1:12">
      <c r="A809" s="20" t="s">
        <v>486</v>
      </c>
      <c r="B809" s="27" t="s">
        <v>490</v>
      </c>
      <c r="C809" s="27" t="s">
        <v>487</v>
      </c>
      <c r="D809" s="27" t="s">
        <v>483</v>
      </c>
      <c r="E809" s="21">
        <f>IF(D809="?OLD","!!!","")</f>
        <v/>
      </c>
      <c r="F809" s="22" t="str">
        <f>IF(OR(E809="",E809="!!!"),"",IF(NOT(ISNA(VLOOKUP(E809,E$1:E808,1,FALSE()))),"OLD",IF(AND(E809&lt;&gt;"",E809&lt;&gt;"!!!"),"NEW","")))</f>
        <v> </v>
      </c>
      <c r="G809" s="23" t="str">
        <f>IF(OR(E809="",E809="!!!"),"",IF(OR(J809=0,AND(J809=1,K809=1),AND(J809=1,I809="SBJ"),AND(J809=1,I809=0)),"?IN_FOCUS",IF(J809&lt;=2,"?ACTIVATED",IF(J809&lt;&gt;"","?FAMILIAR",IF(F809="NEW",IF(ISNA(VLOOKUP(E809,#REF!,1,FALSE())),"?TYPE_IDENTIFIABLE","?REFERENTIAL"),"_")))))</f>
        <v> </v>
      </c>
      <c r="H809" s="24" t="str">
        <f>IF(J809&lt;&gt;1,"",IF(I809="SBJ","CB","?"))</f>
        <v> </v>
      </c>
      <c r="I809" s="25" t="str">
        <f>IF(OR(E809="",E809="!!!",F809="NEW"),"",INDEX(B808:B$2,-1+SUMPRODUCT(MAX(ROW(E808:E$2)*(E809=E808:E$2)))))</f>
        <v> </v>
      </c>
      <c r="J809" s="25" t="str">
        <f>IF(OR(E809="",E809="!!!",F809="NEW"),"",COUNTBLANK(OFFSET(A$1,,,SUMPRODUCT(MAX(ROW(E$2:E809)*(E809=E$2:E809)))))-COUNTBLANK(OFFSET(A$1,,,SUMPRODUCT(MAX(ROW(E$1:E808)*(E2=E$1:E808))))))</f>
        <v> </v>
      </c>
      <c r="K809" s="25" t="str">
        <f>IF(OR(E809="",E809="!!!",F809="NEW"),"",INDEX(J$1:J808,SUMPRODUCT(MAX(ROW(E$1:E808)*(E809=E$1:E808)))))</f>
        <v> </v>
      </c>
      <c r="L809" s="26"/>
    </row>
    <row r="810" spans="1:12">
      <c r="A810" s="20" t="s">
        <v>488</v>
      </c>
      <c r="E810" s="21">
        <f>IF(D810="?OLD","!!!","")</f>
        <v/>
      </c>
      <c r="F810" s="22" t="str">
        <f>IF(OR(E810="",E810="!!!"),"",IF(NOT(ISNA(VLOOKUP(E810,E$1:E809,1,FALSE()))),"OLD",IF(AND(E810&lt;&gt;"",E810&lt;&gt;"!!!"),"NEW","")))</f>
        <v> </v>
      </c>
      <c r="G810" s="23" t="str">
        <f>IF(OR(E810="",E810="!!!"),"",IF(OR(J810=0,AND(J810=1,K810=1),AND(J810=1,I810="SBJ"),AND(J810=1,I810=0)),"?IN_FOCUS",IF(J810&lt;=2,"?ACTIVATED",IF(J810&lt;&gt;"","?FAMILIAR",IF(F810="NEW",IF(ISNA(VLOOKUP(E810,#REF!,1,FALSE())),"?TYPE_IDENTIFIABLE","?REFERENTIAL"),"_")))))</f>
        <v> </v>
      </c>
      <c r="H810" s="24" t="str">
        <f>IF(J810&lt;&gt;1,"",IF(I810="SBJ","CB","?"))</f>
        <v> </v>
      </c>
      <c r="I810" s="25" t="str">
        <f>IF(OR(E810="",E810="!!!",F810="NEW"),"",INDEX(B809:B$2,-1+SUMPRODUCT(MAX(ROW(E809:E$2)*(E810=E809:E$2)))))</f>
        <v> </v>
      </c>
      <c r="J810" s="25" t="str">
        <f>IF(OR(E810="",E810="!!!",F810="NEW"),"",COUNTBLANK(OFFSET(A$1,,,SUMPRODUCT(MAX(ROW(E$2:E810)*(E810=E$2:E810)))))-COUNTBLANK(OFFSET(A$1,,,SUMPRODUCT(MAX(ROW(E$1:E809)*(E2=E$1:E809))))))</f>
        <v> </v>
      </c>
      <c r="K810" s="25" t="str">
        <f>IF(OR(E810="",E810="!!!",F810="NEW"),"",INDEX(J$1:J809,SUMPRODUCT(MAX(ROW(E$1:E809)*(E810=E$1:E809)))))</f>
        <v> </v>
      </c>
      <c r="L810" s="26"/>
    </row>
    <row r="811" spans="1:12">
      <c r="A811" s="20" t="s">
        <v>750</v>
      </c>
      <c r="E811" s="21">
        <f>IF(D811="?OLD","!!!","")</f>
        <v/>
      </c>
      <c r="F811" s="22" t="str">
        <f>IF(OR(E811="",E811="!!!"),"",IF(NOT(ISNA(VLOOKUP(E811,E$1:E810,1,FALSE()))),"OLD",IF(AND(E811&lt;&gt;"",E811&lt;&gt;"!!!"),"NEW","")))</f>
        <v> </v>
      </c>
      <c r="G811" s="23" t="str">
        <f>IF(OR(E811="",E811="!!!"),"",IF(OR(J811=0,AND(J811=1,K811=1),AND(J811=1,I811="SBJ"),AND(J811=1,I811=0)),"?IN_FOCUS",IF(J811&lt;=2,"?ACTIVATED",IF(J811&lt;&gt;"","?FAMILIAR",IF(F811="NEW",IF(ISNA(VLOOKUP(E811,#REF!,1,FALSE())),"?TYPE_IDENTIFIABLE","?REFERENTIAL"),"_")))))</f>
        <v> </v>
      </c>
      <c r="H811" s="24" t="str">
        <f>IF(J811&lt;&gt;1,"",IF(I811="SBJ","CB","?"))</f>
        <v> </v>
      </c>
      <c r="I811" s="25" t="str">
        <f>IF(OR(E811="",E811="!!!",F811="NEW"),"",INDEX(B810:B$2,-1+SUMPRODUCT(MAX(ROW(E810:E$2)*(E811=E810:E$2)))))</f>
        <v> </v>
      </c>
      <c r="J811" s="25" t="str">
        <f>IF(OR(E811="",E811="!!!",F811="NEW"),"",COUNTBLANK(OFFSET(A$1,,,SUMPRODUCT(MAX(ROW(E$2:E811)*(E811=E$2:E811)))))-COUNTBLANK(OFFSET(A$1,,,SUMPRODUCT(MAX(ROW(E$1:E810)*(E2=E$1:E810))))))</f>
        <v> </v>
      </c>
      <c r="K811" s="25" t="str">
        <f>IF(OR(E811="",E811="!!!",F811="NEW"),"",INDEX(J$1:J810,SUMPRODUCT(MAX(ROW(E$1:E810)*(E811=E$1:E810)))))</f>
        <v> </v>
      </c>
      <c r="L811" s="26"/>
    </row>
    <row r="812" spans="1:12">
      <c r="A812" s="20"/>
    </row>
    <row r="813" spans="1:12">
      <c r="A813" s="20" t="s">
        <v>806</v>
      </c>
    </row>
    <row r="814" spans="1:12">
      <c r="A814" s="20" t="s">
        <v>807</v>
      </c>
      <c r="E814" s="21">
        <f>IF(D814="?OLD","!!!","")</f>
        <v/>
      </c>
      <c r="F814" s="22" t="str">
        <f>IF(OR(E814="",E814="!!!"),"",IF(NOT(ISNA(VLOOKUP(E814,E$1:E813,1,FALSE()))),"OLD",IF(AND(E814&lt;&gt;"",E814&lt;&gt;"!!!"),"NEW","")))</f>
        <v> </v>
      </c>
      <c r="G814" s="23" t="str">
        <f>IF(OR(E814="",E814="!!!"),"",IF(OR(J814=0,AND(J814=1,K814=1),AND(J814=1,I814="SBJ"),AND(J814=1,I814=0)),"?IN_FOCUS",IF(J814&lt;=2,"?ACTIVATED",IF(J814&lt;&gt;"","?FAMILIAR",IF(F814="NEW",IF(ISNA(VLOOKUP(E814,#REF!,1,FALSE())),"?TYPE_IDENTIFIABLE","?REFERENTIAL"),"_")))))</f>
        <v> </v>
      </c>
      <c r="H814" s="24" t="str">
        <f>IF(J814&lt;&gt;1,"",IF(I814="SBJ","CB","?"))</f>
        <v> </v>
      </c>
      <c r="I814" s="25" t="str">
        <f>IF(OR(E814="",E814="!!!",F814="NEW"),"",INDEX(B813:B$2,-1+SUMPRODUCT(MAX(ROW(E813:E$2)*(E814=E813:E$2)))))</f>
        <v> </v>
      </c>
      <c r="J814" s="25" t="str">
        <f>IF(OR(E814="",E814="!!!",F814="NEW"),"",COUNTBLANK(OFFSET(A$1,,,SUMPRODUCT(MAX(ROW(E$2:E814)*(E814=E$2:E814)))))-COUNTBLANK(OFFSET(A$1,,,SUMPRODUCT(MAX(ROW(E$1:E813)*(E2=E$1:E813))))))</f>
        <v> </v>
      </c>
      <c r="K814" s="25" t="str">
        <f>IF(OR(E814="",E814="!!!",F814="NEW"),"",INDEX(J$1:J813,SUMPRODUCT(MAX(ROW(E$1:E813)*(E814=E$1:E813)))))</f>
        <v> </v>
      </c>
      <c r="L814" s="26"/>
    </row>
    <row r="815" spans="1:12">
      <c r="A815" s="20" t="s">
        <v>380</v>
      </c>
      <c r="E815" s="21">
        <f>IF(D815="?OLD","!!!","")</f>
        <v/>
      </c>
      <c r="F815" s="22" t="str">
        <f>IF(OR(E815="",E815="!!!"),"",IF(NOT(ISNA(VLOOKUP(E815,E$1:E814,1,FALSE()))),"OLD",IF(AND(E815&lt;&gt;"",E815&lt;&gt;"!!!"),"NEW","")))</f>
        <v> </v>
      </c>
      <c r="G815" s="23" t="str">
        <f>IF(OR(E815="",E815="!!!"),"",IF(OR(J815=0,AND(J815=1,K815=1),AND(J815=1,I815="SBJ"),AND(J815=1,I815=0)),"?IN_FOCUS",IF(J815&lt;=2,"?ACTIVATED",IF(J815&lt;&gt;"","?FAMILIAR",IF(F815="NEW",IF(ISNA(VLOOKUP(E815,#REF!,1,FALSE())),"?TYPE_IDENTIFIABLE","?REFERENTIAL"),"_")))))</f>
        <v> </v>
      </c>
      <c r="H815" s="24" t="str">
        <f>IF(J815&lt;&gt;1,"",IF(I815="SBJ","CB","?"))</f>
        <v> </v>
      </c>
      <c r="I815" s="25" t="str">
        <f>IF(OR(E815="",E815="!!!",F815="NEW"),"",INDEX(B814:B$2,-1+SUMPRODUCT(MAX(ROW(E814:E$2)*(E815=E814:E$2)))))</f>
        <v> </v>
      </c>
      <c r="J815" s="25" t="str">
        <f>IF(OR(E815="",E815="!!!",F815="NEW"),"",COUNTBLANK(OFFSET(A$1,,,SUMPRODUCT(MAX(ROW(E$2:E815)*(E815=E$2:E815)))))-COUNTBLANK(OFFSET(A$1,,,SUMPRODUCT(MAX(ROW(E$1:E814)*(E2=E$1:E814))))))</f>
        <v> </v>
      </c>
      <c r="K815" s="25" t="str">
        <f>IF(OR(E815="",E815="!!!",F815="NEW"),"",INDEX(J$1:J814,SUMPRODUCT(MAX(ROW(E$1:E814)*(E815=E$1:E814)))))</f>
        <v> </v>
      </c>
      <c r="L815" s="26"/>
    </row>
    <row r="816" spans="1:12">
      <c r="A816" s="20" t="s">
        <v>808</v>
      </c>
      <c r="B816" s="27" t="s">
        <v>481</v>
      </c>
      <c r="C816" s="27" t="s">
        <v>498</v>
      </c>
      <c r="E816" s="21">
        <f>IF(D816="?OLD","!!!","")</f>
        <v/>
      </c>
      <c r="F816" s="22" t="str">
        <f>IF(OR(E816="",E816="!!!"),"",IF(NOT(ISNA(VLOOKUP(E816,E$1:E815,1,FALSE()))),"OLD",IF(AND(E816&lt;&gt;"",E816&lt;&gt;"!!!"),"NEW","")))</f>
        <v> </v>
      </c>
      <c r="G816" s="23" t="str">
        <f>IF(OR(E816="",E816="!!!"),"",IF(OR(J816=0,AND(J816=1,K816=1),AND(J816=1,I816="SBJ"),AND(J816=1,I816=0)),"?IN_FOCUS",IF(J816&lt;=2,"?ACTIVATED",IF(J816&lt;&gt;"","?FAMILIAR",IF(F816="NEW",IF(ISNA(VLOOKUP(E816,#REF!,1,FALSE())),"?TYPE_IDENTIFIABLE","?REFERENTIAL"),"_")))))</f>
        <v> </v>
      </c>
      <c r="H816" s="24" t="str">
        <f>IF(J816&lt;&gt;1,"",IF(I816="SBJ","CB","?"))</f>
        <v> </v>
      </c>
      <c r="I816" s="25" t="str">
        <f>IF(OR(E816="",E816="!!!",F816="NEW"),"",INDEX(B815:B$2,-1+SUMPRODUCT(MAX(ROW(E815:E$2)*(E816=E815:E$2)))))</f>
        <v> </v>
      </c>
      <c r="J816" s="25" t="str">
        <f>IF(OR(E816="",E816="!!!",F816="NEW"),"",COUNTBLANK(OFFSET(A$1,,,SUMPRODUCT(MAX(ROW(E$2:E816)*(E816=E$2:E816)))))-COUNTBLANK(OFFSET(A$1,,,SUMPRODUCT(MAX(ROW(E$1:E815)*(E2=E$1:E815))))))</f>
        <v> </v>
      </c>
      <c r="K816" s="25" t="str">
        <f>IF(OR(E816="",E816="!!!",F816="NEW"),"",INDEX(J$1:J815,SUMPRODUCT(MAX(ROW(E$1:E815)*(E816=E$1:E815)))))</f>
        <v> </v>
      </c>
      <c r="L816" s="26"/>
    </row>
    <row r="817" spans="1:12">
      <c r="A817" s="20" t="s">
        <v>489</v>
      </c>
      <c r="E817" s="21">
        <f>IF(D817="?OLD","!!!","")</f>
        <v/>
      </c>
      <c r="F817" s="22" t="str">
        <f>IF(OR(E817="",E817="!!!"),"",IF(NOT(ISNA(VLOOKUP(E817,E$1:E816,1,FALSE()))),"OLD",IF(AND(E817&lt;&gt;"",E817&lt;&gt;"!!!"),"NEW","")))</f>
        <v> </v>
      </c>
      <c r="G817" s="23" t="str">
        <f>IF(OR(E817="",E817="!!!"),"",IF(OR(J817=0,AND(J817=1,K817=1),AND(J817=1,I817="SBJ"),AND(J817=1,I817=0)),"?IN_FOCUS",IF(J817&lt;=2,"?ACTIVATED",IF(J817&lt;&gt;"","?FAMILIAR",IF(F817="NEW",IF(ISNA(VLOOKUP(E817,#REF!,1,FALSE())),"?TYPE_IDENTIFIABLE","?REFERENTIAL"),"_")))))</f>
        <v> </v>
      </c>
      <c r="H817" s="24" t="str">
        <f>IF(J817&lt;&gt;1,"",IF(I817="SBJ","CB","?"))</f>
        <v> </v>
      </c>
      <c r="I817" s="25" t="str">
        <f>IF(OR(E817="",E817="!!!",F817="NEW"),"",INDEX(B816:B$2,-1+SUMPRODUCT(MAX(ROW(E816:E$2)*(E817=E816:E$2)))))</f>
        <v> </v>
      </c>
      <c r="J817" s="25" t="str">
        <f>IF(OR(E817="",E817="!!!",F817="NEW"),"",COUNTBLANK(OFFSET(A$1,,,SUMPRODUCT(MAX(ROW(E$2:E817)*(E817=E$2:E817)))))-COUNTBLANK(OFFSET(A$1,,,SUMPRODUCT(MAX(ROW(E$1:E816)*(E2=E$1:E816))))))</f>
        <v> </v>
      </c>
      <c r="K817" s="25" t="str">
        <f>IF(OR(E817="",E817="!!!",F817="NEW"),"",INDEX(J$1:J816,SUMPRODUCT(MAX(ROW(E$1:E816)*(E817=E$1:E816)))))</f>
        <v> </v>
      </c>
      <c r="L817" s="26"/>
    </row>
    <row r="818" spans="1:12">
      <c r="A818" s="20" t="s">
        <v>570</v>
      </c>
      <c r="E818" s="21">
        <f>IF(D818="?OLD","!!!","")</f>
        <v/>
      </c>
      <c r="F818" s="22" t="str">
        <f>IF(OR(E818="",E818="!!!"),"",IF(NOT(ISNA(VLOOKUP(E818,E$1:E817,1,FALSE()))),"OLD",IF(AND(E818&lt;&gt;"",E818&lt;&gt;"!!!"),"NEW","")))</f>
        <v> </v>
      </c>
      <c r="G818" s="23" t="str">
        <f>IF(OR(E818="",E818="!!!"),"",IF(OR(J818=0,AND(J818=1,K818=1),AND(J818=1,I818="SBJ"),AND(J818=1,I818=0)),"?IN_FOCUS",IF(J818&lt;=2,"?ACTIVATED",IF(J818&lt;&gt;"","?FAMILIAR",IF(F818="NEW",IF(ISNA(VLOOKUP(E818,#REF!,1,FALSE())),"?TYPE_IDENTIFIABLE","?REFERENTIAL"),"_")))))</f>
        <v> </v>
      </c>
      <c r="H818" s="24" t="str">
        <f>IF(J818&lt;&gt;1,"",IF(I818="SBJ","CB","?"))</f>
        <v> </v>
      </c>
      <c r="I818" s="25" t="str">
        <f>IF(OR(E818="",E818="!!!",F818="NEW"),"",INDEX(B817:B$2,-1+SUMPRODUCT(MAX(ROW(E817:E$2)*(E818=E817:E$2)))))</f>
        <v> </v>
      </c>
      <c r="J818" s="25" t="str">
        <f>IF(OR(E818="",E818="!!!",F818="NEW"),"",COUNTBLANK(OFFSET(A$1,,,SUMPRODUCT(MAX(ROW(E$2:E818)*(E818=E$2:E818)))))-COUNTBLANK(OFFSET(A$1,,,SUMPRODUCT(MAX(ROW(E$1:E817)*(E2=E$1:E817))))))</f>
        <v> </v>
      </c>
      <c r="K818" s="25" t="str">
        <f>IF(OR(E818="",E818="!!!",F818="NEW"),"",INDEX(J$1:J817,SUMPRODUCT(MAX(ROW(E$1:E817)*(E818=E$1:E817)))))</f>
        <v> </v>
      </c>
      <c r="L818" s="26"/>
    </row>
    <row r="819" spans="1:12">
      <c r="A819" s="20" t="s">
        <v>369</v>
      </c>
      <c r="E819" s="21">
        <f>IF(D819="?OLD","!!!","")</f>
        <v/>
      </c>
      <c r="F819" s="22" t="str">
        <f>IF(OR(E819="",E819="!!!"),"",IF(NOT(ISNA(VLOOKUP(E819,E$1:E818,1,FALSE()))),"OLD",IF(AND(E819&lt;&gt;"",E819&lt;&gt;"!!!"),"NEW","")))</f>
        <v> </v>
      </c>
      <c r="G819" s="23" t="str">
        <f>IF(OR(E819="",E819="!!!"),"",IF(OR(J819=0,AND(J819=1,K819=1),AND(J819=1,I819="SBJ"),AND(J819=1,I819=0)),"?IN_FOCUS",IF(J819&lt;=2,"?ACTIVATED",IF(J819&lt;&gt;"","?FAMILIAR",IF(F819="NEW",IF(ISNA(VLOOKUP(E819,#REF!,1,FALSE())),"?TYPE_IDENTIFIABLE","?REFERENTIAL"),"_")))))</f>
        <v> </v>
      </c>
      <c r="H819" s="24" t="str">
        <f>IF(J819&lt;&gt;1,"",IF(I819="SBJ","CB","?"))</f>
        <v> </v>
      </c>
      <c r="I819" s="25" t="str">
        <f>IF(OR(E819="",E819="!!!",F819="NEW"),"",INDEX(B818:B$2,-1+SUMPRODUCT(MAX(ROW(E818:E$2)*(E819=E818:E$2)))))</f>
        <v> </v>
      </c>
      <c r="J819" s="25" t="str">
        <f>IF(OR(E819="",E819="!!!",F819="NEW"),"",COUNTBLANK(OFFSET(A$1,,,SUMPRODUCT(MAX(ROW(E$2:E819)*(E819=E$2:E819)))))-COUNTBLANK(OFFSET(A$1,,,SUMPRODUCT(MAX(ROW(E$1:E818)*(E2=E$1:E818))))))</f>
        <v> </v>
      </c>
      <c r="K819" s="25" t="str">
        <f>IF(OR(E819="",E819="!!!",F819="NEW"),"",INDEX(J$1:J818,SUMPRODUCT(MAX(ROW(E$1:E818)*(E819=E$1:E818)))))</f>
        <v> </v>
      </c>
      <c r="L819" s="26"/>
    </row>
    <row r="820" spans="1:12">
      <c r="A820" s="20" t="s">
        <v>517</v>
      </c>
      <c r="E820" s="21">
        <f>IF(D820="?OLD","!!!","")</f>
        <v/>
      </c>
      <c r="F820" s="22" t="str">
        <f>IF(OR(E820="",E820="!!!"),"",IF(NOT(ISNA(VLOOKUP(E820,E$1:E819,1,FALSE()))),"OLD",IF(AND(E820&lt;&gt;"",E820&lt;&gt;"!!!"),"NEW","")))</f>
        <v> </v>
      </c>
      <c r="G820" s="23" t="str">
        <f>IF(OR(E820="",E820="!!!"),"",IF(OR(J820=0,AND(J820=1,K820=1),AND(J820=1,I820="SBJ"),AND(J820=1,I820=0)),"?IN_FOCUS",IF(J820&lt;=2,"?ACTIVATED",IF(J820&lt;&gt;"","?FAMILIAR",IF(F820="NEW",IF(ISNA(VLOOKUP(E820,#REF!,1,FALSE())),"?TYPE_IDENTIFIABLE","?REFERENTIAL"),"_")))))</f>
        <v> </v>
      </c>
      <c r="H820" s="24" t="str">
        <f>IF(J820&lt;&gt;1,"",IF(I820="SBJ","CB","?"))</f>
        <v> </v>
      </c>
      <c r="I820" s="25" t="str">
        <f>IF(OR(E820="",E820="!!!",F820="NEW"),"",INDEX(B819:B$2,-1+SUMPRODUCT(MAX(ROW(E819:E$2)*(E820=E819:E$2)))))</f>
        <v> </v>
      </c>
      <c r="J820" s="25" t="str">
        <f>IF(OR(E820="",E820="!!!",F820="NEW"),"",COUNTBLANK(OFFSET(A$1,,,SUMPRODUCT(MAX(ROW(E$2:E820)*(E820=E$2:E820)))))-COUNTBLANK(OFFSET(A$1,,,SUMPRODUCT(MAX(ROW(E$1:E819)*(E2=E$1:E819))))))</f>
        <v> </v>
      </c>
      <c r="K820" s="25" t="str">
        <f>IF(OR(E820="",E820="!!!",F820="NEW"),"",INDEX(J$1:J819,SUMPRODUCT(MAX(ROW(E$1:E819)*(E820=E$1:E819)))))</f>
        <v> </v>
      </c>
      <c r="L820" s="26"/>
    </row>
    <row r="821" spans="1:12">
      <c r="A821" s="20" t="s">
        <v>504</v>
      </c>
      <c r="E821" s="21">
        <f>IF(D821="?OLD","!!!","")</f>
        <v/>
      </c>
      <c r="F821" s="22" t="str">
        <f>IF(OR(E821="",E821="!!!"),"",IF(NOT(ISNA(VLOOKUP(E821,E$1:E820,1,FALSE()))),"OLD",IF(AND(E821&lt;&gt;"",E821&lt;&gt;"!!!"),"NEW","")))</f>
        <v> </v>
      </c>
      <c r="G821" s="23" t="str">
        <f>IF(OR(E821="",E821="!!!"),"",IF(OR(J821=0,AND(J821=1,K821=1),AND(J821=1,I821="SBJ"),AND(J821=1,I821=0)),"?IN_FOCUS",IF(J821&lt;=2,"?ACTIVATED",IF(J821&lt;&gt;"","?FAMILIAR",IF(F821="NEW",IF(ISNA(VLOOKUP(E821,#REF!,1,FALSE())),"?TYPE_IDENTIFIABLE","?REFERENTIAL"),"_")))))</f>
        <v> </v>
      </c>
      <c r="H821" s="24" t="str">
        <f>IF(J821&lt;&gt;1,"",IF(I821="SBJ","CB","?"))</f>
        <v> </v>
      </c>
      <c r="I821" s="25" t="str">
        <f>IF(OR(E821="",E821="!!!",F821="NEW"),"",INDEX(B820:B$2,-1+SUMPRODUCT(MAX(ROW(E820:E$2)*(E821=E820:E$2)))))</f>
        <v> </v>
      </c>
      <c r="J821" s="25" t="str">
        <f>IF(OR(E821="",E821="!!!",F821="NEW"),"",COUNTBLANK(OFFSET(A$1,,,SUMPRODUCT(MAX(ROW(E$2:E821)*(E821=E$2:E821)))))-COUNTBLANK(OFFSET(A$1,,,SUMPRODUCT(MAX(ROW(E$1:E820)*(E2=E$1:E820))))))</f>
        <v> </v>
      </c>
      <c r="K821" s="25" t="str">
        <f>IF(OR(E821="",E821="!!!",F821="NEW"),"",INDEX(J$1:J820,SUMPRODUCT(MAX(ROW(E$1:E820)*(E821=E$1:E820)))))</f>
        <v> </v>
      </c>
      <c r="L821" s="26"/>
    </row>
    <row r="822" spans="1:12">
      <c r="A822" s="20" t="s">
        <v>380</v>
      </c>
      <c r="E822" s="21">
        <f>IF(D822="?OLD","!!!","")</f>
        <v/>
      </c>
      <c r="F822" s="22" t="str">
        <f>IF(OR(E822="",E822="!!!"),"",IF(NOT(ISNA(VLOOKUP(E822,E$1:E821,1,FALSE()))),"OLD",IF(AND(E822&lt;&gt;"",E822&lt;&gt;"!!!"),"NEW","")))</f>
        <v> </v>
      </c>
      <c r="G822" s="23" t="str">
        <f>IF(OR(E822="",E822="!!!"),"",IF(OR(J822=0,AND(J822=1,K822=1),AND(J822=1,I822="SBJ"),AND(J822=1,I822=0)),"?IN_FOCUS",IF(J822&lt;=2,"?ACTIVATED",IF(J822&lt;&gt;"","?FAMILIAR",IF(F822="NEW",IF(ISNA(VLOOKUP(E822,#REF!,1,FALSE())),"?TYPE_IDENTIFIABLE","?REFERENTIAL"),"_")))))</f>
        <v> </v>
      </c>
      <c r="H822" s="24" t="str">
        <f>IF(J822&lt;&gt;1,"",IF(I822="SBJ","CB","?"))</f>
        <v> </v>
      </c>
      <c r="I822" s="25" t="str">
        <f>IF(OR(E822="",E822="!!!",F822="NEW"),"",INDEX(B821:B$2,-1+SUMPRODUCT(MAX(ROW(E821:E$2)*(E822=E821:E$2)))))</f>
        <v> </v>
      </c>
      <c r="J822" s="25" t="str">
        <f>IF(OR(E822="",E822="!!!",F822="NEW"),"",COUNTBLANK(OFFSET(A$1,,,SUMPRODUCT(MAX(ROW(E$2:E822)*(E822=E$2:E822)))))-COUNTBLANK(OFFSET(A$1,,,SUMPRODUCT(MAX(ROW(E$1:E821)*(E2=E$1:E821))))))</f>
        <v> </v>
      </c>
      <c r="K822" s="25" t="str">
        <f>IF(OR(E822="",E822="!!!",F822="NEW"),"",INDEX(J$1:J821,SUMPRODUCT(MAX(ROW(E$1:E821)*(E822=E$1:E821)))))</f>
        <v> </v>
      </c>
      <c r="L822" s="26"/>
    </row>
    <row r="823" spans="1:12">
      <c r="A823" s="20" t="s">
        <v>809</v>
      </c>
      <c r="B823" s="27" t="s">
        <v>477</v>
      </c>
      <c r="C823" s="27" t="s">
        <v>764</v>
      </c>
      <c r="E823" s="21">
        <f>IF(D823="?OLD","!!!","")</f>
        <v/>
      </c>
      <c r="F823" s="22" t="str">
        <f>IF(OR(E823="",E823="!!!"),"",IF(NOT(ISNA(VLOOKUP(E823,E$1:E822,1,FALSE()))),"OLD",IF(AND(E823&lt;&gt;"",E823&lt;&gt;"!!!"),"NEW","")))</f>
        <v> </v>
      </c>
      <c r="G823" s="23" t="str">
        <f>IF(OR(E823="",E823="!!!"),"",IF(OR(J823=0,AND(J823=1,K823=1),AND(J823=1,I823="SBJ"),AND(J823=1,I823=0)),"?IN_FOCUS",IF(J823&lt;=2,"?ACTIVATED",IF(J823&lt;&gt;"","?FAMILIAR",IF(F823="NEW",IF(ISNA(VLOOKUP(E823,#REF!,1,FALSE())),"?TYPE_IDENTIFIABLE","?REFERENTIAL"),"_")))))</f>
        <v> </v>
      </c>
      <c r="H823" s="24" t="str">
        <f>IF(J823&lt;&gt;1,"",IF(I823="SBJ","CB","?"))</f>
        <v> </v>
      </c>
      <c r="I823" s="25" t="str">
        <f>IF(OR(E823="",E823="!!!",F823="NEW"),"",INDEX(B822:B$2,-1+SUMPRODUCT(MAX(ROW(E822:E$2)*(E823=E822:E$2)))))</f>
        <v> </v>
      </c>
      <c r="J823" s="25" t="str">
        <f>IF(OR(E823="",E823="!!!",F823="NEW"),"",COUNTBLANK(OFFSET(A$1,,,SUMPRODUCT(MAX(ROW(E$2:E823)*(E823=E$2:E823)))))-COUNTBLANK(OFFSET(A$1,,,SUMPRODUCT(MAX(ROW(E$1:E822)*(E2=E$1:E822))))))</f>
        <v> </v>
      </c>
      <c r="K823" s="25" t="str">
        <f>IF(OR(E823="",E823="!!!",F823="NEW"),"",INDEX(J$1:J822,SUMPRODUCT(MAX(ROW(E$1:E822)*(E823=E$1:E822)))))</f>
        <v> </v>
      </c>
      <c r="L823" s="26"/>
    </row>
    <row r="824" spans="1:12">
      <c r="A824" s="20" t="s">
        <v>489</v>
      </c>
      <c r="E824" s="21">
        <f>IF(D824="?OLD","!!!","")</f>
        <v/>
      </c>
      <c r="F824" s="22" t="str">
        <f>IF(OR(E824="",E824="!!!"),"",IF(NOT(ISNA(VLOOKUP(E824,E$1:E823,1,FALSE()))),"OLD",IF(AND(E824&lt;&gt;"",E824&lt;&gt;"!!!"),"NEW","")))</f>
        <v> </v>
      </c>
      <c r="G824" s="23" t="str">
        <f>IF(OR(E824="",E824="!!!"),"",IF(OR(J824=0,AND(J824=1,K824=1),AND(J824=1,I824="SBJ"),AND(J824=1,I824=0)),"?IN_FOCUS",IF(J824&lt;=2,"?ACTIVATED",IF(J824&lt;&gt;"","?FAMILIAR",IF(F824="NEW",IF(ISNA(VLOOKUP(E824,#REF!,1,FALSE())),"?TYPE_IDENTIFIABLE","?REFERENTIAL"),"_")))))</f>
        <v> </v>
      </c>
      <c r="H824" s="24" t="str">
        <f>IF(J824&lt;&gt;1,"",IF(I824="SBJ","CB","?"))</f>
        <v> </v>
      </c>
      <c r="I824" s="25" t="str">
        <f>IF(OR(E824="",E824="!!!",F824="NEW"),"",INDEX(B823:B$2,-1+SUMPRODUCT(MAX(ROW(E823:E$2)*(E824=E823:E$2)))))</f>
        <v> </v>
      </c>
      <c r="J824" s="25" t="str">
        <f>IF(OR(E824="",E824="!!!",F824="NEW"),"",COUNTBLANK(OFFSET(A$1,,,SUMPRODUCT(MAX(ROW(E$2:E824)*(E824=E$2:E824)))))-COUNTBLANK(OFFSET(A$1,,,SUMPRODUCT(MAX(ROW(E$1:E823)*(E2=E$1:E823))))))</f>
        <v> </v>
      </c>
      <c r="K824" s="25" t="str">
        <f>IF(OR(E824="",E824="!!!",F824="NEW"),"",INDEX(J$1:J823,SUMPRODUCT(MAX(ROW(E$1:E823)*(E824=E$1:E823)))))</f>
        <v> </v>
      </c>
      <c r="L824" s="26"/>
    </row>
    <row r="825" spans="1:12">
      <c r="A825" s="20" t="s">
        <v>492</v>
      </c>
      <c r="B825" s="27" t="s">
        <v>553</v>
      </c>
      <c r="E825" s="21">
        <f>IF(D825="?OLD","!!!","")</f>
        <v/>
      </c>
      <c r="F825" s="22" t="str">
        <f>IF(OR(E825="",E825="!!!"),"",IF(NOT(ISNA(VLOOKUP(E825,E$1:E824,1,FALSE()))),"OLD",IF(AND(E825&lt;&gt;"",E825&lt;&gt;"!!!"),"NEW","")))</f>
        <v> </v>
      </c>
      <c r="G825" s="23" t="str">
        <f>IF(OR(E825="",E825="!!!"),"",IF(OR(J825=0,AND(J825=1,K825=1),AND(J825=1,I825="SBJ"),AND(J825=1,I825=0)),"?IN_FOCUS",IF(J825&lt;=2,"?ACTIVATED",IF(J825&lt;&gt;"","?FAMILIAR",IF(F825="NEW",IF(ISNA(VLOOKUP(E825,#REF!,1,FALSE())),"?TYPE_IDENTIFIABLE","?REFERENTIAL"),"_")))))</f>
        <v> </v>
      </c>
      <c r="H825" s="24" t="str">
        <f>IF(J825&lt;&gt;1,"",IF(I825="SBJ","CB","?"))</f>
        <v> </v>
      </c>
      <c r="I825" s="25" t="str">
        <f>IF(OR(E825="",E825="!!!",F825="NEW"),"",INDEX(B824:B$2,-1+SUMPRODUCT(MAX(ROW(E824:E$2)*(E825=E824:E$2)))))</f>
        <v> </v>
      </c>
      <c r="J825" s="25" t="str">
        <f>IF(OR(E825="",E825="!!!",F825="NEW"),"",COUNTBLANK(OFFSET(A$1,,,SUMPRODUCT(MAX(ROW(E$2:E825)*(E825=E$2:E825)))))-COUNTBLANK(OFFSET(A$1,,,SUMPRODUCT(MAX(ROW(E$1:E824)*(E2=E$1:E824))))))</f>
        <v> </v>
      </c>
      <c r="K825" s="25" t="str">
        <f>IF(OR(E825="",E825="!!!",F825="NEW"),"",INDEX(J$1:J824,SUMPRODUCT(MAX(ROW(E$1:E824)*(E825=E$1:E824)))))</f>
        <v> </v>
      </c>
      <c r="L825" s="26"/>
    </row>
    <row r="826" spans="1:12">
      <c r="A826" s="20" t="s">
        <v>480</v>
      </c>
      <c r="B826" s="27" t="s">
        <v>578</v>
      </c>
      <c r="C826" s="27" t="s">
        <v>482</v>
      </c>
      <c r="D826" s="27" t="s">
        <v>483</v>
      </c>
      <c r="E826" s="21">
        <f>IF(D826="?OLD","!!!","")</f>
        <v/>
      </c>
      <c r="F826" s="22" t="str">
        <f>IF(OR(E826="",E826="!!!"),"",IF(NOT(ISNA(VLOOKUP(E826,E$1:E825,1,FALSE()))),"OLD",IF(AND(E826&lt;&gt;"",E826&lt;&gt;"!!!"),"NEW","")))</f>
        <v> </v>
      </c>
      <c r="G826" s="23" t="str">
        <f>IF(OR(E826="",E826="!!!"),"",IF(OR(J826=0,AND(J826=1,K826=1),AND(J826=1,I826="SBJ"),AND(J826=1,I826=0)),"?IN_FOCUS",IF(J826&lt;=2,"?ACTIVATED",IF(J826&lt;&gt;"","?FAMILIAR",IF(F826="NEW",IF(ISNA(VLOOKUP(E826,#REF!,1,FALSE())),"?TYPE_IDENTIFIABLE","?REFERENTIAL"),"_")))))</f>
        <v> </v>
      </c>
      <c r="H826" s="24" t="str">
        <f>IF(J826&lt;&gt;1,"",IF(I826="SBJ","CB","?"))</f>
        <v> </v>
      </c>
      <c r="I826" s="25" t="str">
        <f>IF(OR(E826="",E826="!!!",F826="NEW"),"",INDEX(B825:B$2,-1+SUMPRODUCT(MAX(ROW(E825:E$2)*(E826=E825:E$2)))))</f>
        <v> </v>
      </c>
      <c r="J826" s="25" t="str">
        <f>IF(OR(E826="",E826="!!!",F826="NEW"),"",COUNTBLANK(OFFSET(A$1,,,SUMPRODUCT(MAX(ROW(E$2:E826)*(E826=E$2:E826)))))-COUNTBLANK(OFFSET(A$1,,,SUMPRODUCT(MAX(ROW(E$1:E825)*(E2=E$1:E825))))))</f>
        <v> </v>
      </c>
      <c r="K826" s="25" t="str">
        <f>IF(OR(E826="",E826="!!!",F826="NEW"),"",INDEX(J$1:J825,SUMPRODUCT(MAX(ROW(E$1:E825)*(E826=E$1:E825)))))</f>
        <v> </v>
      </c>
      <c r="L826" s="26"/>
    </row>
    <row r="827" spans="1:12">
      <c r="A827" s="20" t="s">
        <v>810</v>
      </c>
      <c r="E827" s="21">
        <f>IF(D827="?OLD","!!!","")</f>
        <v/>
      </c>
      <c r="F827" s="22" t="str">
        <f>IF(OR(E827="",E827="!!!"),"",IF(NOT(ISNA(VLOOKUP(E827,E$1:E826,1,FALSE()))),"OLD",IF(AND(E827&lt;&gt;"",E827&lt;&gt;"!!!"),"NEW","")))</f>
        <v> </v>
      </c>
      <c r="G827" s="23" t="str">
        <f>IF(OR(E827="",E827="!!!"),"",IF(OR(J827=0,AND(J827=1,K827=1),AND(J827=1,I827="SBJ"),AND(J827=1,I827=0)),"?IN_FOCUS",IF(J827&lt;=2,"?ACTIVATED",IF(J827&lt;&gt;"","?FAMILIAR",IF(F827="NEW",IF(ISNA(VLOOKUP(E827,#REF!,1,FALSE())),"?TYPE_IDENTIFIABLE","?REFERENTIAL"),"_")))))</f>
        <v> </v>
      </c>
      <c r="H827" s="24" t="str">
        <f>IF(J827&lt;&gt;1,"",IF(I827="SBJ","CB","?"))</f>
        <v> </v>
      </c>
      <c r="I827" s="25" t="str">
        <f>IF(OR(E827="",E827="!!!",F827="NEW"),"",INDEX(B826:B$2,-1+SUMPRODUCT(MAX(ROW(E826:E$2)*(E827=E826:E$2)))))</f>
        <v> </v>
      </c>
      <c r="J827" s="25" t="str">
        <f>IF(OR(E827="",E827="!!!",F827="NEW"),"",COUNTBLANK(OFFSET(A$1,,,SUMPRODUCT(MAX(ROW(E$2:E827)*(E827=E$2:E827)))))-COUNTBLANK(OFFSET(A$1,,,SUMPRODUCT(MAX(ROW(E$1:E826)*(E2=E$1:E826))))))</f>
        <v> </v>
      </c>
      <c r="K827" s="25" t="str">
        <f>IF(OR(E827="",E827="!!!",F827="NEW"),"",INDEX(J$1:J826,SUMPRODUCT(MAX(ROW(E$1:E826)*(E827=E$1:E826)))))</f>
        <v> </v>
      </c>
      <c r="L827" s="26"/>
    </row>
    <row r="828" spans="1:12">
      <c r="A828" s="20" t="s">
        <v>508</v>
      </c>
      <c r="E828" s="21">
        <f>IF(D828="?OLD","!!!","")</f>
        <v/>
      </c>
      <c r="F828" s="22" t="str">
        <f>IF(OR(E828="",E828="!!!"),"",IF(NOT(ISNA(VLOOKUP(E828,E$1:E827,1,FALSE()))),"OLD",IF(AND(E828&lt;&gt;"",E828&lt;&gt;"!!!"),"NEW","")))</f>
        <v> </v>
      </c>
      <c r="G828" s="23" t="str">
        <f>IF(OR(E828="",E828="!!!"),"",IF(OR(J828=0,AND(J828=1,K828=1),AND(J828=1,I828="SBJ"),AND(J828=1,I828=0)),"?IN_FOCUS",IF(J828&lt;=2,"?ACTIVATED",IF(J828&lt;&gt;"","?FAMILIAR",IF(F828="NEW",IF(ISNA(VLOOKUP(E828,#REF!,1,FALSE())),"?TYPE_IDENTIFIABLE","?REFERENTIAL"),"_")))))</f>
        <v> </v>
      </c>
      <c r="H828" s="24" t="str">
        <f>IF(J828&lt;&gt;1,"",IF(I828="SBJ","CB","?"))</f>
        <v> </v>
      </c>
      <c r="I828" s="25" t="str">
        <f>IF(OR(E828="",E828="!!!",F828="NEW"),"",INDEX(B827:B$2,-1+SUMPRODUCT(MAX(ROW(E827:E$2)*(E828=E827:E$2)))))</f>
        <v> </v>
      </c>
      <c r="J828" s="25" t="str">
        <f>IF(OR(E828="",E828="!!!",F828="NEW"),"",COUNTBLANK(OFFSET(A$1,,,SUMPRODUCT(MAX(ROW(E$2:E828)*(E828=E$2:E828)))))-COUNTBLANK(OFFSET(A$1,,,SUMPRODUCT(MAX(ROW(E$1:E827)*(E2=E$1:E827))))))</f>
        <v> </v>
      </c>
      <c r="K828" s="25" t="str">
        <f>IF(OR(E828="",E828="!!!",F828="NEW"),"",INDEX(J$1:J827,SUMPRODUCT(MAX(ROW(E$1:E827)*(E828=E$1:E827)))))</f>
        <v> </v>
      </c>
      <c r="L828" s="26"/>
    </row>
    <row r="829" spans="1:12">
      <c r="A829" s="20" t="s">
        <v>811</v>
      </c>
      <c r="B829" s="27" t="s">
        <v>578</v>
      </c>
      <c r="C829" s="27" t="s">
        <v>487</v>
      </c>
      <c r="D829" s="27" t="s">
        <v>483</v>
      </c>
      <c r="E829" s="21">
        <f>IF(D829="?OLD","!!!","")</f>
        <v/>
      </c>
      <c r="F829" s="22" t="str">
        <f>IF(OR(E829="",E829="!!!"),"",IF(NOT(ISNA(VLOOKUP(E829,E$1:E828,1,FALSE()))),"OLD",IF(AND(E829&lt;&gt;"",E829&lt;&gt;"!!!"),"NEW","")))</f>
        <v> </v>
      </c>
      <c r="G829" s="23" t="str">
        <f>IF(OR(E829="",E829="!!!"),"",IF(OR(J829=0,AND(J829=1,K829=1),AND(J829=1,I829="SBJ"),AND(J829=1,I829=0)),"?IN_FOCUS",IF(J829&lt;=2,"?ACTIVATED",IF(J829&lt;&gt;"","?FAMILIAR",IF(F829="NEW",IF(ISNA(VLOOKUP(E829,#REF!,1,FALSE())),"?TYPE_IDENTIFIABLE","?REFERENTIAL"),"_")))))</f>
        <v> </v>
      </c>
      <c r="H829" s="24" t="str">
        <f>IF(J829&lt;&gt;1,"",IF(I829="SBJ","CB","?"))</f>
        <v> </v>
      </c>
      <c r="I829" s="25" t="str">
        <f>IF(OR(E829="",E829="!!!",F829="NEW"),"",INDEX(B828:B$2,-1+SUMPRODUCT(MAX(ROW(E828:E$2)*(E829=E828:E$2)))))</f>
        <v> </v>
      </c>
      <c r="J829" s="25" t="str">
        <f>IF(OR(E829="",E829="!!!",F829="NEW"),"",COUNTBLANK(OFFSET(A$1,,,SUMPRODUCT(MAX(ROW(E$2:E829)*(E829=E$2:E829)))))-COUNTBLANK(OFFSET(A$1,,,SUMPRODUCT(MAX(ROW(E$1:E828)*(E2=E$1:E828))))))</f>
        <v> </v>
      </c>
      <c r="K829" s="25" t="str">
        <f>IF(OR(E829="",E829="!!!",F829="NEW"),"",INDEX(J$1:J828,SUMPRODUCT(MAX(ROW(E$1:E828)*(E829=E$1:E828)))))</f>
        <v> </v>
      </c>
      <c r="L829" s="26"/>
    </row>
    <row r="830" spans="1:12">
      <c r="A830" s="20" t="s">
        <v>531</v>
      </c>
      <c r="E830" s="21">
        <f>IF(D830="?OLD","!!!","")</f>
        <v/>
      </c>
      <c r="F830" s="22" t="str">
        <f>IF(OR(E830="",E830="!!!"),"",IF(NOT(ISNA(VLOOKUP(E830,E$1:E829,1,FALSE()))),"OLD",IF(AND(E830&lt;&gt;"",E830&lt;&gt;"!!!"),"NEW","")))</f>
        <v> </v>
      </c>
      <c r="G830" s="23" t="str">
        <f>IF(OR(E830="",E830="!!!"),"",IF(OR(J830=0,AND(J830=1,K830=1),AND(J830=1,I830="SBJ"),AND(J830=1,I830=0)),"?IN_FOCUS",IF(J830&lt;=2,"?ACTIVATED",IF(J830&lt;&gt;"","?FAMILIAR",IF(F830="NEW",IF(ISNA(VLOOKUP(E830,#REF!,1,FALSE())),"?TYPE_IDENTIFIABLE","?REFERENTIAL"),"_")))))</f>
        <v> </v>
      </c>
      <c r="H830" s="24" t="str">
        <f>IF(J830&lt;&gt;1,"",IF(I830="SBJ","CB","?"))</f>
        <v> </v>
      </c>
      <c r="I830" s="25" t="str">
        <f>IF(OR(E830="",E830="!!!",F830="NEW"),"",INDEX(B829:B$2,-1+SUMPRODUCT(MAX(ROW(E829:E$2)*(E830=E829:E$2)))))</f>
        <v> </v>
      </c>
      <c r="J830" s="25" t="str">
        <f>IF(OR(E830="",E830="!!!",F830="NEW"),"",COUNTBLANK(OFFSET(A$1,,,SUMPRODUCT(MAX(ROW(E$2:E830)*(E830=E$2:E830)))))-COUNTBLANK(OFFSET(A$1,,,SUMPRODUCT(MAX(ROW(E$1:E829)*(E2=E$1:E829))))))</f>
        <v> </v>
      </c>
      <c r="K830" s="25" t="str">
        <f>IF(OR(E830="",E830="!!!",F830="NEW"),"",INDEX(J$1:J829,SUMPRODUCT(MAX(ROW(E$1:E829)*(E830=E$1:E829)))))</f>
        <v> </v>
      </c>
      <c r="L830" s="26"/>
    </row>
    <row r="831" spans="1:12">
      <c r="A831" s="20"/>
    </row>
    <row r="832" spans="1:12">
      <c r="A832" s="20" t="s">
        <v>812</v>
      </c>
    </row>
    <row r="833" spans="1:12">
      <c r="A833" s="20" t="s">
        <v>813</v>
      </c>
      <c r="E833" s="21">
        <f>IF(D833="?OLD","!!!","")</f>
        <v/>
      </c>
      <c r="F833" s="22" t="str">
        <f>IF(OR(E833="",E833="!!!"),"",IF(NOT(ISNA(VLOOKUP(E833,E$1:E832,1,FALSE()))),"OLD",IF(AND(E833&lt;&gt;"",E833&lt;&gt;"!!!"),"NEW","")))</f>
        <v> </v>
      </c>
      <c r="G833" s="23" t="str">
        <f>IF(OR(E833="",E833="!!!"),"",IF(OR(J833=0,AND(J833=1,K833=1),AND(J833=1,I833="SBJ"),AND(J833=1,I833=0)),"?IN_FOCUS",IF(J833&lt;=2,"?ACTIVATED",IF(J833&lt;&gt;"","?FAMILIAR",IF(F833="NEW",IF(ISNA(VLOOKUP(E833,#REF!,1,FALSE())),"?TYPE_IDENTIFIABLE","?REFERENTIAL"),"_")))))</f>
        <v> </v>
      </c>
      <c r="H833" s="24" t="str">
        <f>IF(J833&lt;&gt;1,"",IF(I833="SBJ","CB","?"))</f>
        <v> </v>
      </c>
      <c r="I833" s="25" t="str">
        <f>IF(OR(E833="",E833="!!!",F833="NEW"),"",INDEX(B832:B$2,-1+SUMPRODUCT(MAX(ROW(E832:E$2)*(E833=E832:E$2)))))</f>
        <v> </v>
      </c>
      <c r="J833" s="25" t="str">
        <f>IF(OR(E833="",E833="!!!",F833="NEW"),"",COUNTBLANK(OFFSET(A$1,,,SUMPRODUCT(MAX(ROW(E$2:E833)*(E833=E$2:E833)))))-COUNTBLANK(OFFSET(A$1,,,SUMPRODUCT(MAX(ROW(E$1:E832)*(E2=E$1:E832))))))</f>
        <v> </v>
      </c>
      <c r="K833" s="25" t="str">
        <f>IF(OR(E833="",E833="!!!",F833="NEW"),"",INDEX(J$1:J832,SUMPRODUCT(MAX(ROW(E$1:E832)*(E833=E$1:E832)))))</f>
        <v> </v>
      </c>
      <c r="L833" s="26"/>
    </row>
    <row r="834" spans="1:12">
      <c r="A834" s="20" t="s">
        <v>814</v>
      </c>
      <c r="E834" s="21">
        <f>IF(D834="?OLD","!!!","")</f>
        <v/>
      </c>
      <c r="F834" s="22" t="str">
        <f>IF(OR(E834="",E834="!!!"),"",IF(NOT(ISNA(VLOOKUP(E834,E$1:E833,1,FALSE()))),"OLD",IF(AND(E834&lt;&gt;"",E834&lt;&gt;"!!!"),"NEW","")))</f>
        <v> </v>
      </c>
      <c r="G834" s="23" t="str">
        <f>IF(OR(E834="",E834="!!!"),"",IF(OR(J834=0,AND(J834=1,K834=1),AND(J834=1,I834="SBJ"),AND(J834=1,I834=0)),"?IN_FOCUS",IF(J834&lt;=2,"?ACTIVATED",IF(J834&lt;&gt;"","?FAMILIAR",IF(F834="NEW",IF(ISNA(VLOOKUP(E834,#REF!,1,FALSE())),"?TYPE_IDENTIFIABLE","?REFERENTIAL"),"_")))))</f>
        <v> </v>
      </c>
      <c r="H834" s="24" t="str">
        <f>IF(J834&lt;&gt;1,"",IF(I834="SBJ","CB","?"))</f>
        <v> </v>
      </c>
      <c r="I834" s="25" t="str">
        <f>IF(OR(E834="",E834="!!!",F834="NEW"),"",INDEX(B833:B$2,-1+SUMPRODUCT(MAX(ROW(E833:E$2)*(E834=E833:E$2)))))</f>
        <v> </v>
      </c>
      <c r="J834" s="25" t="str">
        <f>IF(OR(E834="",E834="!!!",F834="NEW"),"",COUNTBLANK(OFFSET(A$1,,,SUMPRODUCT(MAX(ROW(E$2:E834)*(E834=E$2:E834)))))-COUNTBLANK(OFFSET(A$1,,,SUMPRODUCT(MAX(ROW(E$1:E833)*(E2=E$1:E833))))))</f>
        <v> </v>
      </c>
      <c r="K834" s="25" t="str">
        <f>IF(OR(E834="",E834="!!!",F834="NEW"),"",INDEX(J$1:J833,SUMPRODUCT(MAX(ROW(E$1:E833)*(E834=E$1:E833)))))</f>
        <v> </v>
      </c>
      <c r="L834" s="26"/>
    </row>
    <row r="835" spans="1:12">
      <c r="A835" s="20" t="s">
        <v>815</v>
      </c>
      <c r="B835" s="27" t="s">
        <v>477</v>
      </c>
      <c r="C835" s="27" t="s">
        <v>538</v>
      </c>
      <c r="D835" s="27" t="s">
        <v>483</v>
      </c>
      <c r="E835" s="21">
        <f>IF(D835="?OLD","!!!","")</f>
        <v/>
      </c>
      <c r="F835" s="22" t="str">
        <f>IF(OR(E835="",E835="!!!"),"",IF(NOT(ISNA(VLOOKUP(E835,E$1:E834,1,FALSE()))),"OLD",IF(AND(E835&lt;&gt;"",E835&lt;&gt;"!!!"),"NEW","")))</f>
        <v> </v>
      </c>
      <c r="G835" s="23" t="str">
        <f>IF(OR(E835="",E835="!!!"),"",IF(OR(J835=0,AND(J835=1,K835=1),AND(J835=1,I835="SBJ"),AND(J835=1,I835=0)),"?IN_FOCUS",IF(J835&lt;=2,"?ACTIVATED",IF(J835&lt;&gt;"","?FAMILIAR",IF(F835="NEW",IF(ISNA(VLOOKUP(E835,#REF!,1,FALSE())),"?TYPE_IDENTIFIABLE","?REFERENTIAL"),"_")))))</f>
        <v> </v>
      </c>
      <c r="H835" s="24" t="str">
        <f>IF(J835&lt;&gt;1,"",IF(I835="SBJ","CB","?"))</f>
        <v> </v>
      </c>
      <c r="I835" s="25" t="str">
        <f>IF(OR(E835="",E835="!!!",F835="NEW"),"",INDEX(B834:B$2,-1+SUMPRODUCT(MAX(ROW(E834:E$2)*(E835=E834:E$2)))))</f>
        <v> </v>
      </c>
      <c r="J835" s="25" t="str">
        <f>IF(OR(E835="",E835="!!!",F835="NEW"),"",COUNTBLANK(OFFSET(A$1,,,SUMPRODUCT(MAX(ROW(E$2:E835)*(E835=E$2:E835)))))-COUNTBLANK(OFFSET(A$1,,,SUMPRODUCT(MAX(ROW(E$1:E834)*(E2=E$1:E834))))))</f>
        <v> </v>
      </c>
      <c r="K835" s="25" t="str">
        <f>IF(OR(E835="",E835="!!!",F835="NEW"),"",INDEX(J$1:J834,SUMPRODUCT(MAX(ROW(E$1:E834)*(E835=E$1:E834)))))</f>
        <v> </v>
      </c>
      <c r="L835" s="26"/>
    </row>
    <row r="836" spans="1:12">
      <c r="A836" s="20" t="s">
        <v>646</v>
      </c>
      <c r="E836" s="21">
        <f>IF(D836="?OLD","!!!","")</f>
        <v/>
      </c>
      <c r="F836" s="22" t="str">
        <f>IF(OR(E836="",E836="!!!"),"",IF(NOT(ISNA(VLOOKUP(E836,E$1:E835,1,FALSE()))),"OLD",IF(AND(E836&lt;&gt;"",E836&lt;&gt;"!!!"),"NEW","")))</f>
        <v> </v>
      </c>
      <c r="G836" s="23" t="str">
        <f>IF(OR(E836="",E836="!!!"),"",IF(OR(J836=0,AND(J836=1,K836=1),AND(J836=1,I836="SBJ"),AND(J836=1,I836=0)),"?IN_FOCUS",IF(J836&lt;=2,"?ACTIVATED",IF(J836&lt;&gt;"","?FAMILIAR",IF(F836="NEW",IF(ISNA(VLOOKUP(E836,#REF!,1,FALSE())),"?TYPE_IDENTIFIABLE","?REFERENTIAL"),"_")))))</f>
        <v> </v>
      </c>
      <c r="H836" s="24" t="str">
        <f>IF(J836&lt;&gt;1,"",IF(I836="SBJ","CB","?"))</f>
        <v> </v>
      </c>
      <c r="I836" s="25" t="str">
        <f>IF(OR(E836="",E836="!!!",F836="NEW"),"",INDEX(B835:B$2,-1+SUMPRODUCT(MAX(ROW(E835:E$2)*(E836=E835:E$2)))))</f>
        <v> </v>
      </c>
      <c r="J836" s="25" t="str">
        <f>IF(OR(E836="",E836="!!!",F836="NEW"),"",COUNTBLANK(OFFSET(A$1,,,SUMPRODUCT(MAX(ROW(E$2:E836)*(E836=E$2:E836)))))-COUNTBLANK(OFFSET(A$1,,,SUMPRODUCT(MAX(ROW(E$1:E835)*(E2=E$1:E835))))))</f>
        <v> </v>
      </c>
      <c r="K836" s="25" t="str">
        <f>IF(OR(E836="",E836="!!!",F836="NEW"),"",INDEX(J$1:J835,SUMPRODUCT(MAX(ROW(E$1:E835)*(E836=E$1:E835)))))</f>
        <v> </v>
      </c>
      <c r="L836" s="26"/>
    </row>
    <row r="837" spans="1:12">
      <c r="A837" s="20" t="s">
        <v>816</v>
      </c>
      <c r="B837" s="27" t="s">
        <v>477</v>
      </c>
      <c r="C837" s="27" t="s">
        <v>516</v>
      </c>
      <c r="E837" s="21">
        <f>IF(D837="?OLD","!!!","")</f>
        <v/>
      </c>
      <c r="F837" s="22" t="str">
        <f>IF(OR(E837="",E837="!!!"),"",IF(NOT(ISNA(VLOOKUP(E837,E$1:E836,1,FALSE()))),"OLD",IF(AND(E837&lt;&gt;"",E837&lt;&gt;"!!!"),"NEW","")))</f>
        <v> </v>
      </c>
      <c r="G837" s="23" t="str">
        <f>IF(OR(E837="",E837="!!!"),"",IF(OR(J837=0,AND(J837=1,K837=1),AND(J837=1,I837="SBJ"),AND(J837=1,I837=0)),"?IN_FOCUS",IF(J837&lt;=2,"?ACTIVATED",IF(J837&lt;&gt;"","?FAMILIAR",IF(F837="NEW",IF(ISNA(VLOOKUP(E837,#REF!,1,FALSE())),"?TYPE_IDENTIFIABLE","?REFERENTIAL"),"_")))))</f>
        <v> </v>
      </c>
      <c r="H837" s="24" t="str">
        <f>IF(J837&lt;&gt;1,"",IF(I837="SBJ","CB","?"))</f>
        <v> </v>
      </c>
      <c r="I837" s="25" t="str">
        <f>IF(OR(E837="",E837="!!!",F837="NEW"),"",INDEX(B836:B$2,-1+SUMPRODUCT(MAX(ROW(E836:E$2)*(E837=E836:E$2)))))</f>
        <v> </v>
      </c>
      <c r="J837" s="25" t="str">
        <f>IF(OR(E837="",E837="!!!",F837="NEW"),"",COUNTBLANK(OFFSET(A$1,,,SUMPRODUCT(MAX(ROW(E$2:E837)*(E837=E$2:E837)))))-COUNTBLANK(OFFSET(A$1,,,SUMPRODUCT(MAX(ROW(E$1:E836)*(E2=E$1:E836))))))</f>
        <v> </v>
      </c>
      <c r="K837" s="25" t="str">
        <f>IF(OR(E837="",E837="!!!",F837="NEW"),"",INDEX(J$1:J836,SUMPRODUCT(MAX(ROW(E$1:E836)*(E837=E$1:E836)))))</f>
        <v> </v>
      </c>
      <c r="L837" s="26"/>
    </row>
    <row r="838" spans="1:12">
      <c r="A838" s="20" t="s">
        <v>489</v>
      </c>
      <c r="E838" s="21">
        <f>IF(D838="?OLD","!!!","")</f>
        <v/>
      </c>
      <c r="F838" s="22" t="str">
        <f>IF(OR(E838="",E838="!!!"),"",IF(NOT(ISNA(VLOOKUP(E838,E$1:E837,1,FALSE()))),"OLD",IF(AND(E838&lt;&gt;"",E838&lt;&gt;"!!!"),"NEW","")))</f>
        <v> </v>
      </c>
      <c r="G838" s="23" t="str">
        <f>IF(OR(E838="",E838="!!!"),"",IF(OR(J838=0,AND(J838=1,K838=1),AND(J838=1,I838="SBJ"),AND(J838=1,I838=0)),"?IN_FOCUS",IF(J838&lt;=2,"?ACTIVATED",IF(J838&lt;&gt;"","?FAMILIAR",IF(F838="NEW",IF(ISNA(VLOOKUP(E838,#REF!,1,FALSE())),"?TYPE_IDENTIFIABLE","?REFERENTIAL"),"_")))))</f>
        <v> </v>
      </c>
      <c r="H838" s="24" t="str">
        <f>IF(J838&lt;&gt;1,"",IF(I838="SBJ","CB","?"))</f>
        <v> </v>
      </c>
      <c r="I838" s="25" t="str">
        <f>IF(OR(E838="",E838="!!!",F838="NEW"),"",INDEX(B837:B$2,-1+SUMPRODUCT(MAX(ROW(E837:E$2)*(E838=E837:E$2)))))</f>
        <v> </v>
      </c>
      <c r="J838" s="25" t="str">
        <f>IF(OR(E838="",E838="!!!",F838="NEW"),"",COUNTBLANK(OFFSET(A$1,,,SUMPRODUCT(MAX(ROW(E$2:E838)*(E838=E$2:E838)))))-COUNTBLANK(OFFSET(A$1,,,SUMPRODUCT(MAX(ROW(E$1:E837)*(E2=E$1:E837))))))</f>
        <v> </v>
      </c>
      <c r="K838" s="25" t="str">
        <f>IF(OR(E838="",E838="!!!",F838="NEW"),"",INDEX(J$1:J837,SUMPRODUCT(MAX(ROW(E$1:E837)*(E838=E$1:E837)))))</f>
        <v> </v>
      </c>
      <c r="L838" s="26"/>
    </row>
    <row r="839" spans="1:12">
      <c r="A839" s="20" t="s">
        <v>484</v>
      </c>
      <c r="E839" s="21">
        <f>IF(D839="?OLD","!!!","")</f>
        <v/>
      </c>
      <c r="F839" s="22" t="str">
        <f>IF(OR(E839="",E839="!!!"),"",IF(NOT(ISNA(VLOOKUP(E839,E$1:E838,1,FALSE()))),"OLD",IF(AND(E839&lt;&gt;"",E839&lt;&gt;"!!!"),"NEW","")))</f>
        <v> </v>
      </c>
      <c r="G839" s="23" t="str">
        <f>IF(OR(E839="",E839="!!!"),"",IF(OR(J839=0,AND(J839=1,K839=1),AND(J839=1,I839="SBJ"),AND(J839=1,I839=0)),"?IN_FOCUS",IF(J839&lt;=2,"?ACTIVATED",IF(J839&lt;&gt;"","?FAMILIAR",IF(F839="NEW",IF(ISNA(VLOOKUP(E839,#REF!,1,FALSE())),"?TYPE_IDENTIFIABLE","?REFERENTIAL"),"_")))))</f>
        <v> </v>
      </c>
      <c r="H839" s="24" t="str">
        <f>IF(J839&lt;&gt;1,"",IF(I839="SBJ","CB","?"))</f>
        <v> </v>
      </c>
      <c r="I839" s="25" t="str">
        <f>IF(OR(E839="",E839="!!!",F839="NEW"),"",INDEX(B838:B$2,-1+SUMPRODUCT(MAX(ROW(E838:E$2)*(E839=E838:E$2)))))</f>
        <v> </v>
      </c>
      <c r="J839" s="25" t="str">
        <f>IF(OR(E839="",E839="!!!",F839="NEW"),"",COUNTBLANK(OFFSET(A$1,,,SUMPRODUCT(MAX(ROW(E$2:E839)*(E839=E$2:E839)))))-COUNTBLANK(OFFSET(A$1,,,SUMPRODUCT(MAX(ROW(E$1:E838)*(E2=E$1:E838))))))</f>
        <v> </v>
      </c>
      <c r="K839" s="25" t="str">
        <f>IF(OR(E839="",E839="!!!",F839="NEW"),"",INDEX(J$1:J838,SUMPRODUCT(MAX(ROW(E$1:E838)*(E839=E$1:E838)))))</f>
        <v> </v>
      </c>
      <c r="L839" s="26"/>
    </row>
    <row r="840" spans="1:12">
      <c r="A840" s="20" t="s">
        <v>569</v>
      </c>
      <c r="B840" s="27" t="s">
        <v>490</v>
      </c>
      <c r="C840" s="27" t="s">
        <v>491</v>
      </c>
      <c r="D840" s="27" t="s">
        <v>483</v>
      </c>
      <c r="E840" s="21">
        <f>IF(D840="?OLD","!!!","")</f>
        <v/>
      </c>
      <c r="F840" s="22" t="str">
        <f>IF(OR(E840="",E840="!!!"),"",IF(NOT(ISNA(VLOOKUP(E840,E$1:E839,1,FALSE()))),"OLD",IF(AND(E840&lt;&gt;"",E840&lt;&gt;"!!!"),"NEW","")))</f>
        <v> </v>
      </c>
      <c r="G840" s="23" t="str">
        <f>IF(OR(E840="",E840="!!!"),"",IF(OR(J840=0,AND(J840=1,K840=1),AND(J840=1,I840="SBJ"),AND(J840=1,I840=0)),"?IN_FOCUS",IF(J840&lt;=2,"?ACTIVATED",IF(J840&lt;&gt;"","?FAMILIAR",IF(F840="NEW",IF(ISNA(VLOOKUP(E840,#REF!,1,FALSE())),"?TYPE_IDENTIFIABLE","?REFERENTIAL"),"_")))))</f>
        <v> </v>
      </c>
      <c r="H840" s="24" t="str">
        <f>IF(J840&lt;&gt;1,"",IF(I840="SBJ","CB","?"))</f>
        <v> </v>
      </c>
      <c r="I840" s="25" t="str">
        <f>IF(OR(E840="",E840="!!!",F840="NEW"),"",INDEX(B839:B$2,-1+SUMPRODUCT(MAX(ROW(E839:E$2)*(E840=E839:E$2)))))</f>
        <v> </v>
      </c>
      <c r="J840" s="25" t="str">
        <f>IF(OR(E840="",E840="!!!",F840="NEW"),"",COUNTBLANK(OFFSET(A$1,,,SUMPRODUCT(MAX(ROW(E$2:E840)*(E840=E$2:E840)))))-COUNTBLANK(OFFSET(A$1,,,SUMPRODUCT(MAX(ROW(E$1:E839)*(E2=E$1:E839))))))</f>
        <v> </v>
      </c>
      <c r="K840" s="25" t="str">
        <f>IF(OR(E840="",E840="!!!",F840="NEW"),"",INDEX(J$1:J839,SUMPRODUCT(MAX(ROW(E$1:E839)*(E840=E$1:E839)))))</f>
        <v> </v>
      </c>
      <c r="L840" s="26"/>
    </row>
    <row r="841" spans="1:12">
      <c r="A841" s="20" t="s">
        <v>489</v>
      </c>
      <c r="E841" s="21">
        <f>IF(D841="?OLD","!!!","")</f>
        <v/>
      </c>
      <c r="F841" s="22" t="str">
        <f>IF(OR(E841="",E841="!!!"),"",IF(NOT(ISNA(VLOOKUP(E841,E$1:E840,1,FALSE()))),"OLD",IF(AND(E841&lt;&gt;"",E841&lt;&gt;"!!!"),"NEW","")))</f>
        <v> </v>
      </c>
      <c r="G841" s="23" t="str">
        <f>IF(OR(E841="",E841="!!!"),"",IF(OR(J841=0,AND(J841=1,K841=1),AND(J841=1,I841="SBJ"),AND(J841=1,I841=0)),"?IN_FOCUS",IF(J841&lt;=2,"?ACTIVATED",IF(J841&lt;&gt;"","?FAMILIAR",IF(F841="NEW",IF(ISNA(VLOOKUP(E841,#REF!,1,FALSE())),"?TYPE_IDENTIFIABLE","?REFERENTIAL"),"_")))))</f>
        <v> </v>
      </c>
      <c r="H841" s="24" t="str">
        <f>IF(J841&lt;&gt;1,"",IF(I841="SBJ","CB","?"))</f>
        <v> </v>
      </c>
      <c r="I841" s="25" t="str">
        <f>IF(OR(E841="",E841="!!!",F841="NEW"),"",INDEX(B840:B$2,-1+SUMPRODUCT(MAX(ROW(E840:E$2)*(E841=E840:E$2)))))</f>
        <v> </v>
      </c>
      <c r="J841" s="25" t="str">
        <f>IF(OR(E841="",E841="!!!",F841="NEW"),"",COUNTBLANK(OFFSET(A$1,,,SUMPRODUCT(MAX(ROW(E$2:E841)*(E841=E$2:E841)))))-COUNTBLANK(OFFSET(A$1,,,SUMPRODUCT(MAX(ROW(E$1:E840)*(E2=E$1:E840))))))</f>
        <v> </v>
      </c>
      <c r="K841" s="25" t="str">
        <f>IF(OR(E841="",E841="!!!",F841="NEW"),"",INDEX(J$1:J840,SUMPRODUCT(MAX(ROW(E$1:E840)*(E841=E$1:E840)))))</f>
        <v> </v>
      </c>
      <c r="L841" s="26"/>
    </row>
    <row r="842" spans="1:12">
      <c r="A842" s="20" t="s">
        <v>500</v>
      </c>
      <c r="E842" s="21">
        <f>IF(D842="?OLD","!!!","")</f>
        <v/>
      </c>
      <c r="F842" s="22" t="str">
        <f>IF(OR(E842="",E842="!!!"),"",IF(NOT(ISNA(VLOOKUP(E842,E$1:E841,1,FALSE()))),"OLD",IF(AND(E842&lt;&gt;"",E842&lt;&gt;"!!!"),"NEW","")))</f>
        <v> </v>
      </c>
      <c r="G842" s="23" t="str">
        <f>IF(OR(E842="",E842="!!!"),"",IF(OR(J842=0,AND(J842=1,K842=1),AND(J842=1,I842="SBJ"),AND(J842=1,I842=0)),"?IN_FOCUS",IF(J842&lt;=2,"?ACTIVATED",IF(J842&lt;&gt;"","?FAMILIAR",IF(F842="NEW",IF(ISNA(VLOOKUP(E842,#REF!,1,FALSE())),"?TYPE_IDENTIFIABLE","?REFERENTIAL"),"_")))))</f>
        <v> </v>
      </c>
      <c r="H842" s="24" t="str">
        <f>IF(J842&lt;&gt;1,"",IF(I842="SBJ","CB","?"))</f>
        <v> </v>
      </c>
      <c r="I842" s="25" t="str">
        <f>IF(OR(E842="",E842="!!!",F842="NEW"),"",INDEX(B841:B$2,-1+SUMPRODUCT(MAX(ROW(E841:E$2)*(E842=E841:E$2)))))</f>
        <v> </v>
      </c>
      <c r="J842" s="25" t="str">
        <f>IF(OR(E842="",E842="!!!",F842="NEW"),"",COUNTBLANK(OFFSET(A$1,,,SUMPRODUCT(MAX(ROW(E$2:E842)*(E842=E$2:E842)))))-COUNTBLANK(OFFSET(A$1,,,SUMPRODUCT(MAX(ROW(E$1:E841)*(E2=E$1:E841))))))</f>
        <v> </v>
      </c>
      <c r="K842" s="25" t="str">
        <f>IF(OR(E842="",E842="!!!",F842="NEW"),"",INDEX(J$1:J841,SUMPRODUCT(MAX(ROW(E$1:E841)*(E842=E$1:E841)))))</f>
        <v> </v>
      </c>
      <c r="L842" s="26"/>
    </row>
    <row r="843" spans="1:12">
      <c r="A843" s="20" t="s">
        <v>817</v>
      </c>
      <c r="B843" s="27" t="s">
        <v>477</v>
      </c>
      <c r="C843" s="27" t="s">
        <v>482</v>
      </c>
      <c r="D843" s="27" t="s">
        <v>483</v>
      </c>
      <c r="E843" s="21">
        <f>IF(D843="?OLD","!!!","")</f>
        <v/>
      </c>
      <c r="F843" s="22" t="str">
        <f>IF(OR(E843="",E843="!!!"),"",IF(NOT(ISNA(VLOOKUP(E843,E$1:E842,1,FALSE()))),"OLD",IF(AND(E843&lt;&gt;"",E843&lt;&gt;"!!!"),"NEW","")))</f>
        <v> </v>
      </c>
      <c r="G843" s="23" t="str">
        <f>IF(OR(E843="",E843="!!!"),"",IF(OR(J843=0,AND(J843=1,K843=1),AND(J843=1,I843="SBJ"),AND(J843=1,I843=0)),"?IN_FOCUS",IF(J843&lt;=2,"?ACTIVATED",IF(J843&lt;&gt;"","?FAMILIAR",IF(F843="NEW",IF(ISNA(VLOOKUP(E843,#REF!,1,FALSE())),"?TYPE_IDENTIFIABLE","?REFERENTIAL"),"_")))))</f>
        <v> </v>
      </c>
      <c r="H843" s="24" t="str">
        <f>IF(J843&lt;&gt;1,"",IF(I843="SBJ","CB","?"))</f>
        <v> </v>
      </c>
      <c r="I843" s="25" t="str">
        <f>IF(OR(E843="",E843="!!!",F843="NEW"),"",INDEX(B842:B$2,-1+SUMPRODUCT(MAX(ROW(E842:E$2)*(E843=E842:E$2)))))</f>
        <v> </v>
      </c>
      <c r="J843" s="25" t="str">
        <f>IF(OR(E843="",E843="!!!",F843="NEW"),"",COUNTBLANK(OFFSET(A$1,,,SUMPRODUCT(MAX(ROW(E$2:E843)*(E843=E$2:E843)))))-COUNTBLANK(OFFSET(A$1,,,SUMPRODUCT(MAX(ROW(E$1:E842)*(E2=E$1:E842))))))</f>
        <v> </v>
      </c>
      <c r="K843" s="25" t="str">
        <f>IF(OR(E843="",E843="!!!",F843="NEW"),"",INDEX(J$1:J842,SUMPRODUCT(MAX(ROW(E$1:E842)*(E843=E$1:E842)))))</f>
        <v> </v>
      </c>
      <c r="L843" s="26"/>
    </row>
    <row r="844" spans="1:12">
      <c r="A844" s="20" t="s">
        <v>489</v>
      </c>
      <c r="E844" s="21">
        <f>IF(D844="?OLD","!!!","")</f>
        <v/>
      </c>
      <c r="F844" s="22" t="str">
        <f>IF(OR(E844="",E844="!!!"),"",IF(NOT(ISNA(VLOOKUP(E844,E$1:E843,1,FALSE()))),"OLD",IF(AND(E844&lt;&gt;"",E844&lt;&gt;"!!!"),"NEW","")))</f>
        <v> </v>
      </c>
      <c r="G844" s="23" t="str">
        <f>IF(OR(E844="",E844="!!!"),"",IF(OR(J844=0,AND(J844=1,K844=1),AND(J844=1,I844="SBJ"),AND(J844=1,I844=0)),"?IN_FOCUS",IF(J844&lt;=2,"?ACTIVATED",IF(J844&lt;&gt;"","?FAMILIAR",IF(F844="NEW",IF(ISNA(VLOOKUP(E844,#REF!,1,FALSE())),"?TYPE_IDENTIFIABLE","?REFERENTIAL"),"_")))))</f>
        <v> </v>
      </c>
      <c r="H844" s="24" t="str">
        <f>IF(J844&lt;&gt;1,"",IF(I844="SBJ","CB","?"))</f>
        <v> </v>
      </c>
      <c r="I844" s="25" t="str">
        <f>IF(OR(E844="",E844="!!!",F844="NEW"),"",INDEX(B843:B$2,-1+SUMPRODUCT(MAX(ROW(E843:E$2)*(E844=E843:E$2)))))</f>
        <v> </v>
      </c>
      <c r="J844" s="25" t="str">
        <f>IF(OR(E844="",E844="!!!",F844="NEW"),"",COUNTBLANK(OFFSET(A$1,,,SUMPRODUCT(MAX(ROW(E$2:E844)*(E844=E$2:E844)))))-COUNTBLANK(OFFSET(A$1,,,SUMPRODUCT(MAX(ROW(E$1:E843)*(E2=E$1:E843))))))</f>
        <v> </v>
      </c>
      <c r="K844" s="25" t="str">
        <f>IF(OR(E844="",E844="!!!",F844="NEW"),"",INDEX(J$1:J843,SUMPRODUCT(MAX(ROW(E$1:E843)*(E844=E$1:E843)))))</f>
        <v> </v>
      </c>
      <c r="L844" s="26"/>
    </row>
    <row r="845" spans="1:12">
      <c r="A845" s="20" t="s">
        <v>818</v>
      </c>
      <c r="E845" s="21">
        <f>IF(D845="?OLD","!!!","")</f>
        <v/>
      </c>
      <c r="F845" s="22" t="str">
        <f>IF(OR(E845="",E845="!!!"),"",IF(NOT(ISNA(VLOOKUP(E845,E$1:E844,1,FALSE()))),"OLD",IF(AND(E845&lt;&gt;"",E845&lt;&gt;"!!!"),"NEW","")))</f>
        <v> </v>
      </c>
      <c r="G845" s="23" t="str">
        <f>IF(OR(E845="",E845="!!!"),"",IF(OR(J845=0,AND(J845=1,K845=1),AND(J845=1,I845="SBJ"),AND(J845=1,I845=0)),"?IN_FOCUS",IF(J845&lt;=2,"?ACTIVATED",IF(J845&lt;&gt;"","?FAMILIAR",IF(F845="NEW",IF(ISNA(VLOOKUP(E845,#REF!,1,FALSE())),"?TYPE_IDENTIFIABLE","?REFERENTIAL"),"_")))))</f>
        <v> </v>
      </c>
      <c r="H845" s="24" t="str">
        <f>IF(J845&lt;&gt;1,"",IF(I845="SBJ","CB","?"))</f>
        <v> </v>
      </c>
      <c r="I845" s="25" t="str">
        <f>IF(OR(E845="",E845="!!!",F845="NEW"),"",INDEX(B844:B$2,-1+SUMPRODUCT(MAX(ROW(E844:E$2)*(E845=E844:E$2)))))</f>
        <v> </v>
      </c>
      <c r="J845" s="25" t="str">
        <f>IF(OR(E845="",E845="!!!",F845="NEW"),"",COUNTBLANK(OFFSET(A$1,,,SUMPRODUCT(MAX(ROW(E$2:E845)*(E845=E$2:E845)))))-COUNTBLANK(OFFSET(A$1,,,SUMPRODUCT(MAX(ROW(E$1:E844)*(E2=E$1:E844))))))</f>
        <v> </v>
      </c>
      <c r="K845" s="25" t="str">
        <f>IF(OR(E845="",E845="!!!",F845="NEW"),"",INDEX(J$1:J844,SUMPRODUCT(MAX(ROW(E$1:E844)*(E845=E$1:E844)))))</f>
        <v> </v>
      </c>
      <c r="L845" s="26"/>
    </row>
    <row r="846" spans="1:12">
      <c r="A846" s="20" t="s">
        <v>495</v>
      </c>
      <c r="E846" s="21">
        <f>IF(D846="?OLD","!!!","")</f>
        <v/>
      </c>
      <c r="F846" s="22" t="str">
        <f>IF(OR(E846="",E846="!!!"),"",IF(NOT(ISNA(VLOOKUP(E846,E$1:E845,1,FALSE()))),"OLD",IF(AND(E846&lt;&gt;"",E846&lt;&gt;"!!!"),"NEW","")))</f>
        <v> </v>
      </c>
      <c r="G846" s="23" t="str">
        <f>IF(OR(E846="",E846="!!!"),"",IF(OR(J846=0,AND(J846=1,K846=1),AND(J846=1,I846="SBJ"),AND(J846=1,I846=0)),"?IN_FOCUS",IF(J846&lt;=2,"?ACTIVATED",IF(J846&lt;&gt;"","?FAMILIAR",IF(F846="NEW",IF(ISNA(VLOOKUP(E846,#REF!,1,FALSE())),"?TYPE_IDENTIFIABLE","?REFERENTIAL"),"_")))))</f>
        <v> </v>
      </c>
      <c r="H846" s="24" t="str">
        <f>IF(J846&lt;&gt;1,"",IF(I846="SBJ","CB","?"))</f>
        <v> </v>
      </c>
      <c r="I846" s="25" t="str">
        <f>IF(OR(E846="",E846="!!!",F846="NEW"),"",INDEX(B845:B$2,-1+SUMPRODUCT(MAX(ROW(E845:E$2)*(E846=E845:E$2)))))</f>
        <v> </v>
      </c>
      <c r="J846" s="25" t="str">
        <f>IF(OR(E846="",E846="!!!",F846="NEW"),"",COUNTBLANK(OFFSET(A$1,,,SUMPRODUCT(MAX(ROW(E$2:E846)*(E846=E$2:E846)))))-COUNTBLANK(OFFSET(A$1,,,SUMPRODUCT(MAX(ROW(E$1:E845)*(E2=E$1:E845))))))</f>
        <v> </v>
      </c>
      <c r="K846" s="25" t="str">
        <f>IF(OR(E846="",E846="!!!",F846="NEW"),"",INDEX(J$1:J845,SUMPRODUCT(MAX(ROW(E$1:E845)*(E846=E$1:E845)))))</f>
        <v> </v>
      </c>
      <c r="L846" s="26"/>
    </row>
    <row r="847" spans="1:12">
      <c r="A847" s="20" t="s">
        <v>496</v>
      </c>
      <c r="B847" s="27" t="s">
        <v>477</v>
      </c>
      <c r="C847" s="27" t="s">
        <v>498</v>
      </c>
      <c r="E847" s="21">
        <f>IF(D847="?OLD","!!!","")</f>
        <v/>
      </c>
      <c r="F847" s="22" t="str">
        <f>IF(OR(E847="",E847="!!!"),"",IF(NOT(ISNA(VLOOKUP(E847,E$1:E846,1,FALSE()))),"OLD",IF(AND(E847&lt;&gt;"",E847&lt;&gt;"!!!"),"NEW","")))</f>
        <v> </v>
      </c>
      <c r="G847" s="23" t="str">
        <f>IF(OR(E847="",E847="!!!"),"",IF(OR(J847=0,AND(J847=1,K847=1),AND(J847=1,I847="SBJ"),AND(J847=1,I847=0)),"?IN_FOCUS",IF(J847&lt;=2,"?ACTIVATED",IF(J847&lt;&gt;"","?FAMILIAR",IF(F847="NEW",IF(ISNA(VLOOKUP(E847,#REF!,1,FALSE())),"?TYPE_IDENTIFIABLE","?REFERENTIAL"),"_")))))</f>
        <v> </v>
      </c>
      <c r="H847" s="24" t="str">
        <f>IF(J847&lt;&gt;1,"",IF(I847="SBJ","CB","?"))</f>
        <v> </v>
      </c>
      <c r="I847" s="25" t="str">
        <f>IF(OR(E847="",E847="!!!",F847="NEW"),"",INDEX(B846:B$2,-1+SUMPRODUCT(MAX(ROW(E846:E$2)*(E847=E846:E$2)))))</f>
        <v> </v>
      </c>
      <c r="J847" s="25" t="str">
        <f>IF(OR(E847="",E847="!!!",F847="NEW"),"",COUNTBLANK(OFFSET(A$1,,,SUMPRODUCT(MAX(ROW(E$2:E847)*(E847=E$2:E847)))))-COUNTBLANK(OFFSET(A$1,,,SUMPRODUCT(MAX(ROW(E$1:E846)*(E2=E$1:E846))))))</f>
        <v> </v>
      </c>
      <c r="K847" s="25" t="str">
        <f>IF(OR(E847="",E847="!!!",F847="NEW"),"",INDEX(J$1:J846,SUMPRODUCT(MAX(ROW(E$1:E846)*(E847=E$1:E846)))))</f>
        <v> </v>
      </c>
      <c r="L847" s="26"/>
    </row>
    <row r="848" spans="1:12">
      <c r="A848" s="20" t="s">
        <v>819</v>
      </c>
      <c r="E848" s="21">
        <f>IF(D848="?OLD","!!!","")</f>
        <v/>
      </c>
      <c r="F848" s="22" t="str">
        <f>IF(OR(E848="",E848="!!!"),"",IF(NOT(ISNA(VLOOKUP(E848,E$1:E847,1,FALSE()))),"OLD",IF(AND(E848&lt;&gt;"",E848&lt;&gt;"!!!"),"NEW","")))</f>
        <v> </v>
      </c>
      <c r="G848" s="23" t="str">
        <f>IF(OR(E848="",E848="!!!"),"",IF(OR(J848=0,AND(J848=1,K848=1),AND(J848=1,I848="SBJ"),AND(J848=1,I848=0)),"?IN_FOCUS",IF(J848&lt;=2,"?ACTIVATED",IF(J848&lt;&gt;"","?FAMILIAR",IF(F848="NEW",IF(ISNA(VLOOKUP(E848,#REF!,1,FALSE())),"?TYPE_IDENTIFIABLE","?REFERENTIAL"),"_")))))</f>
        <v> </v>
      </c>
      <c r="H848" s="24" t="str">
        <f>IF(J848&lt;&gt;1,"",IF(I848="SBJ","CB","?"))</f>
        <v> </v>
      </c>
      <c r="I848" s="25" t="str">
        <f>IF(OR(E848="",E848="!!!",F848="NEW"),"",INDEX(B847:B$2,-1+SUMPRODUCT(MAX(ROW(E847:E$2)*(E848=E847:E$2)))))</f>
        <v> </v>
      </c>
      <c r="J848" s="25" t="str">
        <f>IF(OR(E848="",E848="!!!",F848="NEW"),"",COUNTBLANK(OFFSET(A$1,,,SUMPRODUCT(MAX(ROW(E$2:E848)*(E848=E$2:E848)))))-COUNTBLANK(OFFSET(A$1,,,SUMPRODUCT(MAX(ROW(E$1:E847)*(E2=E$1:E847))))))</f>
        <v> </v>
      </c>
      <c r="K848" s="25" t="str">
        <f>IF(OR(E848="",E848="!!!",F848="NEW"),"",INDEX(J$1:J847,SUMPRODUCT(MAX(ROW(E$1:E847)*(E848=E$1:E847)))))</f>
        <v> </v>
      </c>
      <c r="L848" s="26"/>
    </row>
    <row r="849" spans="1:12">
      <c r="A849" s="20" t="s">
        <v>531</v>
      </c>
      <c r="E849" s="21">
        <f>IF(D849="?OLD","!!!","")</f>
        <v/>
      </c>
      <c r="F849" s="22" t="str">
        <f>IF(OR(E849="",E849="!!!"),"",IF(NOT(ISNA(VLOOKUP(E849,E$1:E848,1,FALSE()))),"OLD",IF(AND(E849&lt;&gt;"",E849&lt;&gt;"!!!"),"NEW","")))</f>
        <v> </v>
      </c>
      <c r="G849" s="23" t="str">
        <f>IF(OR(E849="",E849="!!!"),"",IF(OR(J849=0,AND(J849=1,K849=1),AND(J849=1,I849="SBJ"),AND(J849=1,I849=0)),"?IN_FOCUS",IF(J849&lt;=2,"?ACTIVATED",IF(J849&lt;&gt;"","?FAMILIAR",IF(F849="NEW",IF(ISNA(VLOOKUP(E849,#REF!,1,FALSE())),"?TYPE_IDENTIFIABLE","?REFERENTIAL"),"_")))))</f>
        <v> </v>
      </c>
      <c r="H849" s="24" t="str">
        <f>IF(J849&lt;&gt;1,"",IF(I849="SBJ","CB","?"))</f>
        <v> </v>
      </c>
      <c r="I849" s="25" t="str">
        <f>IF(OR(E849="",E849="!!!",F849="NEW"),"",INDEX(B848:B$2,-1+SUMPRODUCT(MAX(ROW(E848:E$2)*(E849=E848:E$2)))))</f>
        <v> </v>
      </c>
      <c r="J849" s="25" t="str">
        <f>IF(OR(E849="",E849="!!!",F849="NEW"),"",COUNTBLANK(OFFSET(A$1,,,SUMPRODUCT(MAX(ROW(E$2:E849)*(E849=E$2:E849)))))-COUNTBLANK(OFFSET(A$1,,,SUMPRODUCT(MAX(ROW(E$1:E848)*(E2=E$1:E848))))))</f>
        <v> </v>
      </c>
      <c r="K849" s="25" t="str">
        <f>IF(OR(E849="",E849="!!!",F849="NEW"),"",INDEX(J$1:J848,SUMPRODUCT(MAX(ROW(E$1:E848)*(E849=E$1:E848)))))</f>
        <v> </v>
      </c>
      <c r="L849" s="26"/>
    </row>
    <row r="850" spans="1:12">
      <c r="A850" s="20"/>
    </row>
    <row r="851" spans="1:12">
      <c r="A851" s="20" t="s">
        <v>820</v>
      </c>
    </row>
    <row r="852" spans="1:12">
      <c r="A852" s="20" t="s">
        <v>821</v>
      </c>
      <c r="E852" s="21">
        <f>IF(D852="?OLD","!!!","")</f>
        <v/>
      </c>
      <c r="F852" s="22" t="str">
        <f>IF(OR(E852="",E852="!!!"),"",IF(NOT(ISNA(VLOOKUP(E852,E$1:E851,1,FALSE()))),"OLD",IF(AND(E852&lt;&gt;"",E852&lt;&gt;"!!!"),"NEW","")))</f>
        <v> </v>
      </c>
      <c r="G852" s="23" t="str">
        <f>IF(OR(E852="",E852="!!!"),"",IF(OR(J852=0,AND(J852=1,K852=1),AND(J852=1,I852="SBJ"),AND(J852=1,I852=0)),"?IN_FOCUS",IF(J852&lt;=2,"?ACTIVATED",IF(J852&lt;&gt;"","?FAMILIAR",IF(F852="NEW",IF(ISNA(VLOOKUP(E852,#REF!,1,FALSE())),"?TYPE_IDENTIFIABLE","?REFERENTIAL"),"_")))))</f>
        <v> </v>
      </c>
      <c r="H852" s="24" t="str">
        <f>IF(J852&lt;&gt;1,"",IF(I852="SBJ","CB","?"))</f>
        <v> </v>
      </c>
      <c r="I852" s="25" t="str">
        <f>IF(OR(E852="",E852="!!!",F852="NEW"),"",INDEX(B851:B$2,-1+SUMPRODUCT(MAX(ROW(E851:E$2)*(E852=E851:E$2)))))</f>
        <v> </v>
      </c>
      <c r="J852" s="25" t="str">
        <f>IF(OR(E852="",E852="!!!",F852="NEW"),"",COUNTBLANK(OFFSET(A$1,,,SUMPRODUCT(MAX(ROW(E$2:E852)*(E852=E$2:E852)))))-COUNTBLANK(OFFSET(A$1,,,SUMPRODUCT(MAX(ROW(E$1:E851)*(E2=E$1:E851))))))</f>
        <v> </v>
      </c>
      <c r="K852" s="25" t="str">
        <f>IF(OR(E852="",E852="!!!",F852="NEW"),"",INDEX(J$1:J851,SUMPRODUCT(MAX(ROW(E$1:E851)*(E852=E$1:E851)))))</f>
        <v> </v>
      </c>
      <c r="L852" s="26"/>
    </row>
    <row r="853" spans="1:12">
      <c r="A853" s="20" t="s">
        <v>492</v>
      </c>
      <c r="E853" s="21">
        <f>IF(D853="?OLD","!!!","")</f>
        <v/>
      </c>
      <c r="F853" s="22" t="str">
        <f>IF(OR(E853="",E853="!!!"),"",IF(NOT(ISNA(VLOOKUP(E853,E$1:E852,1,FALSE()))),"OLD",IF(AND(E853&lt;&gt;"",E853&lt;&gt;"!!!"),"NEW","")))</f>
        <v> </v>
      </c>
      <c r="G853" s="23" t="str">
        <f>IF(OR(E853="",E853="!!!"),"",IF(OR(J853=0,AND(J853=1,K853=1),AND(J853=1,I853="SBJ"),AND(J853=1,I853=0)),"?IN_FOCUS",IF(J853&lt;=2,"?ACTIVATED",IF(J853&lt;&gt;"","?FAMILIAR",IF(F853="NEW",IF(ISNA(VLOOKUP(E853,#REF!,1,FALSE())),"?TYPE_IDENTIFIABLE","?REFERENTIAL"),"_")))))</f>
        <v> </v>
      </c>
      <c r="H853" s="24" t="str">
        <f>IF(J853&lt;&gt;1,"",IF(I853="SBJ","CB","?"))</f>
        <v> </v>
      </c>
      <c r="I853" s="25" t="str">
        <f>IF(OR(E853="",E853="!!!",F853="NEW"),"",INDEX(B852:B$2,-1+SUMPRODUCT(MAX(ROW(E852:E$2)*(E853=E852:E$2)))))</f>
        <v> </v>
      </c>
      <c r="J853" s="25" t="str">
        <f>IF(OR(E853="",E853="!!!",F853="NEW"),"",COUNTBLANK(OFFSET(A$1,,,SUMPRODUCT(MAX(ROW(E$2:E853)*(E853=E$2:E853)))))-COUNTBLANK(OFFSET(A$1,,,SUMPRODUCT(MAX(ROW(E$1:E852)*(E2=E$1:E852))))))</f>
        <v> </v>
      </c>
      <c r="K853" s="25" t="str">
        <f>IF(OR(E853="",E853="!!!",F853="NEW"),"",INDEX(J$1:J852,SUMPRODUCT(MAX(ROW(E$1:E852)*(E853=E$1:E852)))))</f>
        <v> </v>
      </c>
      <c r="L853" s="26"/>
    </row>
    <row r="854" spans="1:12">
      <c r="A854" s="20" t="s">
        <v>489</v>
      </c>
      <c r="E854" s="21">
        <f>IF(D854="?OLD","!!!","")</f>
        <v/>
      </c>
      <c r="F854" s="22" t="str">
        <f>IF(OR(E854="",E854="!!!"),"",IF(NOT(ISNA(VLOOKUP(E854,E$1:E853,1,FALSE()))),"OLD",IF(AND(E854&lt;&gt;"",E854&lt;&gt;"!!!"),"NEW","")))</f>
        <v> </v>
      </c>
      <c r="G854" s="23" t="str">
        <f>IF(OR(E854="",E854="!!!"),"",IF(OR(J854=0,AND(J854=1,K854=1),AND(J854=1,I854="SBJ"),AND(J854=1,I854=0)),"?IN_FOCUS",IF(J854&lt;=2,"?ACTIVATED",IF(J854&lt;&gt;"","?FAMILIAR",IF(F854="NEW",IF(ISNA(VLOOKUP(E854,#REF!,1,FALSE())),"?TYPE_IDENTIFIABLE","?REFERENTIAL"),"_")))))</f>
        <v> </v>
      </c>
      <c r="H854" s="24" t="str">
        <f>IF(J854&lt;&gt;1,"",IF(I854="SBJ","CB","?"))</f>
        <v> </v>
      </c>
      <c r="I854" s="25" t="str">
        <f>IF(OR(E854="",E854="!!!",F854="NEW"),"",INDEX(B853:B$2,-1+SUMPRODUCT(MAX(ROW(E853:E$2)*(E854=E853:E$2)))))</f>
        <v> </v>
      </c>
      <c r="J854" s="25" t="str">
        <f>IF(OR(E854="",E854="!!!",F854="NEW"),"",COUNTBLANK(OFFSET(A$1,,,SUMPRODUCT(MAX(ROW(E$2:E854)*(E854=E$2:E854)))))-COUNTBLANK(OFFSET(A$1,,,SUMPRODUCT(MAX(ROW(E$1:E853)*(E2=E$1:E853))))))</f>
        <v> </v>
      </c>
      <c r="K854" s="25" t="str">
        <f>IF(OR(E854="",E854="!!!",F854="NEW"),"",INDEX(J$1:J853,SUMPRODUCT(MAX(ROW(E$1:E853)*(E854=E$1:E853)))))</f>
        <v> </v>
      </c>
      <c r="L854" s="26"/>
    </row>
    <row r="855" spans="1:12">
      <c r="A855" s="20" t="s">
        <v>529</v>
      </c>
      <c r="E855" s="21">
        <f>IF(D855="?OLD","!!!","")</f>
        <v/>
      </c>
      <c r="F855" s="22" t="str">
        <f>IF(OR(E855="",E855="!!!"),"",IF(NOT(ISNA(VLOOKUP(E855,E$1:E854,1,FALSE()))),"OLD",IF(AND(E855&lt;&gt;"",E855&lt;&gt;"!!!"),"NEW","")))</f>
        <v> </v>
      </c>
      <c r="G855" s="23" t="str">
        <f>IF(OR(E855="",E855="!!!"),"",IF(OR(J855=0,AND(J855=1,K855=1),AND(J855=1,I855="SBJ"),AND(J855=1,I855=0)),"?IN_FOCUS",IF(J855&lt;=2,"?ACTIVATED",IF(J855&lt;&gt;"","?FAMILIAR",IF(F855="NEW",IF(ISNA(VLOOKUP(E855,#REF!,1,FALSE())),"?TYPE_IDENTIFIABLE","?REFERENTIAL"),"_")))))</f>
        <v> </v>
      </c>
      <c r="H855" s="24" t="str">
        <f>IF(J855&lt;&gt;1,"",IF(I855="SBJ","CB","?"))</f>
        <v> </v>
      </c>
      <c r="I855" s="25" t="str">
        <f>IF(OR(E855="",E855="!!!",F855="NEW"),"",INDEX(B854:B$2,-1+SUMPRODUCT(MAX(ROW(E854:E$2)*(E855=E854:E$2)))))</f>
        <v> </v>
      </c>
      <c r="J855" s="25" t="str">
        <f>IF(OR(E855="",E855="!!!",F855="NEW"),"",COUNTBLANK(OFFSET(A$1,,,SUMPRODUCT(MAX(ROW(E$2:E855)*(E855=E$2:E855)))))-COUNTBLANK(OFFSET(A$1,,,SUMPRODUCT(MAX(ROW(E$1:E854)*(E2=E$1:E854))))))</f>
        <v> </v>
      </c>
      <c r="K855" s="25" t="str">
        <f>IF(OR(E855="",E855="!!!",F855="NEW"),"",INDEX(J$1:J854,SUMPRODUCT(MAX(ROW(E$1:E854)*(E855=E$1:E854)))))</f>
        <v> </v>
      </c>
      <c r="L855" s="26"/>
    </row>
    <row r="856" spans="1:12">
      <c r="A856" s="20" t="s">
        <v>529</v>
      </c>
      <c r="B856" s="27" t="s">
        <v>553</v>
      </c>
      <c r="C856" s="27" t="s">
        <v>482</v>
      </c>
      <c r="D856" s="27" t="s">
        <v>483</v>
      </c>
      <c r="E856" s="21">
        <f>IF(D856="?OLD","!!!","")</f>
        <v/>
      </c>
      <c r="F856" s="22" t="str">
        <f>IF(OR(E856="",E856="!!!"),"",IF(NOT(ISNA(VLOOKUP(E856,E$1:E855,1,FALSE()))),"OLD",IF(AND(E856&lt;&gt;"",E856&lt;&gt;"!!!"),"NEW","")))</f>
        <v> </v>
      </c>
      <c r="G856" s="23" t="str">
        <f>IF(OR(E856="",E856="!!!"),"",IF(OR(J856=0,AND(J856=1,K856=1),AND(J856=1,I856="SBJ"),AND(J856=1,I856=0)),"?IN_FOCUS",IF(J856&lt;=2,"?ACTIVATED",IF(J856&lt;&gt;"","?FAMILIAR",IF(F856="NEW",IF(ISNA(VLOOKUP(E856,#REF!,1,FALSE())),"?TYPE_IDENTIFIABLE","?REFERENTIAL"),"_")))))</f>
        <v> </v>
      </c>
      <c r="H856" s="24" t="str">
        <f>IF(J856&lt;&gt;1,"",IF(I856="SBJ","CB","?"))</f>
        <v> </v>
      </c>
      <c r="I856" s="25" t="str">
        <f>IF(OR(E856="",E856="!!!",F856="NEW"),"",INDEX(B855:B$2,-1+SUMPRODUCT(MAX(ROW(E855:E$2)*(E856=E855:E$2)))))</f>
        <v> </v>
      </c>
      <c r="J856" s="25" t="str">
        <f>IF(OR(E856="",E856="!!!",F856="NEW"),"",COUNTBLANK(OFFSET(A$1,,,SUMPRODUCT(MAX(ROW(E$2:E856)*(E856=E$2:E856)))))-COUNTBLANK(OFFSET(A$1,,,SUMPRODUCT(MAX(ROW(E$1:E855)*(E2=E$1:E855))))))</f>
        <v> </v>
      </c>
      <c r="K856" s="25" t="str">
        <f>IF(OR(E856="",E856="!!!",F856="NEW"),"",INDEX(J$1:J855,SUMPRODUCT(MAX(ROW(E$1:E855)*(E856=E$1:E855)))))</f>
        <v> </v>
      </c>
      <c r="L856" s="26"/>
    </row>
    <row r="857" spans="1:12">
      <c r="A857" s="20" t="s">
        <v>822</v>
      </c>
      <c r="E857" s="21">
        <f>IF(D857="?OLD","!!!","")</f>
        <v/>
      </c>
      <c r="F857" s="22" t="str">
        <f>IF(OR(E857="",E857="!!!"),"",IF(NOT(ISNA(VLOOKUP(E857,E$1:E856,1,FALSE()))),"OLD",IF(AND(E857&lt;&gt;"",E857&lt;&gt;"!!!"),"NEW","")))</f>
        <v> </v>
      </c>
      <c r="G857" s="23" t="str">
        <f>IF(OR(E857="",E857="!!!"),"",IF(OR(J857=0,AND(J857=1,K857=1),AND(J857=1,I857="SBJ"),AND(J857=1,I857=0)),"?IN_FOCUS",IF(J857&lt;=2,"?ACTIVATED",IF(J857&lt;&gt;"","?FAMILIAR",IF(F857="NEW",IF(ISNA(VLOOKUP(E857,#REF!,1,FALSE())),"?TYPE_IDENTIFIABLE","?REFERENTIAL"),"_")))))</f>
        <v> </v>
      </c>
      <c r="H857" s="24" t="str">
        <f>IF(J857&lt;&gt;1,"",IF(I857="SBJ","CB","?"))</f>
        <v> </v>
      </c>
      <c r="I857" s="25" t="str">
        <f>IF(OR(E857="",E857="!!!",F857="NEW"),"",INDEX(B856:B$2,-1+SUMPRODUCT(MAX(ROW(E856:E$2)*(E857=E856:E$2)))))</f>
        <v> </v>
      </c>
      <c r="J857" s="25" t="str">
        <f>IF(OR(E857="",E857="!!!",F857="NEW"),"",COUNTBLANK(OFFSET(A$1,,,SUMPRODUCT(MAX(ROW(E$2:E857)*(E857=E$2:E857)))))-COUNTBLANK(OFFSET(A$1,,,SUMPRODUCT(MAX(ROW(E$1:E856)*(E2=E$1:E856))))))</f>
        <v> </v>
      </c>
      <c r="K857" s="25" t="str">
        <f>IF(OR(E857="",E857="!!!",F857="NEW"),"",INDEX(J$1:J856,SUMPRODUCT(MAX(ROW(E$1:E856)*(E857=E$1:E856)))))</f>
        <v> </v>
      </c>
      <c r="L857" s="26"/>
    </row>
    <row r="858" spans="1:12">
      <c r="A858" s="20" t="s">
        <v>380</v>
      </c>
      <c r="E858" s="21">
        <f>IF(D858="?OLD","!!!","")</f>
        <v/>
      </c>
      <c r="F858" s="22" t="str">
        <f>IF(OR(E858="",E858="!!!"),"",IF(NOT(ISNA(VLOOKUP(E858,E$1:E857,1,FALSE()))),"OLD",IF(AND(E858&lt;&gt;"",E858&lt;&gt;"!!!"),"NEW","")))</f>
        <v> </v>
      </c>
      <c r="G858" s="23" t="str">
        <f>IF(OR(E858="",E858="!!!"),"",IF(OR(J858=0,AND(J858=1,K858=1),AND(J858=1,I858="SBJ"),AND(J858=1,I858=0)),"?IN_FOCUS",IF(J858&lt;=2,"?ACTIVATED",IF(J858&lt;&gt;"","?FAMILIAR",IF(F858="NEW",IF(ISNA(VLOOKUP(E858,#REF!,1,FALSE())),"?TYPE_IDENTIFIABLE","?REFERENTIAL"),"_")))))</f>
        <v> </v>
      </c>
      <c r="H858" s="24" t="str">
        <f>IF(J858&lt;&gt;1,"",IF(I858="SBJ","CB","?"))</f>
        <v> </v>
      </c>
      <c r="I858" s="25" t="str">
        <f>IF(OR(E858="",E858="!!!",F858="NEW"),"",INDEX(B857:B$2,-1+SUMPRODUCT(MAX(ROW(E857:E$2)*(E858=E857:E$2)))))</f>
        <v> </v>
      </c>
      <c r="J858" s="25" t="str">
        <f>IF(OR(E858="",E858="!!!",F858="NEW"),"",COUNTBLANK(OFFSET(A$1,,,SUMPRODUCT(MAX(ROW(E$2:E858)*(E858=E$2:E858)))))-COUNTBLANK(OFFSET(A$1,,,SUMPRODUCT(MAX(ROW(E$1:E857)*(E2=E$1:E857))))))</f>
        <v> </v>
      </c>
      <c r="K858" s="25" t="str">
        <f>IF(OR(E858="",E858="!!!",F858="NEW"),"",INDEX(J$1:J857,SUMPRODUCT(MAX(ROW(E$1:E857)*(E858=E$1:E857)))))</f>
        <v> </v>
      </c>
      <c r="L858" s="26"/>
    </row>
    <row r="859" spans="1:12">
      <c r="A859" s="20" t="s">
        <v>488</v>
      </c>
      <c r="B859" s="27" t="s">
        <v>578</v>
      </c>
      <c r="C859" s="27" t="s">
        <v>498</v>
      </c>
      <c r="E859" s="21">
        <f>IF(D859="?OLD","!!!","")</f>
        <v/>
      </c>
      <c r="F859" s="22" t="str">
        <f>IF(OR(E859="",E859="!!!"),"",IF(NOT(ISNA(VLOOKUP(E859,E$1:E858,1,FALSE()))),"OLD",IF(AND(E859&lt;&gt;"",E859&lt;&gt;"!!!"),"NEW","")))</f>
        <v> </v>
      </c>
      <c r="G859" s="23" t="str">
        <f>IF(OR(E859="",E859="!!!"),"",IF(OR(J859=0,AND(J859=1,K859=1),AND(J859=1,I859="SBJ"),AND(J859=1,I859=0)),"?IN_FOCUS",IF(J859&lt;=2,"?ACTIVATED",IF(J859&lt;&gt;"","?FAMILIAR",IF(F859="NEW",IF(ISNA(VLOOKUP(E859,#REF!,1,FALSE())),"?TYPE_IDENTIFIABLE","?REFERENTIAL"),"_")))))</f>
        <v> </v>
      </c>
      <c r="H859" s="24" t="str">
        <f>IF(J859&lt;&gt;1,"",IF(I859="SBJ","CB","?"))</f>
        <v> </v>
      </c>
      <c r="I859" s="25" t="str">
        <f>IF(OR(E859="",E859="!!!",F859="NEW"),"",INDEX(B858:B$2,-1+SUMPRODUCT(MAX(ROW(E858:E$2)*(E859=E858:E$2)))))</f>
        <v> </v>
      </c>
      <c r="J859" s="25" t="str">
        <f>IF(OR(E859="",E859="!!!",F859="NEW"),"",COUNTBLANK(OFFSET(A$1,,,SUMPRODUCT(MAX(ROW(E$2:E859)*(E859=E$2:E859)))))-COUNTBLANK(OFFSET(A$1,,,SUMPRODUCT(MAX(ROW(E$1:E858)*(E2=E$1:E858))))))</f>
        <v> </v>
      </c>
      <c r="K859" s="25" t="str">
        <f>IF(OR(E859="",E859="!!!",F859="NEW"),"",INDEX(J$1:J858,SUMPRODUCT(MAX(ROW(E$1:E858)*(E859=E$1:E858)))))</f>
        <v> </v>
      </c>
      <c r="L859" s="26"/>
    </row>
    <row r="860" spans="1:12">
      <c r="A860" s="20" t="s">
        <v>507</v>
      </c>
      <c r="E860" s="21">
        <f>IF(D860="?OLD","!!!","")</f>
        <v/>
      </c>
      <c r="F860" s="22" t="str">
        <f>IF(OR(E860="",E860="!!!"),"",IF(NOT(ISNA(VLOOKUP(E860,E$1:E859,1,FALSE()))),"OLD",IF(AND(E860&lt;&gt;"",E860&lt;&gt;"!!!"),"NEW","")))</f>
        <v> </v>
      </c>
      <c r="G860" s="23" t="str">
        <f>IF(OR(E860="",E860="!!!"),"",IF(OR(J860=0,AND(J860=1,K860=1),AND(J860=1,I860="SBJ"),AND(J860=1,I860=0)),"?IN_FOCUS",IF(J860&lt;=2,"?ACTIVATED",IF(J860&lt;&gt;"","?FAMILIAR",IF(F860="NEW",IF(ISNA(VLOOKUP(E860,#REF!,1,FALSE())),"?TYPE_IDENTIFIABLE","?REFERENTIAL"),"_")))))</f>
        <v> </v>
      </c>
      <c r="H860" s="24" t="str">
        <f>IF(J860&lt;&gt;1,"",IF(I860="SBJ","CB","?"))</f>
        <v> </v>
      </c>
      <c r="I860" s="25" t="str">
        <f>IF(OR(E860="",E860="!!!",F860="NEW"),"",INDEX(B859:B$2,-1+SUMPRODUCT(MAX(ROW(E859:E$2)*(E860=E859:E$2)))))</f>
        <v> </v>
      </c>
      <c r="J860" s="25" t="str">
        <f>IF(OR(E860="",E860="!!!",F860="NEW"),"",COUNTBLANK(OFFSET(A$1,,,SUMPRODUCT(MAX(ROW(E$2:E860)*(E860=E$2:E860)))))-COUNTBLANK(OFFSET(A$1,,,SUMPRODUCT(MAX(ROW(E$1:E859)*(E2=E$1:E859))))))</f>
        <v> </v>
      </c>
      <c r="K860" s="25" t="str">
        <f>IF(OR(E860="",E860="!!!",F860="NEW"),"",INDEX(J$1:J859,SUMPRODUCT(MAX(ROW(E$1:E859)*(E860=E$1:E859)))))</f>
        <v> </v>
      </c>
      <c r="L860" s="26"/>
    </row>
    <row r="861" spans="1:12">
      <c r="A861" s="20" t="s">
        <v>503</v>
      </c>
      <c r="E861" s="21">
        <f>IF(D861="?OLD","!!!","")</f>
        <v/>
      </c>
      <c r="F861" s="22" t="str">
        <f>IF(OR(E861="",E861="!!!"),"",IF(NOT(ISNA(VLOOKUP(E861,E$1:E860,1,FALSE()))),"OLD",IF(AND(E861&lt;&gt;"",E861&lt;&gt;"!!!"),"NEW","")))</f>
        <v> </v>
      </c>
      <c r="G861" s="23" t="str">
        <f>IF(OR(E861="",E861="!!!"),"",IF(OR(J861=0,AND(J861=1,K861=1),AND(J861=1,I861="SBJ"),AND(J861=1,I861=0)),"?IN_FOCUS",IF(J861&lt;=2,"?ACTIVATED",IF(J861&lt;&gt;"","?FAMILIAR",IF(F861="NEW",IF(ISNA(VLOOKUP(E861,#REF!,1,FALSE())),"?TYPE_IDENTIFIABLE","?REFERENTIAL"),"_")))))</f>
        <v> </v>
      </c>
      <c r="H861" s="24" t="str">
        <f>IF(J861&lt;&gt;1,"",IF(I861="SBJ","CB","?"))</f>
        <v> </v>
      </c>
      <c r="I861" s="25" t="str">
        <f>IF(OR(E861="",E861="!!!",F861="NEW"),"",INDEX(B860:B$2,-1+SUMPRODUCT(MAX(ROW(E860:E$2)*(E861=E860:E$2)))))</f>
        <v> </v>
      </c>
      <c r="J861" s="25" t="str">
        <f>IF(OR(E861="",E861="!!!",F861="NEW"),"",COUNTBLANK(OFFSET(A$1,,,SUMPRODUCT(MAX(ROW(E$2:E861)*(E861=E$2:E861)))))-COUNTBLANK(OFFSET(A$1,,,SUMPRODUCT(MAX(ROW(E$1:E860)*(E2=E$1:E860))))))</f>
        <v> </v>
      </c>
      <c r="K861" s="25" t="str">
        <f>IF(OR(E861="",E861="!!!",F861="NEW"),"",INDEX(J$1:J860,SUMPRODUCT(MAX(ROW(E$1:E860)*(E861=E$1:E860)))))</f>
        <v> </v>
      </c>
      <c r="L861" s="26"/>
    </row>
    <row r="862" spans="1:12">
      <c r="A862" s="20" t="s">
        <v>823</v>
      </c>
      <c r="B862" s="27" t="s">
        <v>540</v>
      </c>
      <c r="C862" s="27" t="s">
        <v>538</v>
      </c>
      <c r="D862" s="27" t="s">
        <v>483</v>
      </c>
      <c r="E862" s="21">
        <f>IF(D862="?OLD","!!!","")</f>
        <v/>
      </c>
      <c r="F862" s="22" t="str">
        <f>IF(OR(E862="",E862="!!!"),"",IF(NOT(ISNA(VLOOKUP(E862,E$1:E861,1,FALSE()))),"OLD",IF(AND(E862&lt;&gt;"",E862&lt;&gt;"!!!"),"NEW","")))</f>
        <v> </v>
      </c>
      <c r="G862" s="23" t="str">
        <f>IF(OR(E862="",E862="!!!"),"",IF(OR(J862=0,AND(J862=1,K862=1),AND(J862=1,I862="SBJ"),AND(J862=1,I862=0)),"?IN_FOCUS",IF(J862&lt;=2,"?ACTIVATED",IF(J862&lt;&gt;"","?FAMILIAR",IF(F862="NEW",IF(ISNA(VLOOKUP(E862,#REF!,1,FALSE())),"?TYPE_IDENTIFIABLE","?REFERENTIAL"),"_")))))</f>
        <v> </v>
      </c>
      <c r="H862" s="24" t="str">
        <f>IF(J862&lt;&gt;1,"",IF(I862="SBJ","CB","?"))</f>
        <v> </v>
      </c>
      <c r="I862" s="25" t="str">
        <f>IF(OR(E862="",E862="!!!",F862="NEW"),"",INDEX(B861:B$2,-1+SUMPRODUCT(MAX(ROW(E861:E$2)*(E862=E861:E$2)))))</f>
        <v> </v>
      </c>
      <c r="J862" s="25" t="str">
        <f>IF(OR(E862="",E862="!!!",F862="NEW"),"",COUNTBLANK(OFFSET(A$1,,,SUMPRODUCT(MAX(ROW(E$2:E862)*(E862=E$2:E862)))))-COUNTBLANK(OFFSET(A$1,,,SUMPRODUCT(MAX(ROW(E$1:E861)*(E2=E$1:E861))))))</f>
        <v> </v>
      </c>
      <c r="K862" s="25" t="str">
        <f>IF(OR(E862="",E862="!!!",F862="NEW"),"",INDEX(J$1:J861,SUMPRODUCT(MAX(ROW(E$1:E861)*(E862=E$1:E861)))))</f>
        <v> </v>
      </c>
      <c r="L862" s="26"/>
    </row>
    <row r="863" spans="1:12">
      <c r="A863" s="20" t="s">
        <v>528</v>
      </c>
      <c r="E863" s="21">
        <f>IF(D863="?OLD","!!!","")</f>
        <v/>
      </c>
      <c r="F863" s="22" t="str">
        <f>IF(OR(E863="",E863="!!!"),"",IF(NOT(ISNA(VLOOKUP(E863,E$1:E862,1,FALSE()))),"OLD",IF(AND(E863&lt;&gt;"",E863&lt;&gt;"!!!"),"NEW","")))</f>
        <v> </v>
      </c>
      <c r="G863" s="23" t="str">
        <f>IF(OR(E863="",E863="!!!"),"",IF(OR(J863=0,AND(J863=1,K863=1),AND(J863=1,I863="SBJ"),AND(J863=1,I863=0)),"?IN_FOCUS",IF(J863&lt;=2,"?ACTIVATED",IF(J863&lt;&gt;"","?FAMILIAR",IF(F863="NEW",IF(ISNA(VLOOKUP(E863,#REF!,1,FALSE())),"?TYPE_IDENTIFIABLE","?REFERENTIAL"),"_")))))</f>
        <v> </v>
      </c>
      <c r="H863" s="24" t="str">
        <f>IF(J863&lt;&gt;1,"",IF(I863="SBJ","CB","?"))</f>
        <v> </v>
      </c>
      <c r="I863" s="25" t="str">
        <f>IF(OR(E863="",E863="!!!",F863="NEW"),"",INDEX(B862:B$2,-1+SUMPRODUCT(MAX(ROW(E862:E$2)*(E863=E862:E$2)))))</f>
        <v> </v>
      </c>
      <c r="J863" s="25" t="str">
        <f>IF(OR(E863="",E863="!!!",F863="NEW"),"",COUNTBLANK(OFFSET(A$1,,,SUMPRODUCT(MAX(ROW(E$2:E863)*(E863=E$2:E863)))))-COUNTBLANK(OFFSET(A$1,,,SUMPRODUCT(MAX(ROW(E$1:E862)*(E2=E$1:E862))))))</f>
        <v> </v>
      </c>
      <c r="K863" s="25" t="str">
        <f>IF(OR(E863="",E863="!!!",F863="NEW"),"",INDEX(J$1:J862,SUMPRODUCT(MAX(ROW(E$1:E862)*(E863=E$1:E862)))))</f>
        <v> </v>
      </c>
      <c r="L863" s="26"/>
    </row>
    <row r="864" spans="1:12">
      <c r="A864" s="20" t="s">
        <v>380</v>
      </c>
      <c r="E864" s="21">
        <f>IF(D864="?OLD","!!!","")</f>
        <v/>
      </c>
      <c r="F864" s="22" t="str">
        <f>IF(OR(E864="",E864="!!!"),"",IF(NOT(ISNA(VLOOKUP(E864,E$1:E863,1,FALSE()))),"OLD",IF(AND(E864&lt;&gt;"",E864&lt;&gt;"!!!"),"NEW","")))</f>
        <v> </v>
      </c>
      <c r="G864" s="23" t="str">
        <f>IF(OR(E864="",E864="!!!"),"",IF(OR(J864=0,AND(J864=1,K864=1),AND(J864=1,I864="SBJ"),AND(J864=1,I864=0)),"?IN_FOCUS",IF(J864&lt;=2,"?ACTIVATED",IF(J864&lt;&gt;"","?FAMILIAR",IF(F864="NEW",IF(ISNA(VLOOKUP(E864,#REF!,1,FALSE())),"?TYPE_IDENTIFIABLE","?REFERENTIAL"),"_")))))</f>
        <v> </v>
      </c>
      <c r="H864" s="24" t="str">
        <f>IF(J864&lt;&gt;1,"",IF(I864="SBJ","CB","?"))</f>
        <v> </v>
      </c>
      <c r="I864" s="25" t="str">
        <f>IF(OR(E864="",E864="!!!",F864="NEW"),"",INDEX(B863:B$2,-1+SUMPRODUCT(MAX(ROW(E863:E$2)*(E864=E863:E$2)))))</f>
        <v> </v>
      </c>
      <c r="J864" s="25" t="str">
        <f>IF(OR(E864="",E864="!!!",F864="NEW"),"",COUNTBLANK(OFFSET(A$1,,,SUMPRODUCT(MAX(ROW(E$2:E864)*(E864=E$2:E864)))))-COUNTBLANK(OFFSET(A$1,,,SUMPRODUCT(MAX(ROW(E$1:E863)*(E2=E$1:E863))))))</f>
        <v> </v>
      </c>
      <c r="K864" s="25" t="str">
        <f>IF(OR(E864="",E864="!!!",F864="NEW"),"",INDEX(J$1:J863,SUMPRODUCT(MAX(ROW(E$1:E863)*(E864=E$1:E863)))))</f>
        <v> </v>
      </c>
      <c r="L864" s="26"/>
    </row>
    <row r="865" spans="1:12">
      <c r="A865" s="20" t="s">
        <v>824</v>
      </c>
      <c r="B865" s="27" t="s">
        <v>547</v>
      </c>
      <c r="C865" s="27" t="s">
        <v>498</v>
      </c>
      <c r="E865" s="21">
        <f>IF(D865="?OLD","!!!","")</f>
        <v/>
      </c>
      <c r="F865" s="22" t="str">
        <f>IF(OR(E865="",E865="!!!"),"",IF(NOT(ISNA(VLOOKUP(E865,E$1:E864,1,FALSE()))),"OLD",IF(AND(E865&lt;&gt;"",E865&lt;&gt;"!!!"),"NEW","")))</f>
        <v> </v>
      </c>
      <c r="G865" s="23" t="str">
        <f>IF(OR(E865="",E865="!!!"),"",IF(OR(J865=0,AND(J865=1,K865=1),AND(J865=1,I865="SBJ"),AND(J865=1,I865=0)),"?IN_FOCUS",IF(J865&lt;=2,"?ACTIVATED",IF(J865&lt;&gt;"","?FAMILIAR",IF(F865="NEW",IF(ISNA(VLOOKUP(E865,#REF!,1,FALSE())),"?TYPE_IDENTIFIABLE","?REFERENTIAL"),"_")))))</f>
        <v> </v>
      </c>
      <c r="H865" s="24" t="str">
        <f>IF(J865&lt;&gt;1,"",IF(I865="SBJ","CB","?"))</f>
        <v> </v>
      </c>
      <c r="I865" s="25" t="str">
        <f>IF(OR(E865="",E865="!!!",F865="NEW"),"",INDEX(B864:B$2,-1+SUMPRODUCT(MAX(ROW(E864:E$2)*(E865=E864:E$2)))))</f>
        <v> </v>
      </c>
      <c r="J865" s="25" t="str">
        <f>IF(OR(E865="",E865="!!!",F865="NEW"),"",COUNTBLANK(OFFSET(A$1,,,SUMPRODUCT(MAX(ROW(E$2:E865)*(E865=E$2:E865)))))-COUNTBLANK(OFFSET(A$1,,,SUMPRODUCT(MAX(ROW(E$1:E864)*(E2=E$1:E864))))))</f>
        <v> </v>
      </c>
      <c r="K865" s="25" t="str">
        <f>IF(OR(E865="",E865="!!!",F865="NEW"),"",INDEX(J$1:J864,SUMPRODUCT(MAX(ROW(E$1:E864)*(E865=E$1:E864)))))</f>
        <v> </v>
      </c>
      <c r="L865" s="26"/>
    </row>
    <row r="866" spans="1:12">
      <c r="A866" s="20" t="s">
        <v>825</v>
      </c>
      <c r="E866" s="21">
        <f>IF(D866="?OLD","!!!","")</f>
        <v/>
      </c>
      <c r="F866" s="22" t="str">
        <f>IF(OR(E866="",E866="!!!"),"",IF(NOT(ISNA(VLOOKUP(E866,E$1:E865,1,FALSE()))),"OLD",IF(AND(E866&lt;&gt;"",E866&lt;&gt;"!!!"),"NEW","")))</f>
        <v> </v>
      </c>
      <c r="G866" s="23" t="str">
        <f>IF(OR(E866="",E866="!!!"),"",IF(OR(J866=0,AND(J866=1,K866=1),AND(J866=1,I866="SBJ"),AND(J866=1,I866=0)),"?IN_FOCUS",IF(J866&lt;=2,"?ACTIVATED",IF(J866&lt;&gt;"","?FAMILIAR",IF(F866="NEW",IF(ISNA(VLOOKUP(E866,#REF!,1,FALSE())),"?TYPE_IDENTIFIABLE","?REFERENTIAL"),"_")))))</f>
        <v> </v>
      </c>
      <c r="H866" s="24" t="str">
        <f>IF(J866&lt;&gt;1,"",IF(I866="SBJ","CB","?"))</f>
        <v> </v>
      </c>
      <c r="I866" s="25" t="str">
        <f>IF(OR(E866="",E866="!!!",F866="NEW"),"",INDEX(B865:B$2,-1+SUMPRODUCT(MAX(ROW(E865:E$2)*(E866=E865:E$2)))))</f>
        <v> </v>
      </c>
      <c r="J866" s="25" t="str">
        <f>IF(OR(E866="",E866="!!!",F866="NEW"),"",COUNTBLANK(OFFSET(A$1,,,SUMPRODUCT(MAX(ROW(E$2:E866)*(E866=E$2:E866)))))-COUNTBLANK(OFFSET(A$1,,,SUMPRODUCT(MAX(ROW(E$1:E865)*(E2=E$1:E865))))))</f>
        <v> </v>
      </c>
      <c r="K866" s="25" t="str">
        <f>IF(OR(E866="",E866="!!!",F866="NEW"),"",INDEX(J$1:J865,SUMPRODUCT(MAX(ROW(E$1:E865)*(E866=E$1:E865)))))</f>
        <v> </v>
      </c>
      <c r="L866" s="26"/>
    </row>
    <row r="867" spans="1:12">
      <c r="A867" s="20" t="s">
        <v>489</v>
      </c>
      <c r="E867" s="21">
        <f>IF(D867="?OLD","!!!","")</f>
        <v/>
      </c>
      <c r="F867" s="22" t="str">
        <f>IF(OR(E867="",E867="!!!"),"",IF(NOT(ISNA(VLOOKUP(E867,E$1:E866,1,FALSE()))),"OLD",IF(AND(E867&lt;&gt;"",E867&lt;&gt;"!!!"),"NEW","")))</f>
        <v> </v>
      </c>
      <c r="G867" s="23" t="str">
        <f>IF(OR(E867="",E867="!!!"),"",IF(OR(J867=0,AND(J867=1,K867=1),AND(J867=1,I867="SBJ"),AND(J867=1,I867=0)),"?IN_FOCUS",IF(J867&lt;=2,"?ACTIVATED",IF(J867&lt;&gt;"","?FAMILIAR",IF(F867="NEW",IF(ISNA(VLOOKUP(E867,#REF!,1,FALSE())),"?TYPE_IDENTIFIABLE","?REFERENTIAL"),"_")))))</f>
        <v> </v>
      </c>
      <c r="H867" s="24" t="str">
        <f>IF(J867&lt;&gt;1,"",IF(I867="SBJ","CB","?"))</f>
        <v> </v>
      </c>
      <c r="I867" s="25" t="str">
        <f>IF(OR(E867="",E867="!!!",F867="NEW"),"",INDEX(B866:B$2,-1+SUMPRODUCT(MAX(ROW(E866:E$2)*(E867=E866:E$2)))))</f>
        <v> </v>
      </c>
      <c r="J867" s="25" t="str">
        <f>IF(OR(E867="",E867="!!!",F867="NEW"),"",COUNTBLANK(OFFSET(A$1,,,SUMPRODUCT(MAX(ROW(E$2:E867)*(E867=E$2:E867)))))-COUNTBLANK(OFFSET(A$1,,,SUMPRODUCT(MAX(ROW(E$1:E866)*(E2=E$1:E866))))))</f>
        <v> </v>
      </c>
      <c r="K867" s="25" t="str">
        <f>IF(OR(E867="",E867="!!!",F867="NEW"),"",INDEX(J$1:J866,SUMPRODUCT(MAX(ROW(E$1:E866)*(E867=E$1:E866)))))</f>
        <v> </v>
      </c>
      <c r="L867" s="26"/>
    </row>
    <row r="868" spans="1:12">
      <c r="A868" s="20" t="s">
        <v>826</v>
      </c>
      <c r="E868" s="21">
        <f>IF(D868="?OLD","!!!","")</f>
        <v/>
      </c>
      <c r="F868" s="22" t="str">
        <f>IF(OR(E868="",E868="!!!"),"",IF(NOT(ISNA(VLOOKUP(E868,E$1:E867,1,FALSE()))),"OLD",IF(AND(E868&lt;&gt;"",E868&lt;&gt;"!!!"),"NEW","")))</f>
        <v> </v>
      </c>
      <c r="G868" s="23" t="str">
        <f>IF(OR(E868="",E868="!!!"),"",IF(OR(J868=0,AND(J868=1,K868=1),AND(J868=1,I868="SBJ"),AND(J868=1,I868=0)),"?IN_FOCUS",IF(J868&lt;=2,"?ACTIVATED",IF(J868&lt;&gt;"","?FAMILIAR",IF(F868="NEW",IF(ISNA(VLOOKUP(E868,#REF!,1,FALSE())),"?TYPE_IDENTIFIABLE","?REFERENTIAL"),"_")))))</f>
        <v> </v>
      </c>
      <c r="H868" s="24" t="str">
        <f>IF(J868&lt;&gt;1,"",IF(I868="SBJ","CB","?"))</f>
        <v> </v>
      </c>
      <c r="I868" s="25" t="str">
        <f>IF(OR(E868="",E868="!!!",F868="NEW"),"",INDEX(B867:B$2,-1+SUMPRODUCT(MAX(ROW(E867:E$2)*(E868=E867:E$2)))))</f>
        <v> </v>
      </c>
      <c r="J868" s="25" t="str">
        <f>IF(OR(E868="",E868="!!!",F868="NEW"),"",COUNTBLANK(OFFSET(A$1,,,SUMPRODUCT(MAX(ROW(E$2:E868)*(E868=E$2:E868)))))-COUNTBLANK(OFFSET(A$1,,,SUMPRODUCT(MAX(ROW(E$1:E867)*(E2=E$1:E867))))))</f>
        <v> </v>
      </c>
      <c r="K868" s="25" t="str">
        <f>IF(OR(E868="",E868="!!!",F868="NEW"),"",INDEX(J$1:J867,SUMPRODUCT(MAX(ROW(E$1:E867)*(E868=E$1:E867)))))</f>
        <v> </v>
      </c>
      <c r="L868" s="26"/>
    </row>
    <row r="869" spans="1:12">
      <c r="A869" s="20" t="s">
        <v>805</v>
      </c>
      <c r="E869" s="21">
        <f>IF(D869="?OLD","!!!","")</f>
        <v/>
      </c>
      <c r="F869" s="22" t="str">
        <f>IF(OR(E869="",E869="!!!"),"",IF(NOT(ISNA(VLOOKUP(E869,E$1:E868,1,FALSE()))),"OLD",IF(AND(E869&lt;&gt;"",E869&lt;&gt;"!!!"),"NEW","")))</f>
        <v> </v>
      </c>
      <c r="G869" s="23" t="str">
        <f>IF(OR(E869="",E869="!!!"),"",IF(OR(J869=0,AND(J869=1,K869=1),AND(J869=1,I869="SBJ"),AND(J869=1,I869=0)),"?IN_FOCUS",IF(J869&lt;=2,"?ACTIVATED",IF(J869&lt;&gt;"","?FAMILIAR",IF(F869="NEW",IF(ISNA(VLOOKUP(E869,#REF!,1,FALSE())),"?TYPE_IDENTIFIABLE","?REFERENTIAL"),"_")))))</f>
        <v> </v>
      </c>
      <c r="H869" s="24" t="str">
        <f>IF(J869&lt;&gt;1,"",IF(I869="SBJ","CB","?"))</f>
        <v> </v>
      </c>
      <c r="I869" s="25" t="str">
        <f>IF(OR(E869="",E869="!!!",F869="NEW"),"",INDEX(B868:B$2,-1+SUMPRODUCT(MAX(ROW(E868:E$2)*(E869=E868:E$2)))))</f>
        <v> </v>
      </c>
      <c r="J869" s="25" t="str">
        <f>IF(OR(E869="",E869="!!!",F869="NEW"),"",COUNTBLANK(OFFSET(A$1,,,SUMPRODUCT(MAX(ROW(E$2:E869)*(E869=E$2:E869)))))-COUNTBLANK(OFFSET(A$1,,,SUMPRODUCT(MAX(ROW(E$1:E868)*(E2=E$1:E868))))))</f>
        <v> </v>
      </c>
      <c r="K869" s="25" t="str">
        <f>IF(OR(E869="",E869="!!!",F869="NEW"),"",INDEX(J$1:J868,SUMPRODUCT(MAX(ROW(E$1:E868)*(E869=E$1:E868)))))</f>
        <v> </v>
      </c>
      <c r="L869" s="26"/>
    </row>
    <row r="870" spans="1:12">
      <c r="A870" s="20" t="s">
        <v>495</v>
      </c>
      <c r="E870" s="21">
        <f>IF(D870="?OLD","!!!","")</f>
        <v/>
      </c>
      <c r="F870" s="22" t="str">
        <f>IF(OR(E870="",E870="!!!"),"",IF(NOT(ISNA(VLOOKUP(E870,E$1:E869,1,FALSE()))),"OLD",IF(AND(E870&lt;&gt;"",E870&lt;&gt;"!!!"),"NEW","")))</f>
        <v> </v>
      </c>
      <c r="G870" s="23" t="str">
        <f>IF(OR(E870="",E870="!!!"),"",IF(OR(J870=0,AND(J870=1,K870=1),AND(J870=1,I870="SBJ"),AND(J870=1,I870=0)),"?IN_FOCUS",IF(J870&lt;=2,"?ACTIVATED",IF(J870&lt;&gt;"","?FAMILIAR",IF(F870="NEW",IF(ISNA(VLOOKUP(E870,#REF!,1,FALSE())),"?TYPE_IDENTIFIABLE","?REFERENTIAL"),"_")))))</f>
        <v> </v>
      </c>
      <c r="H870" s="24" t="str">
        <f>IF(J870&lt;&gt;1,"",IF(I870="SBJ","CB","?"))</f>
        <v> </v>
      </c>
      <c r="I870" s="25" t="str">
        <f>IF(OR(E870="",E870="!!!",F870="NEW"),"",INDEX(B869:B$2,-1+SUMPRODUCT(MAX(ROW(E869:E$2)*(E870=E869:E$2)))))</f>
        <v> </v>
      </c>
      <c r="J870" s="25" t="str">
        <f>IF(OR(E870="",E870="!!!",F870="NEW"),"",COUNTBLANK(OFFSET(A$1,,,SUMPRODUCT(MAX(ROW(E$2:E870)*(E870=E$2:E870)))))-COUNTBLANK(OFFSET(A$1,,,SUMPRODUCT(MAX(ROW(E$1:E869)*(E2=E$1:E869))))))</f>
        <v> </v>
      </c>
      <c r="K870" s="25" t="str">
        <f>IF(OR(E870="",E870="!!!",F870="NEW"),"",INDEX(J$1:J869,SUMPRODUCT(MAX(ROW(E$1:E869)*(E870=E$1:E869)))))</f>
        <v> </v>
      </c>
      <c r="L870" s="26"/>
    </row>
    <row r="871" spans="1:12">
      <c r="A871" s="20" t="s">
        <v>827</v>
      </c>
      <c r="B871" s="27" t="s">
        <v>736</v>
      </c>
      <c r="C871" s="27" t="s">
        <v>498</v>
      </c>
      <c r="E871" s="21">
        <f>IF(D871="?OLD","!!!","")</f>
        <v/>
      </c>
      <c r="F871" s="22" t="str">
        <f>IF(OR(E871="",E871="!!!"),"",IF(NOT(ISNA(VLOOKUP(E871,E$1:E870,1,FALSE()))),"OLD",IF(AND(E871&lt;&gt;"",E871&lt;&gt;"!!!"),"NEW","")))</f>
        <v> </v>
      </c>
      <c r="G871" s="23" t="str">
        <f>IF(OR(E871="",E871="!!!"),"",IF(OR(J871=0,AND(J871=1,K871=1),AND(J871=1,I871="SBJ"),AND(J871=1,I871=0)),"?IN_FOCUS",IF(J871&lt;=2,"?ACTIVATED",IF(J871&lt;&gt;"","?FAMILIAR",IF(F871="NEW",IF(ISNA(VLOOKUP(E871,#REF!,1,FALSE())),"?TYPE_IDENTIFIABLE","?REFERENTIAL"),"_")))))</f>
        <v> </v>
      </c>
      <c r="H871" s="24" t="str">
        <f>IF(J871&lt;&gt;1,"",IF(I871="SBJ","CB","?"))</f>
        <v> </v>
      </c>
      <c r="I871" s="25" t="str">
        <f>IF(OR(E871="",E871="!!!",F871="NEW"),"",INDEX(B870:B$2,-1+SUMPRODUCT(MAX(ROW(E870:E$2)*(E871=E870:E$2)))))</f>
        <v> </v>
      </c>
      <c r="J871" s="25" t="str">
        <f>IF(OR(E871="",E871="!!!",F871="NEW"),"",COUNTBLANK(OFFSET(A$1,,,SUMPRODUCT(MAX(ROW(E$2:E871)*(E871=E$2:E871)))))-COUNTBLANK(OFFSET(A$1,,,SUMPRODUCT(MAX(ROW(E$1:E870)*(E2=E$1:E870))))))</f>
        <v> </v>
      </c>
      <c r="K871" s="25" t="str">
        <f>IF(OR(E871="",E871="!!!",F871="NEW"),"",INDEX(J$1:J870,SUMPRODUCT(MAX(ROW(E$1:E870)*(E871=E$1:E870)))))</f>
        <v> </v>
      </c>
      <c r="L871" s="26"/>
    </row>
    <row r="872" spans="1:12">
      <c r="A872" s="20" t="s">
        <v>489</v>
      </c>
      <c r="E872" s="21">
        <f>IF(D872="?OLD","!!!","")</f>
        <v/>
      </c>
      <c r="F872" s="22" t="str">
        <f>IF(OR(E872="",E872="!!!"),"",IF(NOT(ISNA(VLOOKUP(E872,E$1:E871,1,FALSE()))),"OLD",IF(AND(E872&lt;&gt;"",E872&lt;&gt;"!!!"),"NEW","")))</f>
        <v> </v>
      </c>
      <c r="G872" s="23" t="str">
        <f>IF(OR(E872="",E872="!!!"),"",IF(OR(J872=0,AND(J872=1,K872=1),AND(J872=1,I872="SBJ"),AND(J872=1,I872=0)),"?IN_FOCUS",IF(J872&lt;=2,"?ACTIVATED",IF(J872&lt;&gt;"","?FAMILIAR",IF(F872="NEW",IF(ISNA(VLOOKUP(E872,#REF!,1,FALSE())),"?TYPE_IDENTIFIABLE","?REFERENTIAL"),"_")))))</f>
        <v> </v>
      </c>
      <c r="H872" s="24" t="str">
        <f>IF(J872&lt;&gt;1,"",IF(I872="SBJ","CB","?"))</f>
        <v> </v>
      </c>
      <c r="I872" s="25" t="str">
        <f>IF(OR(E872="",E872="!!!",F872="NEW"),"",INDEX(B871:B$2,-1+SUMPRODUCT(MAX(ROW(E871:E$2)*(E872=E871:E$2)))))</f>
        <v> </v>
      </c>
      <c r="J872" s="25" t="str">
        <f>IF(OR(E872="",E872="!!!",F872="NEW"),"",COUNTBLANK(OFFSET(A$1,,,SUMPRODUCT(MAX(ROW(E$2:E872)*(E872=E$2:E872)))))-COUNTBLANK(OFFSET(A$1,,,SUMPRODUCT(MAX(ROW(E$1:E871)*(E2=E$1:E871))))))</f>
        <v> </v>
      </c>
      <c r="K872" s="25" t="str">
        <f>IF(OR(E872="",E872="!!!",F872="NEW"),"",INDEX(J$1:J871,SUMPRODUCT(MAX(ROW(E$1:E871)*(E872=E$1:E871)))))</f>
        <v> </v>
      </c>
      <c r="L872" s="26"/>
    </row>
    <row r="873" spans="1:12">
      <c r="A873" s="20" t="s">
        <v>550</v>
      </c>
      <c r="E873" s="21">
        <f>IF(D873="?OLD","!!!","")</f>
        <v/>
      </c>
      <c r="F873" s="22" t="str">
        <f>IF(OR(E873="",E873="!!!"),"",IF(NOT(ISNA(VLOOKUP(E873,E$1:E872,1,FALSE()))),"OLD",IF(AND(E873&lt;&gt;"",E873&lt;&gt;"!!!"),"NEW","")))</f>
        <v> </v>
      </c>
      <c r="G873" s="23" t="str">
        <f>IF(OR(E873="",E873="!!!"),"",IF(OR(J873=0,AND(J873=1,K873=1),AND(J873=1,I873="SBJ"),AND(J873=1,I873=0)),"?IN_FOCUS",IF(J873&lt;=2,"?ACTIVATED",IF(J873&lt;&gt;"","?FAMILIAR",IF(F873="NEW",IF(ISNA(VLOOKUP(E873,#REF!,1,FALSE())),"?TYPE_IDENTIFIABLE","?REFERENTIAL"),"_")))))</f>
        <v> </v>
      </c>
      <c r="H873" s="24" t="str">
        <f>IF(J873&lt;&gt;1,"",IF(I873="SBJ","CB","?"))</f>
        <v> </v>
      </c>
      <c r="I873" s="25" t="str">
        <f>IF(OR(E873="",E873="!!!",F873="NEW"),"",INDEX(B872:B$2,-1+SUMPRODUCT(MAX(ROW(E872:E$2)*(E873=E872:E$2)))))</f>
        <v> </v>
      </c>
      <c r="J873" s="25" t="str">
        <f>IF(OR(E873="",E873="!!!",F873="NEW"),"",COUNTBLANK(OFFSET(A$1,,,SUMPRODUCT(MAX(ROW(E$2:E873)*(E873=E$2:E873)))))-COUNTBLANK(OFFSET(A$1,,,SUMPRODUCT(MAX(ROW(E$1:E872)*(E2=E$1:E872))))))</f>
        <v> </v>
      </c>
      <c r="K873" s="25" t="str">
        <f>IF(OR(E873="",E873="!!!",F873="NEW"),"",INDEX(J$1:J872,SUMPRODUCT(MAX(ROW(E$1:E872)*(E873=E$1:E872)))))</f>
        <v> </v>
      </c>
      <c r="L873" s="26"/>
    </row>
    <row r="874" spans="1:12">
      <c r="A874" s="20" t="s">
        <v>380</v>
      </c>
      <c r="E874" s="21">
        <f>IF(D874="?OLD","!!!","")</f>
        <v/>
      </c>
      <c r="F874" s="22" t="str">
        <f>IF(OR(E874="",E874="!!!"),"",IF(NOT(ISNA(VLOOKUP(E874,E$1:E873,1,FALSE()))),"OLD",IF(AND(E874&lt;&gt;"",E874&lt;&gt;"!!!"),"NEW","")))</f>
        <v> </v>
      </c>
      <c r="G874" s="23" t="str">
        <f>IF(OR(E874="",E874="!!!"),"",IF(OR(J874=0,AND(J874=1,K874=1),AND(J874=1,I874="SBJ"),AND(J874=1,I874=0)),"?IN_FOCUS",IF(J874&lt;=2,"?ACTIVATED",IF(J874&lt;&gt;"","?FAMILIAR",IF(F874="NEW",IF(ISNA(VLOOKUP(E874,#REF!,1,FALSE())),"?TYPE_IDENTIFIABLE","?REFERENTIAL"),"_")))))</f>
        <v> </v>
      </c>
      <c r="H874" s="24" t="str">
        <f>IF(J874&lt;&gt;1,"",IF(I874="SBJ","CB","?"))</f>
        <v> </v>
      </c>
      <c r="I874" s="25" t="str">
        <f>IF(OR(E874="",E874="!!!",F874="NEW"),"",INDEX(B873:B$2,-1+SUMPRODUCT(MAX(ROW(E873:E$2)*(E874=E873:E$2)))))</f>
        <v> </v>
      </c>
      <c r="J874" s="25" t="str">
        <f>IF(OR(E874="",E874="!!!",F874="NEW"),"",COUNTBLANK(OFFSET(A$1,,,SUMPRODUCT(MAX(ROW(E$2:E874)*(E874=E$2:E874)))))-COUNTBLANK(OFFSET(A$1,,,SUMPRODUCT(MAX(ROW(E$1:E873)*(E2=E$1:E873))))))</f>
        <v> </v>
      </c>
      <c r="K874" s="25" t="str">
        <f>IF(OR(E874="",E874="!!!",F874="NEW"),"",INDEX(J$1:J873,SUMPRODUCT(MAX(ROW(E$1:E873)*(E874=E$1:E873)))))</f>
        <v> </v>
      </c>
      <c r="L874" s="26"/>
    </row>
    <row r="875" spans="1:12">
      <c r="A875" s="20" t="s">
        <v>824</v>
      </c>
      <c r="B875" s="27" t="s">
        <v>537</v>
      </c>
      <c r="C875" s="27" t="s">
        <v>764</v>
      </c>
      <c r="E875" s="21">
        <f>IF(D875="?OLD","!!!","")</f>
        <v/>
      </c>
      <c r="F875" s="22" t="str">
        <f>IF(OR(E875="",E875="!!!"),"",IF(NOT(ISNA(VLOOKUP(E875,E$1:E874,1,FALSE()))),"OLD",IF(AND(E875&lt;&gt;"",E875&lt;&gt;"!!!"),"NEW","")))</f>
        <v> </v>
      </c>
      <c r="G875" s="23" t="str">
        <f>IF(OR(E875="",E875="!!!"),"",IF(OR(J875=0,AND(J875=1,K875=1),AND(J875=1,I875="SBJ"),AND(J875=1,I875=0)),"?IN_FOCUS",IF(J875&lt;=2,"?ACTIVATED",IF(J875&lt;&gt;"","?FAMILIAR",IF(F875="NEW",IF(ISNA(VLOOKUP(E875,#REF!,1,FALSE())),"?TYPE_IDENTIFIABLE","?REFERENTIAL"),"_")))))</f>
        <v> </v>
      </c>
      <c r="H875" s="24" t="str">
        <f>IF(J875&lt;&gt;1,"",IF(I875="SBJ","CB","?"))</f>
        <v> </v>
      </c>
      <c r="I875" s="25" t="str">
        <f>IF(OR(E875="",E875="!!!",F875="NEW"),"",INDEX(B874:B$2,-1+SUMPRODUCT(MAX(ROW(E874:E$2)*(E875=E874:E$2)))))</f>
        <v> </v>
      </c>
      <c r="J875" s="25" t="str">
        <f>IF(OR(E875="",E875="!!!",F875="NEW"),"",COUNTBLANK(OFFSET(A$1,,,SUMPRODUCT(MAX(ROW(E$2:E875)*(E875=E$2:E875)))))-COUNTBLANK(OFFSET(A$1,,,SUMPRODUCT(MAX(ROW(E$1:E874)*(E2=E$1:E874))))))</f>
        <v> </v>
      </c>
      <c r="K875" s="25" t="str">
        <f>IF(OR(E875="",E875="!!!",F875="NEW"),"",INDEX(J$1:J874,SUMPRODUCT(MAX(ROW(E$1:E874)*(E875=E$1:E874)))))</f>
        <v> </v>
      </c>
      <c r="L875" s="26"/>
    </row>
    <row r="876" spans="1:12">
      <c r="A876" s="20" t="s">
        <v>825</v>
      </c>
      <c r="E876" s="21">
        <f>IF(D876="?OLD","!!!","")</f>
        <v/>
      </c>
      <c r="F876" s="22" t="str">
        <f>IF(OR(E876="",E876="!!!"),"",IF(NOT(ISNA(VLOOKUP(E876,E$1:E875,1,FALSE()))),"OLD",IF(AND(E876&lt;&gt;"",E876&lt;&gt;"!!!"),"NEW","")))</f>
        <v> </v>
      </c>
      <c r="G876" s="23" t="str">
        <f>IF(OR(E876="",E876="!!!"),"",IF(OR(J876=0,AND(J876=1,K876=1),AND(J876=1,I876="SBJ"),AND(J876=1,I876=0)),"?IN_FOCUS",IF(J876&lt;=2,"?ACTIVATED",IF(J876&lt;&gt;"","?FAMILIAR",IF(F876="NEW",IF(ISNA(VLOOKUP(E876,#REF!,1,FALSE())),"?TYPE_IDENTIFIABLE","?REFERENTIAL"),"_")))))</f>
        <v> </v>
      </c>
      <c r="H876" s="24" t="str">
        <f>IF(J876&lt;&gt;1,"",IF(I876="SBJ","CB","?"))</f>
        <v> </v>
      </c>
      <c r="I876" s="25" t="str">
        <f>IF(OR(E876="",E876="!!!",F876="NEW"),"",INDEX(B875:B$2,-1+SUMPRODUCT(MAX(ROW(E875:E$2)*(E876=E875:E$2)))))</f>
        <v> </v>
      </c>
      <c r="J876" s="25" t="str">
        <f>IF(OR(E876="",E876="!!!",F876="NEW"),"",COUNTBLANK(OFFSET(A$1,,,SUMPRODUCT(MAX(ROW(E$2:E876)*(E876=E$2:E876)))))-COUNTBLANK(OFFSET(A$1,,,SUMPRODUCT(MAX(ROW(E$1:E875)*(E2=E$1:E875))))))</f>
        <v> </v>
      </c>
      <c r="K876" s="25" t="str">
        <f>IF(OR(E876="",E876="!!!",F876="NEW"),"",INDEX(J$1:J875,SUMPRODUCT(MAX(ROW(E$1:E875)*(E876=E$1:E875)))))</f>
        <v> </v>
      </c>
      <c r="L876" s="26"/>
    </row>
    <row r="877" spans="1:12">
      <c r="A877" s="20" t="s">
        <v>828</v>
      </c>
      <c r="E877" s="21">
        <f>IF(D877="?OLD","!!!","")</f>
        <v/>
      </c>
      <c r="F877" s="22" t="str">
        <f>IF(OR(E877="",E877="!!!"),"",IF(NOT(ISNA(VLOOKUP(E877,E$1:E876,1,FALSE()))),"OLD",IF(AND(E877&lt;&gt;"",E877&lt;&gt;"!!!"),"NEW","")))</f>
        <v> </v>
      </c>
      <c r="G877" s="23" t="str">
        <f>IF(OR(E877="",E877="!!!"),"",IF(OR(J877=0,AND(J877=1,K877=1),AND(J877=1,I877="SBJ"),AND(J877=1,I877=0)),"?IN_FOCUS",IF(J877&lt;=2,"?ACTIVATED",IF(J877&lt;&gt;"","?FAMILIAR",IF(F877="NEW",IF(ISNA(VLOOKUP(E877,#REF!,1,FALSE())),"?TYPE_IDENTIFIABLE","?REFERENTIAL"),"_")))))</f>
        <v> </v>
      </c>
      <c r="H877" s="24" t="str">
        <f>IF(J877&lt;&gt;1,"",IF(I877="SBJ","CB","?"))</f>
        <v> </v>
      </c>
      <c r="I877" s="25" t="str">
        <f>IF(OR(E877="",E877="!!!",F877="NEW"),"",INDEX(B876:B$2,-1+SUMPRODUCT(MAX(ROW(E876:E$2)*(E877=E876:E$2)))))</f>
        <v> </v>
      </c>
      <c r="J877" s="25" t="str">
        <f>IF(OR(E877="",E877="!!!",F877="NEW"),"",COUNTBLANK(OFFSET(A$1,,,SUMPRODUCT(MAX(ROW(E$2:E877)*(E877=E$2:E877)))))-COUNTBLANK(OFFSET(A$1,,,SUMPRODUCT(MAX(ROW(E$1:E876)*(E2=E$1:E876))))))</f>
        <v> </v>
      </c>
      <c r="K877" s="25" t="str">
        <f>IF(OR(E877="",E877="!!!",F877="NEW"),"",INDEX(J$1:J876,SUMPRODUCT(MAX(ROW(E$1:E876)*(E877=E$1:E876)))))</f>
        <v> </v>
      </c>
      <c r="L877" s="26"/>
    </row>
    <row r="878" spans="1:12">
      <c r="A878" s="20" t="s">
        <v>489</v>
      </c>
      <c r="E878" s="21">
        <f>IF(D878="?OLD","!!!","")</f>
        <v/>
      </c>
      <c r="F878" s="22" t="str">
        <f>IF(OR(E878="",E878="!!!"),"",IF(NOT(ISNA(VLOOKUP(E878,E$1:E877,1,FALSE()))),"OLD",IF(AND(E878&lt;&gt;"",E878&lt;&gt;"!!!"),"NEW","")))</f>
        <v> </v>
      </c>
      <c r="G878" s="23" t="str">
        <f>IF(OR(E878="",E878="!!!"),"",IF(OR(J878=0,AND(J878=1,K878=1),AND(J878=1,I878="SBJ"),AND(J878=1,I878=0)),"?IN_FOCUS",IF(J878&lt;=2,"?ACTIVATED",IF(J878&lt;&gt;"","?FAMILIAR",IF(F878="NEW",IF(ISNA(VLOOKUP(E878,#REF!,1,FALSE())),"?TYPE_IDENTIFIABLE","?REFERENTIAL"),"_")))))</f>
        <v> </v>
      </c>
      <c r="H878" s="24" t="str">
        <f>IF(J878&lt;&gt;1,"",IF(I878="SBJ","CB","?"))</f>
        <v> </v>
      </c>
      <c r="I878" s="25" t="str">
        <f>IF(OR(E878="",E878="!!!",F878="NEW"),"",INDEX(B877:B$2,-1+SUMPRODUCT(MAX(ROW(E877:E$2)*(E878=E877:E$2)))))</f>
        <v> </v>
      </c>
      <c r="J878" s="25" t="str">
        <f>IF(OR(E878="",E878="!!!",F878="NEW"),"",COUNTBLANK(OFFSET(A$1,,,SUMPRODUCT(MAX(ROW(E$2:E878)*(E878=E$2:E878)))))-COUNTBLANK(OFFSET(A$1,,,SUMPRODUCT(MAX(ROW(E$1:E877)*(E2=E$1:E877))))))</f>
        <v> </v>
      </c>
      <c r="K878" s="25" t="str">
        <f>IF(OR(E878="",E878="!!!",F878="NEW"),"",INDEX(J$1:J877,SUMPRODUCT(MAX(ROW(E$1:E877)*(E878=E$1:E877)))))</f>
        <v> </v>
      </c>
      <c r="L878" s="26"/>
    </row>
    <row r="879" spans="1:12">
      <c r="A879" s="20" t="s">
        <v>577</v>
      </c>
      <c r="E879" s="21">
        <f>IF(D879="?OLD","!!!","")</f>
        <v/>
      </c>
      <c r="F879" s="22" t="str">
        <f>IF(OR(E879="",E879="!!!"),"",IF(NOT(ISNA(VLOOKUP(E879,E$1:E878,1,FALSE()))),"OLD",IF(AND(E879&lt;&gt;"",E879&lt;&gt;"!!!"),"NEW","")))</f>
        <v> </v>
      </c>
      <c r="G879" s="23" t="str">
        <f>IF(OR(E879="",E879="!!!"),"",IF(OR(J879=0,AND(J879=1,K879=1),AND(J879=1,I879="SBJ"),AND(J879=1,I879=0)),"?IN_FOCUS",IF(J879&lt;=2,"?ACTIVATED",IF(J879&lt;&gt;"","?FAMILIAR",IF(F879="NEW",IF(ISNA(VLOOKUP(E879,#REF!,1,FALSE())),"?TYPE_IDENTIFIABLE","?REFERENTIAL"),"_")))))</f>
        <v> </v>
      </c>
      <c r="H879" s="24" t="str">
        <f>IF(J879&lt;&gt;1,"",IF(I879="SBJ","CB","?"))</f>
        <v> </v>
      </c>
      <c r="I879" s="25" t="str">
        <f>IF(OR(E879="",E879="!!!",F879="NEW"),"",INDEX(B878:B$2,-1+SUMPRODUCT(MAX(ROW(E878:E$2)*(E879=E878:E$2)))))</f>
        <v> </v>
      </c>
      <c r="J879" s="25" t="str">
        <f>IF(OR(E879="",E879="!!!",F879="NEW"),"",COUNTBLANK(OFFSET(A$1,,,SUMPRODUCT(MAX(ROW(E$2:E879)*(E879=E$2:E879)))))-COUNTBLANK(OFFSET(A$1,,,SUMPRODUCT(MAX(ROW(E$1:E878)*(E2=E$1:E878))))))</f>
        <v> </v>
      </c>
      <c r="K879" s="25" t="str">
        <f>IF(OR(E879="",E879="!!!",F879="NEW"),"",INDEX(J$1:J878,SUMPRODUCT(MAX(ROW(E$1:E878)*(E879=E$1:E878)))))</f>
        <v> </v>
      </c>
      <c r="L879" s="26"/>
    </row>
    <row r="880" spans="1:12">
      <c r="A880" s="20" t="s">
        <v>380</v>
      </c>
      <c r="E880" s="21">
        <f>IF(D880="?OLD","!!!","")</f>
        <v/>
      </c>
      <c r="F880" s="22" t="str">
        <f>IF(OR(E880="",E880="!!!"),"",IF(NOT(ISNA(VLOOKUP(E880,E$1:E879,1,FALSE()))),"OLD",IF(AND(E880&lt;&gt;"",E880&lt;&gt;"!!!"),"NEW","")))</f>
        <v> </v>
      </c>
      <c r="G880" s="23" t="str">
        <f>IF(OR(E880="",E880="!!!"),"",IF(OR(J880=0,AND(J880=1,K880=1),AND(J880=1,I880="SBJ"),AND(J880=1,I880=0)),"?IN_FOCUS",IF(J880&lt;=2,"?ACTIVATED",IF(J880&lt;&gt;"","?FAMILIAR",IF(F880="NEW",IF(ISNA(VLOOKUP(E880,#REF!,1,FALSE())),"?TYPE_IDENTIFIABLE","?REFERENTIAL"),"_")))))</f>
        <v> </v>
      </c>
      <c r="H880" s="24" t="str">
        <f>IF(J880&lt;&gt;1,"",IF(I880="SBJ","CB","?"))</f>
        <v> </v>
      </c>
      <c r="I880" s="25" t="str">
        <f>IF(OR(E880="",E880="!!!",F880="NEW"),"",INDEX(B879:B$2,-1+SUMPRODUCT(MAX(ROW(E879:E$2)*(E880=E879:E$2)))))</f>
        <v> </v>
      </c>
      <c r="J880" s="25" t="str">
        <f>IF(OR(E880="",E880="!!!",F880="NEW"),"",COUNTBLANK(OFFSET(A$1,,,SUMPRODUCT(MAX(ROW(E$2:E880)*(E880=E$2:E880)))))-COUNTBLANK(OFFSET(A$1,,,SUMPRODUCT(MAX(ROW(E$1:E879)*(E2=E$1:E879))))))</f>
        <v> </v>
      </c>
      <c r="K880" s="25" t="str">
        <f>IF(OR(E880="",E880="!!!",F880="NEW"),"",INDEX(J$1:J879,SUMPRODUCT(MAX(ROW(E$1:E879)*(E880=E$1:E879)))))</f>
        <v> </v>
      </c>
      <c r="L880" s="26"/>
    </row>
    <row r="881" spans="1:12">
      <c r="A881" s="20" t="s">
        <v>544</v>
      </c>
      <c r="E881" s="21">
        <f>IF(D881="?OLD","!!!","")</f>
        <v/>
      </c>
      <c r="F881" s="22" t="str">
        <f>IF(OR(E881="",E881="!!!"),"",IF(NOT(ISNA(VLOOKUP(E881,E$1:E880,1,FALSE()))),"OLD",IF(AND(E881&lt;&gt;"",E881&lt;&gt;"!!!"),"NEW","")))</f>
        <v> </v>
      </c>
      <c r="G881" s="23" t="str">
        <f>IF(OR(E881="",E881="!!!"),"",IF(OR(J881=0,AND(J881=1,K881=1),AND(J881=1,I881="SBJ"),AND(J881=1,I881=0)),"?IN_FOCUS",IF(J881&lt;=2,"?ACTIVATED",IF(J881&lt;&gt;"","?FAMILIAR",IF(F881="NEW",IF(ISNA(VLOOKUP(E881,#REF!,1,FALSE())),"?TYPE_IDENTIFIABLE","?REFERENTIAL"),"_")))))</f>
        <v> </v>
      </c>
      <c r="H881" s="24" t="str">
        <f>IF(J881&lt;&gt;1,"",IF(I881="SBJ","CB","?"))</f>
        <v> </v>
      </c>
      <c r="I881" s="25" t="str">
        <f>IF(OR(E881="",E881="!!!",F881="NEW"),"",INDEX(B880:B$2,-1+SUMPRODUCT(MAX(ROW(E880:E$2)*(E881=E880:E$2)))))</f>
        <v> </v>
      </c>
      <c r="J881" s="25" t="str">
        <f>IF(OR(E881="",E881="!!!",F881="NEW"),"",COUNTBLANK(OFFSET(A$1,,,SUMPRODUCT(MAX(ROW(E$2:E881)*(E881=E$2:E881)))))-COUNTBLANK(OFFSET(A$1,,,SUMPRODUCT(MAX(ROW(E$1:E880)*(E2=E$1:E880))))))</f>
        <v> </v>
      </c>
      <c r="K881" s="25" t="str">
        <f>IF(OR(E881="",E881="!!!",F881="NEW"),"",INDEX(J$1:J880,SUMPRODUCT(MAX(ROW(E$1:E880)*(E881=E$1:E880)))))</f>
        <v> </v>
      </c>
      <c r="L881" s="26"/>
    </row>
    <row r="882" spans="1:12">
      <c r="A882" s="20" t="s">
        <v>486</v>
      </c>
      <c r="B882" s="27" t="s">
        <v>542</v>
      </c>
      <c r="C882" s="27" t="s">
        <v>498</v>
      </c>
      <c r="E882" s="21">
        <f>IF(D882="?OLD","!!!","")</f>
        <v/>
      </c>
      <c r="F882" s="22" t="str">
        <f>IF(OR(E882="",E882="!!!"),"",IF(NOT(ISNA(VLOOKUP(E882,E$1:E881,1,FALSE()))),"OLD",IF(AND(E882&lt;&gt;"",E882&lt;&gt;"!!!"),"NEW","")))</f>
        <v> </v>
      </c>
      <c r="G882" s="23" t="str">
        <f>IF(OR(E882="",E882="!!!"),"",IF(OR(J882=0,AND(J882=1,K882=1),AND(J882=1,I882="SBJ"),AND(J882=1,I882=0)),"?IN_FOCUS",IF(J882&lt;=2,"?ACTIVATED",IF(J882&lt;&gt;"","?FAMILIAR",IF(F882="NEW",IF(ISNA(VLOOKUP(E882,#REF!,1,FALSE())),"?TYPE_IDENTIFIABLE","?REFERENTIAL"),"_")))))</f>
        <v> </v>
      </c>
      <c r="H882" s="24" t="str">
        <f>IF(J882&lt;&gt;1,"",IF(I882="SBJ","CB","?"))</f>
        <v> </v>
      </c>
      <c r="I882" s="25" t="str">
        <f>IF(OR(E882="",E882="!!!",F882="NEW"),"",INDEX(B881:B$2,-1+SUMPRODUCT(MAX(ROW(E881:E$2)*(E882=E881:E$2)))))</f>
        <v> </v>
      </c>
      <c r="J882" s="25" t="str">
        <f>IF(OR(E882="",E882="!!!",F882="NEW"),"",COUNTBLANK(OFFSET(A$1,,,SUMPRODUCT(MAX(ROW(E$2:E882)*(E882=E$2:E882)))))-COUNTBLANK(OFFSET(A$1,,,SUMPRODUCT(MAX(ROW(E$1:E881)*(E2=E$1:E881))))))</f>
        <v> </v>
      </c>
      <c r="K882" s="25" t="str">
        <f>IF(OR(E882="",E882="!!!",F882="NEW"),"",INDEX(J$1:J881,SUMPRODUCT(MAX(ROW(E$1:E881)*(E882=E$1:E881)))))</f>
        <v> </v>
      </c>
      <c r="L882" s="26"/>
    </row>
    <row r="883" spans="1:12">
      <c r="A883" s="20" t="s">
        <v>543</v>
      </c>
      <c r="E883" s="21">
        <f>IF(D883="?OLD","!!!","")</f>
        <v/>
      </c>
      <c r="F883" s="22" t="str">
        <f>IF(OR(E883="",E883="!!!"),"",IF(NOT(ISNA(VLOOKUP(E883,E$1:E882,1,FALSE()))),"OLD",IF(AND(E883&lt;&gt;"",E883&lt;&gt;"!!!"),"NEW","")))</f>
        <v> </v>
      </c>
      <c r="G883" s="23" t="str">
        <f>IF(OR(E883="",E883="!!!"),"",IF(OR(J883=0,AND(J883=1,K883=1),AND(J883=1,I883="SBJ"),AND(J883=1,I883=0)),"?IN_FOCUS",IF(J883&lt;=2,"?ACTIVATED",IF(J883&lt;&gt;"","?FAMILIAR",IF(F883="NEW",IF(ISNA(VLOOKUP(E883,#REF!,1,FALSE())),"?TYPE_IDENTIFIABLE","?REFERENTIAL"),"_")))))</f>
        <v> </v>
      </c>
      <c r="H883" s="24" t="str">
        <f>IF(J883&lt;&gt;1,"",IF(I883="SBJ","CB","?"))</f>
        <v> </v>
      </c>
      <c r="I883" s="25" t="str">
        <f>IF(OR(E883="",E883="!!!",F883="NEW"),"",INDEX(B882:B$2,-1+SUMPRODUCT(MAX(ROW(E882:E$2)*(E883=E882:E$2)))))</f>
        <v> </v>
      </c>
      <c r="J883" s="25" t="str">
        <f>IF(OR(E883="",E883="!!!",F883="NEW"),"",COUNTBLANK(OFFSET(A$1,,,SUMPRODUCT(MAX(ROW(E$2:E883)*(E883=E$2:E883)))))-COUNTBLANK(OFFSET(A$1,,,SUMPRODUCT(MAX(ROW(E$1:E882)*(E2=E$1:E882))))))</f>
        <v> </v>
      </c>
      <c r="K883" s="25" t="str">
        <f>IF(OR(E883="",E883="!!!",F883="NEW"),"",INDEX(J$1:J882,SUMPRODUCT(MAX(ROW(E$1:E882)*(E883=E$1:E882)))))</f>
        <v> </v>
      </c>
      <c r="L883" s="26"/>
    </row>
    <row r="884" spans="1:12">
      <c r="A884" s="20" t="s">
        <v>531</v>
      </c>
      <c r="E884" s="21">
        <f>IF(D884="?OLD","!!!","")</f>
        <v/>
      </c>
      <c r="F884" s="22" t="str">
        <f>IF(OR(E884="",E884="!!!"),"",IF(NOT(ISNA(VLOOKUP(E884,E$1:E883,1,FALSE()))),"OLD",IF(AND(E884&lt;&gt;"",E884&lt;&gt;"!!!"),"NEW","")))</f>
        <v> </v>
      </c>
      <c r="G884" s="23" t="str">
        <f>IF(OR(E884="",E884="!!!"),"",IF(OR(J884=0,AND(J884=1,K884=1),AND(J884=1,I884="SBJ"),AND(J884=1,I884=0)),"?IN_FOCUS",IF(J884&lt;=2,"?ACTIVATED",IF(J884&lt;&gt;"","?FAMILIAR",IF(F884="NEW",IF(ISNA(VLOOKUP(E884,#REF!,1,FALSE())),"?TYPE_IDENTIFIABLE","?REFERENTIAL"),"_")))))</f>
        <v> </v>
      </c>
      <c r="H884" s="24" t="str">
        <f>IF(J884&lt;&gt;1,"",IF(I884="SBJ","CB","?"))</f>
        <v> </v>
      </c>
      <c r="I884" s="25" t="str">
        <f>IF(OR(E884="",E884="!!!",F884="NEW"),"",INDEX(B883:B$2,-1+SUMPRODUCT(MAX(ROW(E883:E$2)*(E884=E883:E$2)))))</f>
        <v> </v>
      </c>
      <c r="J884" s="25" t="str">
        <f>IF(OR(E884="",E884="!!!",F884="NEW"),"",COUNTBLANK(OFFSET(A$1,,,SUMPRODUCT(MAX(ROW(E$2:E884)*(E884=E$2:E884)))))-COUNTBLANK(OFFSET(A$1,,,SUMPRODUCT(MAX(ROW(E$1:E883)*(E2=E$1:E883))))))</f>
        <v> </v>
      </c>
      <c r="K884" s="25" t="str">
        <f>IF(OR(E884="",E884="!!!",F884="NEW"),"",INDEX(J$1:J883,SUMPRODUCT(MAX(ROW(E$1:E883)*(E884=E$1:E883)))))</f>
        <v> </v>
      </c>
      <c r="L884" s="26"/>
    </row>
    <row r="885" spans="1:12">
      <c r="A885" s="20"/>
    </row>
    <row r="886" spans="1:12">
      <c r="A886" s="20" t="s">
        <v>829</v>
      </c>
    </row>
    <row r="887" spans="1:12">
      <c r="A887" s="20" t="s">
        <v>776</v>
      </c>
      <c r="E887" s="21">
        <f>IF(D887="?OLD","!!!","")</f>
        <v/>
      </c>
      <c r="F887" s="22" t="str">
        <f>IF(OR(E887="",E887="!!!"),"",IF(NOT(ISNA(VLOOKUP(E887,E$1:E886,1,FALSE()))),"OLD",IF(AND(E887&lt;&gt;"",E887&lt;&gt;"!!!"),"NEW","")))</f>
        <v> </v>
      </c>
      <c r="G887" s="23" t="str">
        <f>IF(OR(E887="",E887="!!!"),"",IF(OR(J887=0,AND(J887=1,K887=1),AND(J887=1,I887="SBJ"),AND(J887=1,I887=0)),"?IN_FOCUS",IF(J887&lt;=2,"?ACTIVATED",IF(J887&lt;&gt;"","?FAMILIAR",IF(F887="NEW",IF(ISNA(VLOOKUP(E887,#REF!,1,FALSE())),"?TYPE_IDENTIFIABLE","?REFERENTIAL"),"_")))))</f>
        <v> </v>
      </c>
      <c r="H887" s="24" t="str">
        <f>IF(J887&lt;&gt;1,"",IF(I887="SBJ","CB","?"))</f>
        <v> </v>
      </c>
      <c r="I887" s="25" t="str">
        <f>IF(OR(E887="",E887="!!!",F887="NEW"),"",INDEX(B886:B$2,-1+SUMPRODUCT(MAX(ROW(E886:E$2)*(E887=E886:E$2)))))</f>
        <v> </v>
      </c>
      <c r="J887" s="25" t="str">
        <f>IF(OR(E887="",E887="!!!",F887="NEW"),"",COUNTBLANK(OFFSET(A$1,,,SUMPRODUCT(MAX(ROW(E$2:E887)*(E887=E$2:E887)))))-COUNTBLANK(OFFSET(A$1,,,SUMPRODUCT(MAX(ROW(E$1:E886)*(E2=E$1:E886))))))</f>
        <v> </v>
      </c>
      <c r="K887" s="25" t="str">
        <f>IF(OR(E887="",E887="!!!",F887="NEW"),"",INDEX(J$1:J886,SUMPRODUCT(MAX(ROW(E$1:E886)*(E887=E$1:E886)))))</f>
        <v> </v>
      </c>
      <c r="L887" s="26"/>
    </row>
    <row r="888" spans="1:12">
      <c r="A888" s="20" t="s">
        <v>489</v>
      </c>
      <c r="E888" s="21">
        <f>IF(D888="?OLD","!!!","")</f>
        <v/>
      </c>
      <c r="F888" s="22" t="str">
        <f>IF(OR(E888="",E888="!!!"),"",IF(NOT(ISNA(VLOOKUP(E888,E$1:E887,1,FALSE()))),"OLD",IF(AND(E888&lt;&gt;"",E888&lt;&gt;"!!!"),"NEW","")))</f>
        <v> </v>
      </c>
      <c r="G888" s="23" t="str">
        <f>IF(OR(E888="",E888="!!!"),"",IF(OR(J888=0,AND(J888=1,K888=1),AND(J888=1,I888="SBJ"),AND(J888=1,I888=0)),"?IN_FOCUS",IF(J888&lt;=2,"?ACTIVATED",IF(J888&lt;&gt;"","?FAMILIAR",IF(F888="NEW",IF(ISNA(VLOOKUP(E888,#REF!,1,FALSE())),"?TYPE_IDENTIFIABLE","?REFERENTIAL"),"_")))))</f>
        <v> </v>
      </c>
      <c r="H888" s="24" t="str">
        <f>IF(J888&lt;&gt;1,"",IF(I888="SBJ","CB","?"))</f>
        <v> </v>
      </c>
      <c r="I888" s="25" t="str">
        <f>IF(OR(E888="",E888="!!!",F888="NEW"),"",INDEX(B887:B$2,-1+SUMPRODUCT(MAX(ROW(E887:E$2)*(E888=E887:E$2)))))</f>
        <v> </v>
      </c>
      <c r="J888" s="25" t="str">
        <f>IF(OR(E888="",E888="!!!",F888="NEW"),"",COUNTBLANK(OFFSET(A$1,,,SUMPRODUCT(MAX(ROW(E$2:E888)*(E888=E$2:E888)))))-COUNTBLANK(OFFSET(A$1,,,SUMPRODUCT(MAX(ROW(E$1:E887)*(E2=E$1:E887))))))</f>
        <v> </v>
      </c>
      <c r="K888" s="25" t="str">
        <f>IF(OR(E888="",E888="!!!",F888="NEW"),"",INDEX(J$1:J887,SUMPRODUCT(MAX(ROW(E$1:E887)*(E888=E$1:E887)))))</f>
        <v> </v>
      </c>
      <c r="L888" s="26"/>
    </row>
    <row r="889" spans="1:12">
      <c r="A889" s="20" t="s">
        <v>529</v>
      </c>
      <c r="E889" s="21">
        <f>IF(D889="?OLD","!!!","")</f>
        <v/>
      </c>
      <c r="F889" s="22" t="str">
        <f>IF(OR(E889="",E889="!!!"),"",IF(NOT(ISNA(VLOOKUP(E889,E$1:E888,1,FALSE()))),"OLD",IF(AND(E889&lt;&gt;"",E889&lt;&gt;"!!!"),"NEW","")))</f>
        <v> </v>
      </c>
      <c r="G889" s="23" t="str">
        <f>IF(OR(E889="",E889="!!!"),"",IF(OR(J889=0,AND(J889=1,K889=1),AND(J889=1,I889="SBJ"),AND(J889=1,I889=0)),"?IN_FOCUS",IF(J889&lt;=2,"?ACTIVATED",IF(J889&lt;&gt;"","?FAMILIAR",IF(F889="NEW",IF(ISNA(VLOOKUP(E889,#REF!,1,FALSE())),"?TYPE_IDENTIFIABLE","?REFERENTIAL"),"_")))))</f>
        <v> </v>
      </c>
      <c r="H889" s="24" t="str">
        <f>IF(J889&lt;&gt;1,"",IF(I889="SBJ","CB","?"))</f>
        <v> </v>
      </c>
      <c r="I889" s="25" t="str">
        <f>IF(OR(E889="",E889="!!!",F889="NEW"),"",INDEX(B888:B$2,-1+SUMPRODUCT(MAX(ROW(E888:E$2)*(E889=E888:E$2)))))</f>
        <v> </v>
      </c>
      <c r="J889" s="25" t="str">
        <f>IF(OR(E889="",E889="!!!",F889="NEW"),"",COUNTBLANK(OFFSET(A$1,,,SUMPRODUCT(MAX(ROW(E$2:E889)*(E889=E$2:E889)))))-COUNTBLANK(OFFSET(A$1,,,SUMPRODUCT(MAX(ROW(E$1:E888)*(E2=E$1:E888))))))</f>
        <v> </v>
      </c>
      <c r="K889" s="25" t="str">
        <f>IF(OR(E889="",E889="!!!",F889="NEW"),"",INDEX(J$1:J888,SUMPRODUCT(MAX(ROW(E$1:E888)*(E889=E$1:E888)))))</f>
        <v> </v>
      </c>
      <c r="L889" s="26"/>
    </row>
    <row r="890" spans="1:12">
      <c r="A890" s="20" t="s">
        <v>830</v>
      </c>
      <c r="E890" s="21">
        <f>IF(D890="?OLD","!!!","")</f>
        <v/>
      </c>
      <c r="F890" s="22" t="str">
        <f>IF(OR(E890="",E890="!!!"),"",IF(NOT(ISNA(VLOOKUP(E890,E$1:E889,1,FALSE()))),"OLD",IF(AND(E890&lt;&gt;"",E890&lt;&gt;"!!!"),"NEW","")))</f>
        <v> </v>
      </c>
      <c r="G890" s="23" t="str">
        <f>IF(OR(E890="",E890="!!!"),"",IF(OR(J890=0,AND(J890=1,K890=1),AND(J890=1,I890="SBJ"),AND(J890=1,I890=0)),"?IN_FOCUS",IF(J890&lt;=2,"?ACTIVATED",IF(J890&lt;&gt;"","?FAMILIAR",IF(F890="NEW",IF(ISNA(VLOOKUP(E890,#REF!,1,FALSE())),"?TYPE_IDENTIFIABLE","?REFERENTIAL"),"_")))))</f>
        <v> </v>
      </c>
      <c r="H890" s="24" t="str">
        <f>IF(J890&lt;&gt;1,"",IF(I890="SBJ","CB","?"))</f>
        <v> </v>
      </c>
      <c r="I890" s="25" t="str">
        <f>IF(OR(E890="",E890="!!!",F890="NEW"),"",INDEX(B889:B$2,-1+SUMPRODUCT(MAX(ROW(E889:E$2)*(E890=E889:E$2)))))</f>
        <v> </v>
      </c>
      <c r="J890" s="25" t="str">
        <f>IF(OR(E890="",E890="!!!",F890="NEW"),"",COUNTBLANK(OFFSET(A$1,,,SUMPRODUCT(MAX(ROW(E$2:E890)*(E890=E$2:E890)))))-COUNTBLANK(OFFSET(A$1,,,SUMPRODUCT(MAX(ROW(E$1:E889)*(E2=E$1:E889))))))</f>
        <v> </v>
      </c>
      <c r="K890" s="25" t="str">
        <f>IF(OR(E890="",E890="!!!",F890="NEW"),"",INDEX(J$1:J889,SUMPRODUCT(MAX(ROW(E$1:E889)*(E890=E$1:E889)))))</f>
        <v> </v>
      </c>
      <c r="L890" s="26"/>
    </row>
    <row r="891" spans="1:12">
      <c r="A891" s="20" t="s">
        <v>503</v>
      </c>
      <c r="E891" s="21">
        <f>IF(D891="?OLD","!!!","")</f>
        <v/>
      </c>
      <c r="F891" s="22" t="str">
        <f>IF(OR(E891="",E891="!!!"),"",IF(NOT(ISNA(VLOOKUP(E891,E$1:E890,1,FALSE()))),"OLD",IF(AND(E891&lt;&gt;"",E891&lt;&gt;"!!!"),"NEW","")))</f>
        <v> </v>
      </c>
      <c r="G891" s="23" t="str">
        <f>IF(OR(E891="",E891="!!!"),"",IF(OR(J891=0,AND(J891=1,K891=1),AND(J891=1,I891="SBJ"),AND(J891=1,I891=0)),"?IN_FOCUS",IF(J891&lt;=2,"?ACTIVATED",IF(J891&lt;&gt;"","?FAMILIAR",IF(F891="NEW",IF(ISNA(VLOOKUP(E891,#REF!,1,FALSE())),"?TYPE_IDENTIFIABLE","?REFERENTIAL"),"_")))))</f>
        <v> </v>
      </c>
      <c r="H891" s="24" t="str">
        <f>IF(J891&lt;&gt;1,"",IF(I891="SBJ","CB","?"))</f>
        <v> </v>
      </c>
      <c r="I891" s="25" t="str">
        <f>IF(OR(E891="",E891="!!!",F891="NEW"),"",INDEX(B890:B$2,-1+SUMPRODUCT(MAX(ROW(E890:E$2)*(E891=E890:E$2)))))</f>
        <v> </v>
      </c>
      <c r="J891" s="25" t="str">
        <f>IF(OR(E891="",E891="!!!",F891="NEW"),"",COUNTBLANK(OFFSET(A$1,,,SUMPRODUCT(MAX(ROW(E$2:E891)*(E891=E$2:E891)))))-COUNTBLANK(OFFSET(A$1,,,SUMPRODUCT(MAX(ROW(E$1:E890)*(E2=E$1:E890))))))</f>
        <v> </v>
      </c>
      <c r="K891" s="25" t="str">
        <f>IF(OR(E891="",E891="!!!",F891="NEW"),"",INDEX(J$1:J890,SUMPRODUCT(MAX(ROW(E$1:E890)*(E891=E$1:E890)))))</f>
        <v> </v>
      </c>
      <c r="L891" s="26"/>
    </row>
    <row r="892" spans="1:12">
      <c r="A892" s="20" t="s">
        <v>823</v>
      </c>
      <c r="B892" s="27" t="s">
        <v>549</v>
      </c>
      <c r="C892" s="27" t="s">
        <v>487</v>
      </c>
      <c r="D892" s="27" t="s">
        <v>483</v>
      </c>
      <c r="E892" s="21">
        <f>IF(D892="?OLD","!!!","")</f>
        <v/>
      </c>
      <c r="F892" s="22" t="str">
        <f>IF(OR(E892="",E892="!!!"),"",IF(NOT(ISNA(VLOOKUP(E892,E$1:E891,1,FALSE()))),"OLD",IF(AND(E892&lt;&gt;"",E892&lt;&gt;"!!!"),"NEW","")))</f>
        <v> </v>
      </c>
      <c r="G892" s="23" t="str">
        <f>IF(OR(E892="",E892="!!!"),"",IF(OR(J892=0,AND(J892=1,K892=1),AND(J892=1,I892="SBJ"),AND(J892=1,I892=0)),"?IN_FOCUS",IF(J892&lt;=2,"?ACTIVATED",IF(J892&lt;&gt;"","?FAMILIAR",IF(F892="NEW",IF(ISNA(VLOOKUP(E892,#REF!,1,FALSE())),"?TYPE_IDENTIFIABLE","?REFERENTIAL"),"_")))))</f>
        <v> </v>
      </c>
      <c r="H892" s="24" t="str">
        <f>IF(J892&lt;&gt;1,"",IF(I892="SBJ","CB","?"))</f>
        <v> </v>
      </c>
      <c r="I892" s="25" t="str">
        <f>IF(OR(E892="",E892="!!!",F892="NEW"),"",INDEX(B891:B$2,-1+SUMPRODUCT(MAX(ROW(E891:E$2)*(E892=E891:E$2)))))</f>
        <v> </v>
      </c>
      <c r="J892" s="25" t="str">
        <f>IF(OR(E892="",E892="!!!",F892="NEW"),"",COUNTBLANK(OFFSET(A$1,,,SUMPRODUCT(MAX(ROW(E$2:E892)*(E892=E$2:E892)))))-COUNTBLANK(OFFSET(A$1,,,SUMPRODUCT(MAX(ROW(E$1:E891)*(E2=E$1:E891))))))</f>
        <v> </v>
      </c>
      <c r="K892" s="25" t="str">
        <f>IF(OR(E892="",E892="!!!",F892="NEW"),"",INDEX(J$1:J891,SUMPRODUCT(MAX(ROW(E$1:E891)*(E892=E$1:E891)))))</f>
        <v> </v>
      </c>
      <c r="L892" s="26"/>
    </row>
    <row r="893" spans="1:12">
      <c r="A893" s="20" t="s">
        <v>492</v>
      </c>
      <c r="B893" s="27" t="s">
        <v>578</v>
      </c>
      <c r="E893" s="21">
        <f>IF(D893="?OLD","!!!","")</f>
        <v/>
      </c>
      <c r="F893" s="22" t="str">
        <f>IF(OR(E893="",E893="!!!"),"",IF(NOT(ISNA(VLOOKUP(E893,E$1:E892,1,FALSE()))),"OLD",IF(AND(E893&lt;&gt;"",E893&lt;&gt;"!!!"),"NEW","")))</f>
        <v> </v>
      </c>
      <c r="G893" s="23" t="str">
        <f>IF(OR(E893="",E893="!!!"),"",IF(OR(J893=0,AND(J893=1,K893=1),AND(J893=1,I893="SBJ"),AND(J893=1,I893=0)),"?IN_FOCUS",IF(J893&lt;=2,"?ACTIVATED",IF(J893&lt;&gt;"","?FAMILIAR",IF(F893="NEW",IF(ISNA(VLOOKUP(E893,#REF!,1,FALSE())),"?TYPE_IDENTIFIABLE","?REFERENTIAL"),"_")))))</f>
        <v> </v>
      </c>
      <c r="H893" s="24" t="str">
        <f>IF(J893&lt;&gt;1,"",IF(I893="SBJ","CB","?"))</f>
        <v> </v>
      </c>
      <c r="I893" s="25" t="str">
        <f>IF(OR(E893="",E893="!!!",F893="NEW"),"",INDEX(B892:B$2,-1+SUMPRODUCT(MAX(ROW(E892:E$2)*(E893=E892:E$2)))))</f>
        <v> </v>
      </c>
      <c r="J893" s="25" t="str">
        <f>IF(OR(E893="",E893="!!!",F893="NEW"),"",COUNTBLANK(OFFSET(A$1,,,SUMPRODUCT(MAX(ROW(E$2:E893)*(E893=E$2:E893)))))-COUNTBLANK(OFFSET(A$1,,,SUMPRODUCT(MAX(ROW(E$1:E892)*(E2=E$1:E892))))))</f>
        <v> </v>
      </c>
      <c r="K893" s="25" t="str">
        <f>IF(OR(E893="",E893="!!!",F893="NEW"),"",INDEX(J$1:J892,SUMPRODUCT(MAX(ROW(E$1:E892)*(E893=E$1:E892)))))</f>
        <v> </v>
      </c>
      <c r="L893" s="26"/>
    </row>
    <row r="894" spans="1:12">
      <c r="A894" s="20" t="s">
        <v>831</v>
      </c>
      <c r="E894" s="21">
        <f>IF(D894="?OLD","!!!","")</f>
        <v/>
      </c>
      <c r="F894" s="22" t="str">
        <f>IF(OR(E894="",E894="!!!"),"",IF(NOT(ISNA(VLOOKUP(E894,E$1:E893,1,FALSE()))),"OLD",IF(AND(E894&lt;&gt;"",E894&lt;&gt;"!!!"),"NEW","")))</f>
        <v> </v>
      </c>
      <c r="G894" s="23" t="str">
        <f>IF(OR(E894="",E894="!!!"),"",IF(OR(J894=0,AND(J894=1,K894=1),AND(J894=1,I894="SBJ"),AND(J894=1,I894=0)),"?IN_FOCUS",IF(J894&lt;=2,"?ACTIVATED",IF(J894&lt;&gt;"","?FAMILIAR",IF(F894="NEW",IF(ISNA(VLOOKUP(E894,#REF!,1,FALSE())),"?TYPE_IDENTIFIABLE","?REFERENTIAL"),"_")))))</f>
        <v> </v>
      </c>
      <c r="H894" s="24" t="str">
        <f>IF(J894&lt;&gt;1,"",IF(I894="SBJ","CB","?"))</f>
        <v> </v>
      </c>
      <c r="I894" s="25" t="str">
        <f>IF(OR(E894="",E894="!!!",F894="NEW"),"",INDEX(B893:B$2,-1+SUMPRODUCT(MAX(ROW(E893:E$2)*(E894=E893:E$2)))))</f>
        <v> </v>
      </c>
      <c r="J894" s="25" t="str">
        <f>IF(OR(E894="",E894="!!!",F894="NEW"),"",COUNTBLANK(OFFSET(A$1,,,SUMPRODUCT(MAX(ROW(E$2:E894)*(E894=E$2:E894)))))-COUNTBLANK(OFFSET(A$1,,,SUMPRODUCT(MAX(ROW(E$1:E893)*(E2=E$1:E893))))))</f>
        <v> </v>
      </c>
      <c r="K894" s="25" t="str">
        <f>IF(OR(E894="",E894="!!!",F894="NEW"),"",INDEX(J$1:J893,SUMPRODUCT(MAX(ROW(E$1:E893)*(E894=E$1:E893)))))</f>
        <v> </v>
      </c>
      <c r="L894" s="26"/>
    </row>
    <row r="895" spans="1:12">
      <c r="A895" s="20" t="s">
        <v>503</v>
      </c>
      <c r="E895" s="21">
        <f>IF(D895="?OLD","!!!","")</f>
        <v/>
      </c>
      <c r="F895" s="22" t="str">
        <f>IF(OR(E895="",E895="!!!"),"",IF(NOT(ISNA(VLOOKUP(E895,E$1:E894,1,FALSE()))),"OLD",IF(AND(E895&lt;&gt;"",E895&lt;&gt;"!!!"),"NEW","")))</f>
        <v> </v>
      </c>
      <c r="G895" s="23" t="str">
        <f>IF(OR(E895="",E895="!!!"),"",IF(OR(J895=0,AND(J895=1,K895=1),AND(J895=1,I895="SBJ"),AND(J895=1,I895=0)),"?IN_FOCUS",IF(J895&lt;=2,"?ACTIVATED",IF(J895&lt;&gt;"","?FAMILIAR",IF(F895="NEW",IF(ISNA(VLOOKUP(E895,#REF!,1,FALSE())),"?TYPE_IDENTIFIABLE","?REFERENTIAL"),"_")))))</f>
        <v> </v>
      </c>
      <c r="H895" s="24" t="str">
        <f>IF(J895&lt;&gt;1,"",IF(I895="SBJ","CB","?"))</f>
        <v> </v>
      </c>
      <c r="I895" s="25" t="str">
        <f>IF(OR(E895="",E895="!!!",F895="NEW"),"",INDEX(B894:B$2,-1+SUMPRODUCT(MAX(ROW(E894:E$2)*(E895=E894:E$2)))))</f>
        <v> </v>
      </c>
      <c r="J895" s="25" t="str">
        <f>IF(OR(E895="",E895="!!!",F895="NEW"),"",COUNTBLANK(OFFSET(A$1,,,SUMPRODUCT(MAX(ROW(E$2:E895)*(E895=E$2:E895)))))-COUNTBLANK(OFFSET(A$1,,,SUMPRODUCT(MAX(ROW(E$1:E894)*(E2=E$1:E894))))))</f>
        <v> </v>
      </c>
      <c r="K895" s="25" t="str">
        <f>IF(OR(E895="",E895="!!!",F895="NEW"),"",INDEX(J$1:J894,SUMPRODUCT(MAX(ROW(E$1:E894)*(E895=E$1:E894)))))</f>
        <v> </v>
      </c>
      <c r="L895" s="26"/>
    </row>
    <row r="896" spans="1:12">
      <c r="A896" s="20" t="s">
        <v>485</v>
      </c>
      <c r="E896" s="21">
        <f>IF(D896="?OLD","!!!","")</f>
        <v/>
      </c>
      <c r="F896" s="22" t="str">
        <f>IF(OR(E896="",E896="!!!"),"",IF(NOT(ISNA(VLOOKUP(E896,E$1:E895,1,FALSE()))),"OLD",IF(AND(E896&lt;&gt;"",E896&lt;&gt;"!!!"),"NEW","")))</f>
        <v> </v>
      </c>
      <c r="G896" s="23" t="str">
        <f>IF(OR(E896="",E896="!!!"),"",IF(OR(J896=0,AND(J896=1,K896=1),AND(J896=1,I896="SBJ"),AND(J896=1,I896=0)),"?IN_FOCUS",IF(J896&lt;=2,"?ACTIVATED",IF(J896&lt;&gt;"","?FAMILIAR",IF(F896="NEW",IF(ISNA(VLOOKUP(E896,#REF!,1,FALSE())),"?TYPE_IDENTIFIABLE","?REFERENTIAL"),"_")))))</f>
        <v> </v>
      </c>
      <c r="H896" s="24" t="str">
        <f>IF(J896&lt;&gt;1,"",IF(I896="SBJ","CB","?"))</f>
        <v> </v>
      </c>
      <c r="I896" s="25" t="str">
        <f>IF(OR(E896="",E896="!!!",F896="NEW"),"",INDEX(B895:B$2,-1+SUMPRODUCT(MAX(ROW(E895:E$2)*(E896=E895:E$2)))))</f>
        <v> </v>
      </c>
      <c r="J896" s="25" t="str">
        <f>IF(OR(E896="",E896="!!!",F896="NEW"),"",COUNTBLANK(OFFSET(A$1,,,SUMPRODUCT(MAX(ROW(E$2:E896)*(E896=E$2:E896)))))-COUNTBLANK(OFFSET(A$1,,,SUMPRODUCT(MAX(ROW(E$1:E895)*(E2=E$1:E895))))))</f>
        <v> </v>
      </c>
      <c r="K896" s="25" t="str">
        <f>IF(OR(E896="",E896="!!!",F896="NEW"),"",INDEX(J$1:J895,SUMPRODUCT(MAX(ROW(E$1:E895)*(E896=E$1:E895)))))</f>
        <v> </v>
      </c>
      <c r="L896" s="26"/>
    </row>
    <row r="897" spans="1:12">
      <c r="A897" s="20" t="s">
        <v>488</v>
      </c>
      <c r="B897" s="27" t="s">
        <v>578</v>
      </c>
      <c r="C897" s="27" t="s">
        <v>487</v>
      </c>
      <c r="D897" s="27" t="s">
        <v>483</v>
      </c>
      <c r="E897" s="21">
        <f>IF(D897="?OLD","!!!","")</f>
        <v/>
      </c>
      <c r="F897" s="22" t="str">
        <f>IF(OR(E897="",E897="!!!"),"",IF(NOT(ISNA(VLOOKUP(E897,E$1:E896,1,FALSE()))),"OLD",IF(AND(E897&lt;&gt;"",E897&lt;&gt;"!!!"),"NEW","")))</f>
        <v> </v>
      </c>
      <c r="G897" s="23" t="str">
        <f>IF(OR(E897="",E897="!!!"),"",IF(OR(J897=0,AND(J897=1,K897=1),AND(J897=1,I897="SBJ"),AND(J897=1,I897=0)),"?IN_FOCUS",IF(J897&lt;=2,"?ACTIVATED",IF(J897&lt;&gt;"","?FAMILIAR",IF(F897="NEW",IF(ISNA(VLOOKUP(E897,#REF!,1,FALSE())),"?TYPE_IDENTIFIABLE","?REFERENTIAL"),"_")))))</f>
        <v> </v>
      </c>
      <c r="H897" s="24" t="str">
        <f>IF(J897&lt;&gt;1,"",IF(I897="SBJ","CB","?"))</f>
        <v> </v>
      </c>
      <c r="I897" s="25" t="str">
        <f>IF(OR(E897="",E897="!!!",F897="NEW"),"",INDEX(B896:B$2,-1+SUMPRODUCT(MAX(ROW(E896:E$2)*(E897=E896:E$2)))))</f>
        <v> </v>
      </c>
      <c r="J897" s="25" t="str">
        <f>IF(OR(E897="",E897="!!!",F897="NEW"),"",COUNTBLANK(OFFSET(A$1,,,SUMPRODUCT(MAX(ROW(E$2:E897)*(E897=E$2:E897)))))-COUNTBLANK(OFFSET(A$1,,,SUMPRODUCT(MAX(ROW(E$1:E896)*(E2=E$1:E896))))))</f>
        <v> </v>
      </c>
      <c r="K897" s="25" t="str">
        <f>IF(OR(E897="",E897="!!!",F897="NEW"),"",INDEX(J$1:J896,SUMPRODUCT(MAX(ROW(E$1:E896)*(E897=E$1:E896)))))</f>
        <v> </v>
      </c>
      <c r="L897" s="26"/>
    </row>
    <row r="898" spans="1:12">
      <c r="A898" s="20" t="s">
        <v>489</v>
      </c>
      <c r="E898" s="21">
        <f>IF(D898="?OLD","!!!","")</f>
        <v/>
      </c>
      <c r="F898" s="22" t="str">
        <f>IF(OR(E898="",E898="!!!"),"",IF(NOT(ISNA(VLOOKUP(E898,E$1:E897,1,FALSE()))),"OLD",IF(AND(E898&lt;&gt;"",E898&lt;&gt;"!!!"),"NEW","")))</f>
        <v> </v>
      </c>
      <c r="G898" s="23" t="str">
        <f>IF(OR(E898="",E898="!!!"),"",IF(OR(J898=0,AND(J898=1,K898=1),AND(J898=1,I898="SBJ"),AND(J898=1,I898=0)),"?IN_FOCUS",IF(J898&lt;=2,"?ACTIVATED",IF(J898&lt;&gt;"","?FAMILIAR",IF(F898="NEW",IF(ISNA(VLOOKUP(E898,#REF!,1,FALSE())),"?TYPE_IDENTIFIABLE","?REFERENTIAL"),"_")))))</f>
        <v> </v>
      </c>
      <c r="H898" s="24" t="str">
        <f>IF(J898&lt;&gt;1,"",IF(I898="SBJ","CB","?"))</f>
        <v> </v>
      </c>
      <c r="I898" s="25" t="str">
        <f>IF(OR(E898="",E898="!!!",F898="NEW"),"",INDEX(B897:B$2,-1+SUMPRODUCT(MAX(ROW(E897:E$2)*(E898=E897:E$2)))))</f>
        <v> </v>
      </c>
      <c r="J898" s="25" t="str">
        <f>IF(OR(E898="",E898="!!!",F898="NEW"),"",COUNTBLANK(OFFSET(A$1,,,SUMPRODUCT(MAX(ROW(E$2:E898)*(E898=E$2:E898)))))-COUNTBLANK(OFFSET(A$1,,,SUMPRODUCT(MAX(ROW(E$1:E897)*(E2=E$1:E897))))))</f>
        <v> </v>
      </c>
      <c r="K898" s="25" t="str">
        <f>IF(OR(E898="",E898="!!!",F898="NEW"),"",INDEX(J$1:J897,SUMPRODUCT(MAX(ROW(E$1:E897)*(E898=E$1:E897)))))</f>
        <v> </v>
      </c>
      <c r="L898" s="26"/>
    </row>
    <row r="899" spans="1:12">
      <c r="A899" s="20" t="s">
        <v>484</v>
      </c>
      <c r="E899" s="21">
        <f>IF(D899="?OLD","!!!","")</f>
        <v/>
      </c>
      <c r="F899" s="22" t="str">
        <f>IF(OR(E899="",E899="!!!"),"",IF(NOT(ISNA(VLOOKUP(E899,E$1:E898,1,FALSE()))),"OLD",IF(AND(E899&lt;&gt;"",E899&lt;&gt;"!!!"),"NEW","")))</f>
        <v> </v>
      </c>
      <c r="G899" s="23" t="str">
        <f>IF(OR(E899="",E899="!!!"),"",IF(OR(J899=0,AND(J899=1,K899=1),AND(J899=1,I899="SBJ"),AND(J899=1,I899=0)),"?IN_FOCUS",IF(J899&lt;=2,"?ACTIVATED",IF(J899&lt;&gt;"","?FAMILIAR",IF(F899="NEW",IF(ISNA(VLOOKUP(E899,#REF!,1,FALSE())),"?TYPE_IDENTIFIABLE","?REFERENTIAL"),"_")))))</f>
        <v> </v>
      </c>
      <c r="H899" s="24" t="str">
        <f>IF(J899&lt;&gt;1,"",IF(I899="SBJ","CB","?"))</f>
        <v> </v>
      </c>
      <c r="I899" s="25" t="str">
        <f>IF(OR(E899="",E899="!!!",F899="NEW"),"",INDEX(B898:B$2,-1+SUMPRODUCT(MAX(ROW(E898:E$2)*(E899=E898:E$2)))))</f>
        <v> </v>
      </c>
      <c r="J899" s="25" t="str">
        <f>IF(OR(E899="",E899="!!!",F899="NEW"),"",COUNTBLANK(OFFSET(A$1,,,SUMPRODUCT(MAX(ROW(E$2:E899)*(E899=E$2:E899)))))-COUNTBLANK(OFFSET(A$1,,,SUMPRODUCT(MAX(ROW(E$1:E898)*(E2=E$1:E898))))))</f>
        <v> </v>
      </c>
      <c r="K899" s="25" t="str">
        <f>IF(OR(E899="",E899="!!!",F899="NEW"),"",INDEX(J$1:J898,SUMPRODUCT(MAX(ROW(E$1:E898)*(E899=E$1:E898)))))</f>
        <v> </v>
      </c>
      <c r="L899" s="26"/>
    </row>
    <row r="900" spans="1:12">
      <c r="A900" s="20" t="s">
        <v>564</v>
      </c>
      <c r="B900" s="27" t="s">
        <v>490</v>
      </c>
      <c r="C900" s="27" t="s">
        <v>516</v>
      </c>
      <c r="E900" s="21">
        <f>IF(D900="?OLD","!!!","")</f>
        <v/>
      </c>
      <c r="F900" s="22" t="str">
        <f>IF(OR(E900="",E900="!!!"),"",IF(NOT(ISNA(VLOOKUP(E900,E$1:E899,1,FALSE()))),"OLD",IF(AND(E900&lt;&gt;"",E900&lt;&gt;"!!!"),"NEW","")))</f>
        <v> </v>
      </c>
      <c r="G900" s="23" t="str">
        <f>IF(OR(E900="",E900="!!!"),"",IF(OR(J900=0,AND(J900=1,K900=1),AND(J900=1,I900="SBJ"),AND(J900=1,I900=0)),"?IN_FOCUS",IF(J900&lt;=2,"?ACTIVATED",IF(J900&lt;&gt;"","?FAMILIAR",IF(F900="NEW",IF(ISNA(VLOOKUP(E900,#REF!,1,FALSE())),"?TYPE_IDENTIFIABLE","?REFERENTIAL"),"_")))))</f>
        <v> </v>
      </c>
      <c r="H900" s="24" t="str">
        <f>IF(J900&lt;&gt;1,"",IF(I900="SBJ","CB","?"))</f>
        <v> </v>
      </c>
      <c r="I900" s="25" t="str">
        <f>IF(OR(E900="",E900="!!!",F900="NEW"),"",INDEX(B899:B$2,-1+SUMPRODUCT(MAX(ROW(E899:E$2)*(E900=E899:E$2)))))</f>
        <v> </v>
      </c>
      <c r="J900" s="25" t="str">
        <f>IF(OR(E900="",E900="!!!",F900="NEW"),"",COUNTBLANK(OFFSET(A$1,,,SUMPRODUCT(MAX(ROW(E$2:E900)*(E900=E$2:E900)))))-COUNTBLANK(OFFSET(A$1,,,SUMPRODUCT(MAX(ROW(E$1:E899)*(E2=E$1:E899))))))</f>
        <v> </v>
      </c>
      <c r="K900" s="25" t="str">
        <f>IF(OR(E900="",E900="!!!",F900="NEW"),"",INDEX(J$1:J899,SUMPRODUCT(MAX(ROW(E$1:E899)*(E900=E$1:E899)))))</f>
        <v> </v>
      </c>
      <c r="L900" s="26"/>
    </row>
    <row r="901" spans="1:12">
      <c r="A901" s="20" t="s">
        <v>489</v>
      </c>
      <c r="E901" s="21">
        <f>IF(D901="?OLD","!!!","")</f>
        <v/>
      </c>
      <c r="F901" s="22" t="str">
        <f>IF(OR(E901="",E901="!!!"),"",IF(NOT(ISNA(VLOOKUP(E901,E$1:E900,1,FALSE()))),"OLD",IF(AND(E901&lt;&gt;"",E901&lt;&gt;"!!!"),"NEW","")))</f>
        <v> </v>
      </c>
      <c r="G901" s="23" t="str">
        <f>IF(OR(E901="",E901="!!!"),"",IF(OR(J901=0,AND(J901=1,K901=1),AND(J901=1,I901="SBJ"),AND(J901=1,I901=0)),"?IN_FOCUS",IF(J901&lt;=2,"?ACTIVATED",IF(J901&lt;&gt;"","?FAMILIAR",IF(F901="NEW",IF(ISNA(VLOOKUP(E901,#REF!,1,FALSE())),"?TYPE_IDENTIFIABLE","?REFERENTIAL"),"_")))))</f>
        <v> </v>
      </c>
      <c r="H901" s="24" t="str">
        <f>IF(J901&lt;&gt;1,"",IF(I901="SBJ","CB","?"))</f>
        <v> </v>
      </c>
      <c r="I901" s="25" t="str">
        <f>IF(OR(E901="",E901="!!!",F901="NEW"),"",INDEX(B900:B$2,-1+SUMPRODUCT(MAX(ROW(E900:E$2)*(E901=E900:E$2)))))</f>
        <v> </v>
      </c>
      <c r="J901" s="25" t="str">
        <f>IF(OR(E901="",E901="!!!",F901="NEW"),"",COUNTBLANK(OFFSET(A$1,,,SUMPRODUCT(MAX(ROW(E$2:E901)*(E901=E$2:E901)))))-COUNTBLANK(OFFSET(A$1,,,SUMPRODUCT(MAX(ROW(E$1:E900)*(E2=E$1:E900))))))</f>
        <v> </v>
      </c>
      <c r="K901" s="25" t="str">
        <f>IF(OR(E901="",E901="!!!",F901="NEW"),"",INDEX(J$1:J900,SUMPRODUCT(MAX(ROW(E$1:E900)*(E901=E$1:E900)))))</f>
        <v> </v>
      </c>
      <c r="L901" s="26"/>
    </row>
    <row r="902" spans="1:12">
      <c r="A902" s="20" t="s">
        <v>529</v>
      </c>
      <c r="E902" s="21">
        <f>IF(D902="?OLD","!!!","")</f>
        <v/>
      </c>
      <c r="F902" s="22" t="str">
        <f>IF(OR(E902="",E902="!!!"),"",IF(NOT(ISNA(VLOOKUP(E902,E$1:E901,1,FALSE()))),"OLD",IF(AND(E902&lt;&gt;"",E902&lt;&gt;"!!!"),"NEW","")))</f>
        <v> </v>
      </c>
      <c r="G902" s="23" t="str">
        <f>IF(OR(E902="",E902="!!!"),"",IF(OR(J902=0,AND(J902=1,K902=1),AND(J902=1,I902="SBJ"),AND(J902=1,I902=0)),"?IN_FOCUS",IF(J902&lt;=2,"?ACTIVATED",IF(J902&lt;&gt;"","?FAMILIAR",IF(F902="NEW",IF(ISNA(VLOOKUP(E902,#REF!,1,FALSE())),"?TYPE_IDENTIFIABLE","?REFERENTIAL"),"_")))))</f>
        <v> </v>
      </c>
      <c r="H902" s="24" t="str">
        <f>IF(J902&lt;&gt;1,"",IF(I902="SBJ","CB","?"))</f>
        <v> </v>
      </c>
      <c r="I902" s="25" t="str">
        <f>IF(OR(E902="",E902="!!!",F902="NEW"),"",INDEX(B901:B$2,-1+SUMPRODUCT(MAX(ROW(E901:E$2)*(E902=E901:E$2)))))</f>
        <v> </v>
      </c>
      <c r="J902" s="25" t="str">
        <f>IF(OR(E902="",E902="!!!",F902="NEW"),"",COUNTBLANK(OFFSET(A$1,,,SUMPRODUCT(MAX(ROW(E$2:E902)*(E902=E$2:E902)))))-COUNTBLANK(OFFSET(A$1,,,SUMPRODUCT(MAX(ROW(E$1:E901)*(E2=E$1:E901))))))</f>
        <v> </v>
      </c>
      <c r="K902" s="25" t="str">
        <f>IF(OR(E902="",E902="!!!",F902="NEW"),"",INDEX(J$1:J901,SUMPRODUCT(MAX(ROW(E$1:E901)*(E902=E$1:E901)))))</f>
        <v> </v>
      </c>
      <c r="L902" s="26"/>
    </row>
    <row r="903" spans="1:12">
      <c r="A903" s="20" t="s">
        <v>832</v>
      </c>
      <c r="E903" s="21">
        <f>IF(D903="?OLD","!!!","")</f>
        <v/>
      </c>
      <c r="F903" s="22" t="str">
        <f>IF(OR(E903="",E903="!!!"),"",IF(NOT(ISNA(VLOOKUP(E903,E$1:E902,1,FALSE()))),"OLD",IF(AND(E903&lt;&gt;"",E903&lt;&gt;"!!!"),"NEW","")))</f>
        <v> </v>
      </c>
      <c r="G903" s="23" t="str">
        <f>IF(OR(E903="",E903="!!!"),"",IF(OR(J903=0,AND(J903=1,K903=1),AND(J903=1,I903="SBJ"),AND(J903=1,I903=0)),"?IN_FOCUS",IF(J903&lt;=2,"?ACTIVATED",IF(J903&lt;&gt;"","?FAMILIAR",IF(F903="NEW",IF(ISNA(VLOOKUP(E903,#REF!,1,FALSE())),"?TYPE_IDENTIFIABLE","?REFERENTIAL"),"_")))))</f>
        <v> </v>
      </c>
      <c r="H903" s="24" t="str">
        <f>IF(J903&lt;&gt;1,"",IF(I903="SBJ","CB","?"))</f>
        <v> </v>
      </c>
      <c r="I903" s="25" t="str">
        <f>IF(OR(E903="",E903="!!!",F903="NEW"),"",INDEX(B902:B$2,-1+SUMPRODUCT(MAX(ROW(E902:E$2)*(E903=E902:E$2)))))</f>
        <v> </v>
      </c>
      <c r="J903" s="25" t="str">
        <f>IF(OR(E903="",E903="!!!",F903="NEW"),"",COUNTBLANK(OFFSET(A$1,,,SUMPRODUCT(MAX(ROW(E$2:E903)*(E903=E$2:E903)))))-COUNTBLANK(OFFSET(A$1,,,SUMPRODUCT(MAX(ROW(E$1:E902)*(E2=E$1:E902))))))</f>
        <v> </v>
      </c>
      <c r="K903" s="25" t="str">
        <f>IF(OR(E903="",E903="!!!",F903="NEW"),"",INDEX(J$1:J902,SUMPRODUCT(MAX(ROW(E$1:E902)*(E903=E$1:E902)))))</f>
        <v> </v>
      </c>
      <c r="L903" s="26"/>
    </row>
    <row r="904" spans="1:12">
      <c r="A904" s="20" t="s">
        <v>380</v>
      </c>
      <c r="E904" s="21">
        <f>IF(D904="?OLD","!!!","")</f>
        <v/>
      </c>
      <c r="F904" s="22" t="str">
        <f>IF(OR(E904="",E904="!!!"),"",IF(NOT(ISNA(VLOOKUP(E904,E$1:E903,1,FALSE()))),"OLD",IF(AND(E904&lt;&gt;"",E904&lt;&gt;"!!!"),"NEW","")))</f>
        <v> </v>
      </c>
      <c r="G904" s="23" t="str">
        <f>IF(OR(E904="",E904="!!!"),"",IF(OR(J904=0,AND(J904=1,K904=1),AND(J904=1,I904="SBJ"),AND(J904=1,I904=0)),"?IN_FOCUS",IF(J904&lt;=2,"?ACTIVATED",IF(J904&lt;&gt;"","?FAMILIAR",IF(F904="NEW",IF(ISNA(VLOOKUP(E904,#REF!,1,FALSE())),"?TYPE_IDENTIFIABLE","?REFERENTIAL"),"_")))))</f>
        <v> </v>
      </c>
      <c r="H904" s="24" t="str">
        <f>IF(J904&lt;&gt;1,"",IF(I904="SBJ","CB","?"))</f>
        <v> </v>
      </c>
      <c r="I904" s="25" t="str">
        <f>IF(OR(E904="",E904="!!!",F904="NEW"),"",INDEX(B903:B$2,-1+SUMPRODUCT(MAX(ROW(E903:E$2)*(E904=E903:E$2)))))</f>
        <v> </v>
      </c>
      <c r="J904" s="25" t="str">
        <f>IF(OR(E904="",E904="!!!",F904="NEW"),"",COUNTBLANK(OFFSET(A$1,,,SUMPRODUCT(MAX(ROW(E$2:E904)*(E904=E$2:E904)))))-COUNTBLANK(OFFSET(A$1,,,SUMPRODUCT(MAX(ROW(E$1:E903)*(E2=E$1:E903))))))</f>
        <v> </v>
      </c>
      <c r="K904" s="25" t="str">
        <f>IF(OR(E904="",E904="!!!",F904="NEW"),"",INDEX(J$1:J903,SUMPRODUCT(MAX(ROW(E$1:E903)*(E904=E$1:E903)))))</f>
        <v> </v>
      </c>
      <c r="L904" s="26"/>
    </row>
    <row r="905" spans="1:12">
      <c r="A905" s="20" t="s">
        <v>824</v>
      </c>
      <c r="B905" s="27" t="s">
        <v>542</v>
      </c>
      <c r="C905" s="27" t="s">
        <v>538</v>
      </c>
      <c r="D905" s="27" t="s">
        <v>483</v>
      </c>
      <c r="E905" s="21">
        <f>IF(D905="?OLD","!!!","")</f>
        <v/>
      </c>
      <c r="F905" s="22" t="str">
        <f>IF(OR(E905="",E905="!!!"),"",IF(NOT(ISNA(VLOOKUP(E905,E$1:E904,1,FALSE()))),"OLD",IF(AND(E905&lt;&gt;"",E905&lt;&gt;"!!!"),"NEW","")))</f>
        <v> </v>
      </c>
      <c r="G905" s="23" t="str">
        <f>IF(OR(E905="",E905="!!!"),"",IF(OR(J905=0,AND(J905=1,K905=1),AND(J905=1,I905="SBJ"),AND(J905=1,I905=0)),"?IN_FOCUS",IF(J905&lt;=2,"?ACTIVATED",IF(J905&lt;&gt;"","?FAMILIAR",IF(F905="NEW",IF(ISNA(VLOOKUP(E905,#REF!,1,FALSE())),"?TYPE_IDENTIFIABLE","?REFERENTIAL"),"_")))))</f>
        <v> </v>
      </c>
      <c r="H905" s="24" t="str">
        <f>IF(J905&lt;&gt;1,"",IF(I905="SBJ","CB","?"))</f>
        <v> </v>
      </c>
      <c r="I905" s="25" t="str">
        <f>IF(OR(E905="",E905="!!!",F905="NEW"),"",INDEX(B904:B$2,-1+SUMPRODUCT(MAX(ROW(E904:E$2)*(E905=E904:E$2)))))</f>
        <v> </v>
      </c>
      <c r="J905" s="25" t="str">
        <f>IF(OR(E905="",E905="!!!",F905="NEW"),"",COUNTBLANK(OFFSET(A$1,,,SUMPRODUCT(MAX(ROW(E$2:E905)*(E905=E$2:E905)))))-COUNTBLANK(OFFSET(A$1,,,SUMPRODUCT(MAX(ROW(E$1:E904)*(E2=E$1:E904))))))</f>
        <v> </v>
      </c>
      <c r="K905" s="25" t="str">
        <f>IF(OR(E905="",E905="!!!",F905="NEW"),"",INDEX(J$1:J904,SUMPRODUCT(MAX(ROW(E$1:E904)*(E905=E$1:E904)))))</f>
        <v> </v>
      </c>
      <c r="L905" s="26"/>
    </row>
    <row r="906" spans="1:12">
      <c r="A906" s="20" t="s">
        <v>369</v>
      </c>
      <c r="E906" s="21">
        <f>IF(D906="?OLD","!!!","")</f>
        <v/>
      </c>
      <c r="F906" s="22" t="str">
        <f>IF(OR(E906="",E906="!!!"),"",IF(NOT(ISNA(VLOOKUP(E906,E$1:E905,1,FALSE()))),"OLD",IF(AND(E906&lt;&gt;"",E906&lt;&gt;"!!!"),"NEW","")))</f>
        <v> </v>
      </c>
      <c r="G906" s="23" t="str">
        <f>IF(OR(E906="",E906="!!!"),"",IF(OR(J906=0,AND(J906=1,K906=1),AND(J906=1,I906="SBJ"),AND(J906=1,I906=0)),"?IN_FOCUS",IF(J906&lt;=2,"?ACTIVATED",IF(J906&lt;&gt;"","?FAMILIAR",IF(F906="NEW",IF(ISNA(VLOOKUP(E906,#REF!,1,FALSE())),"?TYPE_IDENTIFIABLE","?REFERENTIAL"),"_")))))</f>
        <v> </v>
      </c>
      <c r="H906" s="24" t="str">
        <f>IF(J906&lt;&gt;1,"",IF(I906="SBJ","CB","?"))</f>
        <v> </v>
      </c>
      <c r="I906" s="25" t="str">
        <f>IF(OR(E906="",E906="!!!",F906="NEW"),"",INDEX(B905:B$2,-1+SUMPRODUCT(MAX(ROW(E905:E$2)*(E906=E905:E$2)))))</f>
        <v> </v>
      </c>
      <c r="J906" s="25" t="str">
        <f>IF(OR(E906="",E906="!!!",F906="NEW"),"",COUNTBLANK(OFFSET(A$1,,,SUMPRODUCT(MAX(ROW(E$2:E906)*(E906=E$2:E906)))))-COUNTBLANK(OFFSET(A$1,,,SUMPRODUCT(MAX(ROW(E$1:E905)*(E2=E$1:E905))))))</f>
        <v> </v>
      </c>
      <c r="K906" s="25" t="str">
        <f>IF(OR(E906="",E906="!!!",F906="NEW"),"",INDEX(J$1:J905,SUMPRODUCT(MAX(ROW(E$1:E905)*(E906=E$1:E905)))))</f>
        <v> </v>
      </c>
      <c r="L906" s="26"/>
    </row>
    <row r="907" spans="1:12">
      <c r="A907" s="20" t="s">
        <v>833</v>
      </c>
      <c r="E907" s="21">
        <f>IF(D907="?OLD","!!!","")</f>
        <v/>
      </c>
      <c r="F907" s="22" t="str">
        <f>IF(OR(E907="",E907="!!!"),"",IF(NOT(ISNA(VLOOKUP(E907,E$1:E906,1,FALSE()))),"OLD",IF(AND(E907&lt;&gt;"",E907&lt;&gt;"!!!"),"NEW","")))</f>
        <v> </v>
      </c>
      <c r="G907" s="23" t="str">
        <f>IF(OR(E907="",E907="!!!"),"",IF(OR(J907=0,AND(J907=1,K907=1),AND(J907=1,I907="SBJ"),AND(J907=1,I907=0)),"?IN_FOCUS",IF(J907&lt;=2,"?ACTIVATED",IF(J907&lt;&gt;"","?FAMILIAR",IF(F907="NEW",IF(ISNA(VLOOKUP(E907,#REF!,1,FALSE())),"?TYPE_IDENTIFIABLE","?REFERENTIAL"),"_")))))</f>
        <v> </v>
      </c>
      <c r="H907" s="24" t="str">
        <f>IF(J907&lt;&gt;1,"",IF(I907="SBJ","CB","?"))</f>
        <v> </v>
      </c>
      <c r="I907" s="25" t="str">
        <f>IF(OR(E907="",E907="!!!",F907="NEW"),"",INDEX(B906:B$2,-1+SUMPRODUCT(MAX(ROW(E906:E$2)*(E907=E906:E$2)))))</f>
        <v> </v>
      </c>
      <c r="J907" s="25" t="str">
        <f>IF(OR(E907="",E907="!!!",F907="NEW"),"",COUNTBLANK(OFFSET(A$1,,,SUMPRODUCT(MAX(ROW(E$2:E907)*(E907=E$2:E907)))))-COUNTBLANK(OFFSET(A$1,,,SUMPRODUCT(MAX(ROW(E$1:E906)*(E2=E$1:E906))))))</f>
        <v> </v>
      </c>
      <c r="K907" s="25" t="str">
        <f>IF(OR(E907="",E907="!!!",F907="NEW"),"",INDEX(J$1:J906,SUMPRODUCT(MAX(ROW(E$1:E906)*(E907=E$1:E906)))))</f>
        <v> </v>
      </c>
      <c r="L907" s="26"/>
    </row>
    <row r="908" spans="1:12">
      <c r="A908" s="20" t="s">
        <v>489</v>
      </c>
      <c r="E908" s="21">
        <f>IF(D908="?OLD","!!!","")</f>
        <v/>
      </c>
      <c r="F908" s="22" t="str">
        <f>IF(OR(E908="",E908="!!!"),"",IF(NOT(ISNA(VLOOKUP(E908,E$1:E907,1,FALSE()))),"OLD",IF(AND(E908&lt;&gt;"",E908&lt;&gt;"!!!"),"NEW","")))</f>
        <v> </v>
      </c>
      <c r="G908" s="23" t="str">
        <f>IF(OR(E908="",E908="!!!"),"",IF(OR(J908=0,AND(J908=1,K908=1),AND(J908=1,I908="SBJ"),AND(J908=1,I908=0)),"?IN_FOCUS",IF(J908&lt;=2,"?ACTIVATED",IF(J908&lt;&gt;"","?FAMILIAR",IF(F908="NEW",IF(ISNA(VLOOKUP(E908,#REF!,1,FALSE())),"?TYPE_IDENTIFIABLE","?REFERENTIAL"),"_")))))</f>
        <v> </v>
      </c>
      <c r="H908" s="24" t="str">
        <f>IF(J908&lt;&gt;1,"",IF(I908="SBJ","CB","?"))</f>
        <v> </v>
      </c>
      <c r="I908" s="25" t="str">
        <f>IF(OR(E908="",E908="!!!",F908="NEW"),"",INDEX(B907:B$2,-1+SUMPRODUCT(MAX(ROW(E907:E$2)*(E908=E907:E$2)))))</f>
        <v> </v>
      </c>
      <c r="J908" s="25" t="str">
        <f>IF(OR(E908="",E908="!!!",F908="NEW"),"",COUNTBLANK(OFFSET(A$1,,,SUMPRODUCT(MAX(ROW(E$2:E908)*(E908=E$2:E908)))))-COUNTBLANK(OFFSET(A$1,,,SUMPRODUCT(MAX(ROW(E$1:E907)*(E2=E$1:E907))))))</f>
        <v> </v>
      </c>
      <c r="K908" s="25" t="str">
        <f>IF(OR(E908="",E908="!!!",F908="NEW"),"",INDEX(J$1:J907,SUMPRODUCT(MAX(ROW(E$1:E907)*(E908=E$1:E907)))))</f>
        <v> </v>
      </c>
      <c r="L908" s="26"/>
    </row>
    <row r="909" spans="1:12">
      <c r="A909" s="20" t="s">
        <v>528</v>
      </c>
      <c r="E909" s="21">
        <f>IF(D909="?OLD","!!!","")</f>
        <v/>
      </c>
      <c r="F909" s="22" t="str">
        <f>IF(OR(E909="",E909="!!!"),"",IF(NOT(ISNA(VLOOKUP(E909,E$1:E908,1,FALSE()))),"OLD",IF(AND(E909&lt;&gt;"",E909&lt;&gt;"!!!"),"NEW","")))</f>
        <v> </v>
      </c>
      <c r="G909" s="23" t="str">
        <f>IF(OR(E909="",E909="!!!"),"",IF(OR(J909=0,AND(J909=1,K909=1),AND(J909=1,I909="SBJ"),AND(J909=1,I909=0)),"?IN_FOCUS",IF(J909&lt;=2,"?ACTIVATED",IF(J909&lt;&gt;"","?FAMILIAR",IF(F909="NEW",IF(ISNA(VLOOKUP(E909,#REF!,1,FALSE())),"?TYPE_IDENTIFIABLE","?REFERENTIAL"),"_")))))</f>
        <v> </v>
      </c>
      <c r="H909" s="24" t="str">
        <f>IF(J909&lt;&gt;1,"",IF(I909="SBJ","CB","?"))</f>
        <v> </v>
      </c>
      <c r="I909" s="25" t="str">
        <f>IF(OR(E909="",E909="!!!",F909="NEW"),"",INDEX(B908:B$2,-1+SUMPRODUCT(MAX(ROW(E908:E$2)*(E909=E908:E$2)))))</f>
        <v> </v>
      </c>
      <c r="J909" s="25" t="str">
        <f>IF(OR(E909="",E909="!!!",F909="NEW"),"",COUNTBLANK(OFFSET(A$1,,,SUMPRODUCT(MAX(ROW(E$2:E909)*(E909=E$2:E909)))))-COUNTBLANK(OFFSET(A$1,,,SUMPRODUCT(MAX(ROW(E$1:E908)*(E2=E$1:E908))))))</f>
        <v> </v>
      </c>
      <c r="K909" s="25" t="str">
        <f>IF(OR(E909="",E909="!!!",F909="NEW"),"",INDEX(J$1:J908,SUMPRODUCT(MAX(ROW(E$1:E908)*(E909=E$1:E908)))))</f>
        <v> </v>
      </c>
      <c r="L909" s="26"/>
    </row>
    <row r="910" spans="1:12">
      <c r="A910" s="20" t="s">
        <v>834</v>
      </c>
      <c r="B910" s="27" t="s">
        <v>540</v>
      </c>
      <c r="C910" s="27" t="s">
        <v>516</v>
      </c>
      <c r="E910" s="21">
        <f>IF(D910="?OLD","!!!","")</f>
        <v/>
      </c>
      <c r="F910" s="22" t="str">
        <f>IF(OR(E910="",E910="!!!"),"",IF(NOT(ISNA(VLOOKUP(E910,E$1:E909,1,FALSE()))),"OLD",IF(AND(E910&lt;&gt;"",E910&lt;&gt;"!!!"),"NEW","")))</f>
        <v> </v>
      </c>
      <c r="G910" s="23" t="str">
        <f>IF(OR(E910="",E910="!!!"),"",IF(OR(J910=0,AND(J910=1,K910=1),AND(J910=1,I910="SBJ"),AND(J910=1,I910=0)),"?IN_FOCUS",IF(J910&lt;=2,"?ACTIVATED",IF(J910&lt;&gt;"","?FAMILIAR",IF(F910="NEW",IF(ISNA(VLOOKUP(E910,#REF!,1,FALSE())),"?TYPE_IDENTIFIABLE","?REFERENTIAL"),"_")))))</f>
        <v> </v>
      </c>
      <c r="H910" s="24" t="str">
        <f>IF(J910&lt;&gt;1,"",IF(I910="SBJ","CB","?"))</f>
        <v> </v>
      </c>
      <c r="I910" s="25" t="str">
        <f>IF(OR(E910="",E910="!!!",F910="NEW"),"",INDEX(B909:B$2,-1+SUMPRODUCT(MAX(ROW(E909:E$2)*(E910=E909:E$2)))))</f>
        <v> </v>
      </c>
      <c r="J910" s="25" t="str">
        <f>IF(OR(E910="",E910="!!!",F910="NEW"),"",COUNTBLANK(OFFSET(A$1,,,SUMPRODUCT(MAX(ROW(E$2:E910)*(E910=E$2:E910)))))-COUNTBLANK(OFFSET(A$1,,,SUMPRODUCT(MAX(ROW(E$1:E909)*(E2=E$1:E909))))))</f>
        <v> </v>
      </c>
      <c r="K910" s="25" t="str">
        <f>IF(OR(E910="",E910="!!!",F910="NEW"),"",INDEX(J$1:J909,SUMPRODUCT(MAX(ROW(E$1:E909)*(E910=E$1:E909)))))</f>
        <v> </v>
      </c>
      <c r="L910" s="26"/>
    </row>
    <row r="911" spans="1:12">
      <c r="A911" s="20" t="s">
        <v>835</v>
      </c>
      <c r="E911" s="21">
        <f>IF(D911="?OLD","!!!","")</f>
        <v/>
      </c>
      <c r="F911" s="22" t="str">
        <f>IF(OR(E911="",E911="!!!"),"",IF(NOT(ISNA(VLOOKUP(E911,E$1:E910,1,FALSE()))),"OLD",IF(AND(E911&lt;&gt;"",E911&lt;&gt;"!!!"),"NEW","")))</f>
        <v> </v>
      </c>
      <c r="G911" s="23" t="str">
        <f>IF(OR(E911="",E911="!!!"),"",IF(OR(J911=0,AND(J911=1,K911=1),AND(J911=1,I911="SBJ"),AND(J911=1,I911=0)),"?IN_FOCUS",IF(J911&lt;=2,"?ACTIVATED",IF(J911&lt;&gt;"","?FAMILIAR",IF(F911="NEW",IF(ISNA(VLOOKUP(E911,#REF!,1,FALSE())),"?TYPE_IDENTIFIABLE","?REFERENTIAL"),"_")))))</f>
        <v> </v>
      </c>
      <c r="H911" s="24" t="str">
        <f>IF(J911&lt;&gt;1,"",IF(I911="SBJ","CB","?"))</f>
        <v> </v>
      </c>
      <c r="I911" s="25" t="str">
        <f>IF(OR(E911="",E911="!!!",F911="NEW"),"",INDEX(B910:B$2,-1+SUMPRODUCT(MAX(ROW(E910:E$2)*(E911=E910:E$2)))))</f>
        <v> </v>
      </c>
      <c r="J911" s="25" t="str">
        <f>IF(OR(E911="",E911="!!!",F911="NEW"),"",COUNTBLANK(OFFSET(A$1,,,SUMPRODUCT(MAX(ROW(E$2:E911)*(E911=E$2:E911)))))-COUNTBLANK(OFFSET(A$1,,,SUMPRODUCT(MAX(ROW(E$1:E910)*(E2=E$1:E910))))))</f>
        <v> </v>
      </c>
      <c r="K911" s="25" t="str">
        <f>IF(OR(E911="",E911="!!!",F911="NEW"),"",INDEX(J$1:J910,SUMPRODUCT(MAX(ROW(E$1:E910)*(E911=E$1:E910)))))</f>
        <v> </v>
      </c>
      <c r="L911" s="26"/>
    </row>
    <row r="912" spans="1:12">
      <c r="A912" s="20" t="s">
        <v>489</v>
      </c>
      <c r="E912" s="21">
        <f>IF(D912="?OLD","!!!","")</f>
        <v/>
      </c>
      <c r="F912" s="22" t="str">
        <f>IF(OR(E912="",E912="!!!"),"",IF(NOT(ISNA(VLOOKUP(E912,E$1:E911,1,FALSE()))),"OLD",IF(AND(E912&lt;&gt;"",E912&lt;&gt;"!!!"),"NEW","")))</f>
        <v> </v>
      </c>
      <c r="G912" s="23" t="str">
        <f>IF(OR(E912="",E912="!!!"),"",IF(OR(J912=0,AND(J912=1,K912=1),AND(J912=1,I912="SBJ"),AND(J912=1,I912=0)),"?IN_FOCUS",IF(J912&lt;=2,"?ACTIVATED",IF(J912&lt;&gt;"","?FAMILIAR",IF(F912="NEW",IF(ISNA(VLOOKUP(E912,#REF!,1,FALSE())),"?TYPE_IDENTIFIABLE","?REFERENTIAL"),"_")))))</f>
        <v> </v>
      </c>
      <c r="H912" s="24" t="str">
        <f>IF(J912&lt;&gt;1,"",IF(I912="SBJ","CB","?"))</f>
        <v> </v>
      </c>
      <c r="I912" s="25" t="str">
        <f>IF(OR(E912="",E912="!!!",F912="NEW"),"",INDEX(B911:B$2,-1+SUMPRODUCT(MAX(ROW(E911:E$2)*(E912=E911:E$2)))))</f>
        <v> </v>
      </c>
      <c r="J912" s="25" t="str">
        <f>IF(OR(E912="",E912="!!!",F912="NEW"),"",COUNTBLANK(OFFSET(A$1,,,SUMPRODUCT(MAX(ROW(E$2:E912)*(E912=E$2:E912)))))-COUNTBLANK(OFFSET(A$1,,,SUMPRODUCT(MAX(ROW(E$1:E911)*(E2=E$1:E911))))))</f>
        <v> </v>
      </c>
      <c r="K912" s="25" t="str">
        <f>IF(OR(E912="",E912="!!!",F912="NEW"),"",INDEX(J$1:J911,SUMPRODUCT(MAX(ROW(E$1:E911)*(E912=E$1:E911)))))</f>
        <v> </v>
      </c>
      <c r="L912" s="26"/>
    </row>
    <row r="913" spans="1:12">
      <c r="A913" s="20" t="s">
        <v>805</v>
      </c>
      <c r="E913" s="21">
        <f>IF(D913="?OLD","!!!","")</f>
        <v/>
      </c>
      <c r="F913" s="22" t="str">
        <f>IF(OR(E913="",E913="!!!"),"",IF(NOT(ISNA(VLOOKUP(E913,E$1:E912,1,FALSE()))),"OLD",IF(AND(E913&lt;&gt;"",E913&lt;&gt;"!!!"),"NEW","")))</f>
        <v> </v>
      </c>
      <c r="G913" s="23" t="str">
        <f>IF(OR(E913="",E913="!!!"),"",IF(OR(J913=0,AND(J913=1,K913=1),AND(J913=1,I913="SBJ"),AND(J913=1,I913=0)),"?IN_FOCUS",IF(J913&lt;=2,"?ACTIVATED",IF(J913&lt;&gt;"","?FAMILIAR",IF(F913="NEW",IF(ISNA(VLOOKUP(E913,#REF!,1,FALSE())),"?TYPE_IDENTIFIABLE","?REFERENTIAL"),"_")))))</f>
        <v> </v>
      </c>
      <c r="H913" s="24" t="str">
        <f>IF(J913&lt;&gt;1,"",IF(I913="SBJ","CB","?"))</f>
        <v> </v>
      </c>
      <c r="I913" s="25" t="str">
        <f>IF(OR(E913="",E913="!!!",F913="NEW"),"",INDEX(B912:B$2,-1+SUMPRODUCT(MAX(ROW(E912:E$2)*(E913=E912:E$2)))))</f>
        <v> </v>
      </c>
      <c r="J913" s="25" t="str">
        <f>IF(OR(E913="",E913="!!!",F913="NEW"),"",COUNTBLANK(OFFSET(A$1,,,SUMPRODUCT(MAX(ROW(E$2:E913)*(E913=E$2:E913)))))-COUNTBLANK(OFFSET(A$1,,,SUMPRODUCT(MAX(ROW(E$1:E912)*(E2=E$1:E912))))))</f>
        <v> </v>
      </c>
      <c r="K913" s="25" t="str">
        <f>IF(OR(E913="",E913="!!!",F913="NEW"),"",INDEX(J$1:J912,SUMPRODUCT(MAX(ROW(E$1:E912)*(E913=E$1:E912)))))</f>
        <v> </v>
      </c>
      <c r="L913" s="26"/>
    </row>
    <row r="914" spans="1:12">
      <c r="A914" s="20" t="s">
        <v>495</v>
      </c>
      <c r="E914" s="21">
        <f>IF(D914="?OLD","!!!","")</f>
        <v/>
      </c>
      <c r="F914" s="22" t="str">
        <f>IF(OR(E914="",E914="!!!"),"",IF(NOT(ISNA(VLOOKUP(E914,E$1:E913,1,FALSE()))),"OLD",IF(AND(E914&lt;&gt;"",E914&lt;&gt;"!!!"),"NEW","")))</f>
        <v> </v>
      </c>
      <c r="G914" s="23" t="str">
        <f>IF(OR(E914="",E914="!!!"),"",IF(OR(J914=0,AND(J914=1,K914=1),AND(J914=1,I914="SBJ"),AND(J914=1,I914=0)),"?IN_FOCUS",IF(J914&lt;=2,"?ACTIVATED",IF(J914&lt;&gt;"","?FAMILIAR",IF(F914="NEW",IF(ISNA(VLOOKUP(E914,#REF!,1,FALSE())),"?TYPE_IDENTIFIABLE","?REFERENTIAL"),"_")))))</f>
        <v> </v>
      </c>
      <c r="H914" s="24" t="str">
        <f>IF(J914&lt;&gt;1,"",IF(I914="SBJ","CB","?"))</f>
        <v> </v>
      </c>
      <c r="I914" s="25" t="str">
        <f>IF(OR(E914="",E914="!!!",F914="NEW"),"",INDEX(B913:B$2,-1+SUMPRODUCT(MAX(ROW(E913:E$2)*(E914=E913:E$2)))))</f>
        <v> </v>
      </c>
      <c r="J914" s="25" t="str">
        <f>IF(OR(E914="",E914="!!!",F914="NEW"),"",COUNTBLANK(OFFSET(A$1,,,SUMPRODUCT(MAX(ROW(E$2:E914)*(E914=E$2:E914)))))-COUNTBLANK(OFFSET(A$1,,,SUMPRODUCT(MAX(ROW(E$1:E913)*(E2=E$1:E913))))))</f>
        <v> </v>
      </c>
      <c r="K914" s="25" t="str">
        <f>IF(OR(E914="",E914="!!!",F914="NEW"),"",INDEX(J$1:J913,SUMPRODUCT(MAX(ROW(E$1:E913)*(E914=E$1:E913)))))</f>
        <v> </v>
      </c>
      <c r="L914" s="26"/>
    </row>
    <row r="915" spans="1:12">
      <c r="A915" s="20" t="s">
        <v>836</v>
      </c>
      <c r="B915" s="27" t="s">
        <v>490</v>
      </c>
      <c r="C915" s="27" t="s">
        <v>498</v>
      </c>
      <c r="E915" s="21">
        <f>IF(D915="?OLD","!!!","")</f>
        <v/>
      </c>
      <c r="F915" s="22" t="str">
        <f>IF(OR(E915="",E915="!!!"),"",IF(NOT(ISNA(VLOOKUP(E915,E$1:E914,1,FALSE()))),"OLD",IF(AND(E915&lt;&gt;"",E915&lt;&gt;"!!!"),"NEW","")))</f>
        <v> </v>
      </c>
      <c r="G915" s="23" t="str">
        <f>IF(OR(E915="",E915="!!!"),"",IF(OR(J915=0,AND(J915=1,K915=1),AND(J915=1,I915="SBJ"),AND(J915=1,I915=0)),"?IN_FOCUS",IF(J915&lt;=2,"?ACTIVATED",IF(J915&lt;&gt;"","?FAMILIAR",IF(F915="NEW",IF(ISNA(VLOOKUP(E915,#REF!,1,FALSE())),"?TYPE_IDENTIFIABLE","?REFERENTIAL"),"_")))))</f>
        <v> </v>
      </c>
      <c r="H915" s="24" t="str">
        <f>IF(J915&lt;&gt;1,"",IF(I915="SBJ","CB","?"))</f>
        <v> </v>
      </c>
      <c r="I915" s="25" t="str">
        <f>IF(OR(E915="",E915="!!!",F915="NEW"),"",INDEX(B914:B$2,-1+SUMPRODUCT(MAX(ROW(E914:E$2)*(E915=E914:E$2)))))</f>
        <v> </v>
      </c>
      <c r="J915" s="25" t="str">
        <f>IF(OR(E915="",E915="!!!",F915="NEW"),"",COUNTBLANK(OFFSET(A$1,,,SUMPRODUCT(MAX(ROW(E$2:E915)*(E915=E$2:E915)))))-COUNTBLANK(OFFSET(A$1,,,SUMPRODUCT(MAX(ROW(E$1:E914)*(E2=E$1:E914))))))</f>
        <v> </v>
      </c>
      <c r="K915" s="25" t="str">
        <f>IF(OR(E915="",E915="!!!",F915="NEW"),"",INDEX(J$1:J914,SUMPRODUCT(MAX(ROW(E$1:E914)*(E915=E$1:E914)))))</f>
        <v> </v>
      </c>
      <c r="L915" s="26"/>
    </row>
    <row r="916" spans="1:12">
      <c r="A916" s="20" t="s">
        <v>837</v>
      </c>
      <c r="E916" s="21">
        <f>IF(D916="?OLD","!!!","")</f>
        <v/>
      </c>
      <c r="F916" s="22" t="str">
        <f>IF(OR(E916="",E916="!!!"),"",IF(NOT(ISNA(VLOOKUP(E916,E$1:E915,1,FALSE()))),"OLD",IF(AND(E916&lt;&gt;"",E916&lt;&gt;"!!!"),"NEW","")))</f>
        <v> </v>
      </c>
      <c r="G916" s="23" t="str">
        <f>IF(OR(E916="",E916="!!!"),"",IF(OR(J916=0,AND(J916=1,K916=1),AND(J916=1,I916="SBJ"),AND(J916=1,I916=0)),"?IN_FOCUS",IF(J916&lt;=2,"?ACTIVATED",IF(J916&lt;&gt;"","?FAMILIAR",IF(F916="NEW",IF(ISNA(VLOOKUP(E916,#REF!,1,FALSE())),"?TYPE_IDENTIFIABLE","?REFERENTIAL"),"_")))))</f>
        <v> </v>
      </c>
      <c r="H916" s="24" t="str">
        <f>IF(J916&lt;&gt;1,"",IF(I916="SBJ","CB","?"))</f>
        <v> </v>
      </c>
      <c r="I916" s="25" t="str">
        <f>IF(OR(E916="",E916="!!!",F916="NEW"),"",INDEX(B915:B$2,-1+SUMPRODUCT(MAX(ROW(E915:E$2)*(E916=E915:E$2)))))</f>
        <v> </v>
      </c>
      <c r="J916" s="25" t="str">
        <f>IF(OR(E916="",E916="!!!",F916="NEW"),"",COUNTBLANK(OFFSET(A$1,,,SUMPRODUCT(MAX(ROW(E$2:E916)*(E916=E$2:E916)))))-COUNTBLANK(OFFSET(A$1,,,SUMPRODUCT(MAX(ROW(E$1:E915)*(E2=E$1:E915))))))</f>
        <v> </v>
      </c>
      <c r="K916" s="25" t="str">
        <f>IF(OR(E916="",E916="!!!",F916="NEW"),"",INDEX(J$1:J915,SUMPRODUCT(MAX(ROW(E$1:E915)*(E916=E$1:E915)))))</f>
        <v> </v>
      </c>
      <c r="L916" s="26"/>
    </row>
    <row r="917" spans="1:12">
      <c r="A917" s="20" t="s">
        <v>507</v>
      </c>
      <c r="E917" s="21">
        <f>IF(D917="?OLD","!!!","")</f>
        <v/>
      </c>
      <c r="F917" s="22" t="str">
        <f>IF(OR(E917="",E917="!!!"),"",IF(NOT(ISNA(VLOOKUP(E917,E$1:E916,1,FALSE()))),"OLD",IF(AND(E917&lt;&gt;"",E917&lt;&gt;"!!!"),"NEW","")))</f>
        <v> </v>
      </c>
      <c r="G917" s="23" t="str">
        <f>IF(OR(E917="",E917="!!!"),"",IF(OR(J917=0,AND(J917=1,K917=1),AND(J917=1,I917="SBJ"),AND(J917=1,I917=0)),"?IN_FOCUS",IF(J917&lt;=2,"?ACTIVATED",IF(J917&lt;&gt;"","?FAMILIAR",IF(F917="NEW",IF(ISNA(VLOOKUP(E917,#REF!,1,FALSE())),"?TYPE_IDENTIFIABLE","?REFERENTIAL"),"_")))))</f>
        <v> </v>
      </c>
      <c r="H917" s="24" t="str">
        <f>IF(J917&lt;&gt;1,"",IF(I917="SBJ","CB","?"))</f>
        <v> </v>
      </c>
      <c r="I917" s="25" t="str">
        <f>IF(OR(E917="",E917="!!!",F917="NEW"),"",INDEX(B916:B$2,-1+SUMPRODUCT(MAX(ROW(E916:E$2)*(E917=E916:E$2)))))</f>
        <v> </v>
      </c>
      <c r="J917" s="25" t="str">
        <f>IF(OR(E917="",E917="!!!",F917="NEW"),"",COUNTBLANK(OFFSET(A$1,,,SUMPRODUCT(MAX(ROW(E$2:E917)*(E917=E$2:E917)))))-COUNTBLANK(OFFSET(A$1,,,SUMPRODUCT(MAX(ROW(E$1:E916)*(E2=E$1:E916))))))</f>
        <v> </v>
      </c>
      <c r="K917" s="25" t="str">
        <f>IF(OR(E917="",E917="!!!",F917="NEW"),"",INDEX(J$1:J916,SUMPRODUCT(MAX(ROW(E$1:E916)*(E917=E$1:E916)))))</f>
        <v> </v>
      </c>
      <c r="L917" s="26"/>
    </row>
    <row r="918" spans="1:12">
      <c r="A918" s="20" t="s">
        <v>641</v>
      </c>
      <c r="B918" s="27" t="s">
        <v>547</v>
      </c>
      <c r="C918" s="27" t="s">
        <v>516</v>
      </c>
      <c r="E918" s="21">
        <f>IF(D918="?OLD","!!!","")</f>
        <v/>
      </c>
      <c r="F918" s="22" t="str">
        <f>IF(OR(E918="",E918="!!!"),"",IF(NOT(ISNA(VLOOKUP(E918,E$1:E917,1,FALSE()))),"OLD",IF(AND(E918&lt;&gt;"",E918&lt;&gt;"!!!"),"NEW","")))</f>
        <v> </v>
      </c>
      <c r="G918" s="23" t="str">
        <f>IF(OR(E918="",E918="!!!"),"",IF(OR(J918=0,AND(J918=1,K918=1),AND(J918=1,I918="SBJ"),AND(J918=1,I918=0)),"?IN_FOCUS",IF(J918&lt;=2,"?ACTIVATED",IF(J918&lt;&gt;"","?FAMILIAR",IF(F918="NEW",IF(ISNA(VLOOKUP(E918,#REF!,1,FALSE())),"?TYPE_IDENTIFIABLE","?REFERENTIAL"),"_")))))</f>
        <v> </v>
      </c>
      <c r="H918" s="24" t="str">
        <f>IF(J918&lt;&gt;1,"",IF(I918="SBJ","CB","?"))</f>
        <v> </v>
      </c>
      <c r="I918" s="25" t="str">
        <f>IF(OR(E918="",E918="!!!",F918="NEW"),"",INDEX(B917:B$2,-1+SUMPRODUCT(MAX(ROW(E917:E$2)*(E918=E917:E$2)))))</f>
        <v> </v>
      </c>
      <c r="J918" s="25" t="str">
        <f>IF(OR(E918="",E918="!!!",F918="NEW"),"",COUNTBLANK(OFFSET(A$1,,,SUMPRODUCT(MAX(ROW(E$2:E918)*(E918=E$2:E918)))))-COUNTBLANK(OFFSET(A$1,,,SUMPRODUCT(MAX(ROW(E$1:E917)*(E2=E$1:E917))))))</f>
        <v> </v>
      </c>
      <c r="K918" s="25" t="str">
        <f>IF(OR(E918="",E918="!!!",F918="NEW"),"",INDEX(J$1:J917,SUMPRODUCT(MAX(ROW(E$1:E917)*(E918=E$1:E917)))))</f>
        <v> </v>
      </c>
      <c r="L918" s="26"/>
    </row>
    <row r="919" spans="1:12">
      <c r="A919" s="20" t="s">
        <v>489</v>
      </c>
      <c r="E919" s="21">
        <f>IF(D919="?OLD","!!!","")</f>
        <v/>
      </c>
      <c r="F919" s="22" t="str">
        <f>IF(OR(E919="",E919="!!!"),"",IF(NOT(ISNA(VLOOKUP(E919,E$1:E918,1,FALSE()))),"OLD",IF(AND(E919&lt;&gt;"",E919&lt;&gt;"!!!"),"NEW","")))</f>
        <v> </v>
      </c>
      <c r="G919" s="23" t="str">
        <f>IF(OR(E919="",E919="!!!"),"",IF(OR(J919=0,AND(J919=1,K919=1),AND(J919=1,I919="SBJ"),AND(J919=1,I919=0)),"?IN_FOCUS",IF(J919&lt;=2,"?ACTIVATED",IF(J919&lt;&gt;"","?FAMILIAR",IF(F919="NEW",IF(ISNA(VLOOKUP(E919,#REF!,1,FALSE())),"?TYPE_IDENTIFIABLE","?REFERENTIAL"),"_")))))</f>
        <v> </v>
      </c>
      <c r="H919" s="24" t="str">
        <f>IF(J919&lt;&gt;1,"",IF(I919="SBJ","CB","?"))</f>
        <v> </v>
      </c>
      <c r="I919" s="25" t="str">
        <f>IF(OR(E919="",E919="!!!",F919="NEW"),"",INDEX(B918:B$2,-1+SUMPRODUCT(MAX(ROW(E918:E$2)*(E919=E918:E$2)))))</f>
        <v> </v>
      </c>
      <c r="J919" s="25" t="str">
        <f>IF(OR(E919="",E919="!!!",F919="NEW"),"",COUNTBLANK(OFFSET(A$1,,,SUMPRODUCT(MAX(ROW(E$2:E919)*(E919=E$2:E919)))))-COUNTBLANK(OFFSET(A$1,,,SUMPRODUCT(MAX(ROW(E$1:E918)*(E2=E$1:E918))))))</f>
        <v> </v>
      </c>
      <c r="K919" s="25" t="str">
        <f>IF(OR(E919="",E919="!!!",F919="NEW"),"",INDEX(J$1:J918,SUMPRODUCT(MAX(ROW(E$1:E918)*(E919=E$1:E918)))))</f>
        <v> </v>
      </c>
      <c r="L919" s="26"/>
    </row>
    <row r="920" spans="1:12">
      <c r="A920" s="20" t="s">
        <v>558</v>
      </c>
      <c r="E920" s="21">
        <f>IF(D920="?OLD","!!!","")</f>
        <v/>
      </c>
      <c r="F920" s="22" t="str">
        <f>IF(OR(E920="",E920="!!!"),"",IF(NOT(ISNA(VLOOKUP(E920,E$1:E919,1,FALSE()))),"OLD",IF(AND(E920&lt;&gt;"",E920&lt;&gt;"!!!"),"NEW","")))</f>
        <v> </v>
      </c>
      <c r="G920" s="23" t="str">
        <f>IF(OR(E920="",E920="!!!"),"",IF(OR(J920=0,AND(J920=1,K920=1),AND(J920=1,I920="SBJ"),AND(J920=1,I920=0)),"?IN_FOCUS",IF(J920&lt;=2,"?ACTIVATED",IF(J920&lt;&gt;"","?FAMILIAR",IF(F920="NEW",IF(ISNA(VLOOKUP(E920,#REF!,1,FALSE())),"?TYPE_IDENTIFIABLE","?REFERENTIAL"),"_")))))</f>
        <v> </v>
      </c>
      <c r="H920" s="24" t="str">
        <f>IF(J920&lt;&gt;1,"",IF(I920="SBJ","CB","?"))</f>
        <v> </v>
      </c>
      <c r="I920" s="25" t="str">
        <f>IF(OR(E920="",E920="!!!",F920="NEW"),"",INDEX(B919:B$2,-1+SUMPRODUCT(MAX(ROW(E919:E$2)*(E920=E919:E$2)))))</f>
        <v> </v>
      </c>
      <c r="J920" s="25" t="str">
        <f>IF(OR(E920="",E920="!!!",F920="NEW"),"",COUNTBLANK(OFFSET(A$1,,,SUMPRODUCT(MAX(ROW(E$2:E920)*(E920=E$2:E920)))))-COUNTBLANK(OFFSET(A$1,,,SUMPRODUCT(MAX(ROW(E$1:E919)*(E2=E$1:E919))))))</f>
        <v> </v>
      </c>
      <c r="K920" s="25" t="str">
        <f>IF(OR(E920="",E920="!!!",F920="NEW"),"",INDEX(J$1:J919,SUMPRODUCT(MAX(ROW(E$1:E919)*(E920=E$1:E919)))))</f>
        <v> </v>
      </c>
      <c r="L920" s="26"/>
    </row>
    <row r="921" spans="1:12">
      <c r="A921" s="20" t="s">
        <v>838</v>
      </c>
      <c r="E921" s="21">
        <f>IF(D921="?OLD","!!!","")</f>
        <v/>
      </c>
      <c r="F921" s="22" t="str">
        <f>IF(OR(E921="",E921="!!!"),"",IF(NOT(ISNA(VLOOKUP(E921,E$1:E920,1,FALSE()))),"OLD",IF(AND(E921&lt;&gt;"",E921&lt;&gt;"!!!"),"NEW","")))</f>
        <v> </v>
      </c>
      <c r="G921" s="23" t="str">
        <f>IF(OR(E921="",E921="!!!"),"",IF(OR(J921=0,AND(J921=1,K921=1),AND(J921=1,I921="SBJ"),AND(J921=1,I921=0)),"?IN_FOCUS",IF(J921&lt;=2,"?ACTIVATED",IF(J921&lt;&gt;"","?FAMILIAR",IF(F921="NEW",IF(ISNA(VLOOKUP(E921,#REF!,1,FALSE())),"?TYPE_IDENTIFIABLE","?REFERENTIAL"),"_")))))</f>
        <v> </v>
      </c>
      <c r="H921" s="24" t="str">
        <f>IF(J921&lt;&gt;1,"",IF(I921="SBJ","CB","?"))</f>
        <v> </v>
      </c>
      <c r="I921" s="25" t="str">
        <f>IF(OR(E921="",E921="!!!",F921="NEW"),"",INDEX(B920:B$2,-1+SUMPRODUCT(MAX(ROW(E920:E$2)*(E921=E920:E$2)))))</f>
        <v> </v>
      </c>
      <c r="J921" s="25" t="str">
        <f>IF(OR(E921="",E921="!!!",F921="NEW"),"",COUNTBLANK(OFFSET(A$1,,,SUMPRODUCT(MAX(ROW(E$2:E921)*(E921=E$2:E921)))))-COUNTBLANK(OFFSET(A$1,,,SUMPRODUCT(MAX(ROW(E$1:E920)*(E2=E$1:E920))))))</f>
        <v> </v>
      </c>
      <c r="K921" s="25" t="str">
        <f>IF(OR(E921="",E921="!!!",F921="NEW"),"",INDEX(J$1:J920,SUMPRODUCT(MAX(ROW(E$1:E920)*(E921=E$1:E920)))))</f>
        <v> </v>
      </c>
      <c r="L921" s="26"/>
    </row>
    <row r="922" spans="1:12">
      <c r="A922" s="20" t="s">
        <v>369</v>
      </c>
      <c r="E922" s="21">
        <f>IF(D922="?OLD","!!!","")</f>
        <v/>
      </c>
      <c r="F922" s="22" t="str">
        <f>IF(OR(E922="",E922="!!!"),"",IF(NOT(ISNA(VLOOKUP(E922,E$1:E921,1,FALSE()))),"OLD",IF(AND(E922&lt;&gt;"",E922&lt;&gt;"!!!"),"NEW","")))</f>
        <v> </v>
      </c>
      <c r="G922" s="23" t="str">
        <f>IF(OR(E922="",E922="!!!"),"",IF(OR(J922=0,AND(J922=1,K922=1),AND(J922=1,I922="SBJ"),AND(J922=1,I922=0)),"?IN_FOCUS",IF(J922&lt;=2,"?ACTIVATED",IF(J922&lt;&gt;"","?FAMILIAR",IF(F922="NEW",IF(ISNA(VLOOKUP(E922,#REF!,1,FALSE())),"?TYPE_IDENTIFIABLE","?REFERENTIAL"),"_")))))</f>
        <v> </v>
      </c>
      <c r="H922" s="24" t="str">
        <f>IF(J922&lt;&gt;1,"",IF(I922="SBJ","CB","?"))</f>
        <v> </v>
      </c>
      <c r="I922" s="25" t="str">
        <f>IF(OR(E922="",E922="!!!",F922="NEW"),"",INDEX(B921:B$2,-1+SUMPRODUCT(MAX(ROW(E921:E$2)*(E922=E921:E$2)))))</f>
        <v> </v>
      </c>
      <c r="J922" s="25" t="str">
        <f>IF(OR(E922="",E922="!!!",F922="NEW"),"",COUNTBLANK(OFFSET(A$1,,,SUMPRODUCT(MAX(ROW(E$2:E922)*(E922=E$2:E922)))))-COUNTBLANK(OFFSET(A$1,,,SUMPRODUCT(MAX(ROW(E$1:E921)*(E2=E$1:E921))))))</f>
        <v> </v>
      </c>
      <c r="K922" s="25" t="str">
        <f>IF(OR(E922="",E922="!!!",F922="NEW"),"",INDEX(J$1:J921,SUMPRODUCT(MAX(ROW(E$1:E921)*(E922=E$1:E921)))))</f>
        <v> </v>
      </c>
      <c r="L922" s="26"/>
    </row>
    <row r="923" spans="1:12">
      <c r="A923" s="20" t="s">
        <v>839</v>
      </c>
      <c r="E923" s="21">
        <f>IF(D923="?OLD","!!!","")</f>
        <v/>
      </c>
      <c r="F923" s="22" t="str">
        <f>IF(OR(E923="",E923="!!!"),"",IF(NOT(ISNA(VLOOKUP(E923,E$1:E922,1,FALSE()))),"OLD",IF(AND(E923&lt;&gt;"",E923&lt;&gt;"!!!"),"NEW","")))</f>
        <v> </v>
      </c>
      <c r="G923" s="23" t="str">
        <f>IF(OR(E923="",E923="!!!"),"",IF(OR(J923=0,AND(J923=1,K923=1),AND(J923=1,I923="SBJ"),AND(J923=1,I923=0)),"?IN_FOCUS",IF(J923&lt;=2,"?ACTIVATED",IF(J923&lt;&gt;"","?FAMILIAR",IF(F923="NEW",IF(ISNA(VLOOKUP(E923,#REF!,1,FALSE())),"?TYPE_IDENTIFIABLE","?REFERENTIAL"),"_")))))</f>
        <v> </v>
      </c>
      <c r="H923" s="24" t="str">
        <f>IF(J923&lt;&gt;1,"",IF(I923="SBJ","CB","?"))</f>
        <v> </v>
      </c>
      <c r="I923" s="25" t="str">
        <f>IF(OR(E923="",E923="!!!",F923="NEW"),"",INDEX(B922:B$2,-1+SUMPRODUCT(MAX(ROW(E922:E$2)*(E923=E922:E$2)))))</f>
        <v> </v>
      </c>
      <c r="J923" s="25" t="str">
        <f>IF(OR(E923="",E923="!!!",F923="NEW"),"",COUNTBLANK(OFFSET(A$1,,,SUMPRODUCT(MAX(ROW(E$2:E923)*(E923=E$2:E923)))))-COUNTBLANK(OFFSET(A$1,,,SUMPRODUCT(MAX(ROW(E$1:E922)*(E2=E$1:E922))))))</f>
        <v> </v>
      </c>
      <c r="K923" s="25" t="str">
        <f>IF(OR(E923="",E923="!!!",F923="NEW"),"",INDEX(J$1:J922,SUMPRODUCT(MAX(ROW(E$1:E922)*(E923=E$1:E922)))))</f>
        <v> </v>
      </c>
      <c r="L923" s="26"/>
    </row>
    <row r="924" spans="1:12">
      <c r="A924" s="20" t="s">
        <v>531</v>
      </c>
      <c r="E924" s="21">
        <f>IF(D924="?OLD","!!!","")</f>
        <v/>
      </c>
      <c r="F924" s="22" t="str">
        <f>IF(OR(E924="",E924="!!!"),"",IF(NOT(ISNA(VLOOKUP(E924,E$1:E923,1,FALSE()))),"OLD",IF(AND(E924&lt;&gt;"",E924&lt;&gt;"!!!"),"NEW","")))</f>
        <v> </v>
      </c>
      <c r="G924" s="23" t="str">
        <f>IF(OR(E924="",E924="!!!"),"",IF(OR(J924=0,AND(J924=1,K924=1),AND(J924=1,I924="SBJ"),AND(J924=1,I924=0)),"?IN_FOCUS",IF(J924&lt;=2,"?ACTIVATED",IF(J924&lt;&gt;"","?FAMILIAR",IF(F924="NEW",IF(ISNA(VLOOKUP(E924,#REF!,1,FALSE())),"?TYPE_IDENTIFIABLE","?REFERENTIAL"),"_")))))</f>
        <v> </v>
      </c>
      <c r="H924" s="24" t="str">
        <f>IF(J924&lt;&gt;1,"",IF(I924="SBJ","CB","?"))</f>
        <v> </v>
      </c>
      <c r="I924" s="25" t="str">
        <f>IF(OR(E924="",E924="!!!",F924="NEW"),"",INDEX(B923:B$2,-1+SUMPRODUCT(MAX(ROW(E923:E$2)*(E924=E923:E$2)))))</f>
        <v> </v>
      </c>
      <c r="J924" s="25" t="str">
        <f>IF(OR(E924="",E924="!!!",F924="NEW"),"",COUNTBLANK(OFFSET(A$1,,,SUMPRODUCT(MAX(ROW(E$2:E924)*(E924=E$2:E924)))))-COUNTBLANK(OFFSET(A$1,,,SUMPRODUCT(MAX(ROW(E$1:E923)*(E2=E$1:E923))))))</f>
        <v> </v>
      </c>
      <c r="K924" s="25" t="str">
        <f>IF(OR(E924="",E924="!!!",F924="NEW"),"",INDEX(J$1:J923,SUMPRODUCT(MAX(ROW(E$1:E923)*(E924=E$1:E923)))))</f>
        <v> </v>
      </c>
      <c r="L924" s="26"/>
    </row>
    <row r="925" spans="1:12">
      <c r="A925" s="20"/>
    </row>
    <row r="926" spans="1:12">
      <c r="A926" s="20" t="s">
        <v>840</v>
      </c>
    </row>
    <row r="927" spans="1:12">
      <c r="A927" s="20" t="s">
        <v>841</v>
      </c>
      <c r="E927" s="21">
        <f>IF(D927="?OLD","!!!","")</f>
        <v/>
      </c>
      <c r="F927" s="22" t="str">
        <f>IF(OR(E927="",E927="!!!"),"",IF(NOT(ISNA(VLOOKUP(E927,E$1:E926,1,FALSE()))),"OLD",IF(AND(E927&lt;&gt;"",E927&lt;&gt;"!!!"),"NEW","")))</f>
        <v> </v>
      </c>
      <c r="G927" s="23" t="str">
        <f>IF(OR(E927="",E927="!!!"),"",IF(OR(J927=0,AND(J927=1,K927=1),AND(J927=1,I927="SBJ"),AND(J927=1,I927=0)),"?IN_FOCUS",IF(J927&lt;=2,"?ACTIVATED",IF(J927&lt;&gt;"","?FAMILIAR",IF(F927="NEW",IF(ISNA(VLOOKUP(E927,#REF!,1,FALSE())),"?TYPE_IDENTIFIABLE","?REFERENTIAL"),"_")))))</f>
        <v> </v>
      </c>
      <c r="H927" s="24" t="str">
        <f>IF(J927&lt;&gt;1,"",IF(I927="SBJ","CB","?"))</f>
        <v> </v>
      </c>
      <c r="I927" s="25" t="str">
        <f>IF(OR(E927="",E927="!!!",F927="NEW"),"",INDEX(B926:B$2,-1+SUMPRODUCT(MAX(ROW(E926:E$2)*(E927=E926:E$2)))))</f>
        <v> </v>
      </c>
      <c r="J927" s="25" t="str">
        <f>IF(OR(E927="",E927="!!!",F927="NEW"),"",COUNTBLANK(OFFSET(A$1,,,SUMPRODUCT(MAX(ROW(E$2:E927)*(E927=E$2:E927)))))-COUNTBLANK(OFFSET(A$1,,,SUMPRODUCT(MAX(ROW(E$1:E926)*(E2=E$1:E926))))))</f>
        <v> </v>
      </c>
      <c r="K927" s="25" t="str">
        <f>IF(OR(E927="",E927="!!!",F927="NEW"),"",INDEX(J$1:J926,SUMPRODUCT(MAX(ROW(E$1:E926)*(E927=E$1:E926)))))</f>
        <v> </v>
      </c>
      <c r="L927" s="26"/>
    </row>
    <row r="928" spans="1:12">
      <c r="A928" s="20" t="s">
        <v>485</v>
      </c>
      <c r="E928" s="21">
        <f>IF(D928="?OLD","!!!","")</f>
        <v/>
      </c>
      <c r="F928" s="22" t="str">
        <f>IF(OR(E928="",E928="!!!"),"",IF(NOT(ISNA(VLOOKUP(E928,E$1:E927,1,FALSE()))),"OLD",IF(AND(E928&lt;&gt;"",E928&lt;&gt;"!!!"),"NEW","")))</f>
        <v> </v>
      </c>
      <c r="G928" s="23" t="str">
        <f>IF(OR(E928="",E928="!!!"),"",IF(OR(J928=0,AND(J928=1,K928=1),AND(J928=1,I928="SBJ"),AND(J928=1,I928=0)),"?IN_FOCUS",IF(J928&lt;=2,"?ACTIVATED",IF(J928&lt;&gt;"","?FAMILIAR",IF(F928="NEW",IF(ISNA(VLOOKUP(E928,#REF!,1,FALSE())),"?TYPE_IDENTIFIABLE","?REFERENTIAL"),"_")))))</f>
        <v> </v>
      </c>
      <c r="H928" s="24" t="str">
        <f>IF(J928&lt;&gt;1,"",IF(I928="SBJ","CB","?"))</f>
        <v> </v>
      </c>
      <c r="I928" s="25" t="str">
        <f>IF(OR(E928="",E928="!!!",F928="NEW"),"",INDEX(B927:B$2,-1+SUMPRODUCT(MAX(ROW(E927:E$2)*(E928=E927:E$2)))))</f>
        <v> </v>
      </c>
      <c r="J928" s="25" t="str">
        <f>IF(OR(E928="",E928="!!!",F928="NEW"),"",COUNTBLANK(OFFSET(A$1,,,SUMPRODUCT(MAX(ROW(E$2:E928)*(E928=E$2:E928)))))-COUNTBLANK(OFFSET(A$1,,,SUMPRODUCT(MAX(ROW(E$1:E927)*(E2=E$1:E927))))))</f>
        <v> </v>
      </c>
      <c r="K928" s="25" t="str">
        <f>IF(OR(E928="",E928="!!!",F928="NEW"),"",INDEX(J$1:J927,SUMPRODUCT(MAX(ROW(E$1:E927)*(E928=E$1:E927)))))</f>
        <v> </v>
      </c>
      <c r="L928" s="26"/>
    </row>
    <row r="929" spans="1:12">
      <c r="A929" s="20" t="s">
        <v>842</v>
      </c>
      <c r="B929" s="27" t="s">
        <v>490</v>
      </c>
      <c r="C929" s="27" t="s">
        <v>516</v>
      </c>
      <c r="E929" s="21">
        <f>IF(D929="?OLD","!!!","")</f>
        <v/>
      </c>
      <c r="F929" s="22" t="str">
        <f>IF(OR(E929="",E929="!!!"),"",IF(NOT(ISNA(VLOOKUP(E929,E$1:E928,1,FALSE()))),"OLD",IF(AND(E929&lt;&gt;"",E929&lt;&gt;"!!!"),"NEW","")))</f>
        <v> </v>
      </c>
      <c r="G929" s="23" t="str">
        <f>IF(OR(E929="",E929="!!!"),"",IF(OR(J929=0,AND(J929=1,K929=1),AND(J929=1,I929="SBJ"),AND(J929=1,I929=0)),"?IN_FOCUS",IF(J929&lt;=2,"?ACTIVATED",IF(J929&lt;&gt;"","?FAMILIAR",IF(F929="NEW",IF(ISNA(VLOOKUP(E929,#REF!,1,FALSE())),"?TYPE_IDENTIFIABLE","?REFERENTIAL"),"_")))))</f>
        <v> </v>
      </c>
      <c r="H929" s="24" t="str">
        <f>IF(J929&lt;&gt;1,"",IF(I929="SBJ","CB","?"))</f>
        <v> </v>
      </c>
      <c r="I929" s="25" t="str">
        <f>IF(OR(E929="",E929="!!!",F929="NEW"),"",INDEX(B928:B$2,-1+SUMPRODUCT(MAX(ROW(E928:E$2)*(E929=E928:E$2)))))</f>
        <v> </v>
      </c>
      <c r="J929" s="25" t="str">
        <f>IF(OR(E929="",E929="!!!",F929="NEW"),"",COUNTBLANK(OFFSET(A$1,,,SUMPRODUCT(MAX(ROW(E$2:E929)*(E929=E$2:E929)))))-COUNTBLANK(OFFSET(A$1,,,SUMPRODUCT(MAX(ROW(E$1:E928)*(E2=E$1:E928))))))</f>
        <v> </v>
      </c>
      <c r="K929" s="25" t="str">
        <f>IF(OR(E929="",E929="!!!",F929="NEW"),"",INDEX(J$1:J928,SUMPRODUCT(MAX(ROW(E$1:E928)*(E929=E$1:E928)))))</f>
        <v> </v>
      </c>
      <c r="L929" s="26"/>
    </row>
    <row r="930" spans="1:12">
      <c r="A930" s="20" t="s">
        <v>489</v>
      </c>
      <c r="E930" s="21">
        <f>IF(D930="?OLD","!!!","")</f>
        <v/>
      </c>
      <c r="F930" s="22" t="str">
        <f>IF(OR(E930="",E930="!!!"),"",IF(NOT(ISNA(VLOOKUP(E930,E$1:E929,1,FALSE()))),"OLD",IF(AND(E930&lt;&gt;"",E930&lt;&gt;"!!!"),"NEW","")))</f>
        <v> </v>
      </c>
      <c r="G930" s="23" t="str">
        <f>IF(OR(E930="",E930="!!!"),"",IF(OR(J930=0,AND(J930=1,K930=1),AND(J930=1,I930="SBJ"),AND(J930=1,I930=0)),"?IN_FOCUS",IF(J930&lt;=2,"?ACTIVATED",IF(J930&lt;&gt;"","?FAMILIAR",IF(F930="NEW",IF(ISNA(VLOOKUP(E930,#REF!,1,FALSE())),"?TYPE_IDENTIFIABLE","?REFERENTIAL"),"_")))))</f>
        <v> </v>
      </c>
      <c r="H930" s="24" t="str">
        <f>IF(J930&lt;&gt;1,"",IF(I930="SBJ","CB","?"))</f>
        <v> </v>
      </c>
      <c r="I930" s="25" t="str">
        <f>IF(OR(E930="",E930="!!!",F930="NEW"),"",INDEX(B929:B$2,-1+SUMPRODUCT(MAX(ROW(E929:E$2)*(E930=E929:E$2)))))</f>
        <v> </v>
      </c>
      <c r="J930" s="25" t="str">
        <f>IF(OR(E930="",E930="!!!",F930="NEW"),"",COUNTBLANK(OFFSET(A$1,,,SUMPRODUCT(MAX(ROW(E$2:E930)*(E930=E$2:E930)))))-COUNTBLANK(OFFSET(A$1,,,SUMPRODUCT(MAX(ROW(E$1:E929)*(E2=E$1:E929))))))</f>
        <v> </v>
      </c>
      <c r="K930" s="25" t="str">
        <f>IF(OR(E930="",E930="!!!",F930="NEW"),"",INDEX(J$1:J929,SUMPRODUCT(MAX(ROW(E$1:E929)*(E930=E$1:E929)))))</f>
        <v> </v>
      </c>
      <c r="L930" s="26"/>
    </row>
    <row r="931" spans="1:12">
      <c r="A931" s="20" t="s">
        <v>843</v>
      </c>
      <c r="B931" s="27" t="s">
        <v>549</v>
      </c>
      <c r="C931" s="27" t="s">
        <v>844</v>
      </c>
      <c r="D931" s="27" t="s">
        <v>483</v>
      </c>
      <c r="E931" s="21">
        <f>IF(D931="?OLD","!!!","")</f>
        <v/>
      </c>
      <c r="F931" s="22" t="str">
        <f>IF(OR(E931="",E931="!!!"),"",IF(NOT(ISNA(VLOOKUP(E931,E$1:E930,1,FALSE()))),"OLD",IF(AND(E931&lt;&gt;"",E931&lt;&gt;"!!!"),"NEW","")))</f>
        <v> </v>
      </c>
      <c r="G931" s="23" t="str">
        <f>IF(OR(E931="",E931="!!!"),"",IF(OR(J931=0,AND(J931=1,K931=1),AND(J931=1,I931="SBJ"),AND(J931=1,I931=0)),"?IN_FOCUS",IF(J931&lt;=2,"?ACTIVATED",IF(J931&lt;&gt;"","?FAMILIAR",IF(F931="NEW",IF(ISNA(VLOOKUP(E931,#REF!,1,FALSE())),"?TYPE_IDENTIFIABLE","?REFERENTIAL"),"_")))))</f>
        <v> </v>
      </c>
      <c r="H931" s="24" t="str">
        <f>IF(J931&lt;&gt;1,"",IF(I931="SBJ","CB","?"))</f>
        <v> </v>
      </c>
      <c r="I931" s="25" t="str">
        <f>IF(OR(E931="",E931="!!!",F931="NEW"),"",INDEX(B930:B$2,-1+SUMPRODUCT(MAX(ROW(E930:E$2)*(E931=E930:E$2)))))</f>
        <v> </v>
      </c>
      <c r="J931" s="25" t="str">
        <f>IF(OR(E931="",E931="!!!",F931="NEW"),"",COUNTBLANK(OFFSET(A$1,,,SUMPRODUCT(MAX(ROW(E$2:E931)*(E931=E$2:E931)))))-COUNTBLANK(OFFSET(A$1,,,SUMPRODUCT(MAX(ROW(E$1:E930)*(E2=E$1:E930))))))</f>
        <v> </v>
      </c>
      <c r="K931" s="25" t="str">
        <f>IF(OR(E931="",E931="!!!",F931="NEW"),"",INDEX(J$1:J930,SUMPRODUCT(MAX(ROW(E$1:E930)*(E931=E$1:E930)))))</f>
        <v> </v>
      </c>
      <c r="L931" s="26"/>
    </row>
    <row r="932" spans="1:12">
      <c r="A932" s="20" t="s">
        <v>528</v>
      </c>
      <c r="E932" s="21">
        <f>IF(D932="?OLD","!!!","")</f>
        <v/>
      </c>
      <c r="F932" s="22" t="str">
        <f>IF(OR(E932="",E932="!!!"),"",IF(NOT(ISNA(VLOOKUP(E932,E$1:E931,1,FALSE()))),"OLD",IF(AND(E932&lt;&gt;"",E932&lt;&gt;"!!!"),"NEW","")))</f>
        <v> </v>
      </c>
      <c r="G932" s="23" t="str">
        <f>IF(OR(E932="",E932="!!!"),"",IF(OR(J932=0,AND(J932=1,K932=1),AND(J932=1,I932="SBJ"),AND(J932=1,I932=0)),"?IN_FOCUS",IF(J932&lt;=2,"?ACTIVATED",IF(J932&lt;&gt;"","?FAMILIAR",IF(F932="NEW",IF(ISNA(VLOOKUP(E932,#REF!,1,FALSE())),"?TYPE_IDENTIFIABLE","?REFERENTIAL"),"_")))))</f>
        <v> </v>
      </c>
      <c r="H932" s="24" t="str">
        <f>IF(J932&lt;&gt;1,"",IF(I932="SBJ","CB","?"))</f>
        <v> </v>
      </c>
      <c r="I932" s="25" t="str">
        <f>IF(OR(E932="",E932="!!!",F932="NEW"),"",INDEX(B931:B$2,-1+SUMPRODUCT(MAX(ROW(E931:E$2)*(E932=E931:E$2)))))</f>
        <v> </v>
      </c>
      <c r="J932" s="25" t="str">
        <f>IF(OR(E932="",E932="!!!",F932="NEW"),"",COUNTBLANK(OFFSET(A$1,,,SUMPRODUCT(MAX(ROW(E$2:E932)*(E932=E$2:E932)))))-COUNTBLANK(OFFSET(A$1,,,SUMPRODUCT(MAX(ROW(E$1:E931)*(E2=E$1:E931))))))</f>
        <v> </v>
      </c>
      <c r="K932" s="25" t="str">
        <f>IF(OR(E932="",E932="!!!",F932="NEW"),"",INDEX(J$1:J931,SUMPRODUCT(MAX(ROW(E$1:E931)*(E932=E$1:E931)))))</f>
        <v> </v>
      </c>
      <c r="L932" s="26"/>
    </row>
    <row r="933" spans="1:12">
      <c r="A933" s="20" t="s">
        <v>845</v>
      </c>
      <c r="E933" s="21">
        <f>IF(D933="?OLD","!!!","")</f>
        <v/>
      </c>
      <c r="F933" s="22" t="str">
        <f>IF(OR(E933="",E933="!!!"),"",IF(NOT(ISNA(VLOOKUP(E933,E$1:E932,1,FALSE()))),"OLD",IF(AND(E933&lt;&gt;"",E933&lt;&gt;"!!!"),"NEW","")))</f>
        <v> </v>
      </c>
      <c r="G933" s="23" t="str">
        <f>IF(OR(E933="",E933="!!!"),"",IF(OR(J933=0,AND(J933=1,K933=1),AND(J933=1,I933="SBJ"),AND(J933=1,I933=0)),"?IN_FOCUS",IF(J933&lt;=2,"?ACTIVATED",IF(J933&lt;&gt;"","?FAMILIAR",IF(F933="NEW",IF(ISNA(VLOOKUP(E933,#REF!,1,FALSE())),"?TYPE_IDENTIFIABLE","?REFERENTIAL"),"_")))))</f>
        <v> </v>
      </c>
      <c r="H933" s="24" t="str">
        <f>IF(J933&lt;&gt;1,"",IF(I933="SBJ","CB","?"))</f>
        <v> </v>
      </c>
      <c r="I933" s="25" t="str">
        <f>IF(OR(E933="",E933="!!!",F933="NEW"),"",INDEX(B932:B$2,-1+SUMPRODUCT(MAX(ROW(E932:E$2)*(E933=E932:E$2)))))</f>
        <v> </v>
      </c>
      <c r="J933" s="25" t="str">
        <f>IF(OR(E933="",E933="!!!",F933="NEW"),"",COUNTBLANK(OFFSET(A$1,,,SUMPRODUCT(MAX(ROW(E$2:E933)*(E933=E$2:E933)))))-COUNTBLANK(OFFSET(A$1,,,SUMPRODUCT(MAX(ROW(E$1:E932)*(E2=E$1:E932))))))</f>
        <v> </v>
      </c>
      <c r="K933" s="25" t="str">
        <f>IF(OR(E933="",E933="!!!",F933="NEW"),"",INDEX(J$1:J932,SUMPRODUCT(MAX(ROW(E$1:E932)*(E933=E$1:E932)))))</f>
        <v> </v>
      </c>
      <c r="L933" s="26"/>
    </row>
    <row r="934" spans="1:12">
      <c r="A934" s="20" t="s">
        <v>846</v>
      </c>
      <c r="B934" s="27" t="s">
        <v>490</v>
      </c>
      <c r="C934" s="27" t="s">
        <v>598</v>
      </c>
      <c r="D934" s="27" t="s">
        <v>483</v>
      </c>
      <c r="E934" s="21">
        <f>IF(D934="?OLD","!!!","")</f>
        <v/>
      </c>
      <c r="F934" s="22" t="str">
        <f>IF(OR(E934="",E934="!!!"),"",IF(NOT(ISNA(VLOOKUP(E934,E$1:E933,1,FALSE()))),"OLD",IF(AND(E934&lt;&gt;"",E934&lt;&gt;"!!!"),"NEW","")))</f>
        <v> </v>
      </c>
      <c r="G934" s="23" t="str">
        <f>IF(OR(E934="",E934="!!!"),"",IF(OR(J934=0,AND(J934=1,K934=1),AND(J934=1,I934="SBJ"),AND(J934=1,I934=0)),"?IN_FOCUS",IF(J934&lt;=2,"?ACTIVATED",IF(J934&lt;&gt;"","?FAMILIAR",IF(F934="NEW",IF(ISNA(VLOOKUP(E934,#REF!,1,FALSE())),"?TYPE_IDENTIFIABLE","?REFERENTIAL"),"_")))))</f>
        <v> </v>
      </c>
      <c r="H934" s="24" t="str">
        <f>IF(J934&lt;&gt;1,"",IF(I934="SBJ","CB","?"))</f>
        <v> </v>
      </c>
      <c r="I934" s="25" t="str">
        <f>IF(OR(E934="",E934="!!!",F934="NEW"),"",INDEX(B933:B$2,-1+SUMPRODUCT(MAX(ROW(E933:E$2)*(E934=E933:E$2)))))</f>
        <v> </v>
      </c>
      <c r="J934" s="25" t="str">
        <f>IF(OR(E934="",E934="!!!",F934="NEW"),"",COUNTBLANK(OFFSET(A$1,,,SUMPRODUCT(MAX(ROW(E$2:E934)*(E934=E$2:E934)))))-COUNTBLANK(OFFSET(A$1,,,SUMPRODUCT(MAX(ROW(E$1:E933)*(E2=E$1:E933))))))</f>
        <v> </v>
      </c>
      <c r="K934" s="25" t="str">
        <f>IF(OR(E934="",E934="!!!",F934="NEW"),"",INDEX(J$1:J933,SUMPRODUCT(MAX(ROW(E$1:E933)*(E934=E$1:E933)))))</f>
        <v> </v>
      </c>
      <c r="L934" s="26"/>
    </row>
    <row r="935" spans="1:12">
      <c r="A935" s="20" t="s">
        <v>577</v>
      </c>
      <c r="E935" s="21">
        <f>IF(D935="?OLD","!!!","")</f>
        <v/>
      </c>
      <c r="F935" s="22" t="str">
        <f>IF(OR(E935="",E935="!!!"),"",IF(NOT(ISNA(VLOOKUP(E935,E$1:E934,1,FALSE()))),"OLD",IF(AND(E935&lt;&gt;"",E935&lt;&gt;"!!!"),"NEW","")))</f>
        <v> </v>
      </c>
      <c r="G935" s="23" t="str">
        <f>IF(OR(E935="",E935="!!!"),"",IF(OR(J935=0,AND(J935=1,K935=1),AND(J935=1,I935="SBJ"),AND(J935=1,I935=0)),"?IN_FOCUS",IF(J935&lt;=2,"?ACTIVATED",IF(J935&lt;&gt;"","?FAMILIAR",IF(F935="NEW",IF(ISNA(VLOOKUP(E935,#REF!,1,FALSE())),"?TYPE_IDENTIFIABLE","?REFERENTIAL"),"_")))))</f>
        <v> </v>
      </c>
      <c r="H935" s="24" t="str">
        <f>IF(J935&lt;&gt;1,"",IF(I935="SBJ","CB","?"))</f>
        <v> </v>
      </c>
      <c r="I935" s="25" t="str">
        <f>IF(OR(E935="",E935="!!!",F935="NEW"),"",INDEX(B934:B$2,-1+SUMPRODUCT(MAX(ROW(E934:E$2)*(E935=E934:E$2)))))</f>
        <v> </v>
      </c>
      <c r="J935" s="25" t="str">
        <f>IF(OR(E935="",E935="!!!",F935="NEW"),"",COUNTBLANK(OFFSET(A$1,,,SUMPRODUCT(MAX(ROW(E$2:E935)*(E935=E$2:E935)))))-COUNTBLANK(OFFSET(A$1,,,SUMPRODUCT(MAX(ROW(E$1:E934)*(E2=E$1:E934))))))</f>
        <v> </v>
      </c>
      <c r="K935" s="25" t="str">
        <f>IF(OR(E935="",E935="!!!",F935="NEW"),"",INDEX(J$1:J934,SUMPRODUCT(MAX(ROW(E$1:E934)*(E935=E$1:E934)))))</f>
        <v> </v>
      </c>
      <c r="L935" s="26"/>
    </row>
    <row r="936" spans="1:12">
      <c r="A936" s="20" t="s">
        <v>847</v>
      </c>
      <c r="E936" s="21">
        <f>IF(D936="?OLD","!!!","")</f>
        <v/>
      </c>
      <c r="F936" s="22" t="str">
        <f>IF(OR(E936="",E936="!!!"),"",IF(NOT(ISNA(VLOOKUP(E936,E$1:E935,1,FALSE()))),"OLD",IF(AND(E936&lt;&gt;"",E936&lt;&gt;"!!!"),"NEW","")))</f>
        <v> </v>
      </c>
      <c r="G936" s="23" t="str">
        <f>IF(OR(E936="",E936="!!!"),"",IF(OR(J936=0,AND(J936=1,K936=1),AND(J936=1,I936="SBJ"),AND(J936=1,I936=0)),"?IN_FOCUS",IF(J936&lt;=2,"?ACTIVATED",IF(J936&lt;&gt;"","?FAMILIAR",IF(F936="NEW",IF(ISNA(VLOOKUP(E936,#REF!,1,FALSE())),"?TYPE_IDENTIFIABLE","?REFERENTIAL"),"_")))))</f>
        <v> </v>
      </c>
      <c r="H936" s="24" t="str">
        <f>IF(J936&lt;&gt;1,"",IF(I936="SBJ","CB","?"))</f>
        <v> </v>
      </c>
      <c r="I936" s="25" t="str">
        <f>IF(OR(E936="",E936="!!!",F936="NEW"),"",INDEX(B935:B$2,-1+SUMPRODUCT(MAX(ROW(E935:E$2)*(E936=E935:E$2)))))</f>
        <v> </v>
      </c>
      <c r="J936" s="25" t="str">
        <f>IF(OR(E936="",E936="!!!",F936="NEW"),"",COUNTBLANK(OFFSET(A$1,,,SUMPRODUCT(MAX(ROW(E$2:E936)*(E936=E$2:E936)))))-COUNTBLANK(OFFSET(A$1,,,SUMPRODUCT(MAX(ROW(E$1:E935)*(E2=E$1:E935))))))</f>
        <v> </v>
      </c>
      <c r="K936" s="25" t="str">
        <f>IF(OR(E936="",E936="!!!",F936="NEW"),"",INDEX(J$1:J935,SUMPRODUCT(MAX(ROW(E$1:E935)*(E936=E$1:E935)))))</f>
        <v> </v>
      </c>
      <c r="L936" s="26"/>
    </row>
    <row r="937" spans="1:12">
      <c r="A937" s="20" t="s">
        <v>848</v>
      </c>
      <c r="B937" s="27" t="s">
        <v>481</v>
      </c>
      <c r="C937" s="27" t="s">
        <v>478</v>
      </c>
      <c r="E937" s="21">
        <f>IF(D937="?OLD","!!!","")</f>
        <v/>
      </c>
      <c r="F937" s="22" t="str">
        <f>IF(OR(E937="",E937="!!!"),"",IF(NOT(ISNA(VLOOKUP(E937,E$1:E936,1,FALSE()))),"OLD",IF(AND(E937&lt;&gt;"",E937&lt;&gt;"!!!"),"NEW","")))</f>
        <v> </v>
      </c>
      <c r="G937" s="23" t="str">
        <f>IF(OR(E937="",E937="!!!"),"",IF(OR(J937=0,AND(J937=1,K937=1),AND(J937=1,I937="SBJ"),AND(J937=1,I937=0)),"?IN_FOCUS",IF(J937&lt;=2,"?ACTIVATED",IF(J937&lt;&gt;"","?FAMILIAR",IF(F937="NEW",IF(ISNA(VLOOKUP(E937,#REF!,1,FALSE())),"?TYPE_IDENTIFIABLE","?REFERENTIAL"),"_")))))</f>
        <v> </v>
      </c>
      <c r="H937" s="24" t="str">
        <f>IF(J937&lt;&gt;1,"",IF(I937="SBJ","CB","?"))</f>
        <v> </v>
      </c>
      <c r="I937" s="25" t="str">
        <f>IF(OR(E937="",E937="!!!",F937="NEW"),"",INDEX(B936:B$2,-1+SUMPRODUCT(MAX(ROW(E936:E$2)*(E937=E936:E$2)))))</f>
        <v> </v>
      </c>
      <c r="J937" s="25" t="str">
        <f>IF(OR(E937="",E937="!!!",F937="NEW"),"",COUNTBLANK(OFFSET(A$1,,,SUMPRODUCT(MAX(ROW(E$2:E937)*(E937=E$2:E937)))))-COUNTBLANK(OFFSET(A$1,,,SUMPRODUCT(MAX(ROW(E$1:E936)*(E2=E$1:E936))))))</f>
        <v> </v>
      </c>
      <c r="K937" s="25" t="str">
        <f>IF(OR(E937="",E937="!!!",F937="NEW"),"",INDEX(J$1:J936,SUMPRODUCT(MAX(ROW(E$1:E936)*(E937=E$1:E936)))))</f>
        <v> </v>
      </c>
      <c r="L937" s="26"/>
    </row>
    <row r="938" spans="1:12">
      <c r="A938" s="20" t="s">
        <v>531</v>
      </c>
      <c r="E938" s="21">
        <f>IF(D938="?OLD","!!!","")</f>
        <v/>
      </c>
      <c r="F938" s="22" t="str">
        <f>IF(OR(E938="",E938="!!!"),"",IF(NOT(ISNA(VLOOKUP(E938,E$1:E937,1,FALSE()))),"OLD",IF(AND(E938&lt;&gt;"",E938&lt;&gt;"!!!"),"NEW","")))</f>
        <v> </v>
      </c>
      <c r="G938" s="23" t="str">
        <f>IF(OR(E938="",E938="!!!"),"",IF(OR(J938=0,AND(J938=1,K938=1),AND(J938=1,I938="SBJ"),AND(J938=1,I938=0)),"?IN_FOCUS",IF(J938&lt;=2,"?ACTIVATED",IF(J938&lt;&gt;"","?FAMILIAR",IF(F938="NEW",IF(ISNA(VLOOKUP(E938,#REF!,1,FALSE())),"?TYPE_IDENTIFIABLE","?REFERENTIAL"),"_")))))</f>
        <v> </v>
      </c>
      <c r="H938" s="24" t="str">
        <f>IF(J938&lt;&gt;1,"",IF(I938="SBJ","CB","?"))</f>
        <v> </v>
      </c>
      <c r="I938" s="25" t="str">
        <f>IF(OR(E938="",E938="!!!",F938="NEW"),"",INDEX(B937:B$2,-1+SUMPRODUCT(MAX(ROW(E937:E$2)*(E938=E937:E$2)))))</f>
        <v> </v>
      </c>
      <c r="J938" s="25" t="str">
        <f>IF(OR(E938="",E938="!!!",F938="NEW"),"",COUNTBLANK(OFFSET(A$1,,,SUMPRODUCT(MAX(ROW(E$2:E938)*(E938=E$2:E938)))))-COUNTBLANK(OFFSET(A$1,,,SUMPRODUCT(MAX(ROW(E$1:E937)*(E2=E$1:E937))))))</f>
        <v> </v>
      </c>
      <c r="K938" s="25" t="str">
        <f>IF(OR(E938="",E938="!!!",F938="NEW"),"",INDEX(J$1:J937,SUMPRODUCT(MAX(ROW(E$1:E937)*(E938=E$1:E937)))))</f>
        <v> </v>
      </c>
      <c r="L938" s="26"/>
    </row>
    <row r="939" spans="1:12">
      <c r="A939" s="20"/>
    </row>
    <row r="940" spans="1:12">
      <c r="A940" s="20" t="s">
        <v>849</v>
      </c>
    </row>
    <row r="941" spans="1:12">
      <c r="A941" s="20" t="s">
        <v>850</v>
      </c>
      <c r="E941" s="21">
        <f>IF(D941="?OLD","!!!","")</f>
        <v/>
      </c>
      <c r="F941" s="22" t="str">
        <f>IF(OR(E941="",E941="!!!"),"",IF(NOT(ISNA(VLOOKUP(E941,E$1:E940,1,FALSE()))),"OLD",IF(AND(E941&lt;&gt;"",E941&lt;&gt;"!!!"),"NEW","")))</f>
        <v> </v>
      </c>
      <c r="G941" s="23" t="str">
        <f>IF(OR(E941="",E941="!!!"),"",IF(OR(J941=0,AND(J941=1,K941=1),AND(J941=1,I941="SBJ"),AND(J941=1,I941=0)),"?IN_FOCUS",IF(J941&lt;=2,"?ACTIVATED",IF(J941&lt;&gt;"","?FAMILIAR",IF(F941="NEW",IF(ISNA(VLOOKUP(E941,#REF!,1,FALSE())),"?TYPE_IDENTIFIABLE","?REFERENTIAL"),"_")))))</f>
        <v> </v>
      </c>
      <c r="H941" s="24" t="str">
        <f>IF(J941&lt;&gt;1,"",IF(I941="SBJ","CB","?"))</f>
        <v> </v>
      </c>
      <c r="I941" s="25" t="str">
        <f>IF(OR(E941="",E941="!!!",F941="NEW"),"",INDEX(B940:B$2,-1+SUMPRODUCT(MAX(ROW(E940:E$2)*(E941=E940:E$2)))))</f>
        <v> </v>
      </c>
      <c r="J941" s="25" t="str">
        <f>IF(OR(E941="",E941="!!!",F941="NEW"),"",COUNTBLANK(OFFSET(A$1,,,SUMPRODUCT(MAX(ROW(E$2:E941)*(E941=E$2:E941)))))-COUNTBLANK(OFFSET(A$1,,,SUMPRODUCT(MAX(ROW(E$1:E940)*(E2=E$1:E940))))))</f>
        <v> </v>
      </c>
      <c r="K941" s="25" t="str">
        <f>IF(OR(E941="",E941="!!!",F941="NEW"),"",INDEX(J$1:J940,SUMPRODUCT(MAX(ROW(E$1:E940)*(E941=E$1:E940)))))</f>
        <v> </v>
      </c>
      <c r="L941" s="26"/>
    </row>
    <row r="942" spans="1:12">
      <c r="A942" s="20" t="s">
        <v>536</v>
      </c>
      <c r="E942" s="21">
        <f>IF(D942="?OLD","!!!","")</f>
        <v/>
      </c>
      <c r="F942" s="22" t="str">
        <f>IF(OR(E942="",E942="!!!"),"",IF(NOT(ISNA(VLOOKUP(E942,E$1:E941,1,FALSE()))),"OLD",IF(AND(E942&lt;&gt;"",E942&lt;&gt;"!!!"),"NEW","")))</f>
        <v> </v>
      </c>
      <c r="G942" s="23" t="str">
        <f>IF(OR(E942="",E942="!!!"),"",IF(OR(J942=0,AND(J942=1,K942=1),AND(J942=1,I942="SBJ"),AND(J942=1,I942=0)),"?IN_FOCUS",IF(J942&lt;=2,"?ACTIVATED",IF(J942&lt;&gt;"","?FAMILIAR",IF(F942="NEW",IF(ISNA(VLOOKUP(E942,#REF!,1,FALSE())),"?TYPE_IDENTIFIABLE","?REFERENTIAL"),"_")))))</f>
        <v> </v>
      </c>
      <c r="H942" s="24" t="str">
        <f>IF(J942&lt;&gt;1,"",IF(I942="SBJ","CB","?"))</f>
        <v> </v>
      </c>
      <c r="I942" s="25" t="str">
        <f>IF(OR(E942="",E942="!!!",F942="NEW"),"",INDEX(B941:B$2,-1+SUMPRODUCT(MAX(ROW(E941:E$2)*(E942=E941:E$2)))))</f>
        <v> </v>
      </c>
      <c r="J942" s="25" t="str">
        <f>IF(OR(E942="",E942="!!!",F942="NEW"),"",COUNTBLANK(OFFSET(A$1,,,SUMPRODUCT(MAX(ROW(E$2:E942)*(E942=E$2:E942)))))-COUNTBLANK(OFFSET(A$1,,,SUMPRODUCT(MAX(ROW(E$1:E941)*(E2=E$1:E941))))))</f>
        <v> </v>
      </c>
      <c r="K942" s="25" t="str">
        <f>IF(OR(E942="",E942="!!!",F942="NEW"),"",INDEX(J$1:J941,SUMPRODUCT(MAX(ROW(E$1:E941)*(E942=E$1:E941)))))</f>
        <v> </v>
      </c>
      <c r="L942" s="26"/>
    </row>
    <row r="943" spans="1:12">
      <c r="A943" s="20" t="s">
        <v>528</v>
      </c>
      <c r="E943" s="21">
        <f>IF(D943="?OLD","!!!","")</f>
        <v/>
      </c>
      <c r="F943" s="22" t="str">
        <f>IF(OR(E943="",E943="!!!"),"",IF(NOT(ISNA(VLOOKUP(E943,E$1:E942,1,FALSE()))),"OLD",IF(AND(E943&lt;&gt;"",E943&lt;&gt;"!!!"),"NEW","")))</f>
        <v> </v>
      </c>
      <c r="G943" s="23" t="str">
        <f>IF(OR(E943="",E943="!!!"),"",IF(OR(J943=0,AND(J943=1,K943=1),AND(J943=1,I943="SBJ"),AND(J943=1,I943=0)),"?IN_FOCUS",IF(J943&lt;=2,"?ACTIVATED",IF(J943&lt;&gt;"","?FAMILIAR",IF(F943="NEW",IF(ISNA(VLOOKUP(E943,#REF!,1,FALSE())),"?TYPE_IDENTIFIABLE","?REFERENTIAL"),"_")))))</f>
        <v> </v>
      </c>
      <c r="H943" s="24" t="str">
        <f>IF(J943&lt;&gt;1,"",IF(I943="SBJ","CB","?"))</f>
        <v> </v>
      </c>
      <c r="I943" s="25" t="str">
        <f>IF(OR(E943="",E943="!!!",F943="NEW"),"",INDEX(B942:B$2,-1+SUMPRODUCT(MAX(ROW(E942:E$2)*(E943=E942:E$2)))))</f>
        <v> </v>
      </c>
      <c r="J943" s="25" t="str">
        <f>IF(OR(E943="",E943="!!!",F943="NEW"),"",COUNTBLANK(OFFSET(A$1,,,SUMPRODUCT(MAX(ROW(E$2:E943)*(E943=E$2:E943)))))-COUNTBLANK(OFFSET(A$1,,,SUMPRODUCT(MAX(ROW(E$1:E942)*(E2=E$1:E942))))))</f>
        <v> </v>
      </c>
      <c r="K943" s="25" t="str">
        <f>IF(OR(E943="",E943="!!!",F943="NEW"),"",INDEX(J$1:J942,SUMPRODUCT(MAX(ROW(E$1:E942)*(E943=E$1:E942)))))</f>
        <v> </v>
      </c>
      <c r="L943" s="26"/>
    </row>
    <row r="944" spans="1:12">
      <c r="A944" s="20" t="s">
        <v>539</v>
      </c>
      <c r="B944" s="27" t="s">
        <v>481</v>
      </c>
      <c r="C944" s="27" t="s">
        <v>516</v>
      </c>
      <c r="E944" s="21">
        <f>IF(D944="?OLD","!!!","")</f>
        <v/>
      </c>
      <c r="F944" s="22" t="str">
        <f>IF(OR(E944="",E944="!!!"),"",IF(NOT(ISNA(VLOOKUP(E944,E$1:E943,1,FALSE()))),"OLD",IF(AND(E944&lt;&gt;"",E944&lt;&gt;"!!!"),"NEW","")))</f>
        <v> </v>
      </c>
      <c r="G944" s="23" t="str">
        <f>IF(OR(E944="",E944="!!!"),"",IF(OR(J944=0,AND(J944=1,K944=1),AND(J944=1,I944="SBJ"),AND(J944=1,I944=0)),"?IN_FOCUS",IF(J944&lt;=2,"?ACTIVATED",IF(J944&lt;&gt;"","?FAMILIAR",IF(F944="NEW",IF(ISNA(VLOOKUP(E944,#REF!,1,FALSE())),"?TYPE_IDENTIFIABLE","?REFERENTIAL"),"_")))))</f>
        <v> </v>
      </c>
      <c r="H944" s="24" t="str">
        <f>IF(J944&lt;&gt;1,"",IF(I944="SBJ","CB","?"))</f>
        <v> </v>
      </c>
      <c r="I944" s="25" t="str">
        <f>IF(OR(E944="",E944="!!!",F944="NEW"),"",INDEX(B943:B$2,-1+SUMPRODUCT(MAX(ROW(E943:E$2)*(E944=E943:E$2)))))</f>
        <v> </v>
      </c>
      <c r="J944" s="25" t="str">
        <f>IF(OR(E944="",E944="!!!",F944="NEW"),"",COUNTBLANK(OFFSET(A$1,,,SUMPRODUCT(MAX(ROW(E$2:E944)*(E944=E$2:E944)))))-COUNTBLANK(OFFSET(A$1,,,SUMPRODUCT(MAX(ROW(E$1:E943)*(E2=E$1:E943))))))</f>
        <v> </v>
      </c>
      <c r="K944" s="25" t="str">
        <f>IF(OR(E944="",E944="!!!",F944="NEW"),"",INDEX(J$1:J943,SUMPRODUCT(MAX(ROW(E$1:E943)*(E944=E$1:E943)))))</f>
        <v> </v>
      </c>
      <c r="L944" s="26"/>
    </row>
    <row r="945" spans="1:12">
      <c r="A945" s="20" t="s">
        <v>531</v>
      </c>
      <c r="E945" s="21">
        <f>IF(D945="?OLD","!!!","")</f>
        <v/>
      </c>
      <c r="F945" s="22" t="str">
        <f>IF(OR(E945="",E945="!!!"),"",IF(NOT(ISNA(VLOOKUP(E945,E$1:E944,1,FALSE()))),"OLD",IF(AND(E945&lt;&gt;"",E945&lt;&gt;"!!!"),"NEW","")))</f>
        <v> </v>
      </c>
      <c r="G945" s="23" t="str">
        <f>IF(OR(E945="",E945="!!!"),"",IF(OR(J945=0,AND(J945=1,K945=1),AND(J945=1,I945="SBJ"),AND(J945=1,I945=0)),"?IN_FOCUS",IF(J945&lt;=2,"?ACTIVATED",IF(J945&lt;&gt;"","?FAMILIAR",IF(F945="NEW",IF(ISNA(VLOOKUP(E945,#REF!,1,FALSE())),"?TYPE_IDENTIFIABLE","?REFERENTIAL"),"_")))))</f>
        <v> </v>
      </c>
      <c r="H945" s="24" t="str">
        <f>IF(J945&lt;&gt;1,"",IF(I945="SBJ","CB","?"))</f>
        <v> </v>
      </c>
      <c r="I945" s="25" t="str">
        <f>IF(OR(E945="",E945="!!!",F945="NEW"),"",INDEX(B944:B$2,-1+SUMPRODUCT(MAX(ROW(E944:E$2)*(E945=E944:E$2)))))</f>
        <v> </v>
      </c>
      <c r="J945" s="25" t="str">
        <f>IF(OR(E945="",E945="!!!",F945="NEW"),"",COUNTBLANK(OFFSET(A$1,,,SUMPRODUCT(MAX(ROW(E$2:E945)*(E945=E$2:E945)))))-COUNTBLANK(OFFSET(A$1,,,SUMPRODUCT(MAX(ROW(E$1:E944)*(E2=E$1:E944))))))</f>
        <v> </v>
      </c>
      <c r="K945" s="25" t="str">
        <f>IF(OR(E945="",E945="!!!",F945="NEW"),"",INDEX(J$1:J944,SUMPRODUCT(MAX(ROW(E$1:E944)*(E945=E$1:E944)))))</f>
        <v> </v>
      </c>
      <c r="L945" s="26"/>
    </row>
    <row r="946" spans="1:12">
      <c r="A946" s="20"/>
    </row>
    <row r="947" spans="1:12">
      <c r="A947" s="20" t="s">
        <v>851</v>
      </c>
    </row>
    <row r="948" spans="1:12">
      <c r="A948" s="20" t="s">
        <v>776</v>
      </c>
      <c r="E948" s="21">
        <f>IF(D948="?OLD","!!!","")</f>
        <v/>
      </c>
      <c r="F948" s="22" t="str">
        <f>IF(OR(E948="",E948="!!!"),"",IF(NOT(ISNA(VLOOKUP(E948,E$1:E947,1,FALSE()))),"OLD",IF(AND(E948&lt;&gt;"",E948&lt;&gt;"!!!"),"NEW","")))</f>
        <v> </v>
      </c>
      <c r="G948" s="23" t="str">
        <f>IF(OR(E948="",E948="!!!"),"",IF(OR(J948=0,AND(J948=1,K948=1),AND(J948=1,I948="SBJ"),AND(J948=1,I948=0)),"?IN_FOCUS",IF(J948&lt;=2,"?ACTIVATED",IF(J948&lt;&gt;"","?FAMILIAR",IF(F948="NEW",IF(ISNA(VLOOKUP(E948,#REF!,1,FALSE())),"?TYPE_IDENTIFIABLE","?REFERENTIAL"),"_")))))</f>
        <v> </v>
      </c>
      <c r="H948" s="24" t="str">
        <f>IF(J948&lt;&gt;1,"",IF(I948="SBJ","CB","?"))</f>
        <v> </v>
      </c>
      <c r="I948" s="25" t="str">
        <f>IF(OR(E948="",E948="!!!",F948="NEW"),"",INDEX(B947:B$2,-1+SUMPRODUCT(MAX(ROW(E947:E$2)*(E948=E947:E$2)))))</f>
        <v> </v>
      </c>
      <c r="J948" s="25" t="str">
        <f>IF(OR(E948="",E948="!!!",F948="NEW"),"",COUNTBLANK(OFFSET(A$1,,,SUMPRODUCT(MAX(ROW(E$2:E948)*(E948=E$2:E948)))))-COUNTBLANK(OFFSET(A$1,,,SUMPRODUCT(MAX(ROW(E$1:E947)*(E2=E$1:E947))))))</f>
        <v> </v>
      </c>
      <c r="K948" s="25" t="str">
        <f>IF(OR(E948="",E948="!!!",F948="NEW"),"",INDEX(J$1:J947,SUMPRODUCT(MAX(ROW(E$1:E947)*(E948=E$1:E947)))))</f>
        <v> </v>
      </c>
      <c r="L948" s="26"/>
    </row>
    <row r="949" spans="1:12">
      <c r="A949" s="20" t="s">
        <v>380</v>
      </c>
      <c r="E949" s="21">
        <f>IF(D949="?OLD","!!!","")</f>
        <v/>
      </c>
      <c r="F949" s="22" t="str">
        <f>IF(OR(E949="",E949="!!!"),"",IF(NOT(ISNA(VLOOKUP(E949,E$1:E948,1,FALSE()))),"OLD",IF(AND(E949&lt;&gt;"",E949&lt;&gt;"!!!"),"NEW","")))</f>
        <v> </v>
      </c>
      <c r="G949" s="23" t="str">
        <f>IF(OR(E949="",E949="!!!"),"",IF(OR(J949=0,AND(J949=1,K949=1),AND(J949=1,I949="SBJ"),AND(J949=1,I949=0)),"?IN_FOCUS",IF(J949&lt;=2,"?ACTIVATED",IF(J949&lt;&gt;"","?FAMILIAR",IF(F949="NEW",IF(ISNA(VLOOKUP(E949,#REF!,1,FALSE())),"?TYPE_IDENTIFIABLE","?REFERENTIAL"),"_")))))</f>
        <v> </v>
      </c>
      <c r="H949" s="24" t="str">
        <f>IF(J949&lt;&gt;1,"",IF(I949="SBJ","CB","?"))</f>
        <v> </v>
      </c>
      <c r="I949" s="25" t="str">
        <f>IF(OR(E949="",E949="!!!",F949="NEW"),"",INDEX(B948:B$2,-1+SUMPRODUCT(MAX(ROW(E948:E$2)*(E949=E948:E$2)))))</f>
        <v> </v>
      </c>
      <c r="J949" s="25" t="str">
        <f>IF(OR(E949="",E949="!!!",F949="NEW"),"",COUNTBLANK(OFFSET(A$1,,,SUMPRODUCT(MAX(ROW(E$2:E949)*(E949=E$2:E949)))))-COUNTBLANK(OFFSET(A$1,,,SUMPRODUCT(MAX(ROW(E$1:E948)*(E2=E$1:E948))))))</f>
        <v> </v>
      </c>
      <c r="K949" s="25" t="str">
        <f>IF(OR(E949="",E949="!!!",F949="NEW"),"",INDEX(J$1:J948,SUMPRODUCT(MAX(ROW(E$1:E948)*(E949=E$1:E948)))))</f>
        <v> </v>
      </c>
      <c r="L949" s="26"/>
    </row>
    <row r="950" spans="1:12">
      <c r="A950" s="20" t="s">
        <v>824</v>
      </c>
      <c r="B950" s="27" t="s">
        <v>549</v>
      </c>
      <c r="C950" s="27" t="s">
        <v>498</v>
      </c>
      <c r="E950" s="21">
        <f>IF(D950="?OLD","!!!","")</f>
        <v/>
      </c>
      <c r="F950" s="22" t="str">
        <f>IF(OR(E950="",E950="!!!"),"",IF(NOT(ISNA(VLOOKUP(E950,E$1:E949,1,FALSE()))),"OLD",IF(AND(E950&lt;&gt;"",E950&lt;&gt;"!!!"),"NEW","")))</f>
        <v> </v>
      </c>
      <c r="G950" s="23" t="str">
        <f>IF(OR(E950="",E950="!!!"),"",IF(OR(J950=0,AND(J950=1,K950=1),AND(J950=1,I950="SBJ"),AND(J950=1,I950=0)),"?IN_FOCUS",IF(J950&lt;=2,"?ACTIVATED",IF(J950&lt;&gt;"","?FAMILIAR",IF(F950="NEW",IF(ISNA(VLOOKUP(E950,#REF!,1,FALSE())),"?TYPE_IDENTIFIABLE","?REFERENTIAL"),"_")))))</f>
        <v> </v>
      </c>
      <c r="H950" s="24" t="str">
        <f>IF(J950&lt;&gt;1,"",IF(I950="SBJ","CB","?"))</f>
        <v> </v>
      </c>
      <c r="I950" s="25" t="str">
        <f>IF(OR(E950="",E950="!!!",F950="NEW"),"",INDEX(B949:B$2,-1+SUMPRODUCT(MAX(ROW(E949:E$2)*(E950=E949:E$2)))))</f>
        <v> </v>
      </c>
      <c r="J950" s="25" t="str">
        <f>IF(OR(E950="",E950="!!!",F950="NEW"),"",COUNTBLANK(OFFSET(A$1,,,SUMPRODUCT(MAX(ROW(E$2:E950)*(E950=E$2:E950)))))-COUNTBLANK(OFFSET(A$1,,,SUMPRODUCT(MAX(ROW(E$1:E949)*(E2=E$1:E949))))))</f>
        <v> </v>
      </c>
      <c r="K950" s="25" t="str">
        <f>IF(OR(E950="",E950="!!!",F950="NEW"),"",INDEX(J$1:J949,SUMPRODUCT(MAX(ROW(E$1:E949)*(E950=E$1:E949)))))</f>
        <v> </v>
      </c>
      <c r="L950" s="26"/>
    </row>
    <row r="951" spans="1:12">
      <c r="A951" s="20" t="s">
        <v>825</v>
      </c>
      <c r="E951" s="21">
        <f>IF(D951="?OLD","!!!","")</f>
        <v/>
      </c>
      <c r="F951" s="22" t="str">
        <f>IF(OR(E951="",E951="!!!"),"",IF(NOT(ISNA(VLOOKUP(E951,E$1:E950,1,FALSE()))),"OLD",IF(AND(E951&lt;&gt;"",E951&lt;&gt;"!!!"),"NEW","")))</f>
        <v> </v>
      </c>
      <c r="G951" s="23" t="str">
        <f>IF(OR(E951="",E951="!!!"),"",IF(OR(J951=0,AND(J951=1,K951=1),AND(J951=1,I951="SBJ"),AND(J951=1,I951=0)),"?IN_FOCUS",IF(J951&lt;=2,"?ACTIVATED",IF(J951&lt;&gt;"","?FAMILIAR",IF(F951="NEW",IF(ISNA(VLOOKUP(E951,#REF!,1,FALSE())),"?TYPE_IDENTIFIABLE","?REFERENTIAL"),"_")))))</f>
        <v> </v>
      </c>
      <c r="H951" s="24" t="str">
        <f>IF(J951&lt;&gt;1,"",IF(I951="SBJ","CB","?"))</f>
        <v> </v>
      </c>
      <c r="I951" s="25" t="str">
        <f>IF(OR(E951="",E951="!!!",F951="NEW"),"",INDEX(B950:B$2,-1+SUMPRODUCT(MAX(ROW(E950:E$2)*(E951=E950:E$2)))))</f>
        <v> </v>
      </c>
      <c r="J951" s="25" t="str">
        <f>IF(OR(E951="",E951="!!!",F951="NEW"),"",COUNTBLANK(OFFSET(A$1,,,SUMPRODUCT(MAX(ROW(E$2:E951)*(E951=E$2:E951)))))-COUNTBLANK(OFFSET(A$1,,,SUMPRODUCT(MAX(ROW(E$1:E950)*(E2=E$1:E950))))))</f>
        <v> </v>
      </c>
      <c r="K951" s="25" t="str">
        <f>IF(OR(E951="",E951="!!!",F951="NEW"),"",INDEX(J$1:J950,SUMPRODUCT(MAX(ROW(E$1:E950)*(E951=E$1:E950)))))</f>
        <v> </v>
      </c>
      <c r="L951" s="26"/>
    </row>
    <row r="952" spans="1:12">
      <c r="A952" s="20" t="s">
        <v>680</v>
      </c>
      <c r="E952" s="21">
        <f>IF(D952="?OLD","!!!","")</f>
        <v/>
      </c>
      <c r="F952" s="22" t="str">
        <f>IF(OR(E952="",E952="!!!"),"",IF(NOT(ISNA(VLOOKUP(E952,E$1:E951,1,FALSE()))),"OLD",IF(AND(E952&lt;&gt;"",E952&lt;&gt;"!!!"),"NEW","")))</f>
        <v> </v>
      </c>
      <c r="G952" s="23" t="str">
        <f>IF(OR(E952="",E952="!!!"),"",IF(OR(J952=0,AND(J952=1,K952=1),AND(J952=1,I952="SBJ"),AND(J952=1,I952=0)),"?IN_FOCUS",IF(J952&lt;=2,"?ACTIVATED",IF(J952&lt;&gt;"","?FAMILIAR",IF(F952="NEW",IF(ISNA(VLOOKUP(E952,#REF!,1,FALSE())),"?TYPE_IDENTIFIABLE","?REFERENTIAL"),"_")))))</f>
        <v> </v>
      </c>
      <c r="H952" s="24" t="str">
        <f>IF(J952&lt;&gt;1,"",IF(I952="SBJ","CB","?"))</f>
        <v> </v>
      </c>
      <c r="I952" s="25" t="str">
        <f>IF(OR(E952="",E952="!!!",F952="NEW"),"",INDEX(B951:B$2,-1+SUMPRODUCT(MAX(ROW(E951:E$2)*(E952=E951:E$2)))))</f>
        <v> </v>
      </c>
      <c r="J952" s="25" t="str">
        <f>IF(OR(E952="",E952="!!!",F952="NEW"),"",COUNTBLANK(OFFSET(A$1,,,SUMPRODUCT(MAX(ROW(E$2:E952)*(E952=E$2:E952)))))-COUNTBLANK(OFFSET(A$1,,,SUMPRODUCT(MAX(ROW(E$1:E951)*(E2=E$1:E951))))))</f>
        <v> </v>
      </c>
      <c r="K952" s="25" t="str">
        <f>IF(OR(E952="",E952="!!!",F952="NEW"),"",INDEX(J$1:J951,SUMPRODUCT(MAX(ROW(E$1:E951)*(E952=E$1:E951)))))</f>
        <v> </v>
      </c>
      <c r="L952" s="26"/>
    </row>
    <row r="953" spans="1:12">
      <c r="A953" s="20" t="s">
        <v>558</v>
      </c>
      <c r="E953" s="21">
        <f>IF(D953="?OLD","!!!","")</f>
        <v/>
      </c>
      <c r="F953" s="22" t="str">
        <f>IF(OR(E953="",E953="!!!"),"",IF(NOT(ISNA(VLOOKUP(E953,E$1:E952,1,FALSE()))),"OLD",IF(AND(E953&lt;&gt;"",E953&lt;&gt;"!!!"),"NEW","")))</f>
        <v> </v>
      </c>
      <c r="G953" s="23" t="str">
        <f>IF(OR(E953="",E953="!!!"),"",IF(OR(J953=0,AND(J953=1,K953=1),AND(J953=1,I953="SBJ"),AND(J953=1,I953=0)),"?IN_FOCUS",IF(J953&lt;=2,"?ACTIVATED",IF(J953&lt;&gt;"","?FAMILIAR",IF(F953="NEW",IF(ISNA(VLOOKUP(E953,#REF!,1,FALSE())),"?TYPE_IDENTIFIABLE","?REFERENTIAL"),"_")))))</f>
        <v> </v>
      </c>
      <c r="H953" s="24" t="str">
        <f>IF(J953&lt;&gt;1,"",IF(I953="SBJ","CB","?"))</f>
        <v> </v>
      </c>
      <c r="I953" s="25" t="str">
        <f>IF(OR(E953="",E953="!!!",F953="NEW"),"",INDEX(B952:B$2,-1+SUMPRODUCT(MAX(ROW(E952:E$2)*(E953=E952:E$2)))))</f>
        <v> </v>
      </c>
      <c r="J953" s="25" t="str">
        <f>IF(OR(E953="",E953="!!!",F953="NEW"),"",COUNTBLANK(OFFSET(A$1,,,SUMPRODUCT(MAX(ROW(E$2:E953)*(E953=E$2:E953)))))-COUNTBLANK(OFFSET(A$1,,,SUMPRODUCT(MAX(ROW(E$1:E952)*(E2=E$1:E952))))))</f>
        <v> </v>
      </c>
      <c r="K953" s="25" t="str">
        <f>IF(OR(E953="",E953="!!!",F953="NEW"),"",INDEX(J$1:J952,SUMPRODUCT(MAX(ROW(E$1:E952)*(E953=E$1:E952)))))</f>
        <v> </v>
      </c>
      <c r="L953" s="26"/>
    </row>
    <row r="954" spans="1:12">
      <c r="A954" s="20" t="s">
        <v>675</v>
      </c>
      <c r="E954" s="21">
        <f>IF(D954="?OLD","!!!","")</f>
        <v/>
      </c>
      <c r="F954" s="22" t="str">
        <f>IF(OR(E954="",E954="!!!"),"",IF(NOT(ISNA(VLOOKUP(E954,E$1:E953,1,FALSE()))),"OLD",IF(AND(E954&lt;&gt;"",E954&lt;&gt;"!!!"),"NEW","")))</f>
        <v> </v>
      </c>
      <c r="G954" s="23" t="str">
        <f>IF(OR(E954="",E954="!!!"),"",IF(OR(J954=0,AND(J954=1,K954=1),AND(J954=1,I954="SBJ"),AND(J954=1,I954=0)),"?IN_FOCUS",IF(J954&lt;=2,"?ACTIVATED",IF(J954&lt;&gt;"","?FAMILIAR",IF(F954="NEW",IF(ISNA(VLOOKUP(E954,#REF!,1,FALSE())),"?TYPE_IDENTIFIABLE","?REFERENTIAL"),"_")))))</f>
        <v> </v>
      </c>
      <c r="H954" s="24" t="str">
        <f>IF(J954&lt;&gt;1,"",IF(I954="SBJ","CB","?"))</f>
        <v> </v>
      </c>
      <c r="I954" s="25" t="str">
        <f>IF(OR(E954="",E954="!!!",F954="NEW"),"",INDEX(B953:B$2,-1+SUMPRODUCT(MAX(ROW(E953:E$2)*(E954=E953:E$2)))))</f>
        <v> </v>
      </c>
      <c r="J954" s="25" t="str">
        <f>IF(OR(E954="",E954="!!!",F954="NEW"),"",COUNTBLANK(OFFSET(A$1,,,SUMPRODUCT(MAX(ROW(E$2:E954)*(E954=E$2:E954)))))-COUNTBLANK(OFFSET(A$1,,,SUMPRODUCT(MAX(ROW(E$1:E953)*(E2=E$1:E953))))))</f>
        <v> </v>
      </c>
      <c r="K954" s="25" t="str">
        <f>IF(OR(E954="",E954="!!!",F954="NEW"),"",INDEX(J$1:J953,SUMPRODUCT(MAX(ROW(E$1:E953)*(E954=E$1:E953)))))</f>
        <v> </v>
      </c>
      <c r="L954" s="26"/>
    </row>
    <row r="955" spans="1:12">
      <c r="A955" s="20" t="s">
        <v>395</v>
      </c>
      <c r="E955" s="21">
        <f>IF(D955="?OLD","!!!","")</f>
        <v/>
      </c>
      <c r="F955" s="22" t="str">
        <f>IF(OR(E955="",E955="!!!"),"",IF(NOT(ISNA(VLOOKUP(E955,E$1:E954,1,FALSE()))),"OLD",IF(AND(E955&lt;&gt;"",E955&lt;&gt;"!!!"),"NEW","")))</f>
        <v> </v>
      </c>
      <c r="G955" s="23" t="str">
        <f>IF(OR(E955="",E955="!!!"),"",IF(OR(J955=0,AND(J955=1,K955=1),AND(J955=1,I955="SBJ"),AND(J955=1,I955=0)),"?IN_FOCUS",IF(J955&lt;=2,"?ACTIVATED",IF(J955&lt;&gt;"","?FAMILIAR",IF(F955="NEW",IF(ISNA(VLOOKUP(E955,#REF!,1,FALSE())),"?TYPE_IDENTIFIABLE","?REFERENTIAL"),"_")))))</f>
        <v> </v>
      </c>
      <c r="H955" s="24" t="str">
        <f>IF(J955&lt;&gt;1,"",IF(I955="SBJ","CB","?"))</f>
        <v> </v>
      </c>
      <c r="I955" s="25" t="str">
        <f>IF(OR(E955="",E955="!!!",F955="NEW"),"",INDEX(B954:B$2,-1+SUMPRODUCT(MAX(ROW(E954:E$2)*(E955=E954:E$2)))))</f>
        <v> </v>
      </c>
      <c r="J955" s="25" t="str">
        <f>IF(OR(E955="",E955="!!!",F955="NEW"),"",COUNTBLANK(OFFSET(A$1,,,SUMPRODUCT(MAX(ROW(E$2:E955)*(E955=E$2:E955)))))-COUNTBLANK(OFFSET(A$1,,,SUMPRODUCT(MAX(ROW(E$1:E954)*(E2=E$1:E954))))))</f>
        <v> </v>
      </c>
      <c r="K955" s="25" t="str">
        <f>IF(OR(E955="",E955="!!!",F955="NEW"),"",INDEX(J$1:J954,SUMPRODUCT(MAX(ROW(E$1:E954)*(E955=E$1:E954)))))</f>
        <v> </v>
      </c>
      <c r="L955" s="26"/>
    </row>
    <row r="956" spans="1:12">
      <c r="A956" s="20" t="s">
        <v>594</v>
      </c>
      <c r="E956" s="21">
        <f>IF(D956="?OLD","!!!","")</f>
        <v/>
      </c>
      <c r="F956" s="22" t="str">
        <f>IF(OR(E956="",E956="!!!"),"",IF(NOT(ISNA(VLOOKUP(E956,E$1:E955,1,FALSE()))),"OLD",IF(AND(E956&lt;&gt;"",E956&lt;&gt;"!!!"),"NEW","")))</f>
        <v> </v>
      </c>
      <c r="G956" s="23" t="str">
        <f>IF(OR(E956="",E956="!!!"),"",IF(OR(J956=0,AND(J956=1,K956=1),AND(J956=1,I956="SBJ"),AND(J956=1,I956=0)),"?IN_FOCUS",IF(J956&lt;=2,"?ACTIVATED",IF(J956&lt;&gt;"","?FAMILIAR",IF(F956="NEW",IF(ISNA(VLOOKUP(E956,#REF!,1,FALSE())),"?TYPE_IDENTIFIABLE","?REFERENTIAL"),"_")))))</f>
        <v> </v>
      </c>
      <c r="H956" s="24" t="str">
        <f>IF(J956&lt;&gt;1,"",IF(I956="SBJ","CB","?"))</f>
        <v> </v>
      </c>
      <c r="I956" s="25" t="str">
        <f>IF(OR(E956="",E956="!!!",F956="NEW"),"",INDEX(B955:B$2,-1+SUMPRODUCT(MAX(ROW(E955:E$2)*(E956=E955:E$2)))))</f>
        <v> </v>
      </c>
      <c r="J956" s="25" t="str">
        <f>IF(OR(E956="",E956="!!!",F956="NEW"),"",COUNTBLANK(OFFSET(A$1,,,SUMPRODUCT(MAX(ROW(E$2:E956)*(E956=E$2:E956)))))-COUNTBLANK(OFFSET(A$1,,,SUMPRODUCT(MAX(ROW(E$1:E955)*(E2=E$1:E955))))))</f>
        <v> </v>
      </c>
      <c r="K956" s="25" t="str">
        <f>IF(OR(E956="",E956="!!!",F956="NEW"),"",INDEX(J$1:J955,SUMPRODUCT(MAX(ROW(E$1:E955)*(E956=E$1:E955)))))</f>
        <v> </v>
      </c>
      <c r="L956" s="26"/>
    </row>
    <row r="957" spans="1:12">
      <c r="A957" s="20" t="s">
        <v>380</v>
      </c>
      <c r="E957" s="21">
        <f>IF(D957="?OLD","!!!","")</f>
        <v/>
      </c>
      <c r="F957" s="22" t="str">
        <f>IF(OR(E957="",E957="!!!"),"",IF(NOT(ISNA(VLOOKUP(E957,E$1:E956,1,FALSE()))),"OLD",IF(AND(E957&lt;&gt;"",E957&lt;&gt;"!!!"),"NEW","")))</f>
        <v> </v>
      </c>
      <c r="G957" s="23" t="str">
        <f>IF(OR(E957="",E957="!!!"),"",IF(OR(J957=0,AND(J957=1,K957=1),AND(J957=1,I957="SBJ"),AND(J957=1,I957=0)),"?IN_FOCUS",IF(J957&lt;=2,"?ACTIVATED",IF(J957&lt;&gt;"","?FAMILIAR",IF(F957="NEW",IF(ISNA(VLOOKUP(E957,#REF!,1,FALSE())),"?TYPE_IDENTIFIABLE","?REFERENTIAL"),"_")))))</f>
        <v> </v>
      </c>
      <c r="H957" s="24" t="str">
        <f>IF(J957&lt;&gt;1,"",IF(I957="SBJ","CB","?"))</f>
        <v> </v>
      </c>
      <c r="I957" s="25" t="str">
        <f>IF(OR(E957="",E957="!!!",F957="NEW"),"",INDEX(B956:B$2,-1+SUMPRODUCT(MAX(ROW(E956:E$2)*(E957=E956:E$2)))))</f>
        <v> </v>
      </c>
      <c r="J957" s="25" t="str">
        <f>IF(OR(E957="",E957="!!!",F957="NEW"),"",COUNTBLANK(OFFSET(A$1,,,SUMPRODUCT(MAX(ROW(E$2:E957)*(E957=E$2:E957)))))-COUNTBLANK(OFFSET(A$1,,,SUMPRODUCT(MAX(ROW(E$1:E956)*(E2=E$1:E956))))))</f>
        <v> </v>
      </c>
      <c r="K957" s="25" t="str">
        <f>IF(OR(E957="",E957="!!!",F957="NEW"),"",INDEX(J$1:J956,SUMPRODUCT(MAX(ROW(E$1:E956)*(E957=E$1:E956)))))</f>
        <v> </v>
      </c>
      <c r="L957" s="26"/>
    </row>
    <row r="958" spans="1:12">
      <c r="A958" s="20" t="s">
        <v>824</v>
      </c>
      <c r="B958" s="27" t="s">
        <v>477</v>
      </c>
      <c r="C958" s="27" t="s">
        <v>498</v>
      </c>
      <c r="E958" s="21">
        <f>IF(D958="?OLD","!!!","")</f>
        <v/>
      </c>
      <c r="F958" s="22" t="str">
        <f>IF(OR(E958="",E958="!!!"),"",IF(NOT(ISNA(VLOOKUP(E958,E$1:E957,1,FALSE()))),"OLD",IF(AND(E958&lt;&gt;"",E958&lt;&gt;"!!!"),"NEW","")))</f>
        <v> </v>
      </c>
      <c r="G958" s="23" t="str">
        <f>IF(OR(E958="",E958="!!!"),"",IF(OR(J958=0,AND(J958=1,K958=1),AND(J958=1,I958="SBJ"),AND(J958=1,I958=0)),"?IN_FOCUS",IF(J958&lt;=2,"?ACTIVATED",IF(J958&lt;&gt;"","?FAMILIAR",IF(F958="NEW",IF(ISNA(VLOOKUP(E958,#REF!,1,FALSE())),"?TYPE_IDENTIFIABLE","?REFERENTIAL"),"_")))))</f>
        <v> </v>
      </c>
      <c r="H958" s="24" t="str">
        <f>IF(J958&lt;&gt;1,"",IF(I958="SBJ","CB","?"))</f>
        <v> </v>
      </c>
      <c r="I958" s="25" t="str">
        <f>IF(OR(E958="",E958="!!!",F958="NEW"),"",INDEX(B957:B$2,-1+SUMPRODUCT(MAX(ROW(E957:E$2)*(E958=E957:E$2)))))</f>
        <v> </v>
      </c>
      <c r="J958" s="25" t="str">
        <f>IF(OR(E958="",E958="!!!",F958="NEW"),"",COUNTBLANK(OFFSET(A$1,,,SUMPRODUCT(MAX(ROW(E$2:E958)*(E958=E$2:E958)))))-COUNTBLANK(OFFSET(A$1,,,SUMPRODUCT(MAX(ROW(E$1:E957)*(E2=E$1:E957))))))</f>
        <v> </v>
      </c>
      <c r="K958" s="25" t="str">
        <f>IF(OR(E958="",E958="!!!",F958="NEW"),"",INDEX(J$1:J957,SUMPRODUCT(MAX(ROW(E$1:E957)*(E958=E$1:E957)))))</f>
        <v> </v>
      </c>
      <c r="L958" s="26"/>
    </row>
    <row r="959" spans="1:12">
      <c r="A959" s="20" t="s">
        <v>835</v>
      </c>
      <c r="E959" s="21">
        <f>IF(D959="?OLD","!!!","")</f>
        <v/>
      </c>
      <c r="F959" s="22" t="str">
        <f>IF(OR(E959="",E959="!!!"),"",IF(NOT(ISNA(VLOOKUP(E959,E$1:E958,1,FALSE()))),"OLD",IF(AND(E959&lt;&gt;"",E959&lt;&gt;"!!!"),"NEW","")))</f>
        <v> </v>
      </c>
      <c r="G959" s="23" t="str">
        <f>IF(OR(E959="",E959="!!!"),"",IF(OR(J959=0,AND(J959=1,K959=1),AND(J959=1,I959="SBJ"),AND(J959=1,I959=0)),"?IN_FOCUS",IF(J959&lt;=2,"?ACTIVATED",IF(J959&lt;&gt;"","?FAMILIAR",IF(F959="NEW",IF(ISNA(VLOOKUP(E959,#REF!,1,FALSE())),"?TYPE_IDENTIFIABLE","?REFERENTIAL"),"_")))))</f>
        <v> </v>
      </c>
      <c r="H959" s="24" t="str">
        <f>IF(J959&lt;&gt;1,"",IF(I959="SBJ","CB","?"))</f>
        <v> </v>
      </c>
      <c r="I959" s="25" t="str">
        <f>IF(OR(E959="",E959="!!!",F959="NEW"),"",INDEX(B958:B$2,-1+SUMPRODUCT(MAX(ROW(E958:E$2)*(E959=E958:E$2)))))</f>
        <v> </v>
      </c>
      <c r="J959" s="25" t="str">
        <f>IF(OR(E959="",E959="!!!",F959="NEW"),"",COUNTBLANK(OFFSET(A$1,,,SUMPRODUCT(MAX(ROW(E$2:E959)*(E959=E$2:E959)))))-COUNTBLANK(OFFSET(A$1,,,SUMPRODUCT(MAX(ROW(E$1:E958)*(E2=E$1:E958))))))</f>
        <v> </v>
      </c>
      <c r="K959" s="25" t="str">
        <f>IF(OR(E959="",E959="!!!",F959="NEW"),"",INDEX(J$1:J958,SUMPRODUCT(MAX(ROW(E$1:E958)*(E959=E$1:E958)))))</f>
        <v> </v>
      </c>
      <c r="L959" s="26"/>
    </row>
    <row r="960" spans="1:12">
      <c r="A960" s="20" t="s">
        <v>531</v>
      </c>
      <c r="E960" s="21">
        <f>IF(D960="?OLD","!!!","")</f>
        <v/>
      </c>
      <c r="F960" s="22" t="str">
        <f>IF(OR(E960="",E960="!!!"),"",IF(NOT(ISNA(VLOOKUP(E960,E$1:E959,1,FALSE()))),"OLD",IF(AND(E960&lt;&gt;"",E960&lt;&gt;"!!!"),"NEW","")))</f>
        <v> </v>
      </c>
      <c r="G960" s="23" t="str">
        <f>IF(OR(E960="",E960="!!!"),"",IF(OR(J960=0,AND(J960=1,K960=1),AND(J960=1,I960="SBJ"),AND(J960=1,I960=0)),"?IN_FOCUS",IF(J960&lt;=2,"?ACTIVATED",IF(J960&lt;&gt;"","?FAMILIAR",IF(F960="NEW",IF(ISNA(VLOOKUP(E960,#REF!,1,FALSE())),"?TYPE_IDENTIFIABLE","?REFERENTIAL"),"_")))))</f>
        <v> </v>
      </c>
      <c r="H960" s="24" t="str">
        <f>IF(J960&lt;&gt;1,"",IF(I960="SBJ","CB","?"))</f>
        <v> </v>
      </c>
      <c r="I960" s="25" t="str">
        <f>IF(OR(E960="",E960="!!!",F960="NEW"),"",INDEX(B959:B$2,-1+SUMPRODUCT(MAX(ROW(E959:E$2)*(E960=E959:E$2)))))</f>
        <v> </v>
      </c>
      <c r="J960" s="25" t="str">
        <f>IF(OR(E960="",E960="!!!",F960="NEW"),"",COUNTBLANK(OFFSET(A$1,,,SUMPRODUCT(MAX(ROW(E$2:E960)*(E960=E$2:E960)))))-COUNTBLANK(OFFSET(A$1,,,SUMPRODUCT(MAX(ROW(E$1:E959)*(E2=E$1:E959))))))</f>
        <v> </v>
      </c>
      <c r="K960" s="25" t="str">
        <f>IF(OR(E960="",E960="!!!",F960="NEW"),"",INDEX(J$1:J959,SUMPRODUCT(MAX(ROW(E$1:E959)*(E960=E$1:E959)))))</f>
        <v> </v>
      </c>
      <c r="L960" s="26"/>
    </row>
    <row r="961" spans="1:12">
      <c r="A961" s="20"/>
    </row>
    <row r="962" spans="1:12">
      <c r="A962" s="20" t="s">
        <v>852</v>
      </c>
    </row>
    <row r="963" spans="1:12">
      <c r="A963" s="20" t="s">
        <v>12</v>
      </c>
      <c r="E963" s="21">
        <f>IF(D963="?OLD","!!!","")</f>
        <v/>
      </c>
      <c r="F963" s="22" t="str">
        <f>IF(OR(E963="",E963="!!!"),"",IF(NOT(ISNA(VLOOKUP(E963,E$1:E962,1,FALSE()))),"OLD",IF(AND(E963&lt;&gt;"",E963&lt;&gt;"!!!"),"NEW","")))</f>
        <v> </v>
      </c>
      <c r="G963" s="23" t="str">
        <f>IF(OR(E963="",E963="!!!"),"",IF(OR(J963=0,AND(J963=1,K963=1),AND(J963=1,I963="SBJ"),AND(J963=1,I963=0)),"?IN_FOCUS",IF(J963&lt;=2,"?ACTIVATED",IF(J963&lt;&gt;"","?FAMILIAR",IF(F963="NEW",IF(ISNA(VLOOKUP(E963,#REF!,1,FALSE())),"?TYPE_IDENTIFIABLE","?REFERENTIAL"),"_")))))</f>
        <v> </v>
      </c>
      <c r="H963" s="24" t="str">
        <f>IF(J963&lt;&gt;1,"",IF(I963="SBJ","CB","?"))</f>
        <v> </v>
      </c>
      <c r="I963" s="25" t="str">
        <f>IF(OR(E963="",E963="!!!",F963="NEW"),"",INDEX(B962:B$2,-1+SUMPRODUCT(MAX(ROW(E962:E$2)*(E963=E962:E$2)))))</f>
        <v> </v>
      </c>
      <c r="J963" s="25" t="str">
        <f>IF(OR(E963="",E963="!!!",F963="NEW"),"",COUNTBLANK(OFFSET(A$1,,,SUMPRODUCT(MAX(ROW(E$2:E963)*(E963=E$2:E963)))))-COUNTBLANK(OFFSET(A$1,,,SUMPRODUCT(MAX(ROW(E$1:E962)*(E2=E$1:E962))))))</f>
        <v> </v>
      </c>
      <c r="K963" s="25" t="str">
        <f>IF(OR(E963="",E963="!!!",F963="NEW"),"",INDEX(J$1:J962,SUMPRODUCT(MAX(ROW(E$1:E962)*(E963=E$1:E962)))))</f>
        <v> </v>
      </c>
      <c r="L963" s="26"/>
    </row>
    <row r="964" spans="1:12">
      <c r="A964" s="20" t="s">
        <v>226</v>
      </c>
      <c r="B964" s="27" t="s">
        <v>477</v>
      </c>
      <c r="C964" s="27" t="s">
        <v>756</v>
      </c>
      <c r="E964" s="21">
        <f>IF(D964="?OLD","!!!","")</f>
        <v/>
      </c>
      <c r="F964" s="22" t="str">
        <f>IF(OR(E964="",E964="!!!"),"",IF(NOT(ISNA(VLOOKUP(E964,E$1:E963,1,FALSE()))),"OLD",IF(AND(E964&lt;&gt;"",E964&lt;&gt;"!!!"),"NEW","")))</f>
        <v> </v>
      </c>
      <c r="G964" s="23" t="str">
        <f>IF(OR(E964="",E964="!!!"),"",IF(OR(J964=0,AND(J964=1,K964=1),AND(J964=1,I964="SBJ"),AND(J964=1,I964=0)),"?IN_FOCUS",IF(J964&lt;=2,"?ACTIVATED",IF(J964&lt;&gt;"","?FAMILIAR",IF(F964="NEW",IF(ISNA(VLOOKUP(E964,#REF!,1,FALSE())),"?TYPE_IDENTIFIABLE","?REFERENTIAL"),"_")))))</f>
        <v> </v>
      </c>
      <c r="H964" s="24" t="str">
        <f>IF(J964&lt;&gt;1,"",IF(I964="SBJ","CB","?"))</f>
        <v> </v>
      </c>
      <c r="I964" s="25" t="str">
        <f>IF(OR(E964="",E964="!!!",F964="NEW"),"",INDEX(B963:B$2,-1+SUMPRODUCT(MAX(ROW(E963:E$2)*(E964=E963:E$2)))))</f>
        <v> </v>
      </c>
      <c r="J964" s="25" t="str">
        <f>IF(OR(E964="",E964="!!!",F964="NEW"),"",COUNTBLANK(OFFSET(A$1,,,SUMPRODUCT(MAX(ROW(E$2:E964)*(E964=E$2:E964)))))-COUNTBLANK(OFFSET(A$1,,,SUMPRODUCT(MAX(ROW(E$1:E963)*(E2=E$1:E963))))))</f>
        <v> </v>
      </c>
      <c r="K964" s="25" t="str">
        <f>IF(OR(E964="",E964="!!!",F964="NEW"),"",INDEX(J$1:J963,SUMPRODUCT(MAX(ROW(E$1:E963)*(E964=E$1:E963)))))</f>
        <v> </v>
      </c>
      <c r="L964" s="26"/>
    </row>
    <row r="965" spans="1:12">
      <c r="A965" s="20" t="s">
        <v>750</v>
      </c>
      <c r="E965" s="21">
        <f>IF(D965="?OLD","!!!","")</f>
        <v/>
      </c>
      <c r="F965" s="22" t="str">
        <f>IF(OR(E965="",E965="!!!"),"",IF(NOT(ISNA(VLOOKUP(E965,E$1:E964,1,FALSE()))),"OLD",IF(AND(E965&lt;&gt;"",E965&lt;&gt;"!!!"),"NEW","")))</f>
        <v> </v>
      </c>
      <c r="G965" s="23" t="str">
        <f>IF(OR(E965="",E965="!!!"),"",IF(OR(J965=0,AND(J965=1,K965=1),AND(J965=1,I965="SBJ"),AND(J965=1,I965=0)),"?IN_FOCUS",IF(J965&lt;=2,"?ACTIVATED",IF(J965&lt;&gt;"","?FAMILIAR",IF(F965="NEW",IF(ISNA(VLOOKUP(E965,#REF!,1,FALSE())),"?TYPE_IDENTIFIABLE","?REFERENTIAL"),"_")))))</f>
        <v> </v>
      </c>
      <c r="H965" s="24" t="str">
        <f>IF(J965&lt;&gt;1,"",IF(I965="SBJ","CB","?"))</f>
        <v> </v>
      </c>
      <c r="I965" s="25" t="str">
        <f>IF(OR(E965="",E965="!!!",F965="NEW"),"",INDEX(B964:B$2,-1+SUMPRODUCT(MAX(ROW(E964:E$2)*(E965=E964:E$2)))))</f>
        <v> </v>
      </c>
      <c r="J965" s="25" t="str">
        <f>IF(OR(E965="",E965="!!!",F965="NEW"),"",COUNTBLANK(OFFSET(A$1,,,SUMPRODUCT(MAX(ROW(E$2:E965)*(E965=E$2:E965)))))-COUNTBLANK(OFFSET(A$1,,,SUMPRODUCT(MAX(ROW(E$1:E964)*(E2=E$1:E964))))))</f>
        <v> </v>
      </c>
      <c r="K965" s="25" t="str">
        <f>IF(OR(E965="",E965="!!!",F965="NEW"),"",INDEX(J$1:J964,SUMPRODUCT(MAX(ROW(E$1:E964)*(E965=E$1:E964)))))</f>
        <v> </v>
      </c>
      <c r="L965" s="26"/>
    </row>
    <row r="966" spans="1:12">
      <c r="A966" s="20"/>
    </row>
    <row r="967" spans="1:12">
      <c r="A967" s="20" t="s">
        <v>853</v>
      </c>
    </row>
    <row r="968" spans="1:12">
      <c r="A968" s="20" t="s">
        <v>854</v>
      </c>
      <c r="E968" s="21">
        <f>IF(D968="?OLD","!!!","")</f>
        <v/>
      </c>
      <c r="F968" s="22" t="str">
        <f>IF(OR(E968="",E968="!!!"),"",IF(NOT(ISNA(VLOOKUP(E968,E$1:E967,1,FALSE()))),"OLD",IF(AND(E968&lt;&gt;"",E968&lt;&gt;"!!!"),"NEW","")))</f>
        <v> </v>
      </c>
      <c r="G968" s="23" t="str">
        <f>IF(OR(E968="",E968="!!!"),"",IF(OR(J968=0,AND(J968=1,K968=1),AND(J968=1,I968="SBJ"),AND(J968=1,I968=0)),"?IN_FOCUS",IF(J968&lt;=2,"?ACTIVATED",IF(J968&lt;&gt;"","?FAMILIAR",IF(F968="NEW",IF(ISNA(VLOOKUP(E968,#REF!,1,FALSE())),"?TYPE_IDENTIFIABLE","?REFERENTIAL"),"_")))))</f>
        <v> </v>
      </c>
      <c r="H968" s="24" t="str">
        <f>IF(J968&lt;&gt;1,"",IF(I968="SBJ","CB","?"))</f>
        <v> </v>
      </c>
      <c r="I968" s="25" t="str">
        <f>IF(OR(E968="",E968="!!!",F968="NEW"),"",INDEX(B967:B$2,-1+SUMPRODUCT(MAX(ROW(E967:E$2)*(E968=E967:E$2)))))</f>
        <v> </v>
      </c>
      <c r="J968" s="25" t="str">
        <f>IF(OR(E968="",E968="!!!",F968="NEW"),"",COUNTBLANK(OFFSET(A$1,,,SUMPRODUCT(MAX(ROW(E$2:E968)*(E968=E$2:E968)))))-COUNTBLANK(OFFSET(A$1,,,SUMPRODUCT(MAX(ROW(E$1:E967)*(E2=E$1:E967))))))</f>
        <v> </v>
      </c>
      <c r="K968" s="25" t="str">
        <f>IF(OR(E968="",E968="!!!",F968="NEW"),"",INDEX(J$1:J967,SUMPRODUCT(MAX(ROW(E$1:E967)*(E968=E$1:E967)))))</f>
        <v> </v>
      </c>
      <c r="L968" s="26"/>
    </row>
    <row r="969" spans="1:12">
      <c r="A969" s="20" t="s">
        <v>855</v>
      </c>
      <c r="E969" s="21">
        <f>IF(D969="?OLD","!!!","")</f>
        <v/>
      </c>
      <c r="F969" s="22" t="str">
        <f>IF(OR(E969="",E969="!!!"),"",IF(NOT(ISNA(VLOOKUP(E969,E$1:E968,1,FALSE()))),"OLD",IF(AND(E969&lt;&gt;"",E969&lt;&gt;"!!!"),"NEW","")))</f>
        <v> </v>
      </c>
      <c r="G969" s="23" t="str">
        <f>IF(OR(E969="",E969="!!!"),"",IF(OR(J969=0,AND(J969=1,K969=1),AND(J969=1,I969="SBJ"),AND(J969=1,I969=0)),"?IN_FOCUS",IF(J969&lt;=2,"?ACTIVATED",IF(J969&lt;&gt;"","?FAMILIAR",IF(F969="NEW",IF(ISNA(VLOOKUP(E969,#REF!,1,FALSE())),"?TYPE_IDENTIFIABLE","?REFERENTIAL"),"_")))))</f>
        <v> </v>
      </c>
      <c r="H969" s="24" t="str">
        <f>IF(J969&lt;&gt;1,"",IF(I969="SBJ","CB","?"))</f>
        <v> </v>
      </c>
      <c r="I969" s="25" t="str">
        <f>IF(OR(E969="",E969="!!!",F969="NEW"),"",INDEX(B968:B$2,-1+SUMPRODUCT(MAX(ROW(E968:E$2)*(E969=E968:E$2)))))</f>
        <v> </v>
      </c>
      <c r="J969" s="25" t="str">
        <f>IF(OR(E969="",E969="!!!",F969="NEW"),"",COUNTBLANK(OFFSET(A$1,,,SUMPRODUCT(MAX(ROW(E$2:E969)*(E969=E$2:E969)))))-COUNTBLANK(OFFSET(A$1,,,SUMPRODUCT(MAX(ROW(E$1:E968)*(E2=E$1:E968))))))</f>
        <v> </v>
      </c>
      <c r="K969" s="25" t="str">
        <f>IF(OR(E969="",E969="!!!",F969="NEW"),"",INDEX(J$1:J968,SUMPRODUCT(MAX(ROW(E$1:E968)*(E969=E$1:E968)))))</f>
        <v> </v>
      </c>
      <c r="L969" s="26"/>
    </row>
    <row r="970" spans="1:12">
      <c r="A970" s="20" t="s">
        <v>856</v>
      </c>
      <c r="E970" s="21">
        <f>IF(D970="?OLD","!!!","")</f>
        <v/>
      </c>
      <c r="F970" s="22" t="str">
        <f>IF(OR(E970="",E970="!!!"),"",IF(NOT(ISNA(VLOOKUP(E970,E$1:E969,1,FALSE()))),"OLD",IF(AND(E970&lt;&gt;"",E970&lt;&gt;"!!!"),"NEW","")))</f>
        <v> </v>
      </c>
      <c r="G970" s="23" t="str">
        <f>IF(OR(E970="",E970="!!!"),"",IF(OR(J970=0,AND(J970=1,K970=1),AND(J970=1,I970="SBJ"),AND(J970=1,I970=0)),"?IN_FOCUS",IF(J970&lt;=2,"?ACTIVATED",IF(J970&lt;&gt;"","?FAMILIAR",IF(F970="NEW",IF(ISNA(VLOOKUP(E970,#REF!,1,FALSE())),"?TYPE_IDENTIFIABLE","?REFERENTIAL"),"_")))))</f>
        <v> </v>
      </c>
      <c r="H970" s="24" t="str">
        <f>IF(J970&lt;&gt;1,"",IF(I970="SBJ","CB","?"))</f>
        <v> </v>
      </c>
      <c r="I970" s="25" t="str">
        <f>IF(OR(E970="",E970="!!!",F970="NEW"),"",INDEX(B969:B$2,-1+SUMPRODUCT(MAX(ROW(E969:E$2)*(E970=E969:E$2)))))</f>
        <v> </v>
      </c>
      <c r="J970" s="25" t="str">
        <f>IF(OR(E970="",E970="!!!",F970="NEW"),"",COUNTBLANK(OFFSET(A$1,,,SUMPRODUCT(MAX(ROW(E$2:E970)*(E970=E$2:E970)))))-COUNTBLANK(OFFSET(A$1,,,SUMPRODUCT(MAX(ROW(E$1:E969)*(E2=E$1:E969))))))</f>
        <v> </v>
      </c>
      <c r="K970" s="25" t="str">
        <f>IF(OR(E970="",E970="!!!",F970="NEW"),"",INDEX(J$1:J969,SUMPRODUCT(MAX(ROW(E$1:E969)*(E970=E$1:E969)))))</f>
        <v> </v>
      </c>
      <c r="L970" s="26"/>
    </row>
    <row r="971" spans="1:12">
      <c r="A971" s="20" t="s">
        <v>531</v>
      </c>
      <c r="E971" s="21">
        <f>IF(D971="?OLD","!!!","")</f>
        <v/>
      </c>
      <c r="F971" s="22" t="str">
        <f>IF(OR(E971="",E971="!!!"),"",IF(NOT(ISNA(VLOOKUP(E971,E$1:E970,1,FALSE()))),"OLD",IF(AND(E971&lt;&gt;"",E971&lt;&gt;"!!!"),"NEW","")))</f>
        <v> </v>
      </c>
      <c r="G971" s="23" t="str">
        <f>IF(OR(E971="",E971="!!!"),"",IF(OR(J971=0,AND(J971=1,K971=1),AND(J971=1,I971="SBJ"),AND(J971=1,I971=0)),"?IN_FOCUS",IF(J971&lt;=2,"?ACTIVATED",IF(J971&lt;&gt;"","?FAMILIAR",IF(F971="NEW",IF(ISNA(VLOOKUP(E971,#REF!,1,FALSE())),"?TYPE_IDENTIFIABLE","?REFERENTIAL"),"_")))))</f>
        <v> </v>
      </c>
      <c r="H971" s="24" t="str">
        <f>IF(J971&lt;&gt;1,"",IF(I971="SBJ","CB","?"))</f>
        <v> </v>
      </c>
      <c r="I971" s="25" t="str">
        <f>IF(OR(E971="",E971="!!!",F971="NEW"),"",INDEX(B970:B$2,-1+SUMPRODUCT(MAX(ROW(E970:E$2)*(E971=E970:E$2)))))</f>
        <v> </v>
      </c>
      <c r="J971" s="25" t="str">
        <f>IF(OR(E971="",E971="!!!",F971="NEW"),"",COUNTBLANK(OFFSET(A$1,,,SUMPRODUCT(MAX(ROW(E$2:E971)*(E971=E$2:E971)))))-COUNTBLANK(OFFSET(A$1,,,SUMPRODUCT(MAX(ROW(E$1:E970)*(E2=E$1:E970))))))</f>
        <v> </v>
      </c>
      <c r="K971" s="25" t="str">
        <f>IF(OR(E971="",E971="!!!",F971="NEW"),"",INDEX(J$1:J970,SUMPRODUCT(MAX(ROW(E$1:E970)*(E971=E$1:E970)))))</f>
        <v> </v>
      </c>
      <c r="L971" s="26"/>
    </row>
    <row r="972" spans="1:12">
      <c r="A972" s="20"/>
    </row>
    <row r="973" spans="1:12">
      <c r="A973" s="20" t="s">
        <v>857</v>
      </c>
    </row>
    <row r="974" spans="1:12">
      <c r="A974" s="20" t="s">
        <v>776</v>
      </c>
      <c r="E974" s="21">
        <f>IF(D974="?OLD","!!!","")</f>
        <v/>
      </c>
      <c r="F974" s="22" t="str">
        <f>IF(OR(E974="",E974="!!!"),"",IF(NOT(ISNA(VLOOKUP(E974,E$1:E973,1,FALSE()))),"OLD",IF(AND(E974&lt;&gt;"",E974&lt;&gt;"!!!"),"NEW","")))</f>
        <v> </v>
      </c>
      <c r="G974" s="23" t="str">
        <f>IF(OR(E974="",E974="!!!"),"",IF(OR(J974=0,AND(J974=1,K974=1),AND(J974=1,I974="SBJ"),AND(J974=1,I974=0)),"?IN_FOCUS",IF(J974&lt;=2,"?ACTIVATED",IF(J974&lt;&gt;"","?FAMILIAR",IF(F974="NEW",IF(ISNA(VLOOKUP(E974,#REF!,1,FALSE())),"?TYPE_IDENTIFIABLE","?REFERENTIAL"),"_")))))</f>
        <v> </v>
      </c>
      <c r="H974" s="24" t="str">
        <f>IF(J974&lt;&gt;1,"",IF(I974="SBJ","CB","?"))</f>
        <v> </v>
      </c>
      <c r="I974" s="25" t="str">
        <f>IF(OR(E974="",E974="!!!",F974="NEW"),"",INDEX(B973:B$2,-1+SUMPRODUCT(MAX(ROW(E973:E$2)*(E974=E973:E$2)))))</f>
        <v> </v>
      </c>
      <c r="J974" s="25" t="str">
        <f>IF(OR(E974="",E974="!!!",F974="NEW"),"",COUNTBLANK(OFFSET(A$1,,,SUMPRODUCT(MAX(ROW(E$2:E974)*(E974=E$2:E974)))))-COUNTBLANK(OFFSET(A$1,,,SUMPRODUCT(MAX(ROW(E$1:E973)*(E2=E$1:E973))))))</f>
        <v> </v>
      </c>
      <c r="K974" s="25" t="str">
        <f>IF(OR(E974="",E974="!!!",F974="NEW"),"",INDEX(J$1:J973,SUMPRODUCT(MAX(ROW(E$1:E973)*(E974=E$1:E973)))))</f>
        <v> </v>
      </c>
      <c r="L974" s="26"/>
    </row>
    <row r="975" spans="1:12">
      <c r="A975" s="20" t="s">
        <v>503</v>
      </c>
      <c r="E975" s="21">
        <f>IF(D975="?OLD","!!!","")</f>
        <v/>
      </c>
      <c r="F975" s="22" t="str">
        <f>IF(OR(E975="",E975="!!!"),"",IF(NOT(ISNA(VLOOKUP(E975,E$1:E974,1,FALSE()))),"OLD",IF(AND(E975&lt;&gt;"",E975&lt;&gt;"!!!"),"NEW","")))</f>
        <v> </v>
      </c>
      <c r="G975" s="23" t="str">
        <f>IF(OR(E975="",E975="!!!"),"",IF(OR(J975=0,AND(J975=1,K975=1),AND(J975=1,I975="SBJ"),AND(J975=1,I975=0)),"?IN_FOCUS",IF(J975&lt;=2,"?ACTIVATED",IF(J975&lt;&gt;"","?FAMILIAR",IF(F975="NEW",IF(ISNA(VLOOKUP(E975,#REF!,1,FALSE())),"?TYPE_IDENTIFIABLE","?REFERENTIAL"),"_")))))</f>
        <v> </v>
      </c>
      <c r="H975" s="24" t="str">
        <f>IF(J975&lt;&gt;1,"",IF(I975="SBJ","CB","?"))</f>
        <v> </v>
      </c>
      <c r="I975" s="25" t="str">
        <f>IF(OR(E975="",E975="!!!",F975="NEW"),"",INDEX(B974:B$2,-1+SUMPRODUCT(MAX(ROW(E974:E$2)*(E975=E974:E$2)))))</f>
        <v> </v>
      </c>
      <c r="J975" s="25" t="str">
        <f>IF(OR(E975="",E975="!!!",F975="NEW"),"",COUNTBLANK(OFFSET(A$1,,,SUMPRODUCT(MAX(ROW(E$2:E975)*(E975=E$2:E975)))))-COUNTBLANK(OFFSET(A$1,,,SUMPRODUCT(MAX(ROW(E$1:E974)*(E2=E$1:E974))))))</f>
        <v> </v>
      </c>
      <c r="K975" s="25" t="str">
        <f>IF(OR(E975="",E975="!!!",F975="NEW"),"",INDEX(J$1:J974,SUMPRODUCT(MAX(ROW(E$1:E974)*(E975=E$1:E974)))))</f>
        <v> </v>
      </c>
      <c r="L975" s="26"/>
    </row>
    <row r="976" spans="1:12">
      <c r="A976" s="20" t="s">
        <v>496</v>
      </c>
      <c r="B976" s="27" t="s">
        <v>549</v>
      </c>
      <c r="C976" s="27" t="s">
        <v>487</v>
      </c>
      <c r="D976" s="27" t="s">
        <v>483</v>
      </c>
      <c r="E976" s="21">
        <f>IF(D976="?OLD","!!!","")</f>
        <v/>
      </c>
      <c r="F976" s="22" t="str">
        <f>IF(OR(E976="",E976="!!!"),"",IF(NOT(ISNA(VLOOKUP(E976,E$1:E975,1,FALSE()))),"OLD",IF(AND(E976&lt;&gt;"",E976&lt;&gt;"!!!"),"NEW","")))</f>
        <v> </v>
      </c>
      <c r="G976" s="23" t="str">
        <f>IF(OR(E976="",E976="!!!"),"",IF(OR(J976=0,AND(J976=1,K976=1),AND(J976=1,I976="SBJ"),AND(J976=1,I976=0)),"?IN_FOCUS",IF(J976&lt;=2,"?ACTIVATED",IF(J976&lt;&gt;"","?FAMILIAR",IF(F976="NEW",IF(ISNA(VLOOKUP(E976,#REF!,1,FALSE())),"?TYPE_IDENTIFIABLE","?REFERENTIAL"),"_")))))</f>
        <v> </v>
      </c>
      <c r="H976" s="24" t="str">
        <f>IF(J976&lt;&gt;1,"",IF(I976="SBJ","CB","?"))</f>
        <v> </v>
      </c>
      <c r="I976" s="25" t="str">
        <f>IF(OR(E976="",E976="!!!",F976="NEW"),"",INDEX(B975:B$2,-1+SUMPRODUCT(MAX(ROW(E975:E$2)*(E976=E975:E$2)))))</f>
        <v> </v>
      </c>
      <c r="J976" s="25" t="str">
        <f>IF(OR(E976="",E976="!!!",F976="NEW"),"",COUNTBLANK(OFFSET(A$1,,,SUMPRODUCT(MAX(ROW(E$2:E976)*(E976=E$2:E976)))))-COUNTBLANK(OFFSET(A$1,,,SUMPRODUCT(MAX(ROW(E$1:E975)*(E2=E$1:E975))))))</f>
        <v> </v>
      </c>
      <c r="K976" s="25" t="str">
        <f>IF(OR(E976="",E976="!!!",F976="NEW"),"",INDEX(J$1:J975,SUMPRODUCT(MAX(ROW(E$1:E975)*(E976=E$1:E975)))))</f>
        <v> </v>
      </c>
      <c r="L976" s="26"/>
    </row>
    <row r="977" spans="1:12">
      <c r="A977" s="20" t="s">
        <v>680</v>
      </c>
      <c r="E977" s="21">
        <f>IF(D977="?OLD","!!!","")</f>
        <v/>
      </c>
      <c r="F977" s="22" t="str">
        <f>IF(OR(E977="",E977="!!!"),"",IF(NOT(ISNA(VLOOKUP(E977,E$1:E976,1,FALSE()))),"OLD",IF(AND(E977&lt;&gt;"",E977&lt;&gt;"!!!"),"NEW","")))</f>
        <v> </v>
      </c>
      <c r="G977" s="23" t="str">
        <f>IF(OR(E977="",E977="!!!"),"",IF(OR(J977=0,AND(J977=1,K977=1),AND(J977=1,I977="SBJ"),AND(J977=1,I977=0)),"?IN_FOCUS",IF(J977&lt;=2,"?ACTIVATED",IF(J977&lt;&gt;"","?FAMILIAR",IF(F977="NEW",IF(ISNA(VLOOKUP(E977,#REF!,1,FALSE())),"?TYPE_IDENTIFIABLE","?REFERENTIAL"),"_")))))</f>
        <v> </v>
      </c>
      <c r="H977" s="24" t="str">
        <f>IF(J977&lt;&gt;1,"",IF(I977="SBJ","CB","?"))</f>
        <v> </v>
      </c>
      <c r="I977" s="25" t="str">
        <f>IF(OR(E977="",E977="!!!",F977="NEW"),"",INDEX(B976:B$2,-1+SUMPRODUCT(MAX(ROW(E976:E$2)*(E977=E976:E$2)))))</f>
        <v> </v>
      </c>
      <c r="J977" s="25" t="str">
        <f>IF(OR(E977="",E977="!!!",F977="NEW"),"",COUNTBLANK(OFFSET(A$1,,,SUMPRODUCT(MAX(ROW(E$2:E977)*(E977=E$2:E977)))))-COUNTBLANK(OFFSET(A$1,,,SUMPRODUCT(MAX(ROW(E$1:E976)*(E2=E$1:E976))))))</f>
        <v> </v>
      </c>
      <c r="K977" s="25" t="str">
        <f>IF(OR(E977="",E977="!!!",F977="NEW"),"",INDEX(J$1:J976,SUMPRODUCT(MAX(ROW(E$1:E976)*(E977=E$1:E976)))))</f>
        <v> </v>
      </c>
      <c r="L977" s="26"/>
    </row>
    <row r="978" spans="1:12">
      <c r="A978" s="20" t="s">
        <v>858</v>
      </c>
      <c r="E978" s="21">
        <f>IF(D978="?OLD","!!!","")</f>
        <v/>
      </c>
      <c r="F978" s="22" t="str">
        <f>IF(OR(E978="",E978="!!!"),"",IF(NOT(ISNA(VLOOKUP(E978,E$1:E977,1,FALSE()))),"OLD",IF(AND(E978&lt;&gt;"",E978&lt;&gt;"!!!"),"NEW","")))</f>
        <v> </v>
      </c>
      <c r="G978" s="23" t="str">
        <f>IF(OR(E978="",E978="!!!"),"",IF(OR(J978=0,AND(J978=1,K978=1),AND(J978=1,I978="SBJ"),AND(J978=1,I978=0)),"?IN_FOCUS",IF(J978&lt;=2,"?ACTIVATED",IF(J978&lt;&gt;"","?FAMILIAR",IF(F978="NEW",IF(ISNA(VLOOKUP(E978,#REF!,1,FALSE())),"?TYPE_IDENTIFIABLE","?REFERENTIAL"),"_")))))</f>
        <v> </v>
      </c>
      <c r="H978" s="24" t="str">
        <f>IF(J978&lt;&gt;1,"",IF(I978="SBJ","CB","?"))</f>
        <v> </v>
      </c>
      <c r="I978" s="25" t="str">
        <f>IF(OR(E978="",E978="!!!",F978="NEW"),"",INDEX(B977:B$2,-1+SUMPRODUCT(MAX(ROW(E977:E$2)*(E978=E977:E$2)))))</f>
        <v> </v>
      </c>
      <c r="J978" s="25" t="str">
        <f>IF(OR(E978="",E978="!!!",F978="NEW"),"",COUNTBLANK(OFFSET(A$1,,,SUMPRODUCT(MAX(ROW(E$2:E978)*(E978=E$2:E978)))))-COUNTBLANK(OFFSET(A$1,,,SUMPRODUCT(MAX(ROW(E$1:E977)*(E2=E$1:E977))))))</f>
        <v> </v>
      </c>
      <c r="K978" s="25" t="str">
        <f>IF(OR(E978="",E978="!!!",F978="NEW"),"",INDEX(J$1:J977,SUMPRODUCT(MAX(ROW(E$1:E977)*(E978=E$1:E977)))))</f>
        <v> </v>
      </c>
      <c r="L978" s="26"/>
    </row>
    <row r="979" spans="1:12">
      <c r="A979" s="20" t="s">
        <v>649</v>
      </c>
      <c r="E979" s="21">
        <f>IF(D979="?OLD","!!!","")</f>
        <v/>
      </c>
      <c r="F979" s="22" t="str">
        <f>IF(OR(E979="",E979="!!!"),"",IF(NOT(ISNA(VLOOKUP(E979,E$1:E978,1,FALSE()))),"OLD",IF(AND(E979&lt;&gt;"",E979&lt;&gt;"!!!"),"NEW","")))</f>
        <v> </v>
      </c>
      <c r="G979" s="23" t="str">
        <f>IF(OR(E979="",E979="!!!"),"",IF(OR(J979=0,AND(J979=1,K979=1),AND(J979=1,I979="SBJ"),AND(J979=1,I979=0)),"?IN_FOCUS",IF(J979&lt;=2,"?ACTIVATED",IF(J979&lt;&gt;"","?FAMILIAR",IF(F979="NEW",IF(ISNA(VLOOKUP(E979,#REF!,1,FALSE())),"?TYPE_IDENTIFIABLE","?REFERENTIAL"),"_")))))</f>
        <v> </v>
      </c>
      <c r="H979" s="24" t="str">
        <f>IF(J979&lt;&gt;1,"",IF(I979="SBJ","CB","?"))</f>
        <v> </v>
      </c>
      <c r="I979" s="25" t="str">
        <f>IF(OR(E979="",E979="!!!",F979="NEW"),"",INDEX(B978:B$2,-1+SUMPRODUCT(MAX(ROW(E978:E$2)*(E979=E978:E$2)))))</f>
        <v> </v>
      </c>
      <c r="J979" s="25" t="str">
        <f>IF(OR(E979="",E979="!!!",F979="NEW"),"",COUNTBLANK(OFFSET(A$1,,,SUMPRODUCT(MAX(ROW(E$2:E979)*(E979=E$2:E979)))))-COUNTBLANK(OFFSET(A$1,,,SUMPRODUCT(MAX(ROW(E$1:E978)*(E2=E$1:E978))))))</f>
        <v> </v>
      </c>
      <c r="K979" s="25" t="str">
        <f>IF(OR(E979="",E979="!!!",F979="NEW"),"",INDEX(J$1:J978,SUMPRODUCT(MAX(ROW(E$1:E978)*(E979=E$1:E978)))))</f>
        <v> </v>
      </c>
      <c r="L979" s="26"/>
    </row>
    <row r="980" spans="1:12">
      <c r="A980" s="20" t="s">
        <v>531</v>
      </c>
      <c r="E980" s="21">
        <f>IF(D980="?OLD","!!!","")</f>
        <v/>
      </c>
      <c r="F980" s="22" t="str">
        <f>IF(OR(E980="",E980="!!!"),"",IF(NOT(ISNA(VLOOKUP(E980,E$1:E979,1,FALSE()))),"OLD",IF(AND(E980&lt;&gt;"",E980&lt;&gt;"!!!"),"NEW","")))</f>
        <v> </v>
      </c>
      <c r="G980" s="23" t="str">
        <f>IF(OR(E980="",E980="!!!"),"",IF(OR(J980=0,AND(J980=1,K980=1),AND(J980=1,I980="SBJ"),AND(J980=1,I980=0)),"?IN_FOCUS",IF(J980&lt;=2,"?ACTIVATED",IF(J980&lt;&gt;"","?FAMILIAR",IF(F980="NEW",IF(ISNA(VLOOKUP(E980,#REF!,1,FALSE())),"?TYPE_IDENTIFIABLE","?REFERENTIAL"),"_")))))</f>
        <v> </v>
      </c>
      <c r="H980" s="24" t="str">
        <f>IF(J980&lt;&gt;1,"",IF(I980="SBJ","CB","?"))</f>
        <v> </v>
      </c>
      <c r="I980" s="25" t="str">
        <f>IF(OR(E980="",E980="!!!",F980="NEW"),"",INDEX(B979:B$2,-1+SUMPRODUCT(MAX(ROW(E979:E$2)*(E980=E979:E$2)))))</f>
        <v> </v>
      </c>
      <c r="J980" s="25" t="str">
        <f>IF(OR(E980="",E980="!!!",F980="NEW"),"",COUNTBLANK(OFFSET(A$1,,,SUMPRODUCT(MAX(ROW(E$2:E980)*(E980=E$2:E980)))))-COUNTBLANK(OFFSET(A$1,,,SUMPRODUCT(MAX(ROW(E$1:E979)*(E2=E$1:E979))))))</f>
        <v> </v>
      </c>
      <c r="K980" s="25" t="str">
        <f>IF(OR(E980="",E980="!!!",F980="NEW"),"",INDEX(J$1:J979,SUMPRODUCT(MAX(ROW(E$1:E979)*(E980=E$1:E979)))))</f>
        <v> </v>
      </c>
      <c r="L980" s="26"/>
    </row>
    <row r="981" spans="1:12">
      <c r="A981" s="20"/>
    </row>
    <row r="982" spans="1:12">
      <c r="A982" s="20" t="s">
        <v>859</v>
      </c>
    </row>
    <row r="983" spans="1:12">
      <c r="A983" s="20" t="s">
        <v>566</v>
      </c>
      <c r="E983" s="21">
        <f>IF(D983="?OLD","!!!","")</f>
        <v/>
      </c>
      <c r="F983" s="22" t="str">
        <f>IF(OR(E983="",E983="!!!"),"",IF(NOT(ISNA(VLOOKUP(E983,E$1:E982,1,FALSE()))),"OLD",IF(AND(E983&lt;&gt;"",E983&lt;&gt;"!!!"),"NEW","")))</f>
        <v> </v>
      </c>
      <c r="G983" s="23" t="str">
        <f>IF(OR(E983="",E983="!!!"),"",IF(OR(J983=0,AND(J983=1,K983=1),AND(J983=1,I983="SBJ"),AND(J983=1,I983=0)),"?IN_FOCUS",IF(J983&lt;=2,"?ACTIVATED",IF(J983&lt;&gt;"","?FAMILIAR",IF(F983="NEW",IF(ISNA(VLOOKUP(E983,#REF!,1,FALSE())),"?TYPE_IDENTIFIABLE","?REFERENTIAL"),"_")))))</f>
        <v> </v>
      </c>
      <c r="H983" s="24" t="str">
        <f>IF(J983&lt;&gt;1,"",IF(I983="SBJ","CB","?"))</f>
        <v> </v>
      </c>
      <c r="I983" s="25" t="str">
        <f>IF(OR(E983="",E983="!!!",F983="NEW"),"",INDEX(B982:B$2,-1+SUMPRODUCT(MAX(ROW(E982:E$2)*(E983=E982:E$2)))))</f>
        <v> </v>
      </c>
      <c r="J983" s="25" t="str">
        <f>IF(OR(E983="",E983="!!!",F983="NEW"),"",COUNTBLANK(OFFSET(A$1,,,SUMPRODUCT(MAX(ROW(E$2:E983)*(E983=E$2:E983)))))-COUNTBLANK(OFFSET(A$1,,,SUMPRODUCT(MAX(ROW(E$1:E982)*(E2=E$1:E982))))))</f>
        <v> </v>
      </c>
      <c r="K983" s="25" t="str">
        <f>IF(OR(E983="",E983="!!!",F983="NEW"),"",INDEX(J$1:J982,SUMPRODUCT(MAX(ROW(E$1:E982)*(E983=E$1:E982)))))</f>
        <v> </v>
      </c>
      <c r="L983" s="26"/>
    </row>
    <row r="984" spans="1:12">
      <c r="A984" s="20" t="s">
        <v>860</v>
      </c>
      <c r="E984" s="21">
        <f>IF(D984="?OLD","!!!","")</f>
        <v/>
      </c>
      <c r="F984" s="22" t="str">
        <f>IF(OR(E984="",E984="!!!"),"",IF(NOT(ISNA(VLOOKUP(E984,E$1:E983,1,FALSE()))),"OLD",IF(AND(E984&lt;&gt;"",E984&lt;&gt;"!!!"),"NEW","")))</f>
        <v> </v>
      </c>
      <c r="G984" s="23" t="str">
        <f>IF(OR(E984="",E984="!!!"),"",IF(OR(J984=0,AND(J984=1,K984=1),AND(J984=1,I984="SBJ"),AND(J984=1,I984=0)),"?IN_FOCUS",IF(J984&lt;=2,"?ACTIVATED",IF(J984&lt;&gt;"","?FAMILIAR",IF(F984="NEW",IF(ISNA(VLOOKUP(E984,#REF!,1,FALSE())),"?TYPE_IDENTIFIABLE","?REFERENTIAL"),"_")))))</f>
        <v> </v>
      </c>
      <c r="H984" s="24" t="str">
        <f>IF(J984&lt;&gt;1,"",IF(I984="SBJ","CB","?"))</f>
        <v> </v>
      </c>
      <c r="I984" s="25" t="str">
        <f>IF(OR(E984="",E984="!!!",F984="NEW"),"",INDEX(B983:B$2,-1+SUMPRODUCT(MAX(ROW(E983:E$2)*(E984=E983:E$2)))))</f>
        <v> </v>
      </c>
      <c r="J984" s="25" t="str">
        <f>IF(OR(E984="",E984="!!!",F984="NEW"),"",COUNTBLANK(OFFSET(A$1,,,SUMPRODUCT(MAX(ROW(E$2:E984)*(E984=E$2:E984)))))-COUNTBLANK(OFFSET(A$1,,,SUMPRODUCT(MAX(ROW(E$1:E983)*(E2=E$1:E983))))))</f>
        <v> </v>
      </c>
      <c r="K984" s="25" t="str">
        <f>IF(OR(E984="",E984="!!!",F984="NEW"),"",INDEX(J$1:J983,SUMPRODUCT(MAX(ROW(E$1:E983)*(E984=E$1:E983)))))</f>
        <v> </v>
      </c>
      <c r="L984" s="26"/>
    </row>
    <row r="985" spans="1:12">
      <c r="A985" s="20" t="s">
        <v>861</v>
      </c>
      <c r="E985" s="21">
        <f>IF(D985="?OLD","!!!","")</f>
        <v/>
      </c>
      <c r="F985" s="22" t="str">
        <f>IF(OR(E985="",E985="!!!"),"",IF(NOT(ISNA(VLOOKUP(E985,E$1:E984,1,FALSE()))),"OLD",IF(AND(E985&lt;&gt;"",E985&lt;&gt;"!!!"),"NEW","")))</f>
        <v> </v>
      </c>
      <c r="G985" s="23" t="str">
        <f>IF(OR(E985="",E985="!!!"),"",IF(OR(J985=0,AND(J985=1,K985=1),AND(J985=1,I985="SBJ"),AND(J985=1,I985=0)),"?IN_FOCUS",IF(J985&lt;=2,"?ACTIVATED",IF(J985&lt;&gt;"","?FAMILIAR",IF(F985="NEW",IF(ISNA(VLOOKUP(E985,#REF!,1,FALSE())),"?TYPE_IDENTIFIABLE","?REFERENTIAL"),"_")))))</f>
        <v> </v>
      </c>
      <c r="H985" s="24" t="str">
        <f>IF(J985&lt;&gt;1,"",IF(I985="SBJ","CB","?"))</f>
        <v> </v>
      </c>
      <c r="I985" s="25" t="str">
        <f>IF(OR(E985="",E985="!!!",F985="NEW"),"",INDEX(B984:B$2,-1+SUMPRODUCT(MAX(ROW(E984:E$2)*(E985=E984:E$2)))))</f>
        <v> </v>
      </c>
      <c r="J985" s="25" t="str">
        <f>IF(OR(E985="",E985="!!!",F985="NEW"),"",COUNTBLANK(OFFSET(A$1,,,SUMPRODUCT(MAX(ROW(E$2:E985)*(E985=E$2:E985)))))-COUNTBLANK(OFFSET(A$1,,,SUMPRODUCT(MAX(ROW(E$1:E984)*(E2=E$1:E984))))))</f>
        <v> </v>
      </c>
      <c r="K985" s="25" t="str">
        <f>IF(OR(E985="",E985="!!!",F985="NEW"),"",INDEX(J$1:J984,SUMPRODUCT(MAX(ROW(E$1:E984)*(E985=E$1:E984)))))</f>
        <v> </v>
      </c>
      <c r="L985" s="26"/>
    </row>
    <row r="986" spans="1:12">
      <c r="A986" s="20" t="s">
        <v>489</v>
      </c>
      <c r="E986" s="21">
        <f>IF(D986="?OLD","!!!","")</f>
        <v/>
      </c>
      <c r="F986" s="22" t="str">
        <f>IF(OR(E986="",E986="!!!"),"",IF(NOT(ISNA(VLOOKUP(E986,E$1:E985,1,FALSE()))),"OLD",IF(AND(E986&lt;&gt;"",E986&lt;&gt;"!!!"),"NEW","")))</f>
        <v> </v>
      </c>
      <c r="G986" s="23" t="str">
        <f>IF(OR(E986="",E986="!!!"),"",IF(OR(J986=0,AND(J986=1,K986=1),AND(J986=1,I986="SBJ"),AND(J986=1,I986=0)),"?IN_FOCUS",IF(J986&lt;=2,"?ACTIVATED",IF(J986&lt;&gt;"","?FAMILIAR",IF(F986="NEW",IF(ISNA(VLOOKUP(E986,#REF!,1,FALSE())),"?TYPE_IDENTIFIABLE","?REFERENTIAL"),"_")))))</f>
        <v> </v>
      </c>
      <c r="H986" s="24" t="str">
        <f>IF(J986&lt;&gt;1,"",IF(I986="SBJ","CB","?"))</f>
        <v> </v>
      </c>
      <c r="I986" s="25" t="str">
        <f>IF(OR(E986="",E986="!!!",F986="NEW"),"",INDEX(B985:B$2,-1+SUMPRODUCT(MAX(ROW(E985:E$2)*(E986=E985:E$2)))))</f>
        <v> </v>
      </c>
      <c r="J986" s="25" t="str">
        <f>IF(OR(E986="",E986="!!!",F986="NEW"),"",COUNTBLANK(OFFSET(A$1,,,SUMPRODUCT(MAX(ROW(E$2:E986)*(E986=E$2:E986)))))-COUNTBLANK(OFFSET(A$1,,,SUMPRODUCT(MAX(ROW(E$1:E985)*(E2=E$1:E985))))))</f>
        <v> </v>
      </c>
      <c r="K986" s="25" t="str">
        <f>IF(OR(E986="",E986="!!!",F986="NEW"),"",INDEX(J$1:J985,SUMPRODUCT(MAX(ROW(E$1:E985)*(E986=E$1:E985)))))</f>
        <v> </v>
      </c>
      <c r="L986" s="26"/>
    </row>
    <row r="987" spans="1:12">
      <c r="A987" s="20" t="s">
        <v>862</v>
      </c>
      <c r="E987" s="21">
        <f>IF(D987="?OLD","!!!","")</f>
        <v/>
      </c>
      <c r="F987" s="22" t="str">
        <f>IF(OR(E987="",E987="!!!"),"",IF(NOT(ISNA(VLOOKUP(E987,E$1:E986,1,FALSE()))),"OLD",IF(AND(E987&lt;&gt;"",E987&lt;&gt;"!!!"),"NEW","")))</f>
        <v> </v>
      </c>
      <c r="G987" s="23" t="str">
        <f>IF(OR(E987="",E987="!!!"),"",IF(OR(J987=0,AND(J987=1,K987=1),AND(J987=1,I987="SBJ"),AND(J987=1,I987=0)),"?IN_FOCUS",IF(J987&lt;=2,"?ACTIVATED",IF(J987&lt;&gt;"","?FAMILIAR",IF(F987="NEW",IF(ISNA(VLOOKUP(E987,#REF!,1,FALSE())),"?TYPE_IDENTIFIABLE","?REFERENTIAL"),"_")))))</f>
        <v> </v>
      </c>
      <c r="H987" s="24" t="str">
        <f>IF(J987&lt;&gt;1,"",IF(I987="SBJ","CB","?"))</f>
        <v> </v>
      </c>
      <c r="I987" s="25" t="str">
        <f>IF(OR(E987="",E987="!!!",F987="NEW"),"",INDEX(B986:B$2,-1+SUMPRODUCT(MAX(ROW(E986:E$2)*(E987=E986:E$2)))))</f>
        <v> </v>
      </c>
      <c r="J987" s="25" t="str">
        <f>IF(OR(E987="",E987="!!!",F987="NEW"),"",COUNTBLANK(OFFSET(A$1,,,SUMPRODUCT(MAX(ROW(E$2:E987)*(E987=E$2:E987)))))-COUNTBLANK(OFFSET(A$1,,,SUMPRODUCT(MAX(ROW(E$1:E986)*(E2=E$1:E986))))))</f>
        <v> </v>
      </c>
      <c r="K987" s="25" t="str">
        <f>IF(OR(E987="",E987="!!!",F987="NEW"),"",INDEX(J$1:J986,SUMPRODUCT(MAX(ROW(E$1:E986)*(E987=E$1:E986)))))</f>
        <v> </v>
      </c>
      <c r="L987" s="26"/>
    </row>
    <row r="988" spans="1:12">
      <c r="A988" s="20" t="s">
        <v>369</v>
      </c>
      <c r="E988" s="21">
        <f>IF(D988="?OLD","!!!","")</f>
        <v/>
      </c>
      <c r="F988" s="22" t="str">
        <f>IF(OR(E988="",E988="!!!"),"",IF(NOT(ISNA(VLOOKUP(E988,E$1:E987,1,FALSE()))),"OLD",IF(AND(E988&lt;&gt;"",E988&lt;&gt;"!!!"),"NEW","")))</f>
        <v> </v>
      </c>
      <c r="G988" s="23" t="str">
        <f>IF(OR(E988="",E988="!!!"),"",IF(OR(J988=0,AND(J988=1,K988=1),AND(J988=1,I988="SBJ"),AND(J988=1,I988=0)),"?IN_FOCUS",IF(J988&lt;=2,"?ACTIVATED",IF(J988&lt;&gt;"","?FAMILIAR",IF(F988="NEW",IF(ISNA(VLOOKUP(E988,#REF!,1,FALSE())),"?TYPE_IDENTIFIABLE","?REFERENTIAL"),"_")))))</f>
        <v> </v>
      </c>
      <c r="H988" s="24" t="str">
        <f>IF(J988&lt;&gt;1,"",IF(I988="SBJ","CB","?"))</f>
        <v> </v>
      </c>
      <c r="I988" s="25" t="str">
        <f>IF(OR(E988="",E988="!!!",F988="NEW"),"",INDEX(B987:B$2,-1+SUMPRODUCT(MAX(ROW(E987:E$2)*(E988=E987:E$2)))))</f>
        <v> </v>
      </c>
      <c r="J988" s="25" t="str">
        <f>IF(OR(E988="",E988="!!!",F988="NEW"),"",COUNTBLANK(OFFSET(A$1,,,SUMPRODUCT(MAX(ROW(E$2:E988)*(E988=E$2:E988)))))-COUNTBLANK(OFFSET(A$1,,,SUMPRODUCT(MAX(ROW(E$1:E987)*(E2=E$1:E987))))))</f>
        <v> </v>
      </c>
      <c r="K988" s="25" t="str">
        <f>IF(OR(E988="",E988="!!!",F988="NEW"),"",INDEX(J$1:J987,SUMPRODUCT(MAX(ROW(E$1:E987)*(E988=E$1:E987)))))</f>
        <v> </v>
      </c>
      <c r="L988" s="26"/>
    </row>
    <row r="989" spans="1:12">
      <c r="A989" s="20" t="s">
        <v>863</v>
      </c>
      <c r="E989" s="21">
        <f>IF(D989="?OLD","!!!","")</f>
        <v/>
      </c>
      <c r="F989" s="22" t="str">
        <f>IF(OR(E989="",E989="!!!"),"",IF(NOT(ISNA(VLOOKUP(E989,E$1:E988,1,FALSE()))),"OLD",IF(AND(E989&lt;&gt;"",E989&lt;&gt;"!!!"),"NEW","")))</f>
        <v> </v>
      </c>
      <c r="G989" s="23" t="str">
        <f>IF(OR(E989="",E989="!!!"),"",IF(OR(J989=0,AND(J989=1,K989=1),AND(J989=1,I989="SBJ"),AND(J989=1,I989=0)),"?IN_FOCUS",IF(J989&lt;=2,"?ACTIVATED",IF(J989&lt;&gt;"","?FAMILIAR",IF(F989="NEW",IF(ISNA(VLOOKUP(E989,#REF!,1,FALSE())),"?TYPE_IDENTIFIABLE","?REFERENTIAL"),"_")))))</f>
        <v> </v>
      </c>
      <c r="H989" s="24" t="str">
        <f>IF(J989&lt;&gt;1,"",IF(I989="SBJ","CB","?"))</f>
        <v> </v>
      </c>
      <c r="I989" s="25" t="str">
        <f>IF(OR(E989="",E989="!!!",F989="NEW"),"",INDEX(B988:B$2,-1+SUMPRODUCT(MAX(ROW(E988:E$2)*(E989=E988:E$2)))))</f>
        <v> </v>
      </c>
      <c r="J989" s="25" t="str">
        <f>IF(OR(E989="",E989="!!!",F989="NEW"),"",COUNTBLANK(OFFSET(A$1,,,SUMPRODUCT(MAX(ROW(E$2:E989)*(E989=E$2:E989)))))-COUNTBLANK(OFFSET(A$1,,,SUMPRODUCT(MAX(ROW(E$1:E988)*(E2=E$1:E988))))))</f>
        <v> </v>
      </c>
      <c r="K989" s="25" t="str">
        <f>IF(OR(E989="",E989="!!!",F989="NEW"),"",INDEX(J$1:J988,SUMPRODUCT(MAX(ROW(E$1:E988)*(E989=E$1:E988)))))</f>
        <v> </v>
      </c>
      <c r="L989" s="26"/>
    </row>
    <row r="990" spans="1:12">
      <c r="A990" s="20" t="s">
        <v>492</v>
      </c>
      <c r="E990" s="21">
        <f>IF(D990="?OLD","!!!","")</f>
        <v/>
      </c>
      <c r="F990" s="22" t="str">
        <f>IF(OR(E990="",E990="!!!"),"",IF(NOT(ISNA(VLOOKUP(E990,E$1:E989,1,FALSE()))),"OLD",IF(AND(E990&lt;&gt;"",E990&lt;&gt;"!!!"),"NEW","")))</f>
        <v> </v>
      </c>
      <c r="G990" s="23" t="str">
        <f>IF(OR(E990="",E990="!!!"),"",IF(OR(J990=0,AND(J990=1,K990=1),AND(J990=1,I990="SBJ"),AND(J990=1,I990=0)),"?IN_FOCUS",IF(J990&lt;=2,"?ACTIVATED",IF(J990&lt;&gt;"","?FAMILIAR",IF(F990="NEW",IF(ISNA(VLOOKUP(E990,#REF!,1,FALSE())),"?TYPE_IDENTIFIABLE","?REFERENTIAL"),"_")))))</f>
        <v> </v>
      </c>
      <c r="H990" s="24" t="str">
        <f>IF(J990&lt;&gt;1,"",IF(I990="SBJ","CB","?"))</f>
        <v> </v>
      </c>
      <c r="I990" s="25" t="str">
        <f>IF(OR(E990="",E990="!!!",F990="NEW"),"",INDEX(B989:B$2,-1+SUMPRODUCT(MAX(ROW(E989:E$2)*(E990=E989:E$2)))))</f>
        <v> </v>
      </c>
      <c r="J990" s="25" t="str">
        <f>IF(OR(E990="",E990="!!!",F990="NEW"),"",COUNTBLANK(OFFSET(A$1,,,SUMPRODUCT(MAX(ROW(E$2:E990)*(E990=E$2:E990)))))-COUNTBLANK(OFFSET(A$1,,,SUMPRODUCT(MAX(ROW(E$1:E989)*(E2=E$1:E989))))))</f>
        <v> </v>
      </c>
      <c r="K990" s="25" t="str">
        <f>IF(OR(E990="",E990="!!!",F990="NEW"),"",INDEX(J$1:J989,SUMPRODUCT(MAX(ROW(E$1:E989)*(E990=E$1:E989)))))</f>
        <v> </v>
      </c>
      <c r="L990" s="26"/>
    </row>
    <row r="991" spans="1:12">
      <c r="A991" s="20" t="s">
        <v>536</v>
      </c>
      <c r="E991" s="21">
        <f>IF(D991="?OLD","!!!","")</f>
        <v/>
      </c>
      <c r="F991" s="22" t="str">
        <f>IF(OR(E991="",E991="!!!"),"",IF(NOT(ISNA(VLOOKUP(E991,E$1:E990,1,FALSE()))),"OLD",IF(AND(E991&lt;&gt;"",E991&lt;&gt;"!!!"),"NEW","")))</f>
        <v> </v>
      </c>
      <c r="G991" s="23" t="str">
        <f>IF(OR(E991="",E991="!!!"),"",IF(OR(J991=0,AND(J991=1,K991=1),AND(J991=1,I991="SBJ"),AND(J991=1,I991=0)),"?IN_FOCUS",IF(J991&lt;=2,"?ACTIVATED",IF(J991&lt;&gt;"","?FAMILIAR",IF(F991="NEW",IF(ISNA(VLOOKUP(E991,#REF!,1,FALSE())),"?TYPE_IDENTIFIABLE","?REFERENTIAL"),"_")))))</f>
        <v> </v>
      </c>
      <c r="H991" s="24" t="str">
        <f>IF(J991&lt;&gt;1,"",IF(I991="SBJ","CB","?"))</f>
        <v> </v>
      </c>
      <c r="I991" s="25" t="str">
        <f>IF(OR(E991="",E991="!!!",F991="NEW"),"",INDEX(B990:B$2,-1+SUMPRODUCT(MAX(ROW(E990:E$2)*(E991=E990:E$2)))))</f>
        <v> </v>
      </c>
      <c r="J991" s="25" t="str">
        <f>IF(OR(E991="",E991="!!!",F991="NEW"),"",COUNTBLANK(OFFSET(A$1,,,SUMPRODUCT(MAX(ROW(E$2:E991)*(E991=E$2:E991)))))-COUNTBLANK(OFFSET(A$1,,,SUMPRODUCT(MAX(ROW(E$1:E990)*(E2=E$1:E990))))))</f>
        <v> </v>
      </c>
      <c r="K991" s="25" t="str">
        <f>IF(OR(E991="",E991="!!!",F991="NEW"),"",INDEX(J$1:J990,SUMPRODUCT(MAX(ROW(E$1:E990)*(E991=E$1:E990)))))</f>
        <v> </v>
      </c>
      <c r="L991" s="26"/>
    </row>
    <row r="992" spans="1:12">
      <c r="A992" s="20" t="s">
        <v>528</v>
      </c>
      <c r="E992" s="21">
        <f>IF(D992="?OLD","!!!","")</f>
        <v/>
      </c>
      <c r="F992" s="22" t="str">
        <f>IF(OR(E992="",E992="!!!"),"",IF(NOT(ISNA(VLOOKUP(E992,E$1:E991,1,FALSE()))),"OLD",IF(AND(E992&lt;&gt;"",E992&lt;&gt;"!!!"),"NEW","")))</f>
        <v> </v>
      </c>
      <c r="G992" s="23" t="str">
        <f>IF(OR(E992="",E992="!!!"),"",IF(OR(J992=0,AND(J992=1,K992=1),AND(J992=1,I992="SBJ"),AND(J992=1,I992=0)),"?IN_FOCUS",IF(J992&lt;=2,"?ACTIVATED",IF(J992&lt;&gt;"","?FAMILIAR",IF(F992="NEW",IF(ISNA(VLOOKUP(E992,#REF!,1,FALSE())),"?TYPE_IDENTIFIABLE","?REFERENTIAL"),"_")))))</f>
        <v> </v>
      </c>
      <c r="H992" s="24" t="str">
        <f>IF(J992&lt;&gt;1,"",IF(I992="SBJ","CB","?"))</f>
        <v> </v>
      </c>
      <c r="I992" s="25" t="str">
        <f>IF(OR(E992="",E992="!!!",F992="NEW"),"",INDEX(B991:B$2,-1+SUMPRODUCT(MAX(ROW(E991:E$2)*(E992=E991:E$2)))))</f>
        <v> </v>
      </c>
      <c r="J992" s="25" t="str">
        <f>IF(OR(E992="",E992="!!!",F992="NEW"),"",COUNTBLANK(OFFSET(A$1,,,SUMPRODUCT(MAX(ROW(E$2:E992)*(E992=E$2:E992)))))-COUNTBLANK(OFFSET(A$1,,,SUMPRODUCT(MAX(ROW(E$1:E991)*(E2=E$1:E991))))))</f>
        <v> </v>
      </c>
      <c r="K992" s="25" t="str">
        <f>IF(OR(E992="",E992="!!!",F992="NEW"),"",INDEX(J$1:J991,SUMPRODUCT(MAX(ROW(E$1:E991)*(E992=E$1:E991)))))</f>
        <v> </v>
      </c>
      <c r="L992" s="26"/>
    </row>
    <row r="993" spans="1:12">
      <c r="A993" s="20" t="s">
        <v>847</v>
      </c>
      <c r="E993" s="21">
        <f>IF(D993="?OLD","!!!","")</f>
        <v/>
      </c>
      <c r="F993" s="22" t="str">
        <f>IF(OR(E993="",E993="!!!"),"",IF(NOT(ISNA(VLOOKUP(E993,E$1:E992,1,FALSE()))),"OLD",IF(AND(E993&lt;&gt;"",E993&lt;&gt;"!!!"),"NEW","")))</f>
        <v> </v>
      </c>
      <c r="G993" s="23" t="str">
        <f>IF(OR(E993="",E993="!!!"),"",IF(OR(J993=0,AND(J993=1,K993=1),AND(J993=1,I993="SBJ"),AND(J993=1,I993=0)),"?IN_FOCUS",IF(J993&lt;=2,"?ACTIVATED",IF(J993&lt;&gt;"","?FAMILIAR",IF(F993="NEW",IF(ISNA(VLOOKUP(E993,#REF!,1,FALSE())),"?TYPE_IDENTIFIABLE","?REFERENTIAL"),"_")))))</f>
        <v> </v>
      </c>
      <c r="H993" s="24" t="str">
        <f>IF(J993&lt;&gt;1,"",IF(I993="SBJ","CB","?"))</f>
        <v> </v>
      </c>
      <c r="I993" s="25" t="str">
        <f>IF(OR(E993="",E993="!!!",F993="NEW"),"",INDEX(B992:B$2,-1+SUMPRODUCT(MAX(ROW(E992:E$2)*(E993=E992:E$2)))))</f>
        <v> </v>
      </c>
      <c r="J993" s="25" t="str">
        <f>IF(OR(E993="",E993="!!!",F993="NEW"),"",COUNTBLANK(OFFSET(A$1,,,SUMPRODUCT(MAX(ROW(E$2:E993)*(E993=E$2:E993)))))-COUNTBLANK(OFFSET(A$1,,,SUMPRODUCT(MAX(ROW(E$1:E992)*(E2=E$1:E992))))))</f>
        <v> </v>
      </c>
      <c r="K993" s="25" t="str">
        <f>IF(OR(E993="",E993="!!!",F993="NEW"),"",INDEX(J$1:J992,SUMPRODUCT(MAX(ROW(E$1:E992)*(E993=E$1:E992)))))</f>
        <v> </v>
      </c>
      <c r="L993" s="26"/>
    </row>
    <row r="994" spans="1:12">
      <c r="A994" s="20" t="s">
        <v>260</v>
      </c>
      <c r="B994" s="27" t="s">
        <v>542</v>
      </c>
      <c r="C994" s="27" t="s">
        <v>478</v>
      </c>
      <c r="E994" s="21">
        <f>IF(D994="?OLD","!!!","")</f>
        <v/>
      </c>
      <c r="F994" s="22" t="str">
        <f>IF(OR(E994="",E994="!!!"),"",IF(NOT(ISNA(VLOOKUP(E994,E$1:E993,1,FALSE()))),"OLD",IF(AND(E994&lt;&gt;"",E994&lt;&gt;"!!!"),"NEW","")))</f>
        <v> </v>
      </c>
      <c r="G994" s="23" t="str">
        <f>IF(OR(E994="",E994="!!!"),"",IF(OR(J994=0,AND(J994=1,K994=1),AND(J994=1,I994="SBJ"),AND(J994=1,I994=0)),"?IN_FOCUS",IF(J994&lt;=2,"?ACTIVATED",IF(J994&lt;&gt;"","?FAMILIAR",IF(F994="NEW",IF(ISNA(VLOOKUP(E994,#REF!,1,FALSE())),"?TYPE_IDENTIFIABLE","?REFERENTIAL"),"_")))))</f>
        <v> </v>
      </c>
      <c r="H994" s="24" t="str">
        <f>IF(J994&lt;&gt;1,"",IF(I994="SBJ","CB","?"))</f>
        <v> </v>
      </c>
      <c r="I994" s="25" t="str">
        <f>IF(OR(E994="",E994="!!!",F994="NEW"),"",INDEX(B993:B$2,-1+SUMPRODUCT(MAX(ROW(E993:E$2)*(E994=E993:E$2)))))</f>
        <v> </v>
      </c>
      <c r="J994" s="25" t="str">
        <f>IF(OR(E994="",E994="!!!",F994="NEW"),"",COUNTBLANK(OFFSET(A$1,,,SUMPRODUCT(MAX(ROW(E$2:E994)*(E994=E$2:E994)))))-COUNTBLANK(OFFSET(A$1,,,SUMPRODUCT(MAX(ROW(E$1:E993)*(E2=E$1:E993))))))</f>
        <v> </v>
      </c>
      <c r="K994" s="25" t="str">
        <f>IF(OR(E994="",E994="!!!",F994="NEW"),"",INDEX(J$1:J993,SUMPRODUCT(MAX(ROW(E$1:E993)*(E994=E$1:E993)))))</f>
        <v> </v>
      </c>
      <c r="L994" s="26"/>
    </row>
    <row r="995" spans="1:12">
      <c r="A995" s="20" t="s">
        <v>531</v>
      </c>
      <c r="E995" s="21">
        <f>IF(D995="?OLD","!!!","")</f>
        <v/>
      </c>
      <c r="F995" s="22" t="str">
        <f>IF(OR(E995="",E995="!!!"),"",IF(NOT(ISNA(VLOOKUP(E995,E$1:E994,1,FALSE()))),"OLD",IF(AND(E995&lt;&gt;"",E995&lt;&gt;"!!!"),"NEW","")))</f>
        <v> </v>
      </c>
      <c r="G995" s="23" t="str">
        <f>IF(OR(E995="",E995="!!!"),"",IF(OR(J995=0,AND(J995=1,K995=1),AND(J995=1,I995="SBJ"),AND(J995=1,I995=0)),"?IN_FOCUS",IF(J995&lt;=2,"?ACTIVATED",IF(J995&lt;&gt;"","?FAMILIAR",IF(F995="NEW",IF(ISNA(VLOOKUP(E995,#REF!,1,FALSE())),"?TYPE_IDENTIFIABLE","?REFERENTIAL"),"_")))))</f>
        <v> </v>
      </c>
      <c r="H995" s="24" t="str">
        <f>IF(J995&lt;&gt;1,"",IF(I995="SBJ","CB","?"))</f>
        <v> </v>
      </c>
      <c r="I995" s="25" t="str">
        <f>IF(OR(E995="",E995="!!!",F995="NEW"),"",INDEX(B994:B$2,-1+SUMPRODUCT(MAX(ROW(E994:E$2)*(E995=E994:E$2)))))</f>
        <v> </v>
      </c>
      <c r="J995" s="25" t="str">
        <f>IF(OR(E995="",E995="!!!",F995="NEW"),"",COUNTBLANK(OFFSET(A$1,,,SUMPRODUCT(MAX(ROW(E$2:E995)*(E995=E$2:E995)))))-COUNTBLANK(OFFSET(A$1,,,SUMPRODUCT(MAX(ROW(E$1:E994)*(E2=E$1:E994))))))</f>
        <v> </v>
      </c>
      <c r="K995" s="25" t="str">
        <f>IF(OR(E995="",E995="!!!",F995="NEW"),"",INDEX(J$1:J994,SUMPRODUCT(MAX(ROW(E$1:E994)*(E995=E$1:E994)))))</f>
        <v> </v>
      </c>
      <c r="L995" s="26"/>
    </row>
    <row r="996" spans="1:12">
      <c r="A996" s="20"/>
    </row>
    <row r="997" spans="1:12">
      <c r="A997" s="20" t="s">
        <v>864</v>
      </c>
    </row>
    <row r="998" spans="1:12">
      <c r="A998" s="20" t="s">
        <v>573</v>
      </c>
      <c r="E998" s="21">
        <f>IF(D998="?OLD","!!!","")</f>
        <v/>
      </c>
      <c r="F998" s="22" t="str">
        <f>IF(OR(E998="",E998="!!!"),"",IF(NOT(ISNA(VLOOKUP(E998,E$1:E997,1,FALSE()))),"OLD",IF(AND(E998&lt;&gt;"",E998&lt;&gt;"!!!"),"NEW","")))</f>
        <v> </v>
      </c>
      <c r="G998" s="23" t="str">
        <f>IF(OR(E998="",E998="!!!"),"",IF(OR(J998=0,AND(J998=1,K998=1),AND(J998=1,I998="SBJ"),AND(J998=1,I998=0)),"?IN_FOCUS",IF(J998&lt;=2,"?ACTIVATED",IF(J998&lt;&gt;"","?FAMILIAR",IF(F998="NEW",IF(ISNA(VLOOKUP(E998,#REF!,1,FALSE())),"?TYPE_IDENTIFIABLE","?REFERENTIAL"),"_")))))</f>
        <v> </v>
      </c>
      <c r="H998" s="24" t="str">
        <f>IF(J998&lt;&gt;1,"",IF(I998="SBJ","CB","?"))</f>
        <v> </v>
      </c>
      <c r="I998" s="25" t="str">
        <f>IF(OR(E998="",E998="!!!",F998="NEW"),"",INDEX(B997:B$2,-1+SUMPRODUCT(MAX(ROW(E997:E$2)*(E998=E997:E$2)))))</f>
        <v> </v>
      </c>
      <c r="J998" s="25" t="str">
        <f>IF(OR(E998="",E998="!!!",F998="NEW"),"",COUNTBLANK(OFFSET(A$1,,,SUMPRODUCT(MAX(ROW(E$2:E998)*(E998=E$2:E998)))))-COUNTBLANK(OFFSET(A$1,,,SUMPRODUCT(MAX(ROW(E$1:E997)*(E2=E$1:E997))))))</f>
        <v> </v>
      </c>
      <c r="K998" s="25" t="str">
        <f>IF(OR(E998="",E998="!!!",F998="NEW"),"",INDEX(J$1:J997,SUMPRODUCT(MAX(ROW(E$1:E997)*(E998=E$1:E997)))))</f>
        <v> </v>
      </c>
      <c r="L998" s="26"/>
    </row>
    <row r="999" spans="1:12">
      <c r="A999" s="20" t="s">
        <v>865</v>
      </c>
      <c r="B999" s="27" t="s">
        <v>549</v>
      </c>
      <c r="C999" s="27" t="s">
        <v>498</v>
      </c>
      <c r="E999" s="21">
        <f>IF(D999="?OLD","!!!","")</f>
        <v/>
      </c>
      <c r="F999" s="22" t="str">
        <f>IF(OR(E999="",E999="!!!"),"",IF(NOT(ISNA(VLOOKUP(E999,E$1:E998,1,FALSE()))),"OLD",IF(AND(E999&lt;&gt;"",E999&lt;&gt;"!!!"),"NEW","")))</f>
        <v> </v>
      </c>
      <c r="G999" s="23" t="str">
        <f>IF(OR(E999="",E999="!!!"),"",IF(OR(J999=0,AND(J999=1,K999=1),AND(J999=1,I999="SBJ"),AND(J999=1,I999=0)),"?IN_FOCUS",IF(J999&lt;=2,"?ACTIVATED",IF(J999&lt;&gt;"","?FAMILIAR",IF(F999="NEW",IF(ISNA(VLOOKUP(E999,#REF!,1,FALSE())),"?TYPE_IDENTIFIABLE","?REFERENTIAL"),"_")))))</f>
        <v> </v>
      </c>
      <c r="H999" s="24" t="str">
        <f>IF(J999&lt;&gt;1,"",IF(I999="SBJ","CB","?"))</f>
        <v> </v>
      </c>
      <c r="I999" s="25" t="str">
        <f>IF(OR(E999="",E999="!!!",F999="NEW"),"",INDEX(B998:B$2,-1+SUMPRODUCT(MAX(ROW(E998:E$2)*(E999=E998:E$2)))))</f>
        <v> </v>
      </c>
      <c r="J999" s="25" t="str">
        <f>IF(OR(E999="",E999="!!!",F999="NEW"),"",COUNTBLANK(OFFSET(A$1,,,SUMPRODUCT(MAX(ROW(E$2:E999)*(E999=E$2:E999)))))-COUNTBLANK(OFFSET(A$1,,,SUMPRODUCT(MAX(ROW(E$1:E998)*(E2=E$1:E998))))))</f>
        <v> </v>
      </c>
      <c r="K999" s="25" t="str">
        <f>IF(OR(E999="",E999="!!!",F999="NEW"),"",INDEX(J$1:J998,SUMPRODUCT(MAX(ROW(E$1:E998)*(E999=E$1:E998)))))</f>
        <v> </v>
      </c>
      <c r="L999" s="26"/>
    </row>
    <row r="1000" spans="1:12">
      <c r="A1000" s="20" t="s">
        <v>866</v>
      </c>
      <c r="E1000" s="21">
        <f>IF(D1000="?OLD","!!!","")</f>
        <v/>
      </c>
      <c r="F1000" s="22" t="str">
        <f>IF(OR(E1000="",E1000="!!!"),"",IF(NOT(ISNA(VLOOKUP(E1000,E$1:E999,1,FALSE()))),"OLD",IF(AND(E1000&lt;&gt;"",E1000&lt;&gt;"!!!"),"NEW","")))</f>
        <v> </v>
      </c>
      <c r="G1000" s="23" t="str">
        <f>IF(OR(E1000="",E1000="!!!"),"",IF(OR(J1000=0,AND(J1000=1,K1000=1),AND(J1000=1,I1000="SBJ"),AND(J1000=1,I1000=0)),"?IN_FOCUS",IF(J1000&lt;=2,"?ACTIVATED",IF(J1000&lt;&gt;"","?FAMILIAR",IF(F1000="NEW",IF(ISNA(VLOOKUP(E1000,#REF!,1,FALSE())),"?TYPE_IDENTIFIABLE","?REFERENTIAL"),"_")))))</f>
        <v> </v>
      </c>
      <c r="H1000" s="24" t="str">
        <f>IF(J1000&lt;&gt;1,"",IF(I1000="SBJ","CB","?"))</f>
        <v> </v>
      </c>
      <c r="I1000" s="25" t="str">
        <f>IF(OR(E1000="",E1000="!!!",F1000="NEW"),"",INDEX(B999:B$2,-1+SUMPRODUCT(MAX(ROW(E999:E$2)*(E1000=E999:E$2)))))</f>
        <v> </v>
      </c>
      <c r="J1000" s="25" t="str">
        <f>IF(OR(E1000="",E1000="!!!",F1000="NEW"),"",COUNTBLANK(OFFSET(A$1,,,SUMPRODUCT(MAX(ROW(E$2:E1000)*(E1000=E$2:E1000)))))-COUNTBLANK(OFFSET(A$1,,,SUMPRODUCT(MAX(ROW(E$1:E999)*(E2=E$1:E999))))))</f>
        <v> </v>
      </c>
      <c r="K1000" s="25" t="str">
        <f>IF(OR(E1000="",E1000="!!!",F1000="NEW"),"",INDEX(J$1:J999,SUMPRODUCT(MAX(ROW(E$1:E999)*(E1000=E$1:E999)))))</f>
        <v> </v>
      </c>
      <c r="L1000" s="26"/>
    </row>
    <row r="1001" spans="1:12">
      <c r="A1001" s="20" t="s">
        <v>489</v>
      </c>
      <c r="E1001" s="21">
        <f>IF(D1001="?OLD","!!!","")</f>
        <v/>
      </c>
      <c r="F1001" s="22" t="str">
        <f>IF(OR(E1001="",E1001="!!!"),"",IF(NOT(ISNA(VLOOKUP(E1001,E$1:E1000,1,FALSE()))),"OLD",IF(AND(E1001&lt;&gt;"",E1001&lt;&gt;"!!!"),"NEW","")))</f>
        <v> </v>
      </c>
      <c r="G1001" s="23" t="str">
        <f>IF(OR(E1001="",E1001="!!!"),"",IF(OR(J1001=0,AND(J1001=1,K1001=1),AND(J1001=1,I1001="SBJ"),AND(J1001=1,I1001=0)),"?IN_FOCUS",IF(J1001&lt;=2,"?ACTIVATED",IF(J1001&lt;&gt;"","?FAMILIAR",IF(F1001="NEW",IF(ISNA(VLOOKUP(E1001,#REF!,1,FALSE())),"?TYPE_IDENTIFIABLE","?REFERENTIAL"),"_")))))</f>
        <v> </v>
      </c>
      <c r="H1001" s="24" t="str">
        <f>IF(J1001&lt;&gt;1,"",IF(I1001="SBJ","CB","?"))</f>
        <v> </v>
      </c>
      <c r="I1001" s="25" t="str">
        <f>IF(OR(E1001="",E1001="!!!",F1001="NEW"),"",INDEX(B1000:B$2,-1+SUMPRODUCT(MAX(ROW(E1000:E$2)*(E1001=E1000:E$2)))))</f>
        <v> </v>
      </c>
      <c r="J1001" s="25" t="str">
        <f>IF(OR(E1001="",E1001="!!!",F1001="NEW"),"",COUNTBLANK(OFFSET(A$1,,,SUMPRODUCT(MAX(ROW(E$2:E1001)*(E1001=E$2:E1001)))))-COUNTBLANK(OFFSET(A$1,,,SUMPRODUCT(MAX(ROW(E$1:E1000)*(E2=E$1:E1000))))))</f>
        <v> </v>
      </c>
      <c r="K1001" s="25" t="str">
        <f>IF(OR(E1001="",E1001="!!!",F1001="NEW"),"",INDEX(J$1:J1000,SUMPRODUCT(MAX(ROW(E$1:E1000)*(E1001=E$1:E1000)))))</f>
        <v> </v>
      </c>
      <c r="L1001" s="26"/>
    </row>
    <row r="1002" spans="1:12">
      <c r="A1002" s="20" t="s">
        <v>867</v>
      </c>
      <c r="E1002" s="21">
        <f>IF(D1002="?OLD","!!!","")</f>
        <v/>
      </c>
      <c r="F1002" s="22" t="str">
        <f>IF(OR(E1002="",E1002="!!!"),"",IF(NOT(ISNA(VLOOKUP(E1002,E$1:E1001,1,FALSE()))),"OLD",IF(AND(E1002&lt;&gt;"",E1002&lt;&gt;"!!!"),"NEW","")))</f>
        <v> </v>
      </c>
      <c r="G1002" s="23" t="str">
        <f>IF(OR(E1002="",E1002="!!!"),"",IF(OR(J1002=0,AND(J1002=1,K1002=1),AND(J1002=1,I1002="SBJ"),AND(J1002=1,I1002=0)),"?IN_FOCUS",IF(J1002&lt;=2,"?ACTIVATED",IF(J1002&lt;&gt;"","?FAMILIAR",IF(F1002="NEW",IF(ISNA(VLOOKUP(E1002,#REF!,1,FALSE())),"?TYPE_IDENTIFIABLE","?REFERENTIAL"),"_")))))</f>
        <v> </v>
      </c>
      <c r="H1002" s="24" t="str">
        <f>IF(J1002&lt;&gt;1,"",IF(I1002="SBJ","CB","?"))</f>
        <v> </v>
      </c>
      <c r="I1002" s="25" t="str">
        <f>IF(OR(E1002="",E1002="!!!",F1002="NEW"),"",INDEX(B1001:B$2,-1+SUMPRODUCT(MAX(ROW(E1001:E$2)*(E1002=E1001:E$2)))))</f>
        <v> </v>
      </c>
      <c r="J1002" s="25" t="str">
        <f>IF(OR(E1002="",E1002="!!!",F1002="NEW"),"",COUNTBLANK(OFFSET(A$1,,,SUMPRODUCT(MAX(ROW(E$2:E1002)*(E1002=E$2:E1002)))))-COUNTBLANK(OFFSET(A$1,,,SUMPRODUCT(MAX(ROW(E$1:E1001)*(E2=E$1:E1001))))))</f>
        <v> </v>
      </c>
      <c r="K1002" s="25" t="str">
        <f>IF(OR(E1002="",E1002="!!!",F1002="NEW"),"",INDEX(J$1:J1001,SUMPRODUCT(MAX(ROW(E$1:E1001)*(E1002=E$1:E1001)))))</f>
        <v> </v>
      </c>
      <c r="L1002" s="26"/>
    </row>
    <row r="1003" spans="1:12">
      <c r="A1003" s="20" t="s">
        <v>507</v>
      </c>
      <c r="E1003" s="21">
        <f>IF(D1003="?OLD","!!!","")</f>
        <v/>
      </c>
      <c r="F1003" s="22" t="str">
        <f>IF(OR(E1003="",E1003="!!!"),"",IF(NOT(ISNA(VLOOKUP(E1003,E$1:E1002,1,FALSE()))),"OLD",IF(AND(E1003&lt;&gt;"",E1003&lt;&gt;"!!!"),"NEW","")))</f>
        <v> </v>
      </c>
      <c r="G1003" s="23" t="str">
        <f>IF(OR(E1003="",E1003="!!!"),"",IF(OR(J1003=0,AND(J1003=1,K1003=1),AND(J1003=1,I1003="SBJ"),AND(J1003=1,I1003=0)),"?IN_FOCUS",IF(J1003&lt;=2,"?ACTIVATED",IF(J1003&lt;&gt;"","?FAMILIAR",IF(F1003="NEW",IF(ISNA(VLOOKUP(E1003,#REF!,1,FALSE())),"?TYPE_IDENTIFIABLE","?REFERENTIAL"),"_")))))</f>
        <v> </v>
      </c>
      <c r="H1003" s="24" t="str">
        <f>IF(J1003&lt;&gt;1,"",IF(I1003="SBJ","CB","?"))</f>
        <v> </v>
      </c>
      <c r="I1003" s="25" t="str">
        <f>IF(OR(E1003="",E1003="!!!",F1003="NEW"),"",INDEX(B1002:B$2,-1+SUMPRODUCT(MAX(ROW(E1002:E$2)*(E1003=E1002:E$2)))))</f>
        <v> </v>
      </c>
      <c r="J1003" s="25" t="str">
        <f>IF(OR(E1003="",E1003="!!!",F1003="NEW"),"",COUNTBLANK(OFFSET(A$1,,,SUMPRODUCT(MAX(ROW(E$2:E1003)*(E1003=E$2:E1003)))))-COUNTBLANK(OFFSET(A$1,,,SUMPRODUCT(MAX(ROW(E$1:E1002)*(E2=E$1:E1002))))))</f>
        <v> </v>
      </c>
      <c r="K1003" s="25" t="str">
        <f>IF(OR(E1003="",E1003="!!!",F1003="NEW"),"",INDEX(J$1:J1002,SUMPRODUCT(MAX(ROW(E$1:E1002)*(E1003=E$1:E1002)))))</f>
        <v> </v>
      </c>
      <c r="L1003" s="26"/>
    </row>
    <row r="1004" spans="1:12">
      <c r="A1004" s="20" t="s">
        <v>495</v>
      </c>
      <c r="E1004" s="21">
        <f>IF(D1004="?OLD","!!!","")</f>
        <v/>
      </c>
      <c r="F1004" s="22" t="str">
        <f>IF(OR(E1004="",E1004="!!!"),"",IF(NOT(ISNA(VLOOKUP(E1004,E$1:E1003,1,FALSE()))),"OLD",IF(AND(E1004&lt;&gt;"",E1004&lt;&gt;"!!!"),"NEW","")))</f>
        <v> </v>
      </c>
      <c r="G1004" s="23" t="str">
        <f>IF(OR(E1004="",E1004="!!!"),"",IF(OR(J1004=0,AND(J1004=1,K1004=1),AND(J1004=1,I1004="SBJ"),AND(J1004=1,I1004=0)),"?IN_FOCUS",IF(J1004&lt;=2,"?ACTIVATED",IF(J1004&lt;&gt;"","?FAMILIAR",IF(F1004="NEW",IF(ISNA(VLOOKUP(E1004,#REF!,1,FALSE())),"?TYPE_IDENTIFIABLE","?REFERENTIAL"),"_")))))</f>
        <v> </v>
      </c>
      <c r="H1004" s="24" t="str">
        <f>IF(J1004&lt;&gt;1,"",IF(I1004="SBJ","CB","?"))</f>
        <v> </v>
      </c>
      <c r="I1004" s="25" t="str">
        <f>IF(OR(E1004="",E1004="!!!",F1004="NEW"),"",INDEX(B1003:B$2,-1+SUMPRODUCT(MAX(ROW(E1003:E$2)*(E1004=E1003:E$2)))))</f>
        <v> </v>
      </c>
      <c r="J1004" s="25" t="str">
        <f>IF(OR(E1004="",E1004="!!!",F1004="NEW"),"",COUNTBLANK(OFFSET(A$1,,,SUMPRODUCT(MAX(ROW(E$2:E1004)*(E1004=E$2:E1004)))))-COUNTBLANK(OFFSET(A$1,,,SUMPRODUCT(MAX(ROW(E$1:E1003)*(E2=E$1:E1003))))))</f>
        <v> </v>
      </c>
      <c r="K1004" s="25" t="str">
        <f>IF(OR(E1004="",E1004="!!!",F1004="NEW"),"",INDEX(J$1:J1003,SUMPRODUCT(MAX(ROW(E$1:E1003)*(E1004=E$1:E1003)))))</f>
        <v> </v>
      </c>
      <c r="L1004" s="26"/>
    </row>
    <row r="1005" spans="1:12">
      <c r="A1005" s="20" t="s">
        <v>868</v>
      </c>
      <c r="B1005" s="27" t="s">
        <v>540</v>
      </c>
      <c r="C1005" s="27" t="s">
        <v>538</v>
      </c>
      <c r="D1005" s="27" t="s">
        <v>483</v>
      </c>
      <c r="E1005" s="21">
        <f>IF(D1005="?OLD","!!!","")</f>
        <v/>
      </c>
      <c r="F1005" s="22" t="str">
        <f>IF(OR(E1005="",E1005="!!!"),"",IF(NOT(ISNA(VLOOKUP(E1005,E$1:E1004,1,FALSE()))),"OLD",IF(AND(E1005&lt;&gt;"",E1005&lt;&gt;"!!!"),"NEW","")))</f>
        <v> </v>
      </c>
      <c r="G1005" s="23" t="str">
        <f>IF(OR(E1005="",E1005="!!!"),"",IF(OR(J1005=0,AND(J1005=1,K1005=1),AND(J1005=1,I1005="SBJ"),AND(J1005=1,I1005=0)),"?IN_FOCUS",IF(J1005&lt;=2,"?ACTIVATED",IF(J1005&lt;&gt;"","?FAMILIAR",IF(F1005="NEW",IF(ISNA(VLOOKUP(E1005,#REF!,1,FALSE())),"?TYPE_IDENTIFIABLE","?REFERENTIAL"),"_")))))</f>
        <v> </v>
      </c>
      <c r="H1005" s="24" t="str">
        <f>IF(J1005&lt;&gt;1,"",IF(I1005="SBJ","CB","?"))</f>
        <v> </v>
      </c>
      <c r="I1005" s="25" t="str">
        <f>IF(OR(E1005="",E1005="!!!",F1005="NEW"),"",INDEX(B1004:B$2,-1+SUMPRODUCT(MAX(ROW(E1004:E$2)*(E1005=E1004:E$2)))))</f>
        <v> </v>
      </c>
      <c r="J1005" s="25" t="str">
        <f>IF(OR(E1005="",E1005="!!!",F1005="NEW"),"",COUNTBLANK(OFFSET(A$1,,,SUMPRODUCT(MAX(ROW(E$2:E1005)*(E1005=E$2:E1005)))))-COUNTBLANK(OFFSET(A$1,,,SUMPRODUCT(MAX(ROW(E$1:E1004)*(E2=E$1:E1004))))))</f>
        <v> </v>
      </c>
      <c r="K1005" s="25" t="str">
        <f>IF(OR(E1005="",E1005="!!!",F1005="NEW"),"",INDEX(J$1:J1004,SUMPRODUCT(MAX(ROW(E$1:E1004)*(E1005=E$1:E1004)))))</f>
        <v> </v>
      </c>
      <c r="L1005" s="26"/>
    </row>
    <row r="1006" spans="1:12">
      <c r="A1006" s="20" t="s">
        <v>592</v>
      </c>
      <c r="E1006" s="21">
        <f>IF(D1006="?OLD","!!!","")</f>
        <v/>
      </c>
      <c r="F1006" s="22" t="str">
        <f>IF(OR(E1006="",E1006="!!!"),"",IF(NOT(ISNA(VLOOKUP(E1006,E$1:E1005,1,FALSE()))),"OLD",IF(AND(E1006&lt;&gt;"",E1006&lt;&gt;"!!!"),"NEW","")))</f>
        <v> </v>
      </c>
      <c r="G1006" s="23" t="str">
        <f>IF(OR(E1006="",E1006="!!!"),"",IF(OR(J1006=0,AND(J1006=1,K1006=1),AND(J1006=1,I1006="SBJ"),AND(J1006=1,I1006=0)),"?IN_FOCUS",IF(J1006&lt;=2,"?ACTIVATED",IF(J1006&lt;&gt;"","?FAMILIAR",IF(F1006="NEW",IF(ISNA(VLOOKUP(E1006,#REF!,1,FALSE())),"?TYPE_IDENTIFIABLE","?REFERENTIAL"),"_")))))</f>
        <v> </v>
      </c>
      <c r="H1006" s="24" t="str">
        <f>IF(J1006&lt;&gt;1,"",IF(I1006="SBJ","CB","?"))</f>
        <v> </v>
      </c>
      <c r="I1006" s="25" t="str">
        <f>IF(OR(E1006="",E1006="!!!",F1006="NEW"),"",INDEX(B1005:B$2,-1+SUMPRODUCT(MAX(ROW(E1005:E$2)*(E1006=E1005:E$2)))))</f>
        <v> </v>
      </c>
      <c r="J1006" s="25" t="str">
        <f>IF(OR(E1006="",E1006="!!!",F1006="NEW"),"",COUNTBLANK(OFFSET(A$1,,,SUMPRODUCT(MAX(ROW(E$2:E1006)*(E1006=E$2:E1006)))))-COUNTBLANK(OFFSET(A$1,,,SUMPRODUCT(MAX(ROW(E$1:E1005)*(E2=E$1:E1005))))))</f>
        <v> </v>
      </c>
      <c r="K1006" s="25" t="str">
        <f>IF(OR(E1006="",E1006="!!!",F1006="NEW"),"",INDEX(J$1:J1005,SUMPRODUCT(MAX(ROW(E$1:E1005)*(E1006=E$1:E1005)))))</f>
        <v> </v>
      </c>
      <c r="L1006" s="26"/>
    </row>
    <row r="1007" spans="1:12">
      <c r="A1007" s="20" t="s">
        <v>869</v>
      </c>
      <c r="B1007" s="27" t="s">
        <v>547</v>
      </c>
      <c r="C1007" s="27" t="s">
        <v>516</v>
      </c>
      <c r="E1007" s="21">
        <f>IF(D1007="?OLD","!!!","")</f>
        <v/>
      </c>
      <c r="F1007" s="22" t="str">
        <f>IF(OR(E1007="",E1007="!!!"),"",IF(NOT(ISNA(VLOOKUP(E1007,E$1:E1006,1,FALSE()))),"OLD",IF(AND(E1007&lt;&gt;"",E1007&lt;&gt;"!!!"),"NEW","")))</f>
        <v> </v>
      </c>
      <c r="G1007" s="23" t="str">
        <f>IF(OR(E1007="",E1007="!!!"),"",IF(OR(J1007=0,AND(J1007=1,K1007=1),AND(J1007=1,I1007="SBJ"),AND(J1007=1,I1007=0)),"?IN_FOCUS",IF(J1007&lt;=2,"?ACTIVATED",IF(J1007&lt;&gt;"","?FAMILIAR",IF(F1007="NEW",IF(ISNA(VLOOKUP(E1007,#REF!,1,FALSE())),"?TYPE_IDENTIFIABLE","?REFERENTIAL"),"_")))))</f>
        <v> </v>
      </c>
      <c r="H1007" s="24" t="str">
        <f>IF(J1007&lt;&gt;1,"",IF(I1007="SBJ","CB","?"))</f>
        <v> </v>
      </c>
      <c r="I1007" s="25" t="str">
        <f>IF(OR(E1007="",E1007="!!!",F1007="NEW"),"",INDEX(B1006:B$2,-1+SUMPRODUCT(MAX(ROW(E1006:E$2)*(E1007=E1006:E$2)))))</f>
        <v> </v>
      </c>
      <c r="J1007" s="25" t="str">
        <f>IF(OR(E1007="",E1007="!!!",F1007="NEW"),"",COUNTBLANK(OFFSET(A$1,,,SUMPRODUCT(MAX(ROW(E$2:E1007)*(E1007=E$2:E1007)))))-COUNTBLANK(OFFSET(A$1,,,SUMPRODUCT(MAX(ROW(E$1:E1006)*(E2=E$1:E1006))))))</f>
        <v> </v>
      </c>
      <c r="K1007" s="25" t="str">
        <f>IF(OR(E1007="",E1007="!!!",F1007="NEW"),"",INDEX(J$1:J1006,SUMPRODUCT(MAX(ROW(E$1:E1006)*(E1007=E$1:E1006)))))</f>
        <v> </v>
      </c>
      <c r="L1007" s="26"/>
    </row>
    <row r="1008" spans="1:12">
      <c r="A1008" s="20" t="s">
        <v>507</v>
      </c>
      <c r="E1008" s="21">
        <f>IF(D1008="?OLD","!!!","")</f>
        <v/>
      </c>
      <c r="F1008" s="22" t="str">
        <f>IF(OR(E1008="",E1008="!!!"),"",IF(NOT(ISNA(VLOOKUP(E1008,E$1:E1007,1,FALSE()))),"OLD",IF(AND(E1008&lt;&gt;"",E1008&lt;&gt;"!!!"),"NEW","")))</f>
        <v> </v>
      </c>
      <c r="G1008" s="23" t="str">
        <f>IF(OR(E1008="",E1008="!!!"),"",IF(OR(J1008=0,AND(J1008=1,K1008=1),AND(J1008=1,I1008="SBJ"),AND(J1008=1,I1008=0)),"?IN_FOCUS",IF(J1008&lt;=2,"?ACTIVATED",IF(J1008&lt;&gt;"","?FAMILIAR",IF(F1008="NEW",IF(ISNA(VLOOKUP(E1008,#REF!,1,FALSE())),"?TYPE_IDENTIFIABLE","?REFERENTIAL"),"_")))))</f>
        <v> </v>
      </c>
      <c r="H1008" s="24" t="str">
        <f>IF(J1008&lt;&gt;1,"",IF(I1008="SBJ","CB","?"))</f>
        <v> </v>
      </c>
      <c r="I1008" s="25" t="str">
        <f>IF(OR(E1008="",E1008="!!!",F1008="NEW"),"",INDEX(B1007:B$2,-1+SUMPRODUCT(MAX(ROW(E1007:E$2)*(E1008=E1007:E$2)))))</f>
        <v> </v>
      </c>
      <c r="J1008" s="25" t="str">
        <f>IF(OR(E1008="",E1008="!!!",F1008="NEW"),"",COUNTBLANK(OFFSET(A$1,,,SUMPRODUCT(MAX(ROW(E$2:E1008)*(E1008=E$2:E1008)))))-COUNTBLANK(OFFSET(A$1,,,SUMPRODUCT(MAX(ROW(E$1:E1007)*(E2=E$1:E1007))))))</f>
        <v> </v>
      </c>
      <c r="K1008" s="25" t="str">
        <f>IF(OR(E1008="",E1008="!!!",F1008="NEW"),"",INDEX(J$1:J1007,SUMPRODUCT(MAX(ROW(E$1:E1007)*(E1008=E$1:E1007)))))</f>
        <v> </v>
      </c>
      <c r="L1008" s="26"/>
    </row>
    <row r="1009" spans="1:12">
      <c r="A1009" s="20" t="s">
        <v>503</v>
      </c>
      <c r="E1009" s="21">
        <f>IF(D1009="?OLD","!!!","")</f>
        <v/>
      </c>
      <c r="F1009" s="22" t="str">
        <f>IF(OR(E1009="",E1009="!!!"),"",IF(NOT(ISNA(VLOOKUP(E1009,E$1:E1008,1,FALSE()))),"OLD",IF(AND(E1009&lt;&gt;"",E1009&lt;&gt;"!!!"),"NEW","")))</f>
        <v> </v>
      </c>
      <c r="G1009" s="23" t="str">
        <f>IF(OR(E1009="",E1009="!!!"),"",IF(OR(J1009=0,AND(J1009=1,K1009=1),AND(J1009=1,I1009="SBJ"),AND(J1009=1,I1009=0)),"?IN_FOCUS",IF(J1009&lt;=2,"?ACTIVATED",IF(J1009&lt;&gt;"","?FAMILIAR",IF(F1009="NEW",IF(ISNA(VLOOKUP(E1009,#REF!,1,FALSE())),"?TYPE_IDENTIFIABLE","?REFERENTIAL"),"_")))))</f>
        <v> </v>
      </c>
      <c r="H1009" s="24" t="str">
        <f>IF(J1009&lt;&gt;1,"",IF(I1009="SBJ","CB","?"))</f>
        <v> </v>
      </c>
      <c r="I1009" s="25" t="str">
        <f>IF(OR(E1009="",E1009="!!!",F1009="NEW"),"",INDEX(B1008:B$2,-1+SUMPRODUCT(MAX(ROW(E1008:E$2)*(E1009=E1008:E$2)))))</f>
        <v> </v>
      </c>
      <c r="J1009" s="25" t="str">
        <f>IF(OR(E1009="",E1009="!!!",F1009="NEW"),"",COUNTBLANK(OFFSET(A$1,,,SUMPRODUCT(MAX(ROW(E$2:E1009)*(E1009=E$2:E1009)))))-COUNTBLANK(OFFSET(A$1,,,SUMPRODUCT(MAX(ROW(E$1:E1008)*(E2=E$1:E1008))))))</f>
        <v> </v>
      </c>
      <c r="K1009" s="25" t="str">
        <f>IF(OR(E1009="",E1009="!!!",F1009="NEW"),"",INDEX(J$1:J1008,SUMPRODUCT(MAX(ROW(E$1:E1008)*(E1009=E$1:E1008)))))</f>
        <v> </v>
      </c>
      <c r="L1009" s="26"/>
    </row>
    <row r="1010" spans="1:12">
      <c r="A1010" s="20" t="s">
        <v>791</v>
      </c>
      <c r="B1010" s="27" t="s">
        <v>547</v>
      </c>
      <c r="C1010" s="27" t="s">
        <v>487</v>
      </c>
      <c r="D1010" s="27" t="s">
        <v>483</v>
      </c>
      <c r="E1010" s="21">
        <f>IF(D1010="?OLD","!!!","")</f>
        <v/>
      </c>
      <c r="F1010" s="22" t="str">
        <f>IF(OR(E1010="",E1010="!!!"),"",IF(NOT(ISNA(VLOOKUP(E1010,E$1:E1009,1,FALSE()))),"OLD",IF(AND(E1010&lt;&gt;"",E1010&lt;&gt;"!!!"),"NEW","")))</f>
        <v> </v>
      </c>
      <c r="G1010" s="23" t="str">
        <f>IF(OR(E1010="",E1010="!!!"),"",IF(OR(J1010=0,AND(J1010=1,K1010=1),AND(J1010=1,I1010="SBJ"),AND(J1010=1,I1010=0)),"?IN_FOCUS",IF(J1010&lt;=2,"?ACTIVATED",IF(J1010&lt;&gt;"","?FAMILIAR",IF(F1010="NEW",IF(ISNA(VLOOKUP(E1010,#REF!,1,FALSE())),"?TYPE_IDENTIFIABLE","?REFERENTIAL"),"_")))))</f>
        <v> </v>
      </c>
      <c r="H1010" s="24" t="str">
        <f>IF(J1010&lt;&gt;1,"",IF(I1010="SBJ","CB","?"))</f>
        <v> </v>
      </c>
      <c r="I1010" s="25" t="str">
        <f>IF(OR(E1010="",E1010="!!!",F1010="NEW"),"",INDEX(B1009:B$2,-1+SUMPRODUCT(MAX(ROW(E1009:E$2)*(E1010=E1009:E$2)))))</f>
        <v> </v>
      </c>
      <c r="J1010" s="25" t="str">
        <f>IF(OR(E1010="",E1010="!!!",F1010="NEW"),"",COUNTBLANK(OFFSET(A$1,,,SUMPRODUCT(MAX(ROW(E$2:E1010)*(E1010=E$2:E1010)))))-COUNTBLANK(OFFSET(A$1,,,SUMPRODUCT(MAX(ROW(E$1:E1009)*(E2=E$1:E1009))))))</f>
        <v> </v>
      </c>
      <c r="K1010" s="25" t="str">
        <f>IF(OR(E1010="",E1010="!!!",F1010="NEW"),"",INDEX(J$1:J1009,SUMPRODUCT(MAX(ROW(E$1:E1009)*(E1010=E$1:E1009)))))</f>
        <v> </v>
      </c>
      <c r="L1010" s="26"/>
    </row>
    <row r="1011" spans="1:12">
      <c r="A1011" s="20" t="s">
        <v>558</v>
      </c>
      <c r="E1011" s="21">
        <f>IF(D1011="?OLD","!!!","")</f>
        <v/>
      </c>
      <c r="F1011" s="22" t="str">
        <f>IF(OR(E1011="",E1011="!!!"),"",IF(NOT(ISNA(VLOOKUP(E1011,E$1:E1010,1,FALSE()))),"OLD",IF(AND(E1011&lt;&gt;"",E1011&lt;&gt;"!!!"),"NEW","")))</f>
        <v> </v>
      </c>
      <c r="G1011" s="23" t="str">
        <f>IF(OR(E1011="",E1011="!!!"),"",IF(OR(J1011=0,AND(J1011=1,K1011=1),AND(J1011=1,I1011="SBJ"),AND(J1011=1,I1011=0)),"?IN_FOCUS",IF(J1011&lt;=2,"?ACTIVATED",IF(J1011&lt;&gt;"","?FAMILIAR",IF(F1011="NEW",IF(ISNA(VLOOKUP(E1011,#REF!,1,FALSE())),"?TYPE_IDENTIFIABLE","?REFERENTIAL"),"_")))))</f>
        <v> </v>
      </c>
      <c r="H1011" s="24" t="str">
        <f>IF(J1011&lt;&gt;1,"",IF(I1011="SBJ","CB","?"))</f>
        <v> </v>
      </c>
      <c r="I1011" s="25" t="str">
        <f>IF(OR(E1011="",E1011="!!!",F1011="NEW"),"",INDEX(B1010:B$2,-1+SUMPRODUCT(MAX(ROW(E1010:E$2)*(E1011=E1010:E$2)))))</f>
        <v> </v>
      </c>
      <c r="J1011" s="25" t="str">
        <f>IF(OR(E1011="",E1011="!!!",F1011="NEW"),"",COUNTBLANK(OFFSET(A$1,,,SUMPRODUCT(MAX(ROW(E$2:E1011)*(E1011=E$2:E1011)))))-COUNTBLANK(OFFSET(A$1,,,SUMPRODUCT(MAX(ROW(E$1:E1010)*(E2=E$1:E1010))))))</f>
        <v> </v>
      </c>
      <c r="K1011" s="25" t="str">
        <f>IF(OR(E1011="",E1011="!!!",F1011="NEW"),"",INDEX(J$1:J1010,SUMPRODUCT(MAX(ROW(E$1:E1010)*(E1011=E$1:E1010)))))</f>
        <v> </v>
      </c>
      <c r="L1011" s="26"/>
    </row>
    <row r="1012" spans="1:12">
      <c r="A1012" s="20" t="s">
        <v>582</v>
      </c>
      <c r="E1012" s="21">
        <f>IF(D1012="?OLD","!!!","")</f>
        <v/>
      </c>
      <c r="F1012" s="22" t="str">
        <f>IF(OR(E1012="",E1012="!!!"),"",IF(NOT(ISNA(VLOOKUP(E1012,E$1:E1011,1,FALSE()))),"OLD",IF(AND(E1012&lt;&gt;"",E1012&lt;&gt;"!!!"),"NEW","")))</f>
        <v> </v>
      </c>
      <c r="G1012" s="23" t="str">
        <f>IF(OR(E1012="",E1012="!!!"),"",IF(OR(J1012=0,AND(J1012=1,K1012=1),AND(J1012=1,I1012="SBJ"),AND(J1012=1,I1012=0)),"?IN_FOCUS",IF(J1012&lt;=2,"?ACTIVATED",IF(J1012&lt;&gt;"","?FAMILIAR",IF(F1012="NEW",IF(ISNA(VLOOKUP(E1012,#REF!,1,FALSE())),"?TYPE_IDENTIFIABLE","?REFERENTIAL"),"_")))))</f>
        <v> </v>
      </c>
      <c r="H1012" s="24" t="str">
        <f>IF(J1012&lt;&gt;1,"",IF(I1012="SBJ","CB","?"))</f>
        <v> </v>
      </c>
      <c r="I1012" s="25" t="str">
        <f>IF(OR(E1012="",E1012="!!!",F1012="NEW"),"",INDEX(B1011:B$2,-1+SUMPRODUCT(MAX(ROW(E1011:E$2)*(E1012=E1011:E$2)))))</f>
        <v> </v>
      </c>
      <c r="J1012" s="25" t="str">
        <f>IF(OR(E1012="",E1012="!!!",F1012="NEW"),"",COUNTBLANK(OFFSET(A$1,,,SUMPRODUCT(MAX(ROW(E$2:E1012)*(E1012=E$2:E1012)))))-COUNTBLANK(OFFSET(A$1,,,SUMPRODUCT(MAX(ROW(E$1:E1011)*(E2=E$1:E1011))))))</f>
        <v> </v>
      </c>
      <c r="K1012" s="25" t="str">
        <f>IF(OR(E1012="",E1012="!!!",F1012="NEW"),"",INDEX(J$1:J1011,SUMPRODUCT(MAX(ROW(E$1:E1011)*(E1012=E$1:E1011)))))</f>
        <v> </v>
      </c>
      <c r="L1012" s="26"/>
    </row>
    <row r="1013" spans="1:12">
      <c r="A1013" s="20" t="s">
        <v>528</v>
      </c>
      <c r="E1013" s="21">
        <f>IF(D1013="?OLD","!!!","")</f>
        <v/>
      </c>
      <c r="F1013" s="22" t="str">
        <f>IF(OR(E1013="",E1013="!!!"),"",IF(NOT(ISNA(VLOOKUP(E1013,E$1:E1012,1,FALSE()))),"OLD",IF(AND(E1013&lt;&gt;"",E1013&lt;&gt;"!!!"),"NEW","")))</f>
        <v> </v>
      </c>
      <c r="G1013" s="23" t="str">
        <f>IF(OR(E1013="",E1013="!!!"),"",IF(OR(J1013=0,AND(J1013=1,K1013=1),AND(J1013=1,I1013="SBJ"),AND(J1013=1,I1013=0)),"?IN_FOCUS",IF(J1013&lt;=2,"?ACTIVATED",IF(J1013&lt;&gt;"","?FAMILIAR",IF(F1013="NEW",IF(ISNA(VLOOKUP(E1013,#REF!,1,FALSE())),"?TYPE_IDENTIFIABLE","?REFERENTIAL"),"_")))))</f>
        <v> </v>
      </c>
      <c r="H1013" s="24" t="str">
        <f>IF(J1013&lt;&gt;1,"",IF(I1013="SBJ","CB","?"))</f>
        <v> </v>
      </c>
      <c r="I1013" s="25" t="str">
        <f>IF(OR(E1013="",E1013="!!!",F1013="NEW"),"",INDEX(B1012:B$2,-1+SUMPRODUCT(MAX(ROW(E1012:E$2)*(E1013=E1012:E$2)))))</f>
        <v> </v>
      </c>
      <c r="J1013" s="25" t="str">
        <f>IF(OR(E1013="",E1013="!!!",F1013="NEW"),"",COUNTBLANK(OFFSET(A$1,,,SUMPRODUCT(MAX(ROW(E$2:E1013)*(E1013=E$2:E1013)))))-COUNTBLANK(OFFSET(A$1,,,SUMPRODUCT(MAX(ROW(E$1:E1012)*(E2=E$1:E1012))))))</f>
        <v> </v>
      </c>
      <c r="K1013" s="25" t="str">
        <f>IF(OR(E1013="",E1013="!!!",F1013="NEW"),"",INDEX(J$1:J1012,SUMPRODUCT(MAX(ROW(E$1:E1012)*(E1013=E$1:E1012)))))</f>
        <v> </v>
      </c>
      <c r="L1013" s="26"/>
    </row>
    <row r="1014" spans="1:12">
      <c r="A1014" s="20" t="s">
        <v>485</v>
      </c>
      <c r="B1014" s="27" t="s">
        <v>540</v>
      </c>
      <c r="C1014" s="27" t="s">
        <v>491</v>
      </c>
      <c r="D1014" s="27" t="s">
        <v>483</v>
      </c>
      <c r="E1014" s="21">
        <f>IF(D1014="?OLD","!!!","")</f>
        <v/>
      </c>
      <c r="F1014" s="22" t="str">
        <f>IF(OR(E1014="",E1014="!!!"),"",IF(NOT(ISNA(VLOOKUP(E1014,E$1:E1013,1,FALSE()))),"OLD",IF(AND(E1014&lt;&gt;"",E1014&lt;&gt;"!!!"),"NEW","")))</f>
        <v> </v>
      </c>
      <c r="G1014" s="23" t="str">
        <f>IF(OR(E1014="",E1014="!!!"),"",IF(OR(J1014=0,AND(J1014=1,K1014=1),AND(J1014=1,I1014="SBJ"),AND(J1014=1,I1014=0)),"?IN_FOCUS",IF(J1014&lt;=2,"?ACTIVATED",IF(J1014&lt;&gt;"","?FAMILIAR",IF(F1014="NEW",IF(ISNA(VLOOKUP(E1014,#REF!,1,FALSE())),"?TYPE_IDENTIFIABLE","?REFERENTIAL"),"_")))))</f>
        <v> </v>
      </c>
      <c r="H1014" s="24" t="str">
        <f>IF(J1014&lt;&gt;1,"",IF(I1014="SBJ","CB","?"))</f>
        <v> </v>
      </c>
      <c r="I1014" s="25" t="str">
        <f>IF(OR(E1014="",E1014="!!!",F1014="NEW"),"",INDEX(B1013:B$2,-1+SUMPRODUCT(MAX(ROW(E1013:E$2)*(E1014=E1013:E$2)))))</f>
        <v> </v>
      </c>
      <c r="J1014" s="25" t="str">
        <f>IF(OR(E1014="",E1014="!!!",F1014="NEW"),"",COUNTBLANK(OFFSET(A$1,,,SUMPRODUCT(MAX(ROW(E$2:E1014)*(E1014=E$2:E1014)))))-COUNTBLANK(OFFSET(A$1,,,SUMPRODUCT(MAX(ROW(E$1:E1013)*(E2=E$1:E1013))))))</f>
        <v> </v>
      </c>
      <c r="K1014" s="25" t="str">
        <f>IF(OR(E1014="",E1014="!!!",F1014="NEW"),"",INDEX(J$1:J1013,SUMPRODUCT(MAX(ROW(E$1:E1013)*(E1014=E$1:E1013)))))</f>
        <v> </v>
      </c>
      <c r="L1014" s="26"/>
    </row>
    <row r="1015" spans="1:12">
      <c r="A1015" s="20" t="s">
        <v>492</v>
      </c>
      <c r="E1015" s="21">
        <f>IF(D1015="?OLD","!!!","")</f>
        <v/>
      </c>
      <c r="F1015" s="22" t="str">
        <f>IF(OR(E1015="",E1015="!!!"),"",IF(NOT(ISNA(VLOOKUP(E1015,E$1:E1014,1,FALSE()))),"OLD",IF(AND(E1015&lt;&gt;"",E1015&lt;&gt;"!!!"),"NEW","")))</f>
        <v> </v>
      </c>
      <c r="G1015" s="23" t="str">
        <f>IF(OR(E1015="",E1015="!!!"),"",IF(OR(J1015=0,AND(J1015=1,K1015=1),AND(J1015=1,I1015="SBJ"),AND(J1015=1,I1015=0)),"?IN_FOCUS",IF(J1015&lt;=2,"?ACTIVATED",IF(J1015&lt;&gt;"","?FAMILIAR",IF(F1015="NEW",IF(ISNA(VLOOKUP(E1015,#REF!,1,FALSE())),"?TYPE_IDENTIFIABLE","?REFERENTIAL"),"_")))))</f>
        <v> </v>
      </c>
      <c r="H1015" s="24" t="str">
        <f>IF(J1015&lt;&gt;1,"",IF(I1015="SBJ","CB","?"))</f>
        <v> </v>
      </c>
      <c r="I1015" s="25" t="str">
        <f>IF(OR(E1015="",E1015="!!!",F1015="NEW"),"",INDEX(B1014:B$2,-1+SUMPRODUCT(MAX(ROW(E1014:E$2)*(E1015=E1014:E$2)))))</f>
        <v> </v>
      </c>
      <c r="J1015" s="25" t="str">
        <f>IF(OR(E1015="",E1015="!!!",F1015="NEW"),"",COUNTBLANK(OFFSET(A$1,,,SUMPRODUCT(MAX(ROW(E$2:E1015)*(E1015=E$2:E1015)))))-COUNTBLANK(OFFSET(A$1,,,SUMPRODUCT(MAX(ROW(E$1:E1014)*(E2=E$1:E1014))))))</f>
        <v> </v>
      </c>
      <c r="K1015" s="25" t="str">
        <f>IF(OR(E1015="",E1015="!!!",F1015="NEW"),"",INDEX(J$1:J1014,SUMPRODUCT(MAX(ROW(E$1:E1014)*(E1015=E$1:E1014)))))</f>
        <v> </v>
      </c>
      <c r="L1015" s="26"/>
    </row>
    <row r="1016" spans="1:12">
      <c r="A1016" s="20" t="s">
        <v>495</v>
      </c>
      <c r="E1016" s="21">
        <f>IF(D1016="?OLD","!!!","")</f>
        <v/>
      </c>
      <c r="F1016" s="22" t="str">
        <f>IF(OR(E1016="",E1016="!!!"),"",IF(NOT(ISNA(VLOOKUP(E1016,E$1:E1015,1,FALSE()))),"OLD",IF(AND(E1016&lt;&gt;"",E1016&lt;&gt;"!!!"),"NEW","")))</f>
        <v> </v>
      </c>
      <c r="G1016" s="23" t="str">
        <f>IF(OR(E1016="",E1016="!!!"),"",IF(OR(J1016=0,AND(J1016=1,K1016=1),AND(J1016=1,I1016="SBJ"),AND(J1016=1,I1016=0)),"?IN_FOCUS",IF(J1016&lt;=2,"?ACTIVATED",IF(J1016&lt;&gt;"","?FAMILIAR",IF(F1016="NEW",IF(ISNA(VLOOKUP(E1016,#REF!,1,FALSE())),"?TYPE_IDENTIFIABLE","?REFERENTIAL"),"_")))))</f>
        <v> </v>
      </c>
      <c r="H1016" s="24" t="str">
        <f>IF(J1016&lt;&gt;1,"",IF(I1016="SBJ","CB","?"))</f>
        <v> </v>
      </c>
      <c r="I1016" s="25" t="str">
        <f>IF(OR(E1016="",E1016="!!!",F1016="NEW"),"",INDEX(B1015:B$2,-1+SUMPRODUCT(MAX(ROW(E1015:E$2)*(E1016=E1015:E$2)))))</f>
        <v> </v>
      </c>
      <c r="J1016" s="25" t="str">
        <f>IF(OR(E1016="",E1016="!!!",F1016="NEW"),"",COUNTBLANK(OFFSET(A$1,,,SUMPRODUCT(MAX(ROW(E$2:E1016)*(E1016=E$2:E1016)))))-COUNTBLANK(OFFSET(A$1,,,SUMPRODUCT(MAX(ROW(E$1:E1015)*(E2=E$1:E1015))))))</f>
        <v> </v>
      </c>
      <c r="K1016" s="25" t="str">
        <f>IF(OR(E1016="",E1016="!!!",F1016="NEW"),"",INDEX(J$1:J1015,SUMPRODUCT(MAX(ROW(E$1:E1015)*(E1016=E$1:E1015)))))</f>
        <v> </v>
      </c>
      <c r="L1016" s="26"/>
    </row>
    <row r="1017" spans="1:12">
      <c r="A1017" s="20" t="s">
        <v>865</v>
      </c>
      <c r="B1017" s="27" t="s">
        <v>477</v>
      </c>
      <c r="C1017" s="27" t="s">
        <v>498</v>
      </c>
      <c r="E1017" s="21">
        <f>IF(D1017="?OLD","!!!","")</f>
        <v/>
      </c>
      <c r="F1017" s="22" t="str">
        <f>IF(OR(E1017="",E1017="!!!"),"",IF(NOT(ISNA(VLOOKUP(E1017,E$1:E1016,1,FALSE()))),"OLD",IF(AND(E1017&lt;&gt;"",E1017&lt;&gt;"!!!"),"NEW","")))</f>
        <v> </v>
      </c>
      <c r="G1017" s="23" t="str">
        <f>IF(OR(E1017="",E1017="!!!"),"",IF(OR(J1017=0,AND(J1017=1,K1017=1),AND(J1017=1,I1017="SBJ"),AND(J1017=1,I1017=0)),"?IN_FOCUS",IF(J1017&lt;=2,"?ACTIVATED",IF(J1017&lt;&gt;"","?FAMILIAR",IF(F1017="NEW",IF(ISNA(VLOOKUP(E1017,#REF!,1,FALSE())),"?TYPE_IDENTIFIABLE","?REFERENTIAL"),"_")))))</f>
        <v> </v>
      </c>
      <c r="H1017" s="24" t="str">
        <f>IF(J1017&lt;&gt;1,"",IF(I1017="SBJ","CB","?"))</f>
        <v> </v>
      </c>
      <c r="I1017" s="25" t="str">
        <f>IF(OR(E1017="",E1017="!!!",F1017="NEW"),"",INDEX(B1016:B$2,-1+SUMPRODUCT(MAX(ROW(E1016:E$2)*(E1017=E1016:E$2)))))</f>
        <v> </v>
      </c>
      <c r="J1017" s="25" t="str">
        <f>IF(OR(E1017="",E1017="!!!",F1017="NEW"),"",COUNTBLANK(OFFSET(A$1,,,SUMPRODUCT(MAX(ROW(E$2:E1017)*(E1017=E$2:E1017)))))-COUNTBLANK(OFFSET(A$1,,,SUMPRODUCT(MAX(ROW(E$1:E1016)*(E2=E$1:E1016))))))</f>
        <v> </v>
      </c>
      <c r="K1017" s="25" t="str">
        <f>IF(OR(E1017="",E1017="!!!",F1017="NEW"),"",INDEX(J$1:J1016,SUMPRODUCT(MAX(ROW(E$1:E1016)*(E1017=E$1:E1016)))))</f>
        <v> </v>
      </c>
      <c r="L1017" s="26"/>
    </row>
    <row r="1018" spans="1:12">
      <c r="A1018" s="20" t="s">
        <v>870</v>
      </c>
      <c r="E1018" s="21">
        <f>IF(D1018="?OLD","!!!","")</f>
        <v/>
      </c>
      <c r="F1018" s="22" t="str">
        <f>IF(OR(E1018="",E1018="!!!"),"",IF(NOT(ISNA(VLOOKUP(E1018,E$1:E1017,1,FALSE()))),"OLD",IF(AND(E1018&lt;&gt;"",E1018&lt;&gt;"!!!"),"NEW","")))</f>
        <v> </v>
      </c>
      <c r="G1018" s="23" t="str">
        <f>IF(OR(E1018="",E1018="!!!"),"",IF(OR(J1018=0,AND(J1018=1,K1018=1),AND(J1018=1,I1018="SBJ"),AND(J1018=1,I1018=0)),"?IN_FOCUS",IF(J1018&lt;=2,"?ACTIVATED",IF(J1018&lt;&gt;"","?FAMILIAR",IF(F1018="NEW",IF(ISNA(VLOOKUP(E1018,#REF!,1,FALSE())),"?TYPE_IDENTIFIABLE","?REFERENTIAL"),"_")))))</f>
        <v> </v>
      </c>
      <c r="H1018" s="24" t="str">
        <f>IF(J1018&lt;&gt;1,"",IF(I1018="SBJ","CB","?"))</f>
        <v> </v>
      </c>
      <c r="I1018" s="25" t="str">
        <f>IF(OR(E1018="",E1018="!!!",F1018="NEW"),"",INDEX(B1017:B$2,-1+SUMPRODUCT(MAX(ROW(E1017:E$2)*(E1018=E1017:E$2)))))</f>
        <v> </v>
      </c>
      <c r="J1018" s="25" t="str">
        <f>IF(OR(E1018="",E1018="!!!",F1018="NEW"),"",COUNTBLANK(OFFSET(A$1,,,SUMPRODUCT(MAX(ROW(E$2:E1018)*(E1018=E$2:E1018)))))-COUNTBLANK(OFFSET(A$1,,,SUMPRODUCT(MAX(ROW(E$1:E1017)*(E2=E$1:E1017))))))</f>
        <v> </v>
      </c>
      <c r="K1018" s="25" t="str">
        <f>IF(OR(E1018="",E1018="!!!",F1018="NEW"),"",INDEX(J$1:J1017,SUMPRODUCT(MAX(ROW(E$1:E1017)*(E1018=E$1:E1017)))))</f>
        <v> </v>
      </c>
      <c r="L1018" s="26"/>
    </row>
    <row r="1019" spans="1:12">
      <c r="A1019" s="20" t="s">
        <v>531</v>
      </c>
      <c r="E1019" s="21">
        <f>IF(D1019="?OLD","!!!","")</f>
        <v/>
      </c>
      <c r="F1019" s="22" t="str">
        <f>IF(OR(E1019="",E1019="!!!"),"",IF(NOT(ISNA(VLOOKUP(E1019,E$1:E1018,1,FALSE()))),"OLD",IF(AND(E1019&lt;&gt;"",E1019&lt;&gt;"!!!"),"NEW","")))</f>
        <v> </v>
      </c>
      <c r="G1019" s="23" t="str">
        <f>IF(OR(E1019="",E1019="!!!"),"",IF(OR(J1019=0,AND(J1019=1,K1019=1),AND(J1019=1,I1019="SBJ"),AND(J1019=1,I1019=0)),"?IN_FOCUS",IF(J1019&lt;=2,"?ACTIVATED",IF(J1019&lt;&gt;"","?FAMILIAR",IF(F1019="NEW",IF(ISNA(VLOOKUP(E1019,#REF!,1,FALSE())),"?TYPE_IDENTIFIABLE","?REFERENTIAL"),"_")))))</f>
        <v> </v>
      </c>
      <c r="H1019" s="24" t="str">
        <f>IF(J1019&lt;&gt;1,"",IF(I1019="SBJ","CB","?"))</f>
        <v> </v>
      </c>
      <c r="I1019" s="25" t="str">
        <f>IF(OR(E1019="",E1019="!!!",F1019="NEW"),"",INDEX(B1018:B$2,-1+SUMPRODUCT(MAX(ROW(E1018:E$2)*(E1019=E1018:E$2)))))</f>
        <v> </v>
      </c>
      <c r="J1019" s="25" t="str">
        <f>IF(OR(E1019="",E1019="!!!",F1019="NEW"),"",COUNTBLANK(OFFSET(A$1,,,SUMPRODUCT(MAX(ROW(E$2:E1019)*(E1019=E$2:E1019)))))-COUNTBLANK(OFFSET(A$1,,,SUMPRODUCT(MAX(ROW(E$1:E1018)*(E2=E$1:E1018))))))</f>
        <v> </v>
      </c>
      <c r="K1019" s="25" t="str">
        <f>IF(OR(E1019="",E1019="!!!",F1019="NEW"),"",INDEX(J$1:J1018,SUMPRODUCT(MAX(ROW(E$1:E1018)*(E1019=E$1:E1018)))))</f>
        <v> </v>
      </c>
      <c r="L1019" s="26"/>
    </row>
    <row r="1020" spans="1:12">
      <c r="A1020" s="20"/>
    </row>
    <row r="1021" spans="1:12">
      <c r="A1021" s="20" t="s">
        <v>871</v>
      </c>
    </row>
    <row r="1022" spans="1:12">
      <c r="A1022" s="20" t="s">
        <v>633</v>
      </c>
      <c r="E1022" s="21">
        <f>IF(D1022="?OLD","!!!","")</f>
        <v/>
      </c>
      <c r="F1022" s="22" t="str">
        <f>IF(OR(E1022="",E1022="!!!"),"",IF(NOT(ISNA(VLOOKUP(E1022,E$1:E1021,1,FALSE()))),"OLD",IF(AND(E1022&lt;&gt;"",E1022&lt;&gt;"!!!"),"NEW","")))</f>
        <v> </v>
      </c>
      <c r="G1022" s="23" t="str">
        <f>IF(OR(E1022="",E1022="!!!"),"",IF(OR(J1022=0,AND(J1022=1,K1022=1),AND(J1022=1,I1022="SBJ"),AND(J1022=1,I1022=0)),"?IN_FOCUS",IF(J1022&lt;=2,"?ACTIVATED",IF(J1022&lt;&gt;"","?FAMILIAR",IF(F1022="NEW",IF(ISNA(VLOOKUP(E1022,#REF!,1,FALSE())),"?TYPE_IDENTIFIABLE","?REFERENTIAL"),"_")))))</f>
        <v> </v>
      </c>
      <c r="H1022" s="24" t="str">
        <f>IF(J1022&lt;&gt;1,"",IF(I1022="SBJ","CB","?"))</f>
        <v> </v>
      </c>
      <c r="I1022" s="25" t="str">
        <f>IF(OR(E1022="",E1022="!!!",F1022="NEW"),"",INDEX(B1021:B$2,-1+SUMPRODUCT(MAX(ROW(E1021:E$2)*(E1022=E1021:E$2)))))</f>
        <v> </v>
      </c>
      <c r="J1022" s="25" t="str">
        <f>IF(OR(E1022="",E1022="!!!",F1022="NEW"),"",COUNTBLANK(OFFSET(A$1,,,SUMPRODUCT(MAX(ROW(E$2:E1022)*(E1022=E$2:E1022)))))-COUNTBLANK(OFFSET(A$1,,,SUMPRODUCT(MAX(ROW(E$1:E1021)*(E2=E$1:E1021))))))</f>
        <v> </v>
      </c>
      <c r="K1022" s="25" t="str">
        <f>IF(OR(E1022="",E1022="!!!",F1022="NEW"),"",INDEX(J$1:J1021,SUMPRODUCT(MAX(ROW(E$1:E1021)*(E1022=E$1:E1021)))))</f>
        <v> </v>
      </c>
      <c r="L1022" s="26"/>
    </row>
    <row r="1023" spans="1:12">
      <c r="A1023" s="20" t="s">
        <v>872</v>
      </c>
      <c r="B1023" s="27" t="s">
        <v>549</v>
      </c>
      <c r="C1023" s="27" t="s">
        <v>487</v>
      </c>
      <c r="D1023" s="27" t="s">
        <v>483</v>
      </c>
      <c r="E1023" s="21">
        <f>IF(D1023="?OLD","!!!","")</f>
        <v/>
      </c>
      <c r="F1023" s="22" t="str">
        <f>IF(OR(E1023="",E1023="!!!"),"",IF(NOT(ISNA(VLOOKUP(E1023,E$1:E1022,1,FALSE()))),"OLD",IF(AND(E1023&lt;&gt;"",E1023&lt;&gt;"!!!"),"NEW","")))</f>
        <v> </v>
      </c>
      <c r="G1023" s="23" t="str">
        <f>IF(OR(E1023="",E1023="!!!"),"",IF(OR(J1023=0,AND(J1023=1,K1023=1),AND(J1023=1,I1023="SBJ"),AND(J1023=1,I1023=0)),"?IN_FOCUS",IF(J1023&lt;=2,"?ACTIVATED",IF(J1023&lt;&gt;"","?FAMILIAR",IF(F1023="NEW",IF(ISNA(VLOOKUP(E1023,#REF!,1,FALSE())),"?TYPE_IDENTIFIABLE","?REFERENTIAL"),"_")))))</f>
        <v> </v>
      </c>
      <c r="H1023" s="24" t="str">
        <f>IF(J1023&lt;&gt;1,"",IF(I1023="SBJ","CB","?"))</f>
        <v> </v>
      </c>
      <c r="I1023" s="25" t="str">
        <f>IF(OR(E1023="",E1023="!!!",F1023="NEW"),"",INDEX(B1022:B$2,-1+SUMPRODUCT(MAX(ROW(E1022:E$2)*(E1023=E1022:E$2)))))</f>
        <v> </v>
      </c>
      <c r="J1023" s="25" t="str">
        <f>IF(OR(E1023="",E1023="!!!",F1023="NEW"),"",COUNTBLANK(OFFSET(A$1,,,SUMPRODUCT(MAX(ROW(E$2:E1023)*(E1023=E$2:E1023)))))-COUNTBLANK(OFFSET(A$1,,,SUMPRODUCT(MAX(ROW(E$1:E1022)*(E2=E$1:E1022))))))</f>
        <v> </v>
      </c>
      <c r="K1023" s="25" t="str">
        <f>IF(OR(E1023="",E1023="!!!",F1023="NEW"),"",INDEX(J$1:J1022,SUMPRODUCT(MAX(ROW(E$1:E1022)*(E1023=E$1:E1022)))))</f>
        <v> </v>
      </c>
      <c r="L1023" s="26"/>
    </row>
    <row r="1024" spans="1:12">
      <c r="A1024" s="20" t="s">
        <v>557</v>
      </c>
      <c r="E1024" s="21">
        <f>IF(D1024="?OLD","!!!","")</f>
        <v/>
      </c>
      <c r="F1024" s="22" t="str">
        <f>IF(OR(E1024="",E1024="!!!"),"",IF(NOT(ISNA(VLOOKUP(E1024,E$1:E1023,1,FALSE()))),"OLD",IF(AND(E1024&lt;&gt;"",E1024&lt;&gt;"!!!"),"NEW","")))</f>
        <v> </v>
      </c>
      <c r="G1024" s="23" t="str">
        <f>IF(OR(E1024="",E1024="!!!"),"",IF(OR(J1024=0,AND(J1024=1,K1024=1),AND(J1024=1,I1024="SBJ"),AND(J1024=1,I1024=0)),"?IN_FOCUS",IF(J1024&lt;=2,"?ACTIVATED",IF(J1024&lt;&gt;"","?FAMILIAR",IF(F1024="NEW",IF(ISNA(VLOOKUP(E1024,#REF!,1,FALSE())),"?TYPE_IDENTIFIABLE","?REFERENTIAL"),"_")))))</f>
        <v> </v>
      </c>
      <c r="H1024" s="24" t="str">
        <f>IF(J1024&lt;&gt;1,"",IF(I1024="SBJ","CB","?"))</f>
        <v> </v>
      </c>
      <c r="I1024" s="25" t="str">
        <f>IF(OR(E1024="",E1024="!!!",F1024="NEW"),"",INDEX(B1023:B$2,-1+SUMPRODUCT(MAX(ROW(E1023:E$2)*(E1024=E1023:E$2)))))</f>
        <v> </v>
      </c>
      <c r="J1024" s="25" t="str">
        <f>IF(OR(E1024="",E1024="!!!",F1024="NEW"),"",COUNTBLANK(OFFSET(A$1,,,SUMPRODUCT(MAX(ROW(E$2:E1024)*(E1024=E$2:E1024)))))-COUNTBLANK(OFFSET(A$1,,,SUMPRODUCT(MAX(ROW(E$1:E1023)*(E2=E$1:E1023))))))</f>
        <v> </v>
      </c>
      <c r="K1024" s="25" t="str">
        <f>IF(OR(E1024="",E1024="!!!",F1024="NEW"),"",INDEX(J$1:J1023,SUMPRODUCT(MAX(ROW(E$1:E1023)*(E1024=E$1:E1023)))))</f>
        <v> </v>
      </c>
      <c r="L1024" s="26"/>
    </row>
    <row r="1025" spans="1:12">
      <c r="A1025" s="20" t="s">
        <v>873</v>
      </c>
      <c r="E1025" s="21">
        <f>IF(D1025="?OLD","!!!","")</f>
        <v/>
      </c>
      <c r="F1025" s="22" t="str">
        <f>IF(OR(E1025="",E1025="!!!"),"",IF(NOT(ISNA(VLOOKUP(E1025,E$1:E1024,1,FALSE()))),"OLD",IF(AND(E1025&lt;&gt;"",E1025&lt;&gt;"!!!"),"NEW","")))</f>
        <v> </v>
      </c>
      <c r="G1025" s="23" t="str">
        <f>IF(OR(E1025="",E1025="!!!"),"",IF(OR(J1025=0,AND(J1025=1,K1025=1),AND(J1025=1,I1025="SBJ"),AND(J1025=1,I1025=0)),"?IN_FOCUS",IF(J1025&lt;=2,"?ACTIVATED",IF(J1025&lt;&gt;"","?FAMILIAR",IF(F1025="NEW",IF(ISNA(VLOOKUP(E1025,#REF!,1,FALSE())),"?TYPE_IDENTIFIABLE","?REFERENTIAL"),"_")))))</f>
        <v> </v>
      </c>
      <c r="H1025" s="24" t="str">
        <f>IF(J1025&lt;&gt;1,"",IF(I1025="SBJ","CB","?"))</f>
        <v> </v>
      </c>
      <c r="I1025" s="25" t="str">
        <f>IF(OR(E1025="",E1025="!!!",F1025="NEW"),"",INDEX(B1024:B$2,-1+SUMPRODUCT(MAX(ROW(E1024:E$2)*(E1025=E1024:E$2)))))</f>
        <v> </v>
      </c>
      <c r="J1025" s="25" t="str">
        <f>IF(OR(E1025="",E1025="!!!",F1025="NEW"),"",COUNTBLANK(OFFSET(A$1,,,SUMPRODUCT(MAX(ROW(E$2:E1025)*(E1025=E$2:E1025)))))-COUNTBLANK(OFFSET(A$1,,,SUMPRODUCT(MAX(ROW(E$1:E1024)*(E2=E$1:E1024))))))</f>
        <v> </v>
      </c>
      <c r="K1025" s="25" t="str">
        <f>IF(OR(E1025="",E1025="!!!",F1025="NEW"),"",INDEX(J$1:J1024,SUMPRODUCT(MAX(ROW(E$1:E1024)*(E1025=E$1:E1024)))))</f>
        <v> </v>
      </c>
      <c r="L1025" s="26"/>
    </row>
    <row r="1026" spans="1:12">
      <c r="A1026" s="20" t="s">
        <v>805</v>
      </c>
      <c r="E1026" s="21">
        <f>IF(D1026="?OLD","!!!","")</f>
        <v/>
      </c>
      <c r="F1026" s="22" t="str">
        <f>IF(OR(E1026="",E1026="!!!"),"",IF(NOT(ISNA(VLOOKUP(E1026,E$1:E1025,1,FALSE()))),"OLD",IF(AND(E1026&lt;&gt;"",E1026&lt;&gt;"!!!"),"NEW","")))</f>
        <v> </v>
      </c>
      <c r="G1026" s="23" t="str">
        <f>IF(OR(E1026="",E1026="!!!"),"",IF(OR(J1026=0,AND(J1026=1,K1026=1),AND(J1026=1,I1026="SBJ"),AND(J1026=1,I1026=0)),"?IN_FOCUS",IF(J1026&lt;=2,"?ACTIVATED",IF(J1026&lt;&gt;"","?FAMILIAR",IF(F1026="NEW",IF(ISNA(VLOOKUP(E1026,#REF!,1,FALSE())),"?TYPE_IDENTIFIABLE","?REFERENTIAL"),"_")))))</f>
        <v> </v>
      </c>
      <c r="H1026" s="24" t="str">
        <f>IF(J1026&lt;&gt;1,"",IF(I1026="SBJ","CB","?"))</f>
        <v> </v>
      </c>
      <c r="I1026" s="25" t="str">
        <f>IF(OR(E1026="",E1026="!!!",F1026="NEW"),"",INDEX(B1025:B$2,-1+SUMPRODUCT(MAX(ROW(E1025:E$2)*(E1026=E1025:E$2)))))</f>
        <v> </v>
      </c>
      <c r="J1026" s="25" t="str">
        <f>IF(OR(E1026="",E1026="!!!",F1026="NEW"),"",COUNTBLANK(OFFSET(A$1,,,SUMPRODUCT(MAX(ROW(E$2:E1026)*(E1026=E$2:E1026)))))-COUNTBLANK(OFFSET(A$1,,,SUMPRODUCT(MAX(ROW(E$1:E1025)*(E2=E$1:E1025))))))</f>
        <v> </v>
      </c>
      <c r="K1026" s="25" t="str">
        <f>IF(OR(E1026="",E1026="!!!",F1026="NEW"),"",INDEX(J$1:J1025,SUMPRODUCT(MAX(ROW(E$1:E1025)*(E1026=E$1:E1025)))))</f>
        <v> </v>
      </c>
      <c r="L1026" s="26"/>
    </row>
    <row r="1027" spans="1:12">
      <c r="A1027" s="20" t="s">
        <v>662</v>
      </c>
      <c r="B1027" s="27" t="s">
        <v>477</v>
      </c>
      <c r="C1027" s="27" t="s">
        <v>491</v>
      </c>
      <c r="D1027" s="27" t="s">
        <v>483</v>
      </c>
      <c r="E1027" s="21">
        <f>IF(D1027="?OLD","!!!","")</f>
        <v/>
      </c>
      <c r="F1027" s="22" t="str">
        <f>IF(OR(E1027="",E1027="!!!"),"",IF(NOT(ISNA(VLOOKUP(E1027,E$1:E1026,1,FALSE()))),"OLD",IF(AND(E1027&lt;&gt;"",E1027&lt;&gt;"!!!"),"NEW","")))</f>
        <v> </v>
      </c>
      <c r="G1027" s="23" t="str">
        <f>IF(OR(E1027="",E1027="!!!"),"",IF(OR(J1027=0,AND(J1027=1,K1027=1),AND(J1027=1,I1027="SBJ"),AND(J1027=1,I1027=0)),"?IN_FOCUS",IF(J1027&lt;=2,"?ACTIVATED",IF(J1027&lt;&gt;"","?FAMILIAR",IF(F1027="NEW",IF(ISNA(VLOOKUP(E1027,#REF!,1,FALSE())),"?TYPE_IDENTIFIABLE","?REFERENTIAL"),"_")))))</f>
        <v> </v>
      </c>
      <c r="H1027" s="24" t="str">
        <f>IF(J1027&lt;&gt;1,"",IF(I1027="SBJ","CB","?"))</f>
        <v> </v>
      </c>
      <c r="I1027" s="25" t="str">
        <f>IF(OR(E1027="",E1027="!!!",F1027="NEW"),"",INDEX(B1026:B$2,-1+SUMPRODUCT(MAX(ROW(E1026:E$2)*(E1027=E1026:E$2)))))</f>
        <v> </v>
      </c>
      <c r="J1027" s="25" t="str">
        <f>IF(OR(E1027="",E1027="!!!",F1027="NEW"),"",COUNTBLANK(OFFSET(A$1,,,SUMPRODUCT(MAX(ROW(E$2:E1027)*(E1027=E$2:E1027)))))-COUNTBLANK(OFFSET(A$1,,,SUMPRODUCT(MAX(ROW(E$1:E1026)*(E2=E$1:E1026))))))</f>
        <v> </v>
      </c>
      <c r="K1027" s="25" t="str">
        <f>IF(OR(E1027="",E1027="!!!",F1027="NEW"),"",INDEX(J$1:J1026,SUMPRODUCT(MAX(ROW(E$1:E1026)*(E1027=E$1:E1026)))))</f>
        <v> </v>
      </c>
      <c r="L1027" s="26"/>
    </row>
    <row r="1028" spans="1:12">
      <c r="A1028" s="20" t="s">
        <v>531</v>
      </c>
      <c r="E1028" s="21">
        <f>IF(D1028="?OLD","!!!","")</f>
        <v/>
      </c>
      <c r="F1028" s="22" t="str">
        <f>IF(OR(E1028="",E1028="!!!"),"",IF(NOT(ISNA(VLOOKUP(E1028,E$1:E1027,1,FALSE()))),"OLD",IF(AND(E1028&lt;&gt;"",E1028&lt;&gt;"!!!"),"NEW","")))</f>
        <v> </v>
      </c>
      <c r="G1028" s="23" t="str">
        <f>IF(OR(E1028="",E1028="!!!"),"",IF(OR(J1028=0,AND(J1028=1,K1028=1),AND(J1028=1,I1028="SBJ"),AND(J1028=1,I1028=0)),"?IN_FOCUS",IF(J1028&lt;=2,"?ACTIVATED",IF(J1028&lt;&gt;"","?FAMILIAR",IF(F1028="NEW",IF(ISNA(VLOOKUP(E1028,#REF!,1,FALSE())),"?TYPE_IDENTIFIABLE","?REFERENTIAL"),"_")))))</f>
        <v> </v>
      </c>
      <c r="H1028" s="24" t="str">
        <f>IF(J1028&lt;&gt;1,"",IF(I1028="SBJ","CB","?"))</f>
        <v> </v>
      </c>
      <c r="I1028" s="25" t="str">
        <f>IF(OR(E1028="",E1028="!!!",F1028="NEW"),"",INDEX(B1027:B$2,-1+SUMPRODUCT(MAX(ROW(E1027:E$2)*(E1028=E1027:E$2)))))</f>
        <v> </v>
      </c>
      <c r="J1028" s="25" t="str">
        <f>IF(OR(E1028="",E1028="!!!",F1028="NEW"),"",COUNTBLANK(OFFSET(A$1,,,SUMPRODUCT(MAX(ROW(E$2:E1028)*(E1028=E$2:E1028)))))-COUNTBLANK(OFFSET(A$1,,,SUMPRODUCT(MAX(ROW(E$1:E1027)*(E2=E$1:E1027))))))</f>
        <v> </v>
      </c>
      <c r="K1028" s="25" t="str">
        <f>IF(OR(E1028="",E1028="!!!",F1028="NEW"),"",INDEX(J$1:J1027,SUMPRODUCT(MAX(ROW(E$1:E1027)*(E1028=E$1:E1027)))))</f>
        <v> </v>
      </c>
      <c r="L1028" s="26"/>
    </row>
    <row r="1029" spans="1:12">
      <c r="A1029" s="20"/>
    </row>
    <row r="1030" spans="1:12">
      <c r="A1030" s="20" t="s">
        <v>874</v>
      </c>
    </row>
    <row r="1031" spans="1:12">
      <c r="A1031" s="20" t="s">
        <v>875</v>
      </c>
      <c r="E1031" s="21">
        <f>IF(D1031="?OLD","!!!","")</f>
        <v/>
      </c>
      <c r="F1031" s="22" t="str">
        <f>IF(OR(E1031="",E1031="!!!"),"",IF(NOT(ISNA(VLOOKUP(E1031,E$1:E1030,1,FALSE()))),"OLD",IF(AND(E1031&lt;&gt;"",E1031&lt;&gt;"!!!"),"NEW","")))</f>
        <v> </v>
      </c>
      <c r="G1031" s="23" t="str">
        <f>IF(OR(E1031="",E1031="!!!"),"",IF(OR(J1031=0,AND(J1031=1,K1031=1),AND(J1031=1,I1031="SBJ"),AND(J1031=1,I1031=0)),"?IN_FOCUS",IF(J1031&lt;=2,"?ACTIVATED",IF(J1031&lt;&gt;"","?FAMILIAR",IF(F1031="NEW",IF(ISNA(VLOOKUP(E1031,#REF!,1,FALSE())),"?TYPE_IDENTIFIABLE","?REFERENTIAL"),"_")))))</f>
        <v> </v>
      </c>
      <c r="H1031" s="24" t="str">
        <f>IF(J1031&lt;&gt;1,"",IF(I1031="SBJ","CB","?"))</f>
        <v> </v>
      </c>
      <c r="I1031" s="25" t="str">
        <f>IF(OR(E1031="",E1031="!!!",F1031="NEW"),"",INDEX(B1030:B$2,-1+SUMPRODUCT(MAX(ROW(E1030:E$2)*(E1031=E1030:E$2)))))</f>
        <v> </v>
      </c>
      <c r="J1031" s="25" t="str">
        <f>IF(OR(E1031="",E1031="!!!",F1031="NEW"),"",COUNTBLANK(OFFSET(A$1,,,SUMPRODUCT(MAX(ROW(E$2:E1031)*(E1031=E$2:E1031)))))-COUNTBLANK(OFFSET(A$1,,,SUMPRODUCT(MAX(ROW(E$1:E1030)*(E2=E$1:E1030))))))</f>
        <v> </v>
      </c>
      <c r="K1031" s="25" t="str">
        <f>IF(OR(E1031="",E1031="!!!",F1031="NEW"),"",INDEX(J$1:J1030,SUMPRODUCT(MAX(ROW(E$1:E1030)*(E1031=E$1:E1030)))))</f>
        <v> </v>
      </c>
      <c r="L1031" s="26"/>
    </row>
    <row r="1032" spans="1:12">
      <c r="A1032" s="20" t="s">
        <v>824</v>
      </c>
      <c r="B1032" s="27" t="s">
        <v>549</v>
      </c>
      <c r="C1032" s="27" t="s">
        <v>498</v>
      </c>
      <c r="E1032" s="21">
        <f>IF(D1032="?OLD","!!!","")</f>
        <v/>
      </c>
      <c r="F1032" s="22" t="str">
        <f>IF(OR(E1032="",E1032="!!!"),"",IF(NOT(ISNA(VLOOKUP(E1032,E$1:E1031,1,FALSE()))),"OLD",IF(AND(E1032&lt;&gt;"",E1032&lt;&gt;"!!!"),"NEW","")))</f>
        <v> </v>
      </c>
      <c r="G1032" s="23" t="str">
        <f>IF(OR(E1032="",E1032="!!!"),"",IF(OR(J1032=0,AND(J1032=1,K1032=1),AND(J1032=1,I1032="SBJ"),AND(J1032=1,I1032=0)),"?IN_FOCUS",IF(J1032&lt;=2,"?ACTIVATED",IF(J1032&lt;&gt;"","?FAMILIAR",IF(F1032="NEW",IF(ISNA(VLOOKUP(E1032,#REF!,1,FALSE())),"?TYPE_IDENTIFIABLE","?REFERENTIAL"),"_")))))</f>
        <v> </v>
      </c>
      <c r="H1032" s="24" t="str">
        <f>IF(J1032&lt;&gt;1,"",IF(I1032="SBJ","CB","?"))</f>
        <v> </v>
      </c>
      <c r="I1032" s="25" t="str">
        <f>IF(OR(E1032="",E1032="!!!",F1032="NEW"),"",INDEX(B1031:B$2,-1+SUMPRODUCT(MAX(ROW(E1031:E$2)*(E1032=E1031:E$2)))))</f>
        <v> </v>
      </c>
      <c r="J1032" s="25" t="str">
        <f>IF(OR(E1032="",E1032="!!!",F1032="NEW"),"",COUNTBLANK(OFFSET(A$1,,,SUMPRODUCT(MAX(ROW(E$2:E1032)*(E1032=E$2:E1032)))))-COUNTBLANK(OFFSET(A$1,,,SUMPRODUCT(MAX(ROW(E$1:E1031)*(E2=E$1:E1031))))))</f>
        <v> </v>
      </c>
      <c r="K1032" s="25" t="str">
        <f>IF(OR(E1032="",E1032="!!!",F1032="NEW"),"",INDEX(J$1:J1031,SUMPRODUCT(MAX(ROW(E$1:E1031)*(E1032=E$1:E1031)))))</f>
        <v> </v>
      </c>
      <c r="L1032" s="26"/>
    </row>
    <row r="1033" spans="1:12">
      <c r="A1033" s="20" t="s">
        <v>489</v>
      </c>
      <c r="E1033" s="21">
        <f>IF(D1033="?OLD","!!!","")</f>
        <v/>
      </c>
      <c r="F1033" s="22" t="str">
        <f>IF(OR(E1033="",E1033="!!!"),"",IF(NOT(ISNA(VLOOKUP(E1033,E$1:E1032,1,FALSE()))),"OLD",IF(AND(E1033&lt;&gt;"",E1033&lt;&gt;"!!!"),"NEW","")))</f>
        <v> </v>
      </c>
      <c r="G1033" s="23" t="str">
        <f>IF(OR(E1033="",E1033="!!!"),"",IF(OR(J1033=0,AND(J1033=1,K1033=1),AND(J1033=1,I1033="SBJ"),AND(J1033=1,I1033=0)),"?IN_FOCUS",IF(J1033&lt;=2,"?ACTIVATED",IF(J1033&lt;&gt;"","?FAMILIAR",IF(F1033="NEW",IF(ISNA(VLOOKUP(E1033,#REF!,1,FALSE())),"?TYPE_IDENTIFIABLE","?REFERENTIAL"),"_")))))</f>
        <v> </v>
      </c>
      <c r="H1033" s="24" t="str">
        <f>IF(J1033&lt;&gt;1,"",IF(I1033="SBJ","CB","?"))</f>
        <v> </v>
      </c>
      <c r="I1033" s="25" t="str">
        <f>IF(OR(E1033="",E1033="!!!",F1033="NEW"),"",INDEX(B1032:B$2,-1+SUMPRODUCT(MAX(ROW(E1032:E$2)*(E1033=E1032:E$2)))))</f>
        <v> </v>
      </c>
      <c r="J1033" s="25" t="str">
        <f>IF(OR(E1033="",E1033="!!!",F1033="NEW"),"",COUNTBLANK(OFFSET(A$1,,,SUMPRODUCT(MAX(ROW(E$2:E1033)*(E1033=E$2:E1033)))))-COUNTBLANK(OFFSET(A$1,,,SUMPRODUCT(MAX(ROW(E$1:E1032)*(E2=E$1:E1032))))))</f>
        <v> </v>
      </c>
      <c r="K1033" s="25" t="str">
        <f>IF(OR(E1033="",E1033="!!!",F1033="NEW"),"",INDEX(J$1:J1032,SUMPRODUCT(MAX(ROW(E$1:E1032)*(E1033=E$1:E1032)))))</f>
        <v> </v>
      </c>
      <c r="L1033" s="26"/>
    </row>
    <row r="1034" spans="1:12">
      <c r="A1034" s="20" t="s">
        <v>876</v>
      </c>
      <c r="E1034" s="21">
        <f>IF(D1034="?OLD","!!!","")</f>
        <v/>
      </c>
      <c r="F1034" s="22" t="str">
        <f>IF(OR(E1034="",E1034="!!!"),"",IF(NOT(ISNA(VLOOKUP(E1034,E$1:E1033,1,FALSE()))),"OLD",IF(AND(E1034&lt;&gt;"",E1034&lt;&gt;"!!!"),"NEW","")))</f>
        <v> </v>
      </c>
      <c r="G1034" s="23" t="str">
        <f>IF(OR(E1034="",E1034="!!!"),"",IF(OR(J1034=0,AND(J1034=1,K1034=1),AND(J1034=1,I1034="SBJ"),AND(J1034=1,I1034=0)),"?IN_FOCUS",IF(J1034&lt;=2,"?ACTIVATED",IF(J1034&lt;&gt;"","?FAMILIAR",IF(F1034="NEW",IF(ISNA(VLOOKUP(E1034,#REF!,1,FALSE())),"?TYPE_IDENTIFIABLE","?REFERENTIAL"),"_")))))</f>
        <v> </v>
      </c>
      <c r="H1034" s="24" t="str">
        <f>IF(J1034&lt;&gt;1,"",IF(I1034="SBJ","CB","?"))</f>
        <v> </v>
      </c>
      <c r="I1034" s="25" t="str">
        <f>IF(OR(E1034="",E1034="!!!",F1034="NEW"),"",INDEX(B1033:B$2,-1+SUMPRODUCT(MAX(ROW(E1033:E$2)*(E1034=E1033:E$2)))))</f>
        <v> </v>
      </c>
      <c r="J1034" s="25" t="str">
        <f>IF(OR(E1034="",E1034="!!!",F1034="NEW"),"",COUNTBLANK(OFFSET(A$1,,,SUMPRODUCT(MAX(ROW(E$2:E1034)*(E1034=E$2:E1034)))))-COUNTBLANK(OFFSET(A$1,,,SUMPRODUCT(MAX(ROW(E$1:E1033)*(E2=E$1:E1033))))))</f>
        <v> </v>
      </c>
      <c r="K1034" s="25" t="str">
        <f>IF(OR(E1034="",E1034="!!!",F1034="NEW"),"",INDEX(J$1:J1033,SUMPRODUCT(MAX(ROW(E$1:E1033)*(E1034=E$1:E1033)))))</f>
        <v> </v>
      </c>
      <c r="L1034" s="26"/>
    </row>
    <row r="1035" spans="1:12">
      <c r="A1035" s="20" t="s">
        <v>877</v>
      </c>
      <c r="B1035" s="27" t="s">
        <v>490</v>
      </c>
      <c r="C1035" s="27" t="s">
        <v>538</v>
      </c>
      <c r="D1035" s="27" t="s">
        <v>483</v>
      </c>
      <c r="E1035" s="21">
        <f>IF(D1035="?OLD","!!!","")</f>
        <v/>
      </c>
      <c r="F1035" s="22" t="str">
        <f>IF(OR(E1035="",E1035="!!!"),"",IF(NOT(ISNA(VLOOKUP(E1035,E$1:E1034,1,FALSE()))),"OLD",IF(AND(E1035&lt;&gt;"",E1035&lt;&gt;"!!!"),"NEW","")))</f>
        <v> </v>
      </c>
      <c r="G1035" s="23" t="str">
        <f>IF(OR(E1035="",E1035="!!!"),"",IF(OR(J1035=0,AND(J1035=1,K1035=1),AND(J1035=1,I1035="SBJ"),AND(J1035=1,I1035=0)),"?IN_FOCUS",IF(J1035&lt;=2,"?ACTIVATED",IF(J1035&lt;&gt;"","?FAMILIAR",IF(F1035="NEW",IF(ISNA(VLOOKUP(E1035,#REF!,1,FALSE())),"?TYPE_IDENTIFIABLE","?REFERENTIAL"),"_")))))</f>
        <v> </v>
      </c>
      <c r="H1035" s="24" t="str">
        <f>IF(J1035&lt;&gt;1,"",IF(I1035="SBJ","CB","?"))</f>
        <v> </v>
      </c>
      <c r="I1035" s="25" t="str">
        <f>IF(OR(E1035="",E1035="!!!",F1035="NEW"),"",INDEX(B1034:B$2,-1+SUMPRODUCT(MAX(ROW(E1034:E$2)*(E1035=E1034:E$2)))))</f>
        <v> </v>
      </c>
      <c r="J1035" s="25" t="str">
        <f>IF(OR(E1035="",E1035="!!!",F1035="NEW"),"",COUNTBLANK(OFFSET(A$1,,,SUMPRODUCT(MAX(ROW(E$2:E1035)*(E1035=E$2:E1035)))))-COUNTBLANK(OFFSET(A$1,,,SUMPRODUCT(MAX(ROW(E$1:E1034)*(E2=E$1:E1034))))))</f>
        <v> </v>
      </c>
      <c r="K1035" s="25" t="str">
        <f>IF(OR(E1035="",E1035="!!!",F1035="NEW"),"",INDEX(J$1:J1034,SUMPRODUCT(MAX(ROW(E$1:E1034)*(E1035=E$1:E1034)))))</f>
        <v> </v>
      </c>
      <c r="L1035" s="26"/>
    </row>
    <row r="1036" spans="1:12">
      <c r="A1036" s="20" t="s">
        <v>503</v>
      </c>
      <c r="E1036" s="21">
        <f>IF(D1036="?OLD","!!!","")</f>
        <v/>
      </c>
      <c r="F1036" s="22" t="str">
        <f>IF(OR(E1036="",E1036="!!!"),"",IF(NOT(ISNA(VLOOKUP(E1036,E$1:E1035,1,FALSE()))),"OLD",IF(AND(E1036&lt;&gt;"",E1036&lt;&gt;"!!!"),"NEW","")))</f>
        <v> </v>
      </c>
      <c r="G1036" s="23" t="str">
        <f>IF(OR(E1036="",E1036="!!!"),"",IF(OR(J1036=0,AND(J1036=1,K1036=1),AND(J1036=1,I1036="SBJ"),AND(J1036=1,I1036=0)),"?IN_FOCUS",IF(J1036&lt;=2,"?ACTIVATED",IF(J1036&lt;&gt;"","?FAMILIAR",IF(F1036="NEW",IF(ISNA(VLOOKUP(E1036,#REF!,1,FALSE())),"?TYPE_IDENTIFIABLE","?REFERENTIAL"),"_")))))</f>
        <v> </v>
      </c>
      <c r="H1036" s="24" t="str">
        <f>IF(J1036&lt;&gt;1,"",IF(I1036="SBJ","CB","?"))</f>
        <v> </v>
      </c>
      <c r="I1036" s="25" t="str">
        <f>IF(OR(E1036="",E1036="!!!",F1036="NEW"),"",INDEX(B1035:B$2,-1+SUMPRODUCT(MAX(ROW(E1035:E$2)*(E1036=E1035:E$2)))))</f>
        <v> </v>
      </c>
      <c r="J1036" s="25" t="str">
        <f>IF(OR(E1036="",E1036="!!!",F1036="NEW"),"",COUNTBLANK(OFFSET(A$1,,,SUMPRODUCT(MAX(ROW(E$2:E1036)*(E1036=E$2:E1036)))))-COUNTBLANK(OFFSET(A$1,,,SUMPRODUCT(MAX(ROW(E$1:E1035)*(E2=E$1:E1035))))))</f>
        <v> </v>
      </c>
      <c r="K1036" s="25" t="str">
        <f>IF(OR(E1036="",E1036="!!!",F1036="NEW"),"",INDEX(J$1:J1035,SUMPRODUCT(MAX(ROW(E$1:E1035)*(E1036=E$1:E1035)))))</f>
        <v> </v>
      </c>
      <c r="L1036" s="26"/>
    </row>
    <row r="1037" spans="1:12">
      <c r="A1037" s="20" t="s">
        <v>485</v>
      </c>
      <c r="E1037" s="21">
        <f>IF(D1037="?OLD","!!!","")</f>
        <v/>
      </c>
      <c r="F1037" s="22" t="str">
        <f>IF(OR(E1037="",E1037="!!!"),"",IF(NOT(ISNA(VLOOKUP(E1037,E$1:E1036,1,FALSE()))),"OLD",IF(AND(E1037&lt;&gt;"",E1037&lt;&gt;"!!!"),"NEW","")))</f>
        <v> </v>
      </c>
      <c r="G1037" s="23" t="str">
        <f>IF(OR(E1037="",E1037="!!!"),"",IF(OR(J1037=0,AND(J1037=1,K1037=1),AND(J1037=1,I1037="SBJ"),AND(J1037=1,I1037=0)),"?IN_FOCUS",IF(J1037&lt;=2,"?ACTIVATED",IF(J1037&lt;&gt;"","?FAMILIAR",IF(F1037="NEW",IF(ISNA(VLOOKUP(E1037,#REF!,1,FALSE())),"?TYPE_IDENTIFIABLE","?REFERENTIAL"),"_")))))</f>
        <v> </v>
      </c>
      <c r="H1037" s="24" t="str">
        <f>IF(J1037&lt;&gt;1,"",IF(I1037="SBJ","CB","?"))</f>
        <v> </v>
      </c>
      <c r="I1037" s="25" t="str">
        <f>IF(OR(E1037="",E1037="!!!",F1037="NEW"),"",INDEX(B1036:B$2,-1+SUMPRODUCT(MAX(ROW(E1036:E$2)*(E1037=E1036:E$2)))))</f>
        <v> </v>
      </c>
      <c r="J1037" s="25" t="str">
        <f>IF(OR(E1037="",E1037="!!!",F1037="NEW"),"",COUNTBLANK(OFFSET(A$1,,,SUMPRODUCT(MAX(ROW(E$2:E1037)*(E1037=E$2:E1037)))))-COUNTBLANK(OFFSET(A$1,,,SUMPRODUCT(MAX(ROW(E$1:E1036)*(E2=E$1:E1036))))))</f>
        <v> </v>
      </c>
      <c r="K1037" s="25" t="str">
        <f>IF(OR(E1037="",E1037="!!!",F1037="NEW"),"",INDEX(J$1:J1036,SUMPRODUCT(MAX(ROW(E$1:E1036)*(E1037=E$1:E1036)))))</f>
        <v> </v>
      </c>
      <c r="L1037" s="26"/>
    </row>
    <row r="1038" spans="1:12">
      <c r="A1038" s="20" t="s">
        <v>878</v>
      </c>
      <c r="B1038" s="27" t="s">
        <v>540</v>
      </c>
      <c r="C1038" s="27" t="s">
        <v>487</v>
      </c>
      <c r="D1038" s="27" t="s">
        <v>483</v>
      </c>
      <c r="E1038" s="21">
        <f>IF(D1038="?OLD","!!!","")</f>
        <v/>
      </c>
      <c r="F1038" s="22" t="str">
        <f>IF(OR(E1038="",E1038="!!!"),"",IF(NOT(ISNA(VLOOKUP(E1038,E$1:E1037,1,FALSE()))),"OLD",IF(AND(E1038&lt;&gt;"",E1038&lt;&gt;"!!!"),"NEW","")))</f>
        <v> </v>
      </c>
      <c r="G1038" s="23" t="str">
        <f>IF(OR(E1038="",E1038="!!!"),"",IF(OR(J1038=0,AND(J1038=1,K1038=1),AND(J1038=1,I1038="SBJ"),AND(J1038=1,I1038=0)),"?IN_FOCUS",IF(J1038&lt;=2,"?ACTIVATED",IF(J1038&lt;&gt;"","?FAMILIAR",IF(F1038="NEW",IF(ISNA(VLOOKUP(E1038,#REF!,1,FALSE())),"?TYPE_IDENTIFIABLE","?REFERENTIAL"),"_")))))</f>
        <v> </v>
      </c>
      <c r="H1038" s="24" t="str">
        <f>IF(J1038&lt;&gt;1,"",IF(I1038="SBJ","CB","?"))</f>
        <v> </v>
      </c>
      <c r="I1038" s="25" t="str">
        <f>IF(OR(E1038="",E1038="!!!",F1038="NEW"),"",INDEX(B1037:B$2,-1+SUMPRODUCT(MAX(ROW(E1037:E$2)*(E1038=E1037:E$2)))))</f>
        <v> </v>
      </c>
      <c r="J1038" s="25" t="str">
        <f>IF(OR(E1038="",E1038="!!!",F1038="NEW"),"",COUNTBLANK(OFFSET(A$1,,,SUMPRODUCT(MAX(ROW(E$2:E1038)*(E1038=E$2:E1038)))))-COUNTBLANK(OFFSET(A$1,,,SUMPRODUCT(MAX(ROW(E$1:E1037)*(E2=E$1:E1037))))))</f>
        <v> </v>
      </c>
      <c r="K1038" s="25" t="str">
        <f>IF(OR(E1038="",E1038="!!!",F1038="NEW"),"",INDEX(J$1:J1037,SUMPRODUCT(MAX(ROW(E$1:E1037)*(E1038=E$1:E1037)))))</f>
        <v> </v>
      </c>
      <c r="L1038" s="26"/>
    </row>
    <row r="1039" spans="1:12">
      <c r="A1039" s="20" t="s">
        <v>680</v>
      </c>
      <c r="E1039" s="21">
        <f>IF(D1039="?OLD","!!!","")</f>
        <v/>
      </c>
      <c r="F1039" s="22" t="str">
        <f>IF(OR(E1039="",E1039="!!!"),"",IF(NOT(ISNA(VLOOKUP(E1039,E$1:E1038,1,FALSE()))),"OLD",IF(AND(E1039&lt;&gt;"",E1039&lt;&gt;"!!!"),"NEW","")))</f>
        <v> </v>
      </c>
      <c r="G1039" s="23" t="str">
        <f>IF(OR(E1039="",E1039="!!!"),"",IF(OR(J1039=0,AND(J1039=1,K1039=1),AND(J1039=1,I1039="SBJ"),AND(J1039=1,I1039=0)),"?IN_FOCUS",IF(J1039&lt;=2,"?ACTIVATED",IF(J1039&lt;&gt;"","?FAMILIAR",IF(F1039="NEW",IF(ISNA(VLOOKUP(E1039,#REF!,1,FALSE())),"?TYPE_IDENTIFIABLE","?REFERENTIAL"),"_")))))</f>
        <v> </v>
      </c>
      <c r="H1039" s="24" t="str">
        <f>IF(J1039&lt;&gt;1,"",IF(I1039="SBJ","CB","?"))</f>
        <v> </v>
      </c>
      <c r="I1039" s="25" t="str">
        <f>IF(OR(E1039="",E1039="!!!",F1039="NEW"),"",INDEX(B1038:B$2,-1+SUMPRODUCT(MAX(ROW(E1038:E$2)*(E1039=E1038:E$2)))))</f>
        <v> </v>
      </c>
      <c r="J1039" s="25" t="str">
        <f>IF(OR(E1039="",E1039="!!!",F1039="NEW"),"",COUNTBLANK(OFFSET(A$1,,,SUMPRODUCT(MAX(ROW(E$2:E1039)*(E1039=E$2:E1039)))))-COUNTBLANK(OFFSET(A$1,,,SUMPRODUCT(MAX(ROW(E$1:E1038)*(E2=E$1:E1038))))))</f>
        <v> </v>
      </c>
      <c r="K1039" s="25" t="str">
        <f>IF(OR(E1039="",E1039="!!!",F1039="NEW"),"",INDEX(J$1:J1038,SUMPRODUCT(MAX(ROW(E$1:E1038)*(E1039=E$1:E1038)))))</f>
        <v> </v>
      </c>
      <c r="L1039" s="26"/>
    </row>
    <row r="1040" spans="1:12">
      <c r="A1040" s="20" t="s">
        <v>558</v>
      </c>
      <c r="E1040" s="21">
        <f>IF(D1040="?OLD","!!!","")</f>
        <v/>
      </c>
      <c r="F1040" s="22" t="str">
        <f>IF(OR(E1040="",E1040="!!!"),"",IF(NOT(ISNA(VLOOKUP(E1040,E$1:E1039,1,FALSE()))),"OLD",IF(AND(E1040&lt;&gt;"",E1040&lt;&gt;"!!!"),"NEW","")))</f>
        <v> </v>
      </c>
      <c r="G1040" s="23" t="str">
        <f>IF(OR(E1040="",E1040="!!!"),"",IF(OR(J1040=0,AND(J1040=1,K1040=1),AND(J1040=1,I1040="SBJ"),AND(J1040=1,I1040=0)),"?IN_FOCUS",IF(J1040&lt;=2,"?ACTIVATED",IF(J1040&lt;&gt;"","?FAMILIAR",IF(F1040="NEW",IF(ISNA(VLOOKUP(E1040,#REF!,1,FALSE())),"?TYPE_IDENTIFIABLE","?REFERENTIAL"),"_")))))</f>
        <v> </v>
      </c>
      <c r="H1040" s="24" t="str">
        <f>IF(J1040&lt;&gt;1,"",IF(I1040="SBJ","CB","?"))</f>
        <v> </v>
      </c>
      <c r="I1040" s="25" t="str">
        <f>IF(OR(E1040="",E1040="!!!",F1040="NEW"),"",INDEX(B1039:B$2,-1+SUMPRODUCT(MAX(ROW(E1039:E$2)*(E1040=E1039:E$2)))))</f>
        <v> </v>
      </c>
      <c r="J1040" s="25" t="str">
        <f>IF(OR(E1040="",E1040="!!!",F1040="NEW"),"",COUNTBLANK(OFFSET(A$1,,,SUMPRODUCT(MAX(ROW(E$2:E1040)*(E1040=E$2:E1040)))))-COUNTBLANK(OFFSET(A$1,,,SUMPRODUCT(MAX(ROW(E$1:E1039)*(E2=E$1:E1039))))))</f>
        <v> </v>
      </c>
      <c r="K1040" s="25" t="str">
        <f>IF(OR(E1040="",E1040="!!!",F1040="NEW"),"",INDEX(J$1:J1039,SUMPRODUCT(MAX(ROW(E$1:E1039)*(E1040=E$1:E1039)))))</f>
        <v> </v>
      </c>
      <c r="L1040" s="26"/>
    </row>
    <row r="1041" spans="1:12">
      <c r="A1041" s="20" t="s">
        <v>675</v>
      </c>
      <c r="E1041" s="21">
        <f>IF(D1041="?OLD","!!!","")</f>
        <v/>
      </c>
      <c r="F1041" s="22" t="str">
        <f>IF(OR(E1041="",E1041="!!!"),"",IF(NOT(ISNA(VLOOKUP(E1041,E$1:E1040,1,FALSE()))),"OLD",IF(AND(E1041&lt;&gt;"",E1041&lt;&gt;"!!!"),"NEW","")))</f>
        <v> </v>
      </c>
      <c r="G1041" s="23" t="str">
        <f>IF(OR(E1041="",E1041="!!!"),"",IF(OR(J1041=0,AND(J1041=1,K1041=1),AND(J1041=1,I1041="SBJ"),AND(J1041=1,I1041=0)),"?IN_FOCUS",IF(J1041&lt;=2,"?ACTIVATED",IF(J1041&lt;&gt;"","?FAMILIAR",IF(F1041="NEW",IF(ISNA(VLOOKUP(E1041,#REF!,1,FALSE())),"?TYPE_IDENTIFIABLE","?REFERENTIAL"),"_")))))</f>
        <v> </v>
      </c>
      <c r="H1041" s="24" t="str">
        <f>IF(J1041&lt;&gt;1,"",IF(I1041="SBJ","CB","?"))</f>
        <v> </v>
      </c>
      <c r="I1041" s="25" t="str">
        <f>IF(OR(E1041="",E1041="!!!",F1041="NEW"),"",INDEX(B1040:B$2,-1+SUMPRODUCT(MAX(ROW(E1040:E$2)*(E1041=E1040:E$2)))))</f>
        <v> </v>
      </c>
      <c r="J1041" s="25" t="str">
        <f>IF(OR(E1041="",E1041="!!!",F1041="NEW"),"",COUNTBLANK(OFFSET(A$1,,,SUMPRODUCT(MAX(ROW(E$2:E1041)*(E1041=E$2:E1041)))))-COUNTBLANK(OFFSET(A$1,,,SUMPRODUCT(MAX(ROW(E$1:E1040)*(E2=E$1:E1040))))))</f>
        <v> </v>
      </c>
      <c r="K1041" s="25" t="str">
        <f>IF(OR(E1041="",E1041="!!!",F1041="NEW"),"",INDEX(J$1:J1040,SUMPRODUCT(MAX(ROW(E$1:E1040)*(E1041=E$1:E1040)))))</f>
        <v> </v>
      </c>
      <c r="L1041" s="26"/>
    </row>
    <row r="1042" spans="1:12">
      <c r="A1042" s="20" t="s">
        <v>395</v>
      </c>
      <c r="E1042" s="21">
        <f>IF(D1042="?OLD","!!!","")</f>
        <v/>
      </c>
      <c r="F1042" s="22" t="str">
        <f>IF(OR(E1042="",E1042="!!!"),"",IF(NOT(ISNA(VLOOKUP(E1042,E$1:E1041,1,FALSE()))),"OLD",IF(AND(E1042&lt;&gt;"",E1042&lt;&gt;"!!!"),"NEW","")))</f>
        <v> </v>
      </c>
      <c r="G1042" s="23" t="str">
        <f>IF(OR(E1042="",E1042="!!!"),"",IF(OR(J1042=0,AND(J1042=1,K1042=1),AND(J1042=1,I1042="SBJ"),AND(J1042=1,I1042=0)),"?IN_FOCUS",IF(J1042&lt;=2,"?ACTIVATED",IF(J1042&lt;&gt;"","?FAMILIAR",IF(F1042="NEW",IF(ISNA(VLOOKUP(E1042,#REF!,1,FALSE())),"?TYPE_IDENTIFIABLE","?REFERENTIAL"),"_")))))</f>
        <v> </v>
      </c>
      <c r="H1042" s="24" t="str">
        <f>IF(J1042&lt;&gt;1,"",IF(I1042="SBJ","CB","?"))</f>
        <v> </v>
      </c>
      <c r="I1042" s="25" t="str">
        <f>IF(OR(E1042="",E1042="!!!",F1042="NEW"),"",INDEX(B1041:B$2,-1+SUMPRODUCT(MAX(ROW(E1041:E$2)*(E1042=E1041:E$2)))))</f>
        <v> </v>
      </c>
      <c r="J1042" s="25" t="str">
        <f>IF(OR(E1042="",E1042="!!!",F1042="NEW"),"",COUNTBLANK(OFFSET(A$1,,,SUMPRODUCT(MAX(ROW(E$2:E1042)*(E1042=E$2:E1042)))))-COUNTBLANK(OFFSET(A$1,,,SUMPRODUCT(MAX(ROW(E$1:E1041)*(E2=E$1:E1041))))))</f>
        <v> </v>
      </c>
      <c r="K1042" s="25" t="str">
        <f>IF(OR(E1042="",E1042="!!!",F1042="NEW"),"",INDEX(J$1:J1041,SUMPRODUCT(MAX(ROW(E$1:E1041)*(E1042=E$1:E1041)))))</f>
        <v> </v>
      </c>
      <c r="L1042" s="26"/>
    </row>
    <row r="1043" spans="1:12">
      <c r="A1043" s="20" t="s">
        <v>879</v>
      </c>
      <c r="E1043" s="21">
        <f>IF(D1043="?OLD","!!!","")</f>
        <v/>
      </c>
      <c r="F1043" s="22" t="str">
        <f>IF(OR(E1043="",E1043="!!!"),"",IF(NOT(ISNA(VLOOKUP(E1043,E$1:E1042,1,FALSE()))),"OLD",IF(AND(E1043&lt;&gt;"",E1043&lt;&gt;"!!!"),"NEW","")))</f>
        <v> </v>
      </c>
      <c r="G1043" s="23" t="str">
        <f>IF(OR(E1043="",E1043="!!!"),"",IF(OR(J1043=0,AND(J1043=1,K1043=1),AND(J1043=1,I1043="SBJ"),AND(J1043=1,I1043=0)),"?IN_FOCUS",IF(J1043&lt;=2,"?ACTIVATED",IF(J1043&lt;&gt;"","?FAMILIAR",IF(F1043="NEW",IF(ISNA(VLOOKUP(E1043,#REF!,1,FALSE())),"?TYPE_IDENTIFIABLE","?REFERENTIAL"),"_")))))</f>
        <v> </v>
      </c>
      <c r="H1043" s="24" t="str">
        <f>IF(J1043&lt;&gt;1,"",IF(I1043="SBJ","CB","?"))</f>
        <v> </v>
      </c>
      <c r="I1043" s="25" t="str">
        <f>IF(OR(E1043="",E1043="!!!",F1043="NEW"),"",INDEX(B1042:B$2,-1+SUMPRODUCT(MAX(ROW(E1042:E$2)*(E1043=E1042:E$2)))))</f>
        <v> </v>
      </c>
      <c r="J1043" s="25" t="str">
        <f>IF(OR(E1043="",E1043="!!!",F1043="NEW"),"",COUNTBLANK(OFFSET(A$1,,,SUMPRODUCT(MAX(ROW(E$2:E1043)*(E1043=E$2:E1043)))))-COUNTBLANK(OFFSET(A$1,,,SUMPRODUCT(MAX(ROW(E$1:E1042)*(E2=E$1:E1042))))))</f>
        <v> </v>
      </c>
      <c r="K1043" s="25" t="str">
        <f>IF(OR(E1043="",E1043="!!!",F1043="NEW"),"",INDEX(J$1:J1042,SUMPRODUCT(MAX(ROW(E$1:E1042)*(E1043=E$1:E1042)))))</f>
        <v> </v>
      </c>
      <c r="L1043" s="26"/>
    </row>
    <row r="1044" spans="1:12">
      <c r="A1044" s="20" t="s">
        <v>762</v>
      </c>
      <c r="E1044" s="21">
        <f>IF(D1044="?OLD","!!!","")</f>
        <v/>
      </c>
      <c r="F1044" s="22" t="str">
        <f>IF(OR(E1044="",E1044="!!!"),"",IF(NOT(ISNA(VLOOKUP(E1044,E$1:E1043,1,FALSE()))),"OLD",IF(AND(E1044&lt;&gt;"",E1044&lt;&gt;"!!!"),"NEW","")))</f>
        <v> </v>
      </c>
      <c r="G1044" s="23" t="str">
        <f>IF(OR(E1044="",E1044="!!!"),"",IF(OR(J1044=0,AND(J1044=1,K1044=1),AND(J1044=1,I1044="SBJ"),AND(J1044=1,I1044=0)),"?IN_FOCUS",IF(J1044&lt;=2,"?ACTIVATED",IF(J1044&lt;&gt;"","?FAMILIAR",IF(F1044="NEW",IF(ISNA(VLOOKUP(E1044,#REF!,1,FALSE())),"?TYPE_IDENTIFIABLE","?REFERENTIAL"),"_")))))</f>
        <v> </v>
      </c>
      <c r="H1044" s="24" t="str">
        <f>IF(J1044&lt;&gt;1,"",IF(I1044="SBJ","CB","?"))</f>
        <v> </v>
      </c>
      <c r="I1044" s="25" t="str">
        <f>IF(OR(E1044="",E1044="!!!",F1044="NEW"),"",INDEX(B1043:B$2,-1+SUMPRODUCT(MAX(ROW(E1043:E$2)*(E1044=E1043:E$2)))))</f>
        <v> </v>
      </c>
      <c r="J1044" s="25" t="str">
        <f>IF(OR(E1044="",E1044="!!!",F1044="NEW"),"",COUNTBLANK(OFFSET(A$1,,,SUMPRODUCT(MAX(ROW(E$2:E1044)*(E1044=E$2:E1044)))))-COUNTBLANK(OFFSET(A$1,,,SUMPRODUCT(MAX(ROW(E$1:E1043)*(E2=E$1:E1043))))))</f>
        <v> </v>
      </c>
      <c r="K1044" s="25" t="str">
        <f>IF(OR(E1044="",E1044="!!!",F1044="NEW"),"",INDEX(J$1:J1043,SUMPRODUCT(MAX(ROW(E$1:E1043)*(E1044=E$1:E1043)))))</f>
        <v> </v>
      </c>
      <c r="L1044" s="26"/>
    </row>
    <row r="1045" spans="1:12">
      <c r="A1045" s="20" t="s">
        <v>536</v>
      </c>
      <c r="B1045" s="27" t="s">
        <v>481</v>
      </c>
      <c r="C1045" s="27" t="s">
        <v>764</v>
      </c>
      <c r="E1045" s="21">
        <f>IF(D1045="?OLD","!!!","")</f>
        <v/>
      </c>
      <c r="F1045" s="22" t="str">
        <f>IF(OR(E1045="",E1045="!!!"),"",IF(NOT(ISNA(VLOOKUP(E1045,E$1:E1044,1,FALSE()))),"OLD",IF(AND(E1045&lt;&gt;"",E1045&lt;&gt;"!!!"),"NEW","")))</f>
        <v> </v>
      </c>
      <c r="G1045" s="23" t="str">
        <f>IF(OR(E1045="",E1045="!!!"),"",IF(OR(J1045=0,AND(J1045=1,K1045=1),AND(J1045=1,I1045="SBJ"),AND(J1045=1,I1045=0)),"?IN_FOCUS",IF(J1045&lt;=2,"?ACTIVATED",IF(J1045&lt;&gt;"","?FAMILIAR",IF(F1045="NEW",IF(ISNA(VLOOKUP(E1045,#REF!,1,FALSE())),"?TYPE_IDENTIFIABLE","?REFERENTIAL"),"_")))))</f>
        <v> </v>
      </c>
      <c r="H1045" s="24" t="str">
        <f>IF(J1045&lt;&gt;1,"",IF(I1045="SBJ","CB","?"))</f>
        <v> </v>
      </c>
      <c r="I1045" s="25" t="str">
        <f>IF(OR(E1045="",E1045="!!!",F1045="NEW"),"",INDEX(B1044:B$2,-1+SUMPRODUCT(MAX(ROW(E1044:E$2)*(E1045=E1044:E$2)))))</f>
        <v> </v>
      </c>
      <c r="J1045" s="25" t="str">
        <f>IF(OR(E1045="",E1045="!!!",F1045="NEW"),"",COUNTBLANK(OFFSET(A$1,,,SUMPRODUCT(MAX(ROW(E$2:E1045)*(E1045=E$2:E1045)))))-COUNTBLANK(OFFSET(A$1,,,SUMPRODUCT(MAX(ROW(E$1:E1044)*(E2=E$1:E1044))))))</f>
        <v> </v>
      </c>
      <c r="K1045" s="25" t="str">
        <f>IF(OR(E1045="",E1045="!!!",F1045="NEW"),"",INDEX(J$1:J1044,SUMPRODUCT(MAX(ROW(E$1:E1044)*(E1045=E$1:E1044)))))</f>
        <v> </v>
      </c>
      <c r="L1045" s="26"/>
    </row>
    <row r="1046" spans="1:12">
      <c r="A1046" s="20" t="s">
        <v>561</v>
      </c>
      <c r="E1046" s="21">
        <f>IF(D1046="?OLD","!!!","")</f>
        <v/>
      </c>
      <c r="F1046" s="22" t="str">
        <f>IF(OR(E1046="",E1046="!!!"),"",IF(NOT(ISNA(VLOOKUP(E1046,E$1:E1045,1,FALSE()))),"OLD",IF(AND(E1046&lt;&gt;"",E1046&lt;&gt;"!!!"),"NEW","")))</f>
        <v> </v>
      </c>
      <c r="G1046" s="23" t="str">
        <f>IF(OR(E1046="",E1046="!!!"),"",IF(OR(J1046=0,AND(J1046=1,K1046=1),AND(J1046=1,I1046="SBJ"),AND(J1046=1,I1046=0)),"?IN_FOCUS",IF(J1046&lt;=2,"?ACTIVATED",IF(J1046&lt;&gt;"","?FAMILIAR",IF(F1046="NEW",IF(ISNA(VLOOKUP(E1046,#REF!,1,FALSE())),"?TYPE_IDENTIFIABLE","?REFERENTIAL"),"_")))))</f>
        <v> </v>
      </c>
      <c r="H1046" s="24" t="str">
        <f>IF(J1046&lt;&gt;1,"",IF(I1046="SBJ","CB","?"))</f>
        <v> </v>
      </c>
      <c r="I1046" s="25" t="str">
        <f>IF(OR(E1046="",E1046="!!!",F1046="NEW"),"",INDEX(B1045:B$2,-1+SUMPRODUCT(MAX(ROW(E1045:E$2)*(E1046=E1045:E$2)))))</f>
        <v> </v>
      </c>
      <c r="J1046" s="25" t="str">
        <f>IF(OR(E1046="",E1046="!!!",F1046="NEW"),"",COUNTBLANK(OFFSET(A$1,,,SUMPRODUCT(MAX(ROW(E$2:E1046)*(E1046=E$2:E1046)))))-COUNTBLANK(OFFSET(A$1,,,SUMPRODUCT(MAX(ROW(E$1:E1045)*(E2=E$1:E1045))))))</f>
        <v> </v>
      </c>
      <c r="K1046" s="25" t="str">
        <f>IF(OR(E1046="",E1046="!!!",F1046="NEW"),"",INDEX(J$1:J1045,SUMPRODUCT(MAX(ROW(E$1:E1045)*(E1046=E$1:E1045)))))</f>
        <v> </v>
      </c>
      <c r="L1046" s="26"/>
    </row>
    <row r="1047" spans="1:12">
      <c r="A1047" s="20"/>
    </row>
    <row r="1048" spans="1:12">
      <c r="A1048" s="20" t="s">
        <v>880</v>
      </c>
    </row>
    <row r="1049" spans="1:12">
      <c r="A1049" s="20" t="s">
        <v>253</v>
      </c>
      <c r="E1049" s="21">
        <f>IF(D1049="?OLD","!!!","")</f>
        <v/>
      </c>
      <c r="F1049" s="22" t="str">
        <f>IF(OR(E1049="",E1049="!!!"),"",IF(NOT(ISNA(VLOOKUP(E1049,E$1:E1048,1,FALSE()))),"OLD",IF(AND(E1049&lt;&gt;"",E1049&lt;&gt;"!!!"),"NEW","")))</f>
        <v> </v>
      </c>
      <c r="G1049" s="23" t="str">
        <f>IF(OR(E1049="",E1049="!!!"),"",IF(OR(J1049=0,AND(J1049=1,K1049=1),AND(J1049=1,I1049="SBJ"),AND(J1049=1,I1049=0)),"?IN_FOCUS",IF(J1049&lt;=2,"?ACTIVATED",IF(J1049&lt;&gt;"","?FAMILIAR",IF(F1049="NEW",IF(ISNA(VLOOKUP(E1049,#REF!,1,FALSE())),"?TYPE_IDENTIFIABLE","?REFERENTIAL"),"_")))))</f>
        <v> </v>
      </c>
      <c r="H1049" s="24" t="str">
        <f>IF(J1049&lt;&gt;1,"",IF(I1049="SBJ","CB","?"))</f>
        <v> </v>
      </c>
      <c r="I1049" s="25" t="str">
        <f>IF(OR(E1049="",E1049="!!!",F1049="NEW"),"",INDEX(B1048:B$2,-1+SUMPRODUCT(MAX(ROW(E1048:E$2)*(E1049=E1048:E$2)))))</f>
        <v> </v>
      </c>
      <c r="J1049" s="25" t="str">
        <f>IF(OR(E1049="",E1049="!!!",F1049="NEW"),"",COUNTBLANK(OFFSET(A$1,,,SUMPRODUCT(MAX(ROW(E$2:E1049)*(E1049=E$2:E1049)))))-COUNTBLANK(OFFSET(A$1,,,SUMPRODUCT(MAX(ROW(E$1:E1048)*(E2=E$1:E1048))))))</f>
        <v> </v>
      </c>
      <c r="K1049" s="25" t="str">
        <f>IF(OR(E1049="",E1049="!!!",F1049="NEW"),"",INDEX(J$1:J1048,SUMPRODUCT(MAX(ROW(E$1:E1048)*(E1049=E$1:E1048)))))</f>
        <v> </v>
      </c>
      <c r="L1049" s="26"/>
    </row>
    <row r="1050" spans="1:12">
      <c r="A1050" s="20" t="s">
        <v>489</v>
      </c>
      <c r="E1050" s="21">
        <f>IF(D1050="?OLD","!!!","")</f>
        <v/>
      </c>
      <c r="F1050" s="22" t="str">
        <f>IF(OR(E1050="",E1050="!!!"),"",IF(NOT(ISNA(VLOOKUP(E1050,E$1:E1049,1,FALSE()))),"OLD",IF(AND(E1050&lt;&gt;"",E1050&lt;&gt;"!!!"),"NEW","")))</f>
        <v> </v>
      </c>
      <c r="G1050" s="23" t="str">
        <f>IF(OR(E1050="",E1050="!!!"),"",IF(OR(J1050=0,AND(J1050=1,K1050=1),AND(J1050=1,I1050="SBJ"),AND(J1050=1,I1050=0)),"?IN_FOCUS",IF(J1050&lt;=2,"?ACTIVATED",IF(J1050&lt;&gt;"","?FAMILIAR",IF(F1050="NEW",IF(ISNA(VLOOKUP(E1050,#REF!,1,FALSE())),"?TYPE_IDENTIFIABLE","?REFERENTIAL"),"_")))))</f>
        <v> </v>
      </c>
      <c r="H1050" s="24" t="str">
        <f>IF(J1050&lt;&gt;1,"",IF(I1050="SBJ","CB","?"))</f>
        <v> </v>
      </c>
      <c r="I1050" s="25" t="str">
        <f>IF(OR(E1050="",E1050="!!!",F1050="NEW"),"",INDEX(B1049:B$2,-1+SUMPRODUCT(MAX(ROW(E1049:E$2)*(E1050=E1049:E$2)))))</f>
        <v> </v>
      </c>
      <c r="J1050" s="25" t="str">
        <f>IF(OR(E1050="",E1050="!!!",F1050="NEW"),"",COUNTBLANK(OFFSET(A$1,,,SUMPRODUCT(MAX(ROW(E$2:E1050)*(E1050=E$2:E1050)))))-COUNTBLANK(OFFSET(A$1,,,SUMPRODUCT(MAX(ROW(E$1:E1049)*(E2=E$1:E1049))))))</f>
        <v> </v>
      </c>
      <c r="K1050" s="25" t="str">
        <f>IF(OR(E1050="",E1050="!!!",F1050="NEW"),"",INDEX(J$1:J1049,SUMPRODUCT(MAX(ROW(E$1:E1049)*(E1050=E$1:E1049)))))</f>
        <v> </v>
      </c>
      <c r="L1050" s="26"/>
    </row>
    <row r="1051" spans="1:12">
      <c r="A1051" s="20" t="s">
        <v>783</v>
      </c>
      <c r="E1051" s="21">
        <f>IF(D1051="?OLD","!!!","")</f>
        <v/>
      </c>
      <c r="F1051" s="22" t="str">
        <f>IF(OR(E1051="",E1051="!!!"),"",IF(NOT(ISNA(VLOOKUP(E1051,E$1:E1050,1,FALSE()))),"OLD",IF(AND(E1051&lt;&gt;"",E1051&lt;&gt;"!!!"),"NEW","")))</f>
        <v> </v>
      </c>
      <c r="G1051" s="23" t="str">
        <f>IF(OR(E1051="",E1051="!!!"),"",IF(OR(J1051=0,AND(J1051=1,K1051=1),AND(J1051=1,I1051="SBJ"),AND(J1051=1,I1051=0)),"?IN_FOCUS",IF(J1051&lt;=2,"?ACTIVATED",IF(J1051&lt;&gt;"","?FAMILIAR",IF(F1051="NEW",IF(ISNA(VLOOKUP(E1051,#REF!,1,FALSE())),"?TYPE_IDENTIFIABLE","?REFERENTIAL"),"_")))))</f>
        <v> </v>
      </c>
      <c r="H1051" s="24" t="str">
        <f>IF(J1051&lt;&gt;1,"",IF(I1051="SBJ","CB","?"))</f>
        <v> </v>
      </c>
      <c r="I1051" s="25" t="str">
        <f>IF(OR(E1051="",E1051="!!!",F1051="NEW"),"",INDEX(B1050:B$2,-1+SUMPRODUCT(MAX(ROW(E1050:E$2)*(E1051=E1050:E$2)))))</f>
        <v> </v>
      </c>
      <c r="J1051" s="25" t="str">
        <f>IF(OR(E1051="",E1051="!!!",F1051="NEW"),"",COUNTBLANK(OFFSET(A$1,,,SUMPRODUCT(MAX(ROW(E$2:E1051)*(E1051=E$2:E1051)))))-COUNTBLANK(OFFSET(A$1,,,SUMPRODUCT(MAX(ROW(E$1:E1050)*(E2=E$1:E1050))))))</f>
        <v> </v>
      </c>
      <c r="K1051" s="25" t="str">
        <f>IF(OR(E1051="",E1051="!!!",F1051="NEW"),"",INDEX(J$1:J1050,SUMPRODUCT(MAX(ROW(E$1:E1050)*(E1051=E$1:E1050)))))</f>
        <v> </v>
      </c>
      <c r="L1051" s="26"/>
    </row>
    <row r="1052" spans="1:12">
      <c r="A1052" s="20" t="s">
        <v>620</v>
      </c>
      <c r="E1052" s="21">
        <f>IF(D1052="?OLD","!!!","")</f>
        <v/>
      </c>
      <c r="F1052" s="22" t="str">
        <f>IF(OR(E1052="",E1052="!!!"),"",IF(NOT(ISNA(VLOOKUP(E1052,E$1:E1051,1,FALSE()))),"OLD",IF(AND(E1052&lt;&gt;"",E1052&lt;&gt;"!!!"),"NEW","")))</f>
        <v> </v>
      </c>
      <c r="G1052" s="23" t="str">
        <f>IF(OR(E1052="",E1052="!!!"),"",IF(OR(J1052=0,AND(J1052=1,K1052=1),AND(J1052=1,I1052="SBJ"),AND(J1052=1,I1052=0)),"?IN_FOCUS",IF(J1052&lt;=2,"?ACTIVATED",IF(J1052&lt;&gt;"","?FAMILIAR",IF(F1052="NEW",IF(ISNA(VLOOKUP(E1052,#REF!,1,FALSE())),"?TYPE_IDENTIFIABLE","?REFERENTIAL"),"_")))))</f>
        <v> </v>
      </c>
      <c r="H1052" s="24" t="str">
        <f>IF(J1052&lt;&gt;1,"",IF(I1052="SBJ","CB","?"))</f>
        <v> </v>
      </c>
      <c r="I1052" s="25" t="str">
        <f>IF(OR(E1052="",E1052="!!!",F1052="NEW"),"",INDEX(B1051:B$2,-1+SUMPRODUCT(MAX(ROW(E1051:E$2)*(E1052=E1051:E$2)))))</f>
        <v> </v>
      </c>
      <c r="J1052" s="25" t="str">
        <f>IF(OR(E1052="",E1052="!!!",F1052="NEW"),"",COUNTBLANK(OFFSET(A$1,,,SUMPRODUCT(MAX(ROW(E$2:E1052)*(E1052=E$2:E1052)))))-COUNTBLANK(OFFSET(A$1,,,SUMPRODUCT(MAX(ROW(E$1:E1051)*(E2=E$1:E1051))))))</f>
        <v> </v>
      </c>
      <c r="K1052" s="25" t="str">
        <f>IF(OR(E1052="",E1052="!!!",F1052="NEW"),"",INDEX(J$1:J1051,SUMPRODUCT(MAX(ROW(E$1:E1051)*(E1052=E$1:E1051)))))</f>
        <v> </v>
      </c>
      <c r="L1052" s="26"/>
    </row>
    <row r="1053" spans="1:12">
      <c r="A1053" s="20" t="s">
        <v>489</v>
      </c>
      <c r="E1053" s="21">
        <f>IF(D1053="?OLD","!!!","")</f>
        <v/>
      </c>
      <c r="F1053" s="22" t="str">
        <f>IF(OR(E1053="",E1053="!!!"),"",IF(NOT(ISNA(VLOOKUP(E1053,E$1:E1052,1,FALSE()))),"OLD",IF(AND(E1053&lt;&gt;"",E1053&lt;&gt;"!!!"),"NEW","")))</f>
        <v> </v>
      </c>
      <c r="G1053" s="23" t="str">
        <f>IF(OR(E1053="",E1053="!!!"),"",IF(OR(J1053=0,AND(J1053=1,K1053=1),AND(J1053=1,I1053="SBJ"),AND(J1053=1,I1053=0)),"?IN_FOCUS",IF(J1053&lt;=2,"?ACTIVATED",IF(J1053&lt;&gt;"","?FAMILIAR",IF(F1053="NEW",IF(ISNA(VLOOKUP(E1053,#REF!,1,FALSE())),"?TYPE_IDENTIFIABLE","?REFERENTIAL"),"_")))))</f>
        <v> </v>
      </c>
      <c r="H1053" s="24" t="str">
        <f>IF(J1053&lt;&gt;1,"",IF(I1053="SBJ","CB","?"))</f>
        <v> </v>
      </c>
      <c r="I1053" s="25" t="str">
        <f>IF(OR(E1053="",E1053="!!!",F1053="NEW"),"",INDEX(B1052:B$2,-1+SUMPRODUCT(MAX(ROW(E1052:E$2)*(E1053=E1052:E$2)))))</f>
        <v> </v>
      </c>
      <c r="J1053" s="25" t="str">
        <f>IF(OR(E1053="",E1053="!!!",F1053="NEW"),"",COUNTBLANK(OFFSET(A$1,,,SUMPRODUCT(MAX(ROW(E$2:E1053)*(E1053=E$2:E1053)))))-COUNTBLANK(OFFSET(A$1,,,SUMPRODUCT(MAX(ROW(E$1:E1052)*(E2=E$1:E1052))))))</f>
        <v> </v>
      </c>
      <c r="K1053" s="25" t="str">
        <f>IF(OR(E1053="",E1053="!!!",F1053="NEW"),"",INDEX(J$1:J1052,SUMPRODUCT(MAX(ROW(E$1:E1052)*(E1053=E$1:E1052)))))</f>
        <v> </v>
      </c>
      <c r="L1053" s="26"/>
    </row>
    <row r="1054" spans="1:12">
      <c r="A1054" s="20" t="s">
        <v>680</v>
      </c>
      <c r="E1054" s="21">
        <f>IF(D1054="?OLD","!!!","")</f>
        <v/>
      </c>
      <c r="F1054" s="22" t="str">
        <f>IF(OR(E1054="",E1054="!!!"),"",IF(NOT(ISNA(VLOOKUP(E1054,E$1:E1053,1,FALSE()))),"OLD",IF(AND(E1054&lt;&gt;"",E1054&lt;&gt;"!!!"),"NEW","")))</f>
        <v> </v>
      </c>
      <c r="G1054" s="23" t="str">
        <f>IF(OR(E1054="",E1054="!!!"),"",IF(OR(J1054=0,AND(J1054=1,K1054=1),AND(J1054=1,I1054="SBJ"),AND(J1054=1,I1054=0)),"?IN_FOCUS",IF(J1054&lt;=2,"?ACTIVATED",IF(J1054&lt;&gt;"","?FAMILIAR",IF(F1054="NEW",IF(ISNA(VLOOKUP(E1054,#REF!,1,FALSE())),"?TYPE_IDENTIFIABLE","?REFERENTIAL"),"_")))))</f>
        <v> </v>
      </c>
      <c r="H1054" s="24" t="str">
        <f>IF(J1054&lt;&gt;1,"",IF(I1054="SBJ","CB","?"))</f>
        <v> </v>
      </c>
      <c r="I1054" s="25" t="str">
        <f>IF(OR(E1054="",E1054="!!!",F1054="NEW"),"",INDEX(B1053:B$2,-1+SUMPRODUCT(MAX(ROW(E1053:E$2)*(E1054=E1053:E$2)))))</f>
        <v> </v>
      </c>
      <c r="J1054" s="25" t="str">
        <f>IF(OR(E1054="",E1054="!!!",F1054="NEW"),"",COUNTBLANK(OFFSET(A$1,,,SUMPRODUCT(MAX(ROW(E$2:E1054)*(E1054=E$2:E1054)))))-COUNTBLANK(OFFSET(A$1,,,SUMPRODUCT(MAX(ROW(E$1:E1053)*(E2=E$1:E1053))))))</f>
        <v> </v>
      </c>
      <c r="K1054" s="25" t="str">
        <f>IF(OR(E1054="",E1054="!!!",F1054="NEW"),"",INDEX(J$1:J1053,SUMPRODUCT(MAX(ROW(E$1:E1053)*(E1054=E$1:E1053)))))</f>
        <v> </v>
      </c>
      <c r="L1054" s="26"/>
    </row>
    <row r="1055" spans="1:12">
      <c r="A1055" s="20" t="s">
        <v>480</v>
      </c>
      <c r="B1055" s="27" t="s">
        <v>542</v>
      </c>
      <c r="C1055" s="27" t="s">
        <v>482</v>
      </c>
      <c r="D1055" s="27" t="s">
        <v>483</v>
      </c>
      <c r="E1055" s="21">
        <f>IF(D1055="?OLD","!!!","")</f>
        <v/>
      </c>
      <c r="F1055" s="22" t="str">
        <f>IF(OR(E1055="",E1055="!!!"),"",IF(NOT(ISNA(VLOOKUP(E1055,E$1:E1054,1,FALSE()))),"OLD",IF(AND(E1055&lt;&gt;"",E1055&lt;&gt;"!!!"),"NEW","")))</f>
        <v> </v>
      </c>
      <c r="G1055" s="23" t="str">
        <f>IF(OR(E1055="",E1055="!!!"),"",IF(OR(J1055=0,AND(J1055=1,K1055=1),AND(J1055=1,I1055="SBJ"),AND(J1055=1,I1055=0)),"?IN_FOCUS",IF(J1055&lt;=2,"?ACTIVATED",IF(J1055&lt;&gt;"","?FAMILIAR",IF(F1055="NEW",IF(ISNA(VLOOKUP(E1055,#REF!,1,FALSE())),"?TYPE_IDENTIFIABLE","?REFERENTIAL"),"_")))))</f>
        <v> </v>
      </c>
      <c r="H1055" s="24" t="str">
        <f>IF(J1055&lt;&gt;1,"",IF(I1055="SBJ","CB","?"))</f>
        <v> </v>
      </c>
      <c r="I1055" s="25" t="str">
        <f>IF(OR(E1055="",E1055="!!!",F1055="NEW"),"",INDEX(B1054:B$2,-1+SUMPRODUCT(MAX(ROW(E1054:E$2)*(E1055=E1054:E$2)))))</f>
        <v> </v>
      </c>
      <c r="J1055" s="25" t="str">
        <f>IF(OR(E1055="",E1055="!!!",F1055="NEW"),"",COUNTBLANK(OFFSET(A$1,,,SUMPRODUCT(MAX(ROW(E$2:E1055)*(E1055=E$2:E1055)))))-COUNTBLANK(OFFSET(A$1,,,SUMPRODUCT(MAX(ROW(E$1:E1054)*(E2=E$1:E1054))))))</f>
        <v> </v>
      </c>
      <c r="K1055" s="25" t="str">
        <f>IF(OR(E1055="",E1055="!!!",F1055="NEW"),"",INDEX(J$1:J1054,SUMPRODUCT(MAX(ROW(E$1:E1054)*(E1055=E$1:E1054)))))</f>
        <v> </v>
      </c>
      <c r="L1055" s="26"/>
    </row>
    <row r="1056" spans="1:12">
      <c r="A1056" s="20" t="s">
        <v>881</v>
      </c>
      <c r="E1056" s="21">
        <f>IF(D1056="?OLD","!!!","")</f>
        <v/>
      </c>
      <c r="F1056" s="22" t="str">
        <f>IF(OR(E1056="",E1056="!!!"),"",IF(NOT(ISNA(VLOOKUP(E1056,E$1:E1055,1,FALSE()))),"OLD",IF(AND(E1056&lt;&gt;"",E1056&lt;&gt;"!!!"),"NEW","")))</f>
        <v> </v>
      </c>
      <c r="G1056" s="23" t="str">
        <f>IF(OR(E1056="",E1056="!!!"),"",IF(OR(J1056=0,AND(J1056=1,K1056=1),AND(J1056=1,I1056="SBJ"),AND(J1056=1,I1056=0)),"?IN_FOCUS",IF(J1056&lt;=2,"?ACTIVATED",IF(J1056&lt;&gt;"","?FAMILIAR",IF(F1056="NEW",IF(ISNA(VLOOKUP(E1056,#REF!,1,FALSE())),"?TYPE_IDENTIFIABLE","?REFERENTIAL"),"_")))))</f>
        <v> </v>
      </c>
      <c r="H1056" s="24" t="str">
        <f>IF(J1056&lt;&gt;1,"",IF(I1056="SBJ","CB","?"))</f>
        <v> </v>
      </c>
      <c r="I1056" s="25" t="str">
        <f>IF(OR(E1056="",E1056="!!!",F1056="NEW"),"",INDEX(B1055:B$2,-1+SUMPRODUCT(MAX(ROW(E1055:E$2)*(E1056=E1055:E$2)))))</f>
        <v> </v>
      </c>
      <c r="J1056" s="25" t="str">
        <f>IF(OR(E1056="",E1056="!!!",F1056="NEW"),"",COUNTBLANK(OFFSET(A$1,,,SUMPRODUCT(MAX(ROW(E$2:E1056)*(E1056=E$2:E1056)))))-COUNTBLANK(OFFSET(A$1,,,SUMPRODUCT(MAX(ROW(E$1:E1055)*(E2=E$1:E1055))))))</f>
        <v> </v>
      </c>
      <c r="K1056" s="25" t="str">
        <f>IF(OR(E1056="",E1056="!!!",F1056="NEW"),"",INDEX(J$1:J1055,SUMPRODUCT(MAX(ROW(E$1:E1055)*(E1056=E$1:E1055)))))</f>
        <v> </v>
      </c>
      <c r="L1056" s="26"/>
    </row>
    <row r="1057" spans="1:12">
      <c r="A1057" s="20" t="s">
        <v>528</v>
      </c>
      <c r="E1057" s="21">
        <f>IF(D1057="?OLD","!!!","")</f>
        <v/>
      </c>
      <c r="F1057" s="22" t="str">
        <f>IF(OR(E1057="",E1057="!!!"),"",IF(NOT(ISNA(VLOOKUP(E1057,E$1:E1056,1,FALSE()))),"OLD",IF(AND(E1057&lt;&gt;"",E1057&lt;&gt;"!!!"),"NEW","")))</f>
        <v> </v>
      </c>
      <c r="G1057" s="23" t="str">
        <f>IF(OR(E1057="",E1057="!!!"),"",IF(OR(J1057=0,AND(J1057=1,K1057=1),AND(J1057=1,I1057="SBJ"),AND(J1057=1,I1057=0)),"?IN_FOCUS",IF(J1057&lt;=2,"?ACTIVATED",IF(J1057&lt;&gt;"","?FAMILIAR",IF(F1057="NEW",IF(ISNA(VLOOKUP(E1057,#REF!,1,FALSE())),"?TYPE_IDENTIFIABLE","?REFERENTIAL"),"_")))))</f>
        <v> </v>
      </c>
      <c r="H1057" s="24" t="str">
        <f>IF(J1057&lt;&gt;1,"",IF(I1057="SBJ","CB","?"))</f>
        <v> </v>
      </c>
      <c r="I1057" s="25" t="str">
        <f>IF(OR(E1057="",E1057="!!!",F1057="NEW"),"",INDEX(B1056:B$2,-1+SUMPRODUCT(MAX(ROW(E1056:E$2)*(E1057=E1056:E$2)))))</f>
        <v> </v>
      </c>
      <c r="J1057" s="25" t="str">
        <f>IF(OR(E1057="",E1057="!!!",F1057="NEW"),"",COUNTBLANK(OFFSET(A$1,,,SUMPRODUCT(MAX(ROW(E$2:E1057)*(E1057=E$2:E1057)))))-COUNTBLANK(OFFSET(A$1,,,SUMPRODUCT(MAX(ROW(E$1:E1056)*(E2=E$1:E1056))))))</f>
        <v> </v>
      </c>
      <c r="K1057" s="25" t="str">
        <f>IF(OR(E1057="",E1057="!!!",F1057="NEW"),"",INDEX(J$1:J1056,SUMPRODUCT(MAX(ROW(E$1:E1056)*(E1057=E$1:E1056)))))</f>
        <v> </v>
      </c>
      <c r="L1057" s="26"/>
    </row>
    <row r="1058" spans="1:12">
      <c r="A1058" s="20" t="s">
        <v>882</v>
      </c>
      <c r="E1058" s="21">
        <f>IF(D1058="?OLD","!!!","")</f>
        <v/>
      </c>
      <c r="F1058" s="22" t="str">
        <f>IF(OR(E1058="",E1058="!!!"),"",IF(NOT(ISNA(VLOOKUP(E1058,E$1:E1057,1,FALSE()))),"OLD",IF(AND(E1058&lt;&gt;"",E1058&lt;&gt;"!!!"),"NEW","")))</f>
        <v> </v>
      </c>
      <c r="G1058" s="23" t="str">
        <f>IF(OR(E1058="",E1058="!!!"),"",IF(OR(J1058=0,AND(J1058=1,K1058=1),AND(J1058=1,I1058="SBJ"),AND(J1058=1,I1058=0)),"?IN_FOCUS",IF(J1058&lt;=2,"?ACTIVATED",IF(J1058&lt;&gt;"","?FAMILIAR",IF(F1058="NEW",IF(ISNA(VLOOKUP(E1058,#REF!,1,FALSE())),"?TYPE_IDENTIFIABLE","?REFERENTIAL"),"_")))))</f>
        <v> </v>
      </c>
      <c r="H1058" s="24" t="str">
        <f>IF(J1058&lt;&gt;1,"",IF(I1058="SBJ","CB","?"))</f>
        <v> </v>
      </c>
      <c r="I1058" s="25" t="str">
        <f>IF(OR(E1058="",E1058="!!!",F1058="NEW"),"",INDEX(B1057:B$2,-1+SUMPRODUCT(MAX(ROW(E1057:E$2)*(E1058=E1057:E$2)))))</f>
        <v> </v>
      </c>
      <c r="J1058" s="25" t="str">
        <f>IF(OR(E1058="",E1058="!!!",F1058="NEW"),"",COUNTBLANK(OFFSET(A$1,,,SUMPRODUCT(MAX(ROW(E$2:E1058)*(E1058=E$2:E1058)))))-COUNTBLANK(OFFSET(A$1,,,SUMPRODUCT(MAX(ROW(E$1:E1057)*(E2=E$1:E1057))))))</f>
        <v> </v>
      </c>
      <c r="K1058" s="25" t="str">
        <f>IF(OR(E1058="",E1058="!!!",F1058="NEW"),"",INDEX(J$1:J1057,SUMPRODUCT(MAX(ROW(E$1:E1057)*(E1058=E$1:E1057)))))</f>
        <v> </v>
      </c>
      <c r="L1058" s="26"/>
    </row>
    <row r="1059" spans="1:12">
      <c r="A1059" s="20" t="s">
        <v>883</v>
      </c>
      <c r="B1059" s="27" t="s">
        <v>490</v>
      </c>
      <c r="C1059" s="27" t="s">
        <v>487</v>
      </c>
      <c r="D1059" s="27" t="s">
        <v>483</v>
      </c>
      <c r="E1059" s="21">
        <f>IF(D1059="?OLD","!!!","")</f>
        <v/>
      </c>
      <c r="F1059" s="22" t="str">
        <f>IF(OR(E1059="",E1059="!!!"),"",IF(NOT(ISNA(VLOOKUP(E1059,E$1:E1058,1,FALSE()))),"OLD",IF(AND(E1059&lt;&gt;"",E1059&lt;&gt;"!!!"),"NEW","")))</f>
        <v> </v>
      </c>
      <c r="G1059" s="23" t="str">
        <f>IF(OR(E1059="",E1059="!!!"),"",IF(OR(J1059=0,AND(J1059=1,K1059=1),AND(J1059=1,I1059="SBJ"),AND(J1059=1,I1059=0)),"?IN_FOCUS",IF(J1059&lt;=2,"?ACTIVATED",IF(J1059&lt;&gt;"","?FAMILIAR",IF(F1059="NEW",IF(ISNA(VLOOKUP(E1059,#REF!,1,FALSE())),"?TYPE_IDENTIFIABLE","?REFERENTIAL"),"_")))))</f>
        <v> </v>
      </c>
      <c r="H1059" s="24" t="str">
        <f>IF(J1059&lt;&gt;1,"",IF(I1059="SBJ","CB","?"))</f>
        <v> </v>
      </c>
      <c r="I1059" s="25" t="str">
        <f>IF(OR(E1059="",E1059="!!!",F1059="NEW"),"",INDEX(B1058:B$2,-1+SUMPRODUCT(MAX(ROW(E1058:E$2)*(E1059=E1058:E$2)))))</f>
        <v> </v>
      </c>
      <c r="J1059" s="25" t="str">
        <f>IF(OR(E1059="",E1059="!!!",F1059="NEW"),"",COUNTBLANK(OFFSET(A$1,,,SUMPRODUCT(MAX(ROW(E$2:E1059)*(E1059=E$2:E1059)))))-COUNTBLANK(OFFSET(A$1,,,SUMPRODUCT(MAX(ROW(E$1:E1058)*(E2=E$1:E1058))))))</f>
        <v> </v>
      </c>
      <c r="K1059" s="25" t="str">
        <f>IF(OR(E1059="",E1059="!!!",F1059="NEW"),"",INDEX(J$1:J1058,SUMPRODUCT(MAX(ROW(E$1:E1058)*(E1059=E$1:E1058)))))</f>
        <v> </v>
      </c>
      <c r="L1059" s="26"/>
    </row>
    <row r="1060" spans="1:12">
      <c r="A1060" s="20" t="s">
        <v>531</v>
      </c>
      <c r="E1060" s="21">
        <f>IF(D1060="?OLD","!!!","")</f>
        <v/>
      </c>
      <c r="F1060" s="22" t="str">
        <f>IF(OR(E1060="",E1060="!!!"),"",IF(NOT(ISNA(VLOOKUP(E1060,E$1:E1059,1,FALSE()))),"OLD",IF(AND(E1060&lt;&gt;"",E1060&lt;&gt;"!!!"),"NEW","")))</f>
        <v> </v>
      </c>
      <c r="G1060" s="23" t="str">
        <f>IF(OR(E1060="",E1060="!!!"),"",IF(OR(J1060=0,AND(J1060=1,K1060=1),AND(J1060=1,I1060="SBJ"),AND(J1060=1,I1060=0)),"?IN_FOCUS",IF(J1060&lt;=2,"?ACTIVATED",IF(J1060&lt;&gt;"","?FAMILIAR",IF(F1060="NEW",IF(ISNA(VLOOKUP(E1060,#REF!,1,FALSE())),"?TYPE_IDENTIFIABLE","?REFERENTIAL"),"_")))))</f>
        <v> </v>
      </c>
      <c r="H1060" s="24" t="str">
        <f>IF(J1060&lt;&gt;1,"",IF(I1060="SBJ","CB","?"))</f>
        <v> </v>
      </c>
      <c r="I1060" s="25" t="str">
        <f>IF(OR(E1060="",E1060="!!!",F1060="NEW"),"",INDEX(B1059:B$2,-1+SUMPRODUCT(MAX(ROW(E1059:E$2)*(E1060=E1059:E$2)))))</f>
        <v> </v>
      </c>
      <c r="J1060" s="25" t="str">
        <f>IF(OR(E1060="",E1060="!!!",F1060="NEW"),"",COUNTBLANK(OFFSET(A$1,,,SUMPRODUCT(MAX(ROW(E$2:E1060)*(E1060=E$2:E1060)))))-COUNTBLANK(OFFSET(A$1,,,SUMPRODUCT(MAX(ROW(E$1:E1059)*(E2=E$1:E1059))))))</f>
        <v> </v>
      </c>
      <c r="K1060" s="25" t="str">
        <f>IF(OR(E1060="",E1060="!!!",F1060="NEW"),"",INDEX(J$1:J1059,SUMPRODUCT(MAX(ROW(E$1:E1059)*(E1060=E$1:E1059)))))</f>
        <v> </v>
      </c>
      <c r="L1060" s="26"/>
    </row>
    <row r="1061" spans="1:12">
      <c r="A1061" s="20"/>
    </row>
    <row r="1062" spans="1:12">
      <c r="A1062" s="20" t="s">
        <v>884</v>
      </c>
    </row>
    <row r="1063" spans="1:12">
      <c r="A1063" s="20" t="s">
        <v>633</v>
      </c>
      <c r="E1063" s="21">
        <f>IF(D1063="?OLD","!!!","")</f>
        <v/>
      </c>
      <c r="F1063" s="22" t="str">
        <f>IF(OR(E1063="",E1063="!!!"),"",IF(NOT(ISNA(VLOOKUP(E1063,E$1:E1062,1,FALSE()))),"OLD",IF(AND(E1063&lt;&gt;"",E1063&lt;&gt;"!!!"),"NEW","")))</f>
        <v> </v>
      </c>
      <c r="G1063" s="23" t="str">
        <f>IF(OR(E1063="",E1063="!!!"),"",IF(OR(J1063=0,AND(J1063=1,K1063=1),AND(J1063=1,I1063="SBJ"),AND(J1063=1,I1063=0)),"?IN_FOCUS",IF(J1063&lt;=2,"?ACTIVATED",IF(J1063&lt;&gt;"","?FAMILIAR",IF(F1063="NEW",IF(ISNA(VLOOKUP(E1063,#REF!,1,FALSE())),"?TYPE_IDENTIFIABLE","?REFERENTIAL"),"_")))))</f>
        <v> </v>
      </c>
      <c r="H1063" s="24" t="str">
        <f>IF(J1063&lt;&gt;1,"",IF(I1063="SBJ","CB","?"))</f>
        <v> </v>
      </c>
      <c r="I1063" s="25" t="str">
        <f>IF(OR(E1063="",E1063="!!!",F1063="NEW"),"",INDEX(B1062:B$2,-1+SUMPRODUCT(MAX(ROW(E1062:E$2)*(E1063=E1062:E$2)))))</f>
        <v> </v>
      </c>
      <c r="J1063" s="25" t="str">
        <f>IF(OR(E1063="",E1063="!!!",F1063="NEW"),"",COUNTBLANK(OFFSET(A$1,,,SUMPRODUCT(MAX(ROW(E$2:E1063)*(E1063=E$2:E1063)))))-COUNTBLANK(OFFSET(A$1,,,SUMPRODUCT(MAX(ROW(E$1:E1062)*(E2=E$1:E1062))))))</f>
        <v> </v>
      </c>
      <c r="K1063" s="25" t="str">
        <f>IF(OR(E1063="",E1063="!!!",F1063="NEW"),"",INDEX(J$1:J1062,SUMPRODUCT(MAX(ROW(E$1:E1062)*(E1063=E$1:E1062)))))</f>
        <v> </v>
      </c>
      <c r="L1063" s="26"/>
    </row>
    <row r="1064" spans="1:12">
      <c r="A1064" s="20" t="s">
        <v>885</v>
      </c>
      <c r="B1064" s="27" t="s">
        <v>549</v>
      </c>
      <c r="C1064" s="27" t="s">
        <v>487</v>
      </c>
      <c r="D1064" s="27" t="s">
        <v>483</v>
      </c>
      <c r="E1064" s="21">
        <f>IF(D1064="?OLD","!!!","")</f>
        <v/>
      </c>
      <c r="F1064" s="22" t="str">
        <f>IF(OR(E1064="",E1064="!!!"),"",IF(NOT(ISNA(VLOOKUP(E1064,E$1:E1063,1,FALSE()))),"OLD",IF(AND(E1064&lt;&gt;"",E1064&lt;&gt;"!!!"),"NEW","")))</f>
        <v> </v>
      </c>
      <c r="G1064" s="23" t="str">
        <f>IF(OR(E1064="",E1064="!!!"),"",IF(OR(J1064=0,AND(J1064=1,K1064=1),AND(J1064=1,I1064="SBJ"),AND(J1064=1,I1064=0)),"?IN_FOCUS",IF(J1064&lt;=2,"?ACTIVATED",IF(J1064&lt;&gt;"","?FAMILIAR",IF(F1064="NEW",IF(ISNA(VLOOKUP(E1064,#REF!,1,FALSE())),"?TYPE_IDENTIFIABLE","?REFERENTIAL"),"_")))))</f>
        <v> </v>
      </c>
      <c r="H1064" s="24" t="str">
        <f>IF(J1064&lt;&gt;1,"",IF(I1064="SBJ","CB","?"))</f>
        <v> </v>
      </c>
      <c r="I1064" s="25" t="str">
        <f>IF(OR(E1064="",E1064="!!!",F1064="NEW"),"",INDEX(B1063:B$2,-1+SUMPRODUCT(MAX(ROW(E1063:E$2)*(E1064=E1063:E$2)))))</f>
        <v> </v>
      </c>
      <c r="J1064" s="25" t="str">
        <f>IF(OR(E1064="",E1064="!!!",F1064="NEW"),"",COUNTBLANK(OFFSET(A$1,,,SUMPRODUCT(MAX(ROW(E$2:E1064)*(E1064=E$2:E1064)))))-COUNTBLANK(OFFSET(A$1,,,SUMPRODUCT(MAX(ROW(E$1:E1063)*(E2=E$1:E1063))))))</f>
        <v> </v>
      </c>
      <c r="K1064" s="25" t="str">
        <f>IF(OR(E1064="",E1064="!!!",F1064="NEW"),"",INDEX(J$1:J1063,SUMPRODUCT(MAX(ROW(E$1:E1063)*(E1064=E$1:E1063)))))</f>
        <v> </v>
      </c>
      <c r="L1064" s="26"/>
    </row>
    <row r="1065" spans="1:12">
      <c r="A1065" s="20" t="s">
        <v>558</v>
      </c>
      <c r="E1065" s="21">
        <f>IF(D1065="?OLD","!!!","")</f>
        <v/>
      </c>
      <c r="F1065" s="22" t="str">
        <f>IF(OR(E1065="",E1065="!!!"),"",IF(NOT(ISNA(VLOOKUP(E1065,E$1:E1064,1,FALSE()))),"OLD",IF(AND(E1065&lt;&gt;"",E1065&lt;&gt;"!!!"),"NEW","")))</f>
        <v> </v>
      </c>
      <c r="G1065" s="23" t="str">
        <f>IF(OR(E1065="",E1065="!!!"),"",IF(OR(J1065=0,AND(J1065=1,K1065=1),AND(J1065=1,I1065="SBJ"),AND(J1065=1,I1065=0)),"?IN_FOCUS",IF(J1065&lt;=2,"?ACTIVATED",IF(J1065&lt;&gt;"","?FAMILIAR",IF(F1065="NEW",IF(ISNA(VLOOKUP(E1065,#REF!,1,FALSE())),"?TYPE_IDENTIFIABLE","?REFERENTIAL"),"_")))))</f>
        <v> </v>
      </c>
      <c r="H1065" s="24" t="str">
        <f>IF(J1065&lt;&gt;1,"",IF(I1065="SBJ","CB","?"))</f>
        <v> </v>
      </c>
      <c r="I1065" s="25" t="str">
        <f>IF(OR(E1065="",E1065="!!!",F1065="NEW"),"",INDEX(B1064:B$2,-1+SUMPRODUCT(MAX(ROW(E1064:E$2)*(E1065=E1064:E$2)))))</f>
        <v> </v>
      </c>
      <c r="J1065" s="25" t="str">
        <f>IF(OR(E1065="",E1065="!!!",F1065="NEW"),"",COUNTBLANK(OFFSET(A$1,,,SUMPRODUCT(MAX(ROW(E$2:E1065)*(E1065=E$2:E1065)))))-COUNTBLANK(OFFSET(A$1,,,SUMPRODUCT(MAX(ROW(E$1:E1064)*(E2=E$1:E1064))))))</f>
        <v> </v>
      </c>
      <c r="K1065" s="25" t="str">
        <f>IF(OR(E1065="",E1065="!!!",F1065="NEW"),"",INDEX(J$1:J1064,SUMPRODUCT(MAX(ROW(E$1:E1064)*(E1065=E$1:E1064)))))</f>
        <v> </v>
      </c>
      <c r="L1065" s="26"/>
    </row>
    <row r="1066" spans="1:12">
      <c r="A1066" s="20" t="s">
        <v>492</v>
      </c>
      <c r="E1066" s="21">
        <f>IF(D1066="?OLD","!!!","")</f>
        <v/>
      </c>
      <c r="F1066" s="22" t="str">
        <f>IF(OR(E1066="",E1066="!!!"),"",IF(NOT(ISNA(VLOOKUP(E1066,E$1:E1065,1,FALSE()))),"OLD",IF(AND(E1066&lt;&gt;"",E1066&lt;&gt;"!!!"),"NEW","")))</f>
        <v> </v>
      </c>
      <c r="G1066" s="23" t="str">
        <f>IF(OR(E1066="",E1066="!!!"),"",IF(OR(J1066=0,AND(J1066=1,K1066=1),AND(J1066=1,I1066="SBJ"),AND(J1066=1,I1066=0)),"?IN_FOCUS",IF(J1066&lt;=2,"?ACTIVATED",IF(J1066&lt;&gt;"","?FAMILIAR",IF(F1066="NEW",IF(ISNA(VLOOKUP(E1066,#REF!,1,FALSE())),"?TYPE_IDENTIFIABLE","?REFERENTIAL"),"_")))))</f>
        <v> </v>
      </c>
      <c r="H1066" s="24" t="str">
        <f>IF(J1066&lt;&gt;1,"",IF(I1066="SBJ","CB","?"))</f>
        <v> </v>
      </c>
      <c r="I1066" s="25" t="str">
        <f>IF(OR(E1066="",E1066="!!!",F1066="NEW"),"",INDEX(B1065:B$2,-1+SUMPRODUCT(MAX(ROW(E1065:E$2)*(E1066=E1065:E$2)))))</f>
        <v> </v>
      </c>
      <c r="J1066" s="25" t="str">
        <f>IF(OR(E1066="",E1066="!!!",F1066="NEW"),"",COUNTBLANK(OFFSET(A$1,,,SUMPRODUCT(MAX(ROW(E$2:E1066)*(E1066=E$2:E1066)))))-COUNTBLANK(OFFSET(A$1,,,SUMPRODUCT(MAX(ROW(E$1:E1065)*(E2=E$1:E1065))))))</f>
        <v> </v>
      </c>
      <c r="K1066" s="25" t="str">
        <f>IF(OR(E1066="",E1066="!!!",F1066="NEW"),"",INDEX(J$1:J1065,SUMPRODUCT(MAX(ROW(E$1:E1065)*(E1066=E$1:E1065)))))</f>
        <v> </v>
      </c>
      <c r="L1066" s="26"/>
    </row>
    <row r="1067" spans="1:12">
      <c r="A1067" s="20" t="s">
        <v>882</v>
      </c>
      <c r="E1067" s="21">
        <f>IF(D1067="?OLD","!!!","")</f>
        <v/>
      </c>
      <c r="F1067" s="22" t="str">
        <f>IF(OR(E1067="",E1067="!!!"),"",IF(NOT(ISNA(VLOOKUP(E1067,E$1:E1066,1,FALSE()))),"OLD",IF(AND(E1067&lt;&gt;"",E1067&lt;&gt;"!!!"),"NEW","")))</f>
        <v> </v>
      </c>
      <c r="G1067" s="23" t="str">
        <f>IF(OR(E1067="",E1067="!!!"),"",IF(OR(J1067=0,AND(J1067=1,K1067=1),AND(J1067=1,I1067="SBJ"),AND(J1067=1,I1067=0)),"?IN_FOCUS",IF(J1067&lt;=2,"?ACTIVATED",IF(J1067&lt;&gt;"","?FAMILIAR",IF(F1067="NEW",IF(ISNA(VLOOKUP(E1067,#REF!,1,FALSE())),"?TYPE_IDENTIFIABLE","?REFERENTIAL"),"_")))))</f>
        <v> </v>
      </c>
      <c r="H1067" s="24" t="str">
        <f>IF(J1067&lt;&gt;1,"",IF(I1067="SBJ","CB","?"))</f>
        <v> </v>
      </c>
      <c r="I1067" s="25" t="str">
        <f>IF(OR(E1067="",E1067="!!!",F1067="NEW"),"",INDEX(B1066:B$2,-1+SUMPRODUCT(MAX(ROW(E1066:E$2)*(E1067=E1066:E$2)))))</f>
        <v> </v>
      </c>
      <c r="J1067" s="25" t="str">
        <f>IF(OR(E1067="",E1067="!!!",F1067="NEW"),"",COUNTBLANK(OFFSET(A$1,,,SUMPRODUCT(MAX(ROW(E$2:E1067)*(E1067=E$2:E1067)))))-COUNTBLANK(OFFSET(A$1,,,SUMPRODUCT(MAX(ROW(E$1:E1066)*(E2=E$1:E1066))))))</f>
        <v> </v>
      </c>
      <c r="K1067" s="25" t="str">
        <f>IF(OR(E1067="",E1067="!!!",F1067="NEW"),"",INDEX(J$1:J1066,SUMPRODUCT(MAX(ROW(E$1:E1066)*(E1067=E$1:E1066)))))</f>
        <v> </v>
      </c>
      <c r="L1067" s="26"/>
    </row>
    <row r="1068" spans="1:12">
      <c r="A1068" s="20" t="s">
        <v>886</v>
      </c>
      <c r="B1068" s="27" t="s">
        <v>537</v>
      </c>
      <c r="C1068" s="27" t="s">
        <v>487</v>
      </c>
      <c r="D1068" s="27" t="s">
        <v>483</v>
      </c>
      <c r="E1068" s="21">
        <f>IF(D1068="?OLD","!!!","")</f>
        <v/>
      </c>
      <c r="F1068" s="22" t="str">
        <f>IF(OR(E1068="",E1068="!!!"),"",IF(NOT(ISNA(VLOOKUP(E1068,E$1:E1067,1,FALSE()))),"OLD",IF(AND(E1068&lt;&gt;"",E1068&lt;&gt;"!!!"),"NEW","")))</f>
        <v> </v>
      </c>
      <c r="G1068" s="23" t="str">
        <f>IF(OR(E1068="",E1068="!!!"),"",IF(OR(J1068=0,AND(J1068=1,K1068=1),AND(J1068=1,I1068="SBJ"),AND(J1068=1,I1068=0)),"?IN_FOCUS",IF(J1068&lt;=2,"?ACTIVATED",IF(J1068&lt;&gt;"","?FAMILIAR",IF(F1068="NEW",IF(ISNA(VLOOKUP(E1068,#REF!,1,FALSE())),"?TYPE_IDENTIFIABLE","?REFERENTIAL"),"_")))))</f>
        <v> </v>
      </c>
      <c r="H1068" s="24" t="str">
        <f>IF(J1068&lt;&gt;1,"",IF(I1068="SBJ","CB","?"))</f>
        <v> </v>
      </c>
      <c r="I1068" s="25" t="str">
        <f>IF(OR(E1068="",E1068="!!!",F1068="NEW"),"",INDEX(B1067:B$2,-1+SUMPRODUCT(MAX(ROW(E1067:E$2)*(E1068=E1067:E$2)))))</f>
        <v> </v>
      </c>
      <c r="J1068" s="25" t="str">
        <f>IF(OR(E1068="",E1068="!!!",F1068="NEW"),"",COUNTBLANK(OFFSET(A$1,,,SUMPRODUCT(MAX(ROW(E$2:E1068)*(E1068=E$2:E1068)))))-COUNTBLANK(OFFSET(A$1,,,SUMPRODUCT(MAX(ROW(E$1:E1067)*(E2=E$1:E1067))))))</f>
        <v> </v>
      </c>
      <c r="K1068" s="25" t="str">
        <f>IF(OR(E1068="",E1068="!!!",F1068="NEW"),"",INDEX(J$1:J1067,SUMPRODUCT(MAX(ROW(E$1:E1067)*(E1068=E$1:E1067)))))</f>
        <v> </v>
      </c>
      <c r="L1068" s="26"/>
    </row>
    <row r="1069" spans="1:12">
      <c r="A1069" s="20" t="s">
        <v>697</v>
      </c>
      <c r="E1069" s="21">
        <f>IF(D1069="?OLD","!!!","")</f>
        <v/>
      </c>
      <c r="F1069" s="22" t="str">
        <f>IF(OR(E1069="",E1069="!!!"),"",IF(NOT(ISNA(VLOOKUP(E1069,E$1:E1068,1,FALSE()))),"OLD",IF(AND(E1069&lt;&gt;"",E1069&lt;&gt;"!!!"),"NEW","")))</f>
        <v> </v>
      </c>
      <c r="G1069" s="23" t="str">
        <f>IF(OR(E1069="",E1069="!!!"),"",IF(OR(J1069=0,AND(J1069=1,K1069=1),AND(J1069=1,I1069="SBJ"),AND(J1069=1,I1069=0)),"?IN_FOCUS",IF(J1069&lt;=2,"?ACTIVATED",IF(J1069&lt;&gt;"","?FAMILIAR",IF(F1069="NEW",IF(ISNA(VLOOKUP(E1069,#REF!,1,FALSE())),"?TYPE_IDENTIFIABLE","?REFERENTIAL"),"_")))))</f>
        <v> </v>
      </c>
      <c r="H1069" s="24" t="str">
        <f>IF(J1069&lt;&gt;1,"",IF(I1069="SBJ","CB","?"))</f>
        <v> </v>
      </c>
      <c r="I1069" s="25" t="str">
        <f>IF(OR(E1069="",E1069="!!!",F1069="NEW"),"",INDEX(B1068:B$2,-1+SUMPRODUCT(MAX(ROW(E1068:E$2)*(E1069=E1068:E$2)))))</f>
        <v> </v>
      </c>
      <c r="J1069" s="25" t="str">
        <f>IF(OR(E1069="",E1069="!!!",F1069="NEW"),"",COUNTBLANK(OFFSET(A$1,,,SUMPRODUCT(MAX(ROW(E$2:E1069)*(E1069=E$2:E1069)))))-COUNTBLANK(OFFSET(A$1,,,SUMPRODUCT(MAX(ROW(E$1:E1068)*(E2=E$1:E1068))))))</f>
        <v> </v>
      </c>
      <c r="K1069" s="25" t="str">
        <f>IF(OR(E1069="",E1069="!!!",F1069="NEW"),"",INDEX(J$1:J1068,SUMPRODUCT(MAX(ROW(E$1:E1068)*(E1069=E$1:E1068)))))</f>
        <v> </v>
      </c>
      <c r="L1069" s="26"/>
    </row>
    <row r="1070" spans="1:12">
      <c r="A1070" s="20" t="s">
        <v>887</v>
      </c>
      <c r="E1070" s="21">
        <f>IF(D1070="?OLD","!!!","")</f>
        <v/>
      </c>
      <c r="F1070" s="22" t="str">
        <f>IF(OR(E1070="",E1070="!!!"),"",IF(NOT(ISNA(VLOOKUP(E1070,E$1:E1069,1,FALSE()))),"OLD",IF(AND(E1070&lt;&gt;"",E1070&lt;&gt;"!!!"),"NEW","")))</f>
        <v> </v>
      </c>
      <c r="G1070" s="23" t="str">
        <f>IF(OR(E1070="",E1070="!!!"),"",IF(OR(J1070=0,AND(J1070=1,K1070=1),AND(J1070=1,I1070="SBJ"),AND(J1070=1,I1070=0)),"?IN_FOCUS",IF(J1070&lt;=2,"?ACTIVATED",IF(J1070&lt;&gt;"","?FAMILIAR",IF(F1070="NEW",IF(ISNA(VLOOKUP(E1070,#REF!,1,FALSE())),"?TYPE_IDENTIFIABLE","?REFERENTIAL"),"_")))))</f>
        <v> </v>
      </c>
      <c r="H1070" s="24" t="str">
        <f>IF(J1070&lt;&gt;1,"",IF(I1070="SBJ","CB","?"))</f>
        <v> </v>
      </c>
      <c r="I1070" s="25" t="str">
        <f>IF(OR(E1070="",E1070="!!!",F1070="NEW"),"",INDEX(B1069:B$2,-1+SUMPRODUCT(MAX(ROW(E1069:E$2)*(E1070=E1069:E$2)))))</f>
        <v> </v>
      </c>
      <c r="J1070" s="25" t="str">
        <f>IF(OR(E1070="",E1070="!!!",F1070="NEW"),"",COUNTBLANK(OFFSET(A$1,,,SUMPRODUCT(MAX(ROW(E$2:E1070)*(E1070=E$2:E1070)))))-COUNTBLANK(OFFSET(A$1,,,SUMPRODUCT(MAX(ROW(E$1:E1069)*(E2=E$1:E1069))))))</f>
        <v> </v>
      </c>
      <c r="K1070" s="25" t="str">
        <f>IF(OR(E1070="",E1070="!!!",F1070="NEW"),"",INDEX(J$1:J1069,SUMPRODUCT(MAX(ROW(E$1:E1069)*(E1070=E$1:E1069)))))</f>
        <v> </v>
      </c>
      <c r="L1070" s="26"/>
    </row>
    <row r="1071" spans="1:12">
      <c r="A1071" s="20" t="s">
        <v>805</v>
      </c>
      <c r="E1071" s="21">
        <f>IF(D1071="?OLD","!!!","")</f>
        <v/>
      </c>
      <c r="F1071" s="22" t="str">
        <f>IF(OR(E1071="",E1071="!!!"),"",IF(NOT(ISNA(VLOOKUP(E1071,E$1:E1070,1,FALSE()))),"OLD",IF(AND(E1071&lt;&gt;"",E1071&lt;&gt;"!!!"),"NEW","")))</f>
        <v> </v>
      </c>
      <c r="G1071" s="23" t="str">
        <f>IF(OR(E1071="",E1071="!!!"),"",IF(OR(J1071=0,AND(J1071=1,K1071=1),AND(J1071=1,I1071="SBJ"),AND(J1071=1,I1071=0)),"?IN_FOCUS",IF(J1071&lt;=2,"?ACTIVATED",IF(J1071&lt;&gt;"","?FAMILIAR",IF(F1071="NEW",IF(ISNA(VLOOKUP(E1071,#REF!,1,FALSE())),"?TYPE_IDENTIFIABLE","?REFERENTIAL"),"_")))))</f>
        <v> </v>
      </c>
      <c r="H1071" s="24" t="str">
        <f>IF(J1071&lt;&gt;1,"",IF(I1071="SBJ","CB","?"))</f>
        <v> </v>
      </c>
      <c r="I1071" s="25" t="str">
        <f>IF(OR(E1071="",E1071="!!!",F1071="NEW"),"",INDEX(B1070:B$2,-1+SUMPRODUCT(MAX(ROW(E1070:E$2)*(E1071=E1070:E$2)))))</f>
        <v> </v>
      </c>
      <c r="J1071" s="25" t="str">
        <f>IF(OR(E1071="",E1071="!!!",F1071="NEW"),"",COUNTBLANK(OFFSET(A$1,,,SUMPRODUCT(MAX(ROW(E$2:E1071)*(E1071=E$2:E1071)))))-COUNTBLANK(OFFSET(A$1,,,SUMPRODUCT(MAX(ROW(E$1:E1070)*(E2=E$1:E1070))))))</f>
        <v> </v>
      </c>
      <c r="K1071" s="25" t="str">
        <f>IF(OR(E1071="",E1071="!!!",F1071="NEW"),"",INDEX(J$1:J1070,SUMPRODUCT(MAX(ROW(E$1:E1070)*(E1071=E$1:E1070)))))</f>
        <v> </v>
      </c>
      <c r="L1071" s="26"/>
    </row>
    <row r="1072" spans="1:12">
      <c r="A1072" s="20" t="s">
        <v>569</v>
      </c>
      <c r="B1072" s="27" t="s">
        <v>490</v>
      </c>
      <c r="C1072" s="27" t="s">
        <v>491</v>
      </c>
      <c r="D1072" s="27" t="s">
        <v>483</v>
      </c>
      <c r="E1072" s="21">
        <f>IF(D1072="?OLD","!!!","")</f>
        <v/>
      </c>
      <c r="F1072" s="22" t="str">
        <f>IF(OR(E1072="",E1072="!!!"),"",IF(NOT(ISNA(VLOOKUP(E1072,E$1:E1071,1,FALSE()))),"OLD",IF(AND(E1072&lt;&gt;"",E1072&lt;&gt;"!!!"),"NEW","")))</f>
        <v> </v>
      </c>
      <c r="G1072" s="23" t="str">
        <f>IF(OR(E1072="",E1072="!!!"),"",IF(OR(J1072=0,AND(J1072=1,K1072=1),AND(J1072=1,I1072="SBJ"),AND(J1072=1,I1072=0)),"?IN_FOCUS",IF(J1072&lt;=2,"?ACTIVATED",IF(J1072&lt;&gt;"","?FAMILIAR",IF(F1072="NEW",IF(ISNA(VLOOKUP(E1072,#REF!,1,FALSE())),"?TYPE_IDENTIFIABLE","?REFERENTIAL"),"_")))))</f>
        <v> </v>
      </c>
      <c r="H1072" s="24" t="str">
        <f>IF(J1072&lt;&gt;1,"",IF(I1072="SBJ","CB","?"))</f>
        <v> </v>
      </c>
      <c r="I1072" s="25" t="str">
        <f>IF(OR(E1072="",E1072="!!!",F1072="NEW"),"",INDEX(B1071:B$2,-1+SUMPRODUCT(MAX(ROW(E1071:E$2)*(E1072=E1071:E$2)))))</f>
        <v> </v>
      </c>
      <c r="J1072" s="25" t="str">
        <f>IF(OR(E1072="",E1072="!!!",F1072="NEW"),"",COUNTBLANK(OFFSET(A$1,,,SUMPRODUCT(MAX(ROW(E$2:E1072)*(E1072=E$2:E1072)))))-COUNTBLANK(OFFSET(A$1,,,SUMPRODUCT(MAX(ROW(E$1:E1071)*(E2=E$1:E1071))))))</f>
        <v> </v>
      </c>
      <c r="K1072" s="25" t="str">
        <f>IF(OR(E1072="",E1072="!!!",F1072="NEW"),"",INDEX(J$1:J1071,SUMPRODUCT(MAX(ROW(E$1:E1071)*(E1072=E$1:E1071)))))</f>
        <v> </v>
      </c>
      <c r="L1072" s="26"/>
    </row>
    <row r="1073" spans="1:12">
      <c r="A1073" s="20" t="s">
        <v>531</v>
      </c>
      <c r="E1073" s="21">
        <f>IF(D1073="?OLD","!!!","")</f>
        <v/>
      </c>
      <c r="F1073" s="22" t="str">
        <f>IF(OR(E1073="",E1073="!!!"),"",IF(NOT(ISNA(VLOOKUP(E1073,E$1:E1072,1,FALSE()))),"OLD",IF(AND(E1073&lt;&gt;"",E1073&lt;&gt;"!!!"),"NEW","")))</f>
        <v> </v>
      </c>
      <c r="G1073" s="23" t="str">
        <f>IF(OR(E1073="",E1073="!!!"),"",IF(OR(J1073=0,AND(J1073=1,K1073=1),AND(J1073=1,I1073="SBJ"),AND(J1073=1,I1073=0)),"?IN_FOCUS",IF(J1073&lt;=2,"?ACTIVATED",IF(J1073&lt;&gt;"","?FAMILIAR",IF(F1073="NEW",IF(ISNA(VLOOKUP(E1073,#REF!,1,FALSE())),"?TYPE_IDENTIFIABLE","?REFERENTIAL"),"_")))))</f>
        <v> </v>
      </c>
      <c r="H1073" s="24" t="str">
        <f>IF(J1073&lt;&gt;1,"",IF(I1073="SBJ","CB","?"))</f>
        <v> </v>
      </c>
      <c r="I1073" s="25" t="str">
        <f>IF(OR(E1073="",E1073="!!!",F1073="NEW"),"",INDEX(B1072:B$2,-1+SUMPRODUCT(MAX(ROW(E1072:E$2)*(E1073=E1072:E$2)))))</f>
        <v> </v>
      </c>
      <c r="J1073" s="25" t="str">
        <f>IF(OR(E1073="",E1073="!!!",F1073="NEW"),"",COUNTBLANK(OFFSET(A$1,,,SUMPRODUCT(MAX(ROW(E$2:E1073)*(E1073=E$2:E1073)))))-COUNTBLANK(OFFSET(A$1,,,SUMPRODUCT(MAX(ROW(E$1:E1072)*(E2=E$1:E1072))))))</f>
        <v> </v>
      </c>
      <c r="K1073" s="25" t="str">
        <f>IF(OR(E1073="",E1073="!!!",F1073="NEW"),"",INDEX(J$1:J1072,SUMPRODUCT(MAX(ROW(E$1:E1072)*(E1073=E$1:E1072)))))</f>
        <v> </v>
      </c>
      <c r="L1073" s="26"/>
    </row>
    <row r="1074" spans="1:12">
      <c r="A1074" s="20"/>
    </row>
    <row r="1075" spans="1:12">
      <c r="A1075" s="20" t="s">
        <v>888</v>
      </c>
    </row>
    <row r="1076" spans="1:12">
      <c r="A1076" s="20" t="s">
        <v>686</v>
      </c>
      <c r="E1076" s="21">
        <f>IF(D1076="?OLD","!!!","")</f>
        <v/>
      </c>
      <c r="F1076" s="22" t="str">
        <f>IF(OR(E1076="",E1076="!!!"),"",IF(NOT(ISNA(VLOOKUP(E1076,E$1:E1075,1,FALSE()))),"OLD",IF(AND(E1076&lt;&gt;"",E1076&lt;&gt;"!!!"),"NEW","")))</f>
        <v> </v>
      </c>
      <c r="G1076" s="23" t="str">
        <f>IF(OR(E1076="",E1076="!!!"),"",IF(OR(J1076=0,AND(J1076=1,K1076=1),AND(J1076=1,I1076="SBJ"),AND(J1076=1,I1076=0)),"?IN_FOCUS",IF(J1076&lt;=2,"?ACTIVATED",IF(J1076&lt;&gt;"","?FAMILIAR",IF(F1076="NEW",IF(ISNA(VLOOKUP(E1076,#REF!,1,FALSE())),"?TYPE_IDENTIFIABLE","?REFERENTIAL"),"_")))))</f>
        <v> </v>
      </c>
      <c r="H1076" s="24" t="str">
        <f>IF(J1076&lt;&gt;1,"",IF(I1076="SBJ","CB","?"))</f>
        <v> </v>
      </c>
      <c r="I1076" s="25" t="str">
        <f>IF(OR(E1076="",E1076="!!!",F1076="NEW"),"",INDEX(B1075:B$2,-1+SUMPRODUCT(MAX(ROW(E1075:E$2)*(E1076=E1075:E$2)))))</f>
        <v> </v>
      </c>
      <c r="J1076" s="25" t="str">
        <f>IF(OR(E1076="",E1076="!!!",F1076="NEW"),"",COUNTBLANK(OFFSET(A$1,,,SUMPRODUCT(MAX(ROW(E$2:E1076)*(E1076=E$2:E1076)))))-COUNTBLANK(OFFSET(A$1,,,SUMPRODUCT(MAX(ROW(E$1:E1075)*(E2=E$1:E1075))))))</f>
        <v> </v>
      </c>
      <c r="K1076" s="25" t="str">
        <f>IF(OR(E1076="",E1076="!!!",F1076="NEW"),"",INDEX(J$1:J1075,SUMPRODUCT(MAX(ROW(E$1:E1075)*(E1076=E$1:E1075)))))</f>
        <v> </v>
      </c>
      <c r="L1076" s="26"/>
    </row>
    <row r="1077" spans="1:12">
      <c r="A1077" s="20" t="s">
        <v>485</v>
      </c>
      <c r="E1077" s="21">
        <f>IF(D1077="?OLD","!!!","")</f>
        <v/>
      </c>
      <c r="F1077" s="22" t="str">
        <f>IF(OR(E1077="",E1077="!!!"),"",IF(NOT(ISNA(VLOOKUP(E1077,E$1:E1076,1,FALSE()))),"OLD",IF(AND(E1077&lt;&gt;"",E1077&lt;&gt;"!!!"),"NEW","")))</f>
        <v> </v>
      </c>
      <c r="G1077" s="23" t="str">
        <f>IF(OR(E1077="",E1077="!!!"),"",IF(OR(J1077=0,AND(J1077=1,K1077=1),AND(J1077=1,I1077="SBJ"),AND(J1077=1,I1077=0)),"?IN_FOCUS",IF(J1077&lt;=2,"?ACTIVATED",IF(J1077&lt;&gt;"","?FAMILIAR",IF(F1077="NEW",IF(ISNA(VLOOKUP(E1077,#REF!,1,FALSE())),"?TYPE_IDENTIFIABLE","?REFERENTIAL"),"_")))))</f>
        <v> </v>
      </c>
      <c r="H1077" s="24" t="str">
        <f>IF(J1077&lt;&gt;1,"",IF(I1077="SBJ","CB","?"))</f>
        <v> </v>
      </c>
      <c r="I1077" s="25" t="str">
        <f>IF(OR(E1077="",E1077="!!!",F1077="NEW"),"",INDEX(B1076:B$2,-1+SUMPRODUCT(MAX(ROW(E1076:E$2)*(E1077=E1076:E$2)))))</f>
        <v> </v>
      </c>
      <c r="J1077" s="25" t="str">
        <f>IF(OR(E1077="",E1077="!!!",F1077="NEW"),"",COUNTBLANK(OFFSET(A$1,,,SUMPRODUCT(MAX(ROW(E$2:E1077)*(E1077=E$2:E1077)))))-COUNTBLANK(OFFSET(A$1,,,SUMPRODUCT(MAX(ROW(E$1:E1076)*(E2=E$1:E1076))))))</f>
        <v> </v>
      </c>
      <c r="K1077" s="25" t="str">
        <f>IF(OR(E1077="",E1077="!!!",F1077="NEW"),"",INDEX(J$1:J1076,SUMPRODUCT(MAX(ROW(E$1:E1076)*(E1077=E$1:E1076)))))</f>
        <v> </v>
      </c>
      <c r="L1077" s="26"/>
    </row>
    <row r="1078" spans="1:12">
      <c r="A1078" s="20" t="s">
        <v>260</v>
      </c>
      <c r="B1078" s="27" t="s">
        <v>477</v>
      </c>
      <c r="C1078" s="27" t="s">
        <v>487</v>
      </c>
      <c r="D1078" s="27" t="s">
        <v>483</v>
      </c>
      <c r="E1078" s="21">
        <f>IF(D1078="?OLD","!!!","")</f>
        <v/>
      </c>
      <c r="F1078" s="22" t="str">
        <f>IF(OR(E1078="",E1078="!!!"),"",IF(NOT(ISNA(VLOOKUP(E1078,E$1:E1077,1,FALSE()))),"OLD",IF(AND(E1078&lt;&gt;"",E1078&lt;&gt;"!!!"),"NEW","")))</f>
        <v> </v>
      </c>
      <c r="G1078" s="23" t="str">
        <f>IF(OR(E1078="",E1078="!!!"),"",IF(OR(J1078=0,AND(J1078=1,K1078=1),AND(J1078=1,I1078="SBJ"),AND(J1078=1,I1078=0)),"?IN_FOCUS",IF(J1078&lt;=2,"?ACTIVATED",IF(J1078&lt;&gt;"","?FAMILIAR",IF(F1078="NEW",IF(ISNA(VLOOKUP(E1078,#REF!,1,FALSE())),"?TYPE_IDENTIFIABLE","?REFERENTIAL"),"_")))))</f>
        <v> </v>
      </c>
      <c r="H1078" s="24" t="str">
        <f>IF(J1078&lt;&gt;1,"",IF(I1078="SBJ","CB","?"))</f>
        <v> </v>
      </c>
      <c r="I1078" s="25" t="str">
        <f>IF(OR(E1078="",E1078="!!!",F1078="NEW"),"",INDEX(B1077:B$2,-1+SUMPRODUCT(MAX(ROW(E1077:E$2)*(E1078=E1077:E$2)))))</f>
        <v> </v>
      </c>
      <c r="J1078" s="25" t="str">
        <f>IF(OR(E1078="",E1078="!!!",F1078="NEW"),"",COUNTBLANK(OFFSET(A$1,,,SUMPRODUCT(MAX(ROW(E$2:E1078)*(E1078=E$2:E1078)))))-COUNTBLANK(OFFSET(A$1,,,SUMPRODUCT(MAX(ROW(E$1:E1077)*(E2=E$1:E1077))))))</f>
        <v> </v>
      </c>
      <c r="K1078" s="25" t="str">
        <f>IF(OR(E1078="",E1078="!!!",F1078="NEW"),"",INDEX(J$1:J1077,SUMPRODUCT(MAX(ROW(E$1:E1077)*(E1078=E$1:E1077)))))</f>
        <v> </v>
      </c>
      <c r="L1078" s="26"/>
    </row>
    <row r="1079" spans="1:12">
      <c r="A1079" s="20" t="s">
        <v>889</v>
      </c>
      <c r="E1079" s="21">
        <f>IF(D1079="?OLD","!!!","")</f>
        <v/>
      </c>
      <c r="F1079" s="22" t="str">
        <f>IF(OR(E1079="",E1079="!!!"),"",IF(NOT(ISNA(VLOOKUP(E1079,E$1:E1078,1,FALSE()))),"OLD",IF(AND(E1079&lt;&gt;"",E1079&lt;&gt;"!!!"),"NEW","")))</f>
        <v> </v>
      </c>
      <c r="G1079" s="23" t="str">
        <f>IF(OR(E1079="",E1079="!!!"),"",IF(OR(J1079=0,AND(J1079=1,K1079=1),AND(J1079=1,I1079="SBJ"),AND(J1079=1,I1079=0)),"?IN_FOCUS",IF(J1079&lt;=2,"?ACTIVATED",IF(J1079&lt;&gt;"","?FAMILIAR",IF(F1079="NEW",IF(ISNA(VLOOKUP(E1079,#REF!,1,FALSE())),"?TYPE_IDENTIFIABLE","?REFERENTIAL"),"_")))))</f>
        <v> </v>
      </c>
      <c r="H1079" s="24" t="str">
        <f>IF(J1079&lt;&gt;1,"",IF(I1079="SBJ","CB","?"))</f>
        <v> </v>
      </c>
      <c r="I1079" s="25" t="str">
        <f>IF(OR(E1079="",E1079="!!!",F1079="NEW"),"",INDEX(B1078:B$2,-1+SUMPRODUCT(MAX(ROW(E1078:E$2)*(E1079=E1078:E$2)))))</f>
        <v> </v>
      </c>
      <c r="J1079" s="25" t="str">
        <f>IF(OR(E1079="",E1079="!!!",F1079="NEW"),"",COUNTBLANK(OFFSET(A$1,,,SUMPRODUCT(MAX(ROW(E$2:E1079)*(E1079=E$2:E1079)))))-COUNTBLANK(OFFSET(A$1,,,SUMPRODUCT(MAX(ROW(E$1:E1078)*(E2=E$1:E1078))))))</f>
        <v> </v>
      </c>
      <c r="K1079" s="25" t="str">
        <f>IF(OR(E1079="",E1079="!!!",F1079="NEW"),"",INDEX(J$1:J1078,SUMPRODUCT(MAX(ROW(E$1:E1078)*(E1079=E$1:E1078)))))</f>
        <v> </v>
      </c>
      <c r="L1079" s="26"/>
    </row>
    <row r="1080" spans="1:12">
      <c r="A1080" s="20" t="s">
        <v>531</v>
      </c>
      <c r="E1080" s="21">
        <f>IF(D1080="?OLD","!!!","")</f>
        <v/>
      </c>
      <c r="F1080" s="22" t="str">
        <f>IF(OR(E1080="",E1080="!!!"),"",IF(NOT(ISNA(VLOOKUP(E1080,E$1:E1079,1,FALSE()))),"OLD",IF(AND(E1080&lt;&gt;"",E1080&lt;&gt;"!!!"),"NEW","")))</f>
        <v> </v>
      </c>
      <c r="G1080" s="23" t="str">
        <f>IF(OR(E1080="",E1080="!!!"),"",IF(OR(J1080=0,AND(J1080=1,K1080=1),AND(J1080=1,I1080="SBJ"),AND(J1080=1,I1080=0)),"?IN_FOCUS",IF(J1080&lt;=2,"?ACTIVATED",IF(J1080&lt;&gt;"","?FAMILIAR",IF(F1080="NEW",IF(ISNA(VLOOKUP(E1080,#REF!,1,FALSE())),"?TYPE_IDENTIFIABLE","?REFERENTIAL"),"_")))))</f>
        <v> </v>
      </c>
      <c r="H1080" s="24" t="str">
        <f>IF(J1080&lt;&gt;1,"",IF(I1080="SBJ","CB","?"))</f>
        <v> </v>
      </c>
      <c r="I1080" s="25" t="str">
        <f>IF(OR(E1080="",E1080="!!!",F1080="NEW"),"",INDEX(B1079:B$2,-1+SUMPRODUCT(MAX(ROW(E1079:E$2)*(E1080=E1079:E$2)))))</f>
        <v> </v>
      </c>
      <c r="J1080" s="25" t="str">
        <f>IF(OR(E1080="",E1080="!!!",F1080="NEW"),"",COUNTBLANK(OFFSET(A$1,,,SUMPRODUCT(MAX(ROW(E$2:E1080)*(E1080=E$2:E1080)))))-COUNTBLANK(OFFSET(A$1,,,SUMPRODUCT(MAX(ROW(E$1:E1079)*(E2=E$1:E1079))))))</f>
        <v> </v>
      </c>
      <c r="K1080" s="25" t="str">
        <f>IF(OR(E1080="",E1080="!!!",F1080="NEW"),"",INDEX(J$1:J1079,SUMPRODUCT(MAX(ROW(E$1:E1079)*(E1080=E$1:E1079)))))</f>
        <v> </v>
      </c>
      <c r="L1080" s="26"/>
    </row>
    <row r="1081" spans="1:12">
      <c r="A1081" s="20"/>
    </row>
    <row r="1082" spans="1:12">
      <c r="A1082" s="20" t="s">
        <v>890</v>
      </c>
    </row>
    <row r="1083" spans="1:12">
      <c r="A1083" s="20" t="s">
        <v>566</v>
      </c>
      <c r="E1083" s="21">
        <f>IF(D1083="?OLD","!!!","")</f>
        <v/>
      </c>
      <c r="F1083" s="22" t="str">
        <f>IF(OR(E1083="",E1083="!!!"),"",IF(NOT(ISNA(VLOOKUP(E1083,E$1:E1082,1,FALSE()))),"OLD",IF(AND(E1083&lt;&gt;"",E1083&lt;&gt;"!!!"),"NEW","")))</f>
        <v> </v>
      </c>
      <c r="G1083" s="23" t="str">
        <f>IF(OR(E1083="",E1083="!!!"),"",IF(OR(J1083=0,AND(J1083=1,K1083=1),AND(J1083=1,I1083="SBJ"),AND(J1083=1,I1083=0)),"?IN_FOCUS",IF(J1083&lt;=2,"?ACTIVATED",IF(J1083&lt;&gt;"","?FAMILIAR",IF(F1083="NEW",IF(ISNA(VLOOKUP(E1083,#REF!,1,FALSE())),"?TYPE_IDENTIFIABLE","?REFERENTIAL"),"_")))))</f>
        <v> </v>
      </c>
      <c r="H1083" s="24" t="str">
        <f>IF(J1083&lt;&gt;1,"",IF(I1083="SBJ","CB","?"))</f>
        <v> </v>
      </c>
      <c r="I1083" s="25" t="str">
        <f>IF(OR(E1083="",E1083="!!!",F1083="NEW"),"",INDEX(B1082:B$2,-1+SUMPRODUCT(MAX(ROW(E1082:E$2)*(E1083=E1082:E$2)))))</f>
        <v> </v>
      </c>
      <c r="J1083" s="25" t="str">
        <f>IF(OR(E1083="",E1083="!!!",F1083="NEW"),"",COUNTBLANK(OFFSET(A$1,,,SUMPRODUCT(MAX(ROW(E$2:E1083)*(E1083=E$2:E1083)))))-COUNTBLANK(OFFSET(A$1,,,SUMPRODUCT(MAX(ROW(E$1:E1082)*(E2=E$1:E1082))))))</f>
        <v> </v>
      </c>
      <c r="K1083" s="25" t="str">
        <f>IF(OR(E1083="",E1083="!!!",F1083="NEW"),"",INDEX(J$1:J1082,SUMPRODUCT(MAX(ROW(E$1:E1082)*(E1083=E$1:E1082)))))</f>
        <v> </v>
      </c>
      <c r="L1083" s="26"/>
    </row>
    <row r="1084" spans="1:12">
      <c r="A1084" s="20" t="s">
        <v>891</v>
      </c>
      <c r="E1084" s="21">
        <f>IF(D1084="?OLD","!!!","")</f>
        <v/>
      </c>
      <c r="F1084" s="22" t="str">
        <f>IF(OR(E1084="",E1084="!!!"),"",IF(NOT(ISNA(VLOOKUP(E1084,E$1:E1083,1,FALSE()))),"OLD",IF(AND(E1084&lt;&gt;"",E1084&lt;&gt;"!!!"),"NEW","")))</f>
        <v> </v>
      </c>
      <c r="G1084" s="23" t="str">
        <f>IF(OR(E1084="",E1084="!!!"),"",IF(OR(J1084=0,AND(J1084=1,K1084=1),AND(J1084=1,I1084="SBJ"),AND(J1084=1,I1084=0)),"?IN_FOCUS",IF(J1084&lt;=2,"?ACTIVATED",IF(J1084&lt;&gt;"","?FAMILIAR",IF(F1084="NEW",IF(ISNA(VLOOKUP(E1084,#REF!,1,FALSE())),"?TYPE_IDENTIFIABLE","?REFERENTIAL"),"_")))))</f>
        <v> </v>
      </c>
      <c r="H1084" s="24" t="str">
        <f>IF(J1084&lt;&gt;1,"",IF(I1084="SBJ","CB","?"))</f>
        <v> </v>
      </c>
      <c r="I1084" s="25" t="str">
        <f>IF(OR(E1084="",E1084="!!!",F1084="NEW"),"",INDEX(B1083:B$2,-1+SUMPRODUCT(MAX(ROW(E1083:E$2)*(E1084=E1083:E$2)))))</f>
        <v> </v>
      </c>
      <c r="J1084" s="25" t="str">
        <f>IF(OR(E1084="",E1084="!!!",F1084="NEW"),"",COUNTBLANK(OFFSET(A$1,,,SUMPRODUCT(MAX(ROW(E$2:E1084)*(E1084=E$2:E1084)))))-COUNTBLANK(OFFSET(A$1,,,SUMPRODUCT(MAX(ROW(E$1:E1083)*(E2=E$1:E1083))))))</f>
        <v> </v>
      </c>
      <c r="K1084" s="25" t="str">
        <f>IF(OR(E1084="",E1084="!!!",F1084="NEW"),"",INDEX(J$1:J1083,SUMPRODUCT(MAX(ROW(E$1:E1083)*(E1084=E$1:E1083)))))</f>
        <v> </v>
      </c>
      <c r="L1084" s="26"/>
    </row>
    <row r="1085" spans="1:12">
      <c r="A1085" s="20" t="s">
        <v>485</v>
      </c>
      <c r="E1085" s="21">
        <f>IF(D1085="?OLD","!!!","")</f>
        <v/>
      </c>
      <c r="F1085" s="22" t="str">
        <f>IF(OR(E1085="",E1085="!!!"),"",IF(NOT(ISNA(VLOOKUP(E1085,E$1:E1084,1,FALSE()))),"OLD",IF(AND(E1085&lt;&gt;"",E1085&lt;&gt;"!!!"),"NEW","")))</f>
        <v> </v>
      </c>
      <c r="G1085" s="23" t="str">
        <f>IF(OR(E1085="",E1085="!!!"),"",IF(OR(J1085=0,AND(J1085=1,K1085=1),AND(J1085=1,I1085="SBJ"),AND(J1085=1,I1085=0)),"?IN_FOCUS",IF(J1085&lt;=2,"?ACTIVATED",IF(J1085&lt;&gt;"","?FAMILIAR",IF(F1085="NEW",IF(ISNA(VLOOKUP(E1085,#REF!,1,FALSE())),"?TYPE_IDENTIFIABLE","?REFERENTIAL"),"_")))))</f>
        <v> </v>
      </c>
      <c r="H1085" s="24" t="str">
        <f>IF(J1085&lt;&gt;1,"",IF(I1085="SBJ","CB","?"))</f>
        <v> </v>
      </c>
      <c r="I1085" s="25" t="str">
        <f>IF(OR(E1085="",E1085="!!!",F1085="NEW"),"",INDEX(B1084:B$2,-1+SUMPRODUCT(MAX(ROW(E1084:E$2)*(E1085=E1084:E$2)))))</f>
        <v> </v>
      </c>
      <c r="J1085" s="25" t="str">
        <f>IF(OR(E1085="",E1085="!!!",F1085="NEW"),"",COUNTBLANK(OFFSET(A$1,,,SUMPRODUCT(MAX(ROW(E$2:E1085)*(E1085=E$2:E1085)))))-COUNTBLANK(OFFSET(A$1,,,SUMPRODUCT(MAX(ROW(E$1:E1084)*(E2=E$1:E1084))))))</f>
        <v> </v>
      </c>
      <c r="K1085" s="25" t="str">
        <f>IF(OR(E1085="",E1085="!!!",F1085="NEW"),"",INDEX(J$1:J1084,SUMPRODUCT(MAX(ROW(E$1:E1084)*(E1085=E$1:E1084)))))</f>
        <v> </v>
      </c>
      <c r="L1085" s="26"/>
    </row>
    <row r="1086" spans="1:12">
      <c r="A1086" s="20" t="s">
        <v>892</v>
      </c>
      <c r="B1086" s="27" t="s">
        <v>542</v>
      </c>
      <c r="C1086" s="27" t="s">
        <v>538</v>
      </c>
      <c r="D1086" s="27" t="s">
        <v>483</v>
      </c>
      <c r="E1086" s="21">
        <f>IF(D1086="?OLD","!!!","")</f>
        <v/>
      </c>
      <c r="F1086" s="22" t="str">
        <f>IF(OR(E1086="",E1086="!!!"),"",IF(NOT(ISNA(VLOOKUP(E1086,E$1:E1085,1,FALSE()))),"OLD",IF(AND(E1086&lt;&gt;"",E1086&lt;&gt;"!!!"),"NEW","")))</f>
        <v> </v>
      </c>
      <c r="G1086" s="23" t="str">
        <f>IF(OR(E1086="",E1086="!!!"),"",IF(OR(J1086=0,AND(J1086=1,K1086=1),AND(J1086=1,I1086="SBJ"),AND(J1086=1,I1086=0)),"?IN_FOCUS",IF(J1086&lt;=2,"?ACTIVATED",IF(J1086&lt;&gt;"","?FAMILIAR",IF(F1086="NEW",IF(ISNA(VLOOKUP(E1086,#REF!,1,FALSE())),"?TYPE_IDENTIFIABLE","?REFERENTIAL"),"_")))))</f>
        <v> </v>
      </c>
      <c r="H1086" s="24" t="str">
        <f>IF(J1086&lt;&gt;1,"",IF(I1086="SBJ","CB","?"))</f>
        <v> </v>
      </c>
      <c r="I1086" s="25" t="str">
        <f>IF(OR(E1086="",E1086="!!!",F1086="NEW"),"",INDEX(B1085:B$2,-1+SUMPRODUCT(MAX(ROW(E1085:E$2)*(E1086=E1085:E$2)))))</f>
        <v> </v>
      </c>
      <c r="J1086" s="25" t="str">
        <f>IF(OR(E1086="",E1086="!!!",F1086="NEW"),"",COUNTBLANK(OFFSET(A$1,,,SUMPRODUCT(MAX(ROW(E$2:E1086)*(E1086=E$2:E1086)))))-COUNTBLANK(OFFSET(A$1,,,SUMPRODUCT(MAX(ROW(E$1:E1085)*(E2=E$1:E1085))))))</f>
        <v> </v>
      </c>
      <c r="K1086" s="25" t="str">
        <f>IF(OR(E1086="",E1086="!!!",F1086="NEW"),"",INDEX(J$1:J1085,SUMPRODUCT(MAX(ROW(E$1:E1085)*(E1086=E$1:E1085)))))</f>
        <v> </v>
      </c>
      <c r="L1086" s="26"/>
    </row>
    <row r="1087" spans="1:12">
      <c r="A1087" s="20" t="s">
        <v>528</v>
      </c>
      <c r="E1087" s="21">
        <f>IF(D1087="?OLD","!!!","")</f>
        <v/>
      </c>
      <c r="F1087" s="22" t="str">
        <f>IF(OR(E1087="",E1087="!!!"),"",IF(NOT(ISNA(VLOOKUP(E1087,E$1:E1086,1,FALSE()))),"OLD",IF(AND(E1087&lt;&gt;"",E1087&lt;&gt;"!!!"),"NEW","")))</f>
        <v> </v>
      </c>
      <c r="G1087" s="23" t="str">
        <f>IF(OR(E1087="",E1087="!!!"),"",IF(OR(J1087=0,AND(J1087=1,K1087=1),AND(J1087=1,I1087="SBJ"),AND(J1087=1,I1087=0)),"?IN_FOCUS",IF(J1087&lt;=2,"?ACTIVATED",IF(J1087&lt;&gt;"","?FAMILIAR",IF(F1087="NEW",IF(ISNA(VLOOKUP(E1087,#REF!,1,FALSE())),"?TYPE_IDENTIFIABLE","?REFERENTIAL"),"_")))))</f>
        <v> </v>
      </c>
      <c r="H1087" s="24" t="str">
        <f>IF(J1087&lt;&gt;1,"",IF(I1087="SBJ","CB","?"))</f>
        <v> </v>
      </c>
      <c r="I1087" s="25" t="str">
        <f>IF(OR(E1087="",E1087="!!!",F1087="NEW"),"",INDEX(B1086:B$2,-1+SUMPRODUCT(MAX(ROW(E1086:E$2)*(E1087=E1086:E$2)))))</f>
        <v> </v>
      </c>
      <c r="J1087" s="25" t="str">
        <f>IF(OR(E1087="",E1087="!!!",F1087="NEW"),"",COUNTBLANK(OFFSET(A$1,,,SUMPRODUCT(MAX(ROW(E$2:E1087)*(E1087=E$2:E1087)))))-COUNTBLANK(OFFSET(A$1,,,SUMPRODUCT(MAX(ROW(E$1:E1086)*(E2=E$1:E1086))))))</f>
        <v> </v>
      </c>
      <c r="K1087" s="25" t="str">
        <f>IF(OR(E1087="",E1087="!!!",F1087="NEW"),"",INDEX(J$1:J1086,SUMPRODUCT(MAX(ROW(E$1:E1086)*(E1087=E$1:E1086)))))</f>
        <v> </v>
      </c>
      <c r="L1087" s="26"/>
    </row>
    <row r="1088" spans="1:12">
      <c r="A1088" s="20" t="s">
        <v>485</v>
      </c>
      <c r="E1088" s="21">
        <f>IF(D1088="?OLD","!!!","")</f>
        <v/>
      </c>
      <c r="F1088" s="22" t="str">
        <f>IF(OR(E1088="",E1088="!!!"),"",IF(NOT(ISNA(VLOOKUP(E1088,E$1:E1087,1,FALSE()))),"OLD",IF(AND(E1088&lt;&gt;"",E1088&lt;&gt;"!!!"),"NEW","")))</f>
        <v> </v>
      </c>
      <c r="G1088" s="23" t="str">
        <f>IF(OR(E1088="",E1088="!!!"),"",IF(OR(J1088=0,AND(J1088=1,K1088=1),AND(J1088=1,I1088="SBJ"),AND(J1088=1,I1088=0)),"?IN_FOCUS",IF(J1088&lt;=2,"?ACTIVATED",IF(J1088&lt;&gt;"","?FAMILIAR",IF(F1088="NEW",IF(ISNA(VLOOKUP(E1088,#REF!,1,FALSE())),"?TYPE_IDENTIFIABLE","?REFERENTIAL"),"_")))))</f>
        <v> </v>
      </c>
      <c r="H1088" s="24" t="str">
        <f>IF(J1088&lt;&gt;1,"",IF(I1088="SBJ","CB","?"))</f>
        <v> </v>
      </c>
      <c r="I1088" s="25" t="str">
        <f>IF(OR(E1088="",E1088="!!!",F1088="NEW"),"",INDEX(B1087:B$2,-1+SUMPRODUCT(MAX(ROW(E1087:E$2)*(E1088=E1087:E$2)))))</f>
        <v> </v>
      </c>
      <c r="J1088" s="25" t="str">
        <f>IF(OR(E1088="",E1088="!!!",F1088="NEW"),"",COUNTBLANK(OFFSET(A$1,,,SUMPRODUCT(MAX(ROW(E$2:E1088)*(E1088=E$2:E1088)))))-COUNTBLANK(OFFSET(A$1,,,SUMPRODUCT(MAX(ROW(E$1:E1087)*(E2=E$1:E1087))))))</f>
        <v> </v>
      </c>
      <c r="K1088" s="25" t="str">
        <f>IF(OR(E1088="",E1088="!!!",F1088="NEW"),"",INDEX(J$1:J1087,SUMPRODUCT(MAX(ROW(E$1:E1087)*(E1088=E$1:E1087)))))</f>
        <v> </v>
      </c>
      <c r="L1088" s="26"/>
    </row>
    <row r="1089" spans="1:12">
      <c r="A1089" s="20" t="s">
        <v>486</v>
      </c>
      <c r="B1089" s="27" t="s">
        <v>540</v>
      </c>
      <c r="C1089" s="27" t="s">
        <v>487</v>
      </c>
      <c r="D1089" s="27" t="s">
        <v>483</v>
      </c>
      <c r="E1089" s="21">
        <f>IF(D1089="?OLD","!!!","")</f>
        <v/>
      </c>
      <c r="F1089" s="22" t="str">
        <f>IF(OR(E1089="",E1089="!!!"),"",IF(NOT(ISNA(VLOOKUP(E1089,E$1:E1088,1,FALSE()))),"OLD",IF(AND(E1089&lt;&gt;"",E1089&lt;&gt;"!!!"),"NEW","")))</f>
        <v> </v>
      </c>
      <c r="G1089" s="23" t="str">
        <f>IF(OR(E1089="",E1089="!!!"),"",IF(OR(J1089=0,AND(J1089=1,K1089=1),AND(J1089=1,I1089="SBJ"),AND(J1089=1,I1089=0)),"?IN_FOCUS",IF(J1089&lt;=2,"?ACTIVATED",IF(J1089&lt;&gt;"","?FAMILIAR",IF(F1089="NEW",IF(ISNA(VLOOKUP(E1089,#REF!,1,FALSE())),"?TYPE_IDENTIFIABLE","?REFERENTIAL"),"_")))))</f>
        <v> </v>
      </c>
      <c r="H1089" s="24" t="str">
        <f>IF(J1089&lt;&gt;1,"",IF(I1089="SBJ","CB","?"))</f>
        <v> </v>
      </c>
      <c r="I1089" s="25" t="str">
        <f>IF(OR(E1089="",E1089="!!!",F1089="NEW"),"",INDEX(B1088:B$2,-1+SUMPRODUCT(MAX(ROW(E1088:E$2)*(E1089=E1088:E$2)))))</f>
        <v> </v>
      </c>
      <c r="J1089" s="25" t="str">
        <f>IF(OR(E1089="",E1089="!!!",F1089="NEW"),"",COUNTBLANK(OFFSET(A$1,,,SUMPRODUCT(MAX(ROW(E$2:E1089)*(E1089=E$2:E1089)))))-COUNTBLANK(OFFSET(A$1,,,SUMPRODUCT(MAX(ROW(E$1:E1088)*(E2=E$1:E1088))))))</f>
        <v> </v>
      </c>
      <c r="K1089" s="25" t="str">
        <f>IF(OR(E1089="",E1089="!!!",F1089="NEW"),"",INDEX(J$1:J1088,SUMPRODUCT(MAX(ROW(E$1:E1088)*(E1089=E$1:E1088)))))</f>
        <v> </v>
      </c>
      <c r="L1089" s="26"/>
    </row>
    <row r="1090" spans="1:12">
      <c r="A1090" s="20" t="s">
        <v>488</v>
      </c>
      <c r="E1090" s="21">
        <f>IF(D1090="?OLD","!!!","")</f>
        <v/>
      </c>
      <c r="F1090" s="22" t="str">
        <f>IF(OR(E1090="",E1090="!!!"),"",IF(NOT(ISNA(VLOOKUP(E1090,E$1:E1089,1,FALSE()))),"OLD",IF(AND(E1090&lt;&gt;"",E1090&lt;&gt;"!!!"),"NEW","")))</f>
        <v> </v>
      </c>
      <c r="G1090" s="23" t="str">
        <f>IF(OR(E1090="",E1090="!!!"),"",IF(OR(J1090=0,AND(J1090=1,K1090=1),AND(J1090=1,I1090="SBJ"),AND(J1090=1,I1090=0)),"?IN_FOCUS",IF(J1090&lt;=2,"?ACTIVATED",IF(J1090&lt;&gt;"","?FAMILIAR",IF(F1090="NEW",IF(ISNA(VLOOKUP(E1090,#REF!,1,FALSE())),"?TYPE_IDENTIFIABLE","?REFERENTIAL"),"_")))))</f>
        <v> </v>
      </c>
      <c r="H1090" s="24" t="str">
        <f>IF(J1090&lt;&gt;1,"",IF(I1090="SBJ","CB","?"))</f>
        <v> </v>
      </c>
      <c r="I1090" s="25" t="str">
        <f>IF(OR(E1090="",E1090="!!!",F1090="NEW"),"",INDEX(B1089:B$2,-1+SUMPRODUCT(MAX(ROW(E1089:E$2)*(E1090=E1089:E$2)))))</f>
        <v> </v>
      </c>
      <c r="J1090" s="25" t="str">
        <f>IF(OR(E1090="",E1090="!!!",F1090="NEW"),"",COUNTBLANK(OFFSET(A$1,,,SUMPRODUCT(MAX(ROW(E$2:E1090)*(E1090=E$2:E1090)))))-COUNTBLANK(OFFSET(A$1,,,SUMPRODUCT(MAX(ROW(E$1:E1089)*(E2=E$1:E1089))))))</f>
        <v> </v>
      </c>
      <c r="K1090" s="25" t="str">
        <f>IF(OR(E1090="",E1090="!!!",F1090="NEW"),"",INDEX(J$1:J1089,SUMPRODUCT(MAX(ROW(E$1:E1089)*(E1090=E$1:E1089)))))</f>
        <v> </v>
      </c>
      <c r="L1090" s="26"/>
    </row>
    <row r="1091" spans="1:12">
      <c r="A1091" s="20" t="s">
        <v>893</v>
      </c>
      <c r="E1091" s="21">
        <f>IF(D1091="?OLD","!!!","")</f>
        <v/>
      </c>
      <c r="F1091" s="22" t="str">
        <f>IF(OR(E1091="",E1091="!!!"),"",IF(NOT(ISNA(VLOOKUP(E1091,E$1:E1090,1,FALSE()))),"OLD",IF(AND(E1091&lt;&gt;"",E1091&lt;&gt;"!!!"),"NEW","")))</f>
        <v> </v>
      </c>
      <c r="G1091" s="23" t="str">
        <f>IF(OR(E1091="",E1091="!!!"),"",IF(OR(J1091=0,AND(J1091=1,K1091=1),AND(J1091=1,I1091="SBJ"),AND(J1091=1,I1091=0)),"?IN_FOCUS",IF(J1091&lt;=2,"?ACTIVATED",IF(J1091&lt;&gt;"","?FAMILIAR",IF(F1091="NEW",IF(ISNA(VLOOKUP(E1091,#REF!,1,FALSE())),"?TYPE_IDENTIFIABLE","?REFERENTIAL"),"_")))))</f>
        <v> </v>
      </c>
      <c r="H1091" s="24" t="str">
        <f>IF(J1091&lt;&gt;1,"",IF(I1091="SBJ","CB","?"))</f>
        <v> </v>
      </c>
      <c r="I1091" s="25" t="str">
        <f>IF(OR(E1091="",E1091="!!!",F1091="NEW"),"",INDEX(B1090:B$2,-1+SUMPRODUCT(MAX(ROW(E1090:E$2)*(E1091=E1090:E$2)))))</f>
        <v> </v>
      </c>
      <c r="J1091" s="25" t="str">
        <f>IF(OR(E1091="",E1091="!!!",F1091="NEW"),"",COUNTBLANK(OFFSET(A$1,,,SUMPRODUCT(MAX(ROW(E$2:E1091)*(E1091=E$2:E1091)))))-COUNTBLANK(OFFSET(A$1,,,SUMPRODUCT(MAX(ROW(E$1:E1090)*(E2=E$1:E1090))))))</f>
        <v> </v>
      </c>
      <c r="K1091" s="25" t="str">
        <f>IF(OR(E1091="",E1091="!!!",F1091="NEW"),"",INDEX(J$1:J1090,SUMPRODUCT(MAX(ROW(E$1:E1090)*(E1091=E$1:E1090)))))</f>
        <v> </v>
      </c>
      <c r="L1091" s="26"/>
    </row>
    <row r="1092" spans="1:12">
      <c r="A1092" s="20" t="s">
        <v>528</v>
      </c>
      <c r="E1092" s="21">
        <f>IF(D1092="?OLD","!!!","")</f>
        <v/>
      </c>
      <c r="F1092" s="22" t="str">
        <f>IF(OR(E1092="",E1092="!!!"),"",IF(NOT(ISNA(VLOOKUP(E1092,E$1:E1091,1,FALSE()))),"OLD",IF(AND(E1092&lt;&gt;"",E1092&lt;&gt;"!!!"),"NEW","")))</f>
        <v> </v>
      </c>
      <c r="G1092" s="23" t="str">
        <f>IF(OR(E1092="",E1092="!!!"),"",IF(OR(J1092=0,AND(J1092=1,K1092=1),AND(J1092=1,I1092="SBJ"),AND(J1092=1,I1092=0)),"?IN_FOCUS",IF(J1092&lt;=2,"?ACTIVATED",IF(J1092&lt;&gt;"","?FAMILIAR",IF(F1092="NEW",IF(ISNA(VLOOKUP(E1092,#REF!,1,FALSE())),"?TYPE_IDENTIFIABLE","?REFERENTIAL"),"_")))))</f>
        <v> </v>
      </c>
      <c r="H1092" s="24" t="str">
        <f>IF(J1092&lt;&gt;1,"",IF(I1092="SBJ","CB","?"))</f>
        <v> </v>
      </c>
      <c r="I1092" s="25" t="str">
        <f>IF(OR(E1092="",E1092="!!!",F1092="NEW"),"",INDEX(B1091:B$2,-1+SUMPRODUCT(MAX(ROW(E1091:E$2)*(E1092=E1091:E$2)))))</f>
        <v> </v>
      </c>
      <c r="J1092" s="25" t="str">
        <f>IF(OR(E1092="",E1092="!!!",F1092="NEW"),"",COUNTBLANK(OFFSET(A$1,,,SUMPRODUCT(MAX(ROW(E$2:E1092)*(E1092=E$2:E1092)))))-COUNTBLANK(OFFSET(A$1,,,SUMPRODUCT(MAX(ROW(E$1:E1091)*(E2=E$1:E1091))))))</f>
        <v> </v>
      </c>
      <c r="K1092" s="25" t="str">
        <f>IF(OR(E1092="",E1092="!!!",F1092="NEW"),"",INDEX(J$1:J1091,SUMPRODUCT(MAX(ROW(E$1:E1091)*(E1092=E$1:E1091)))))</f>
        <v> </v>
      </c>
      <c r="L1092" s="26"/>
    </row>
    <row r="1093" spans="1:12">
      <c r="A1093" s="20" t="s">
        <v>894</v>
      </c>
      <c r="E1093" s="21">
        <f>IF(D1093="?OLD","!!!","")</f>
        <v/>
      </c>
      <c r="F1093" s="22" t="str">
        <f>IF(OR(E1093="",E1093="!!!"),"",IF(NOT(ISNA(VLOOKUP(E1093,E$1:E1092,1,FALSE()))),"OLD",IF(AND(E1093&lt;&gt;"",E1093&lt;&gt;"!!!"),"NEW","")))</f>
        <v> </v>
      </c>
      <c r="G1093" s="23" t="str">
        <f>IF(OR(E1093="",E1093="!!!"),"",IF(OR(J1093=0,AND(J1093=1,K1093=1),AND(J1093=1,I1093="SBJ"),AND(J1093=1,I1093=0)),"?IN_FOCUS",IF(J1093&lt;=2,"?ACTIVATED",IF(J1093&lt;&gt;"","?FAMILIAR",IF(F1093="NEW",IF(ISNA(VLOOKUP(E1093,#REF!,1,FALSE())),"?TYPE_IDENTIFIABLE","?REFERENTIAL"),"_")))))</f>
        <v> </v>
      </c>
      <c r="H1093" s="24" t="str">
        <f>IF(J1093&lt;&gt;1,"",IF(I1093="SBJ","CB","?"))</f>
        <v> </v>
      </c>
      <c r="I1093" s="25" t="str">
        <f>IF(OR(E1093="",E1093="!!!",F1093="NEW"),"",INDEX(B1092:B$2,-1+SUMPRODUCT(MAX(ROW(E1092:E$2)*(E1093=E1092:E$2)))))</f>
        <v> </v>
      </c>
      <c r="J1093" s="25" t="str">
        <f>IF(OR(E1093="",E1093="!!!",F1093="NEW"),"",COUNTBLANK(OFFSET(A$1,,,SUMPRODUCT(MAX(ROW(E$2:E1093)*(E1093=E$2:E1093)))))-COUNTBLANK(OFFSET(A$1,,,SUMPRODUCT(MAX(ROW(E$1:E1092)*(E2=E$1:E1092))))))</f>
        <v> </v>
      </c>
      <c r="K1093" s="25" t="str">
        <f>IF(OR(E1093="",E1093="!!!",F1093="NEW"),"",INDEX(J$1:J1092,SUMPRODUCT(MAX(ROW(E$1:E1092)*(E1093=E$1:E1092)))))</f>
        <v> </v>
      </c>
      <c r="L1093" s="26"/>
    </row>
    <row r="1094" spans="1:12">
      <c r="A1094" s="20" t="s">
        <v>507</v>
      </c>
      <c r="E1094" s="21">
        <f>IF(D1094="?OLD","!!!","")</f>
        <v/>
      </c>
      <c r="F1094" s="22" t="str">
        <f>IF(OR(E1094="",E1094="!!!"),"",IF(NOT(ISNA(VLOOKUP(E1094,E$1:E1093,1,FALSE()))),"OLD",IF(AND(E1094&lt;&gt;"",E1094&lt;&gt;"!!!"),"NEW","")))</f>
        <v> </v>
      </c>
      <c r="G1094" s="23" t="str">
        <f>IF(OR(E1094="",E1094="!!!"),"",IF(OR(J1094=0,AND(J1094=1,K1094=1),AND(J1094=1,I1094="SBJ"),AND(J1094=1,I1094=0)),"?IN_FOCUS",IF(J1094&lt;=2,"?ACTIVATED",IF(J1094&lt;&gt;"","?FAMILIAR",IF(F1094="NEW",IF(ISNA(VLOOKUP(E1094,#REF!,1,FALSE())),"?TYPE_IDENTIFIABLE","?REFERENTIAL"),"_")))))</f>
        <v> </v>
      </c>
      <c r="H1094" s="24" t="str">
        <f>IF(J1094&lt;&gt;1,"",IF(I1094="SBJ","CB","?"))</f>
        <v> </v>
      </c>
      <c r="I1094" s="25" t="str">
        <f>IF(OR(E1094="",E1094="!!!",F1094="NEW"),"",INDEX(B1093:B$2,-1+SUMPRODUCT(MAX(ROW(E1093:E$2)*(E1094=E1093:E$2)))))</f>
        <v> </v>
      </c>
      <c r="J1094" s="25" t="str">
        <f>IF(OR(E1094="",E1094="!!!",F1094="NEW"),"",COUNTBLANK(OFFSET(A$1,,,SUMPRODUCT(MAX(ROW(E$2:E1094)*(E1094=E$2:E1094)))))-COUNTBLANK(OFFSET(A$1,,,SUMPRODUCT(MAX(ROW(E$1:E1093)*(E2=E$1:E1093))))))</f>
        <v> </v>
      </c>
      <c r="K1094" s="25" t="str">
        <f>IF(OR(E1094="",E1094="!!!",F1094="NEW"),"",INDEX(J$1:J1093,SUMPRODUCT(MAX(ROW(E$1:E1093)*(E1094=E$1:E1093)))))</f>
        <v> </v>
      </c>
      <c r="L1094" s="26"/>
    </row>
    <row r="1095" spans="1:12">
      <c r="A1095" s="20" t="s">
        <v>503</v>
      </c>
      <c r="E1095" s="21">
        <f>IF(D1095="?OLD","!!!","")</f>
        <v/>
      </c>
      <c r="F1095" s="22" t="str">
        <f>IF(OR(E1095="",E1095="!!!"),"",IF(NOT(ISNA(VLOOKUP(E1095,E$1:E1094,1,FALSE()))),"OLD",IF(AND(E1095&lt;&gt;"",E1095&lt;&gt;"!!!"),"NEW","")))</f>
        <v> </v>
      </c>
      <c r="G1095" s="23" t="str">
        <f>IF(OR(E1095="",E1095="!!!"),"",IF(OR(J1095=0,AND(J1095=1,K1095=1),AND(J1095=1,I1095="SBJ"),AND(J1095=1,I1095=0)),"?IN_FOCUS",IF(J1095&lt;=2,"?ACTIVATED",IF(J1095&lt;&gt;"","?FAMILIAR",IF(F1095="NEW",IF(ISNA(VLOOKUP(E1095,#REF!,1,FALSE())),"?TYPE_IDENTIFIABLE","?REFERENTIAL"),"_")))))</f>
        <v> </v>
      </c>
      <c r="H1095" s="24" t="str">
        <f>IF(J1095&lt;&gt;1,"",IF(I1095="SBJ","CB","?"))</f>
        <v> </v>
      </c>
      <c r="I1095" s="25" t="str">
        <f>IF(OR(E1095="",E1095="!!!",F1095="NEW"),"",INDEX(B1094:B$2,-1+SUMPRODUCT(MAX(ROW(E1094:E$2)*(E1095=E1094:E$2)))))</f>
        <v> </v>
      </c>
      <c r="J1095" s="25" t="str">
        <f>IF(OR(E1095="",E1095="!!!",F1095="NEW"),"",COUNTBLANK(OFFSET(A$1,,,SUMPRODUCT(MAX(ROW(E$2:E1095)*(E1095=E$2:E1095)))))-COUNTBLANK(OFFSET(A$1,,,SUMPRODUCT(MAX(ROW(E$1:E1094)*(E2=E$1:E1094))))))</f>
        <v> </v>
      </c>
      <c r="K1095" s="25" t="str">
        <f>IF(OR(E1095="",E1095="!!!",F1095="NEW"),"",INDEX(J$1:J1094,SUMPRODUCT(MAX(ROW(E$1:E1094)*(E1095=E$1:E1094)))))</f>
        <v> </v>
      </c>
      <c r="L1095" s="26"/>
    </row>
    <row r="1096" spans="1:12">
      <c r="A1096" s="20" t="s">
        <v>895</v>
      </c>
      <c r="B1096" s="27" t="s">
        <v>490</v>
      </c>
      <c r="C1096" s="27" t="s">
        <v>487</v>
      </c>
      <c r="D1096" s="27" t="s">
        <v>483</v>
      </c>
      <c r="E1096" s="21">
        <f>IF(D1096="?OLD","!!!","")</f>
        <v/>
      </c>
      <c r="F1096" s="22" t="str">
        <f>IF(OR(E1096="",E1096="!!!"),"",IF(NOT(ISNA(VLOOKUP(E1096,E$1:E1095,1,FALSE()))),"OLD",IF(AND(E1096&lt;&gt;"",E1096&lt;&gt;"!!!"),"NEW","")))</f>
        <v> </v>
      </c>
      <c r="G1096" s="23" t="str">
        <f>IF(OR(E1096="",E1096="!!!"),"",IF(OR(J1096=0,AND(J1096=1,K1096=1),AND(J1096=1,I1096="SBJ"),AND(J1096=1,I1096=0)),"?IN_FOCUS",IF(J1096&lt;=2,"?ACTIVATED",IF(J1096&lt;&gt;"","?FAMILIAR",IF(F1096="NEW",IF(ISNA(VLOOKUP(E1096,#REF!,1,FALSE())),"?TYPE_IDENTIFIABLE","?REFERENTIAL"),"_")))))</f>
        <v> </v>
      </c>
      <c r="H1096" s="24" t="str">
        <f>IF(J1096&lt;&gt;1,"",IF(I1096="SBJ","CB","?"))</f>
        <v> </v>
      </c>
      <c r="I1096" s="25" t="str">
        <f>IF(OR(E1096="",E1096="!!!",F1096="NEW"),"",INDEX(B1095:B$2,-1+SUMPRODUCT(MAX(ROW(E1095:E$2)*(E1096=E1095:E$2)))))</f>
        <v> </v>
      </c>
      <c r="J1096" s="25" t="str">
        <f>IF(OR(E1096="",E1096="!!!",F1096="NEW"),"",COUNTBLANK(OFFSET(A$1,,,SUMPRODUCT(MAX(ROW(E$2:E1096)*(E1096=E$2:E1096)))))-COUNTBLANK(OFFSET(A$1,,,SUMPRODUCT(MAX(ROW(E$1:E1095)*(E2=E$1:E1095))))))</f>
        <v> </v>
      </c>
      <c r="K1096" s="25" t="str">
        <f>IF(OR(E1096="",E1096="!!!",F1096="NEW"),"",INDEX(J$1:J1095,SUMPRODUCT(MAX(ROW(E$1:E1095)*(E1096=E$1:E1095)))))</f>
        <v> </v>
      </c>
      <c r="L1096" s="26"/>
    </row>
    <row r="1097" spans="1:12">
      <c r="A1097" s="20" t="s">
        <v>531</v>
      </c>
      <c r="E1097" s="21">
        <f>IF(D1097="?OLD","!!!","")</f>
        <v/>
      </c>
      <c r="F1097" s="22" t="str">
        <f>IF(OR(E1097="",E1097="!!!"),"",IF(NOT(ISNA(VLOOKUP(E1097,E$1:E1096,1,FALSE()))),"OLD",IF(AND(E1097&lt;&gt;"",E1097&lt;&gt;"!!!"),"NEW","")))</f>
        <v> </v>
      </c>
      <c r="G1097" s="23" t="str">
        <f>IF(OR(E1097="",E1097="!!!"),"",IF(OR(J1097=0,AND(J1097=1,K1097=1),AND(J1097=1,I1097="SBJ"),AND(J1097=1,I1097=0)),"?IN_FOCUS",IF(J1097&lt;=2,"?ACTIVATED",IF(J1097&lt;&gt;"","?FAMILIAR",IF(F1097="NEW",IF(ISNA(VLOOKUP(E1097,#REF!,1,FALSE())),"?TYPE_IDENTIFIABLE","?REFERENTIAL"),"_")))))</f>
        <v> </v>
      </c>
      <c r="H1097" s="24" t="str">
        <f>IF(J1097&lt;&gt;1,"",IF(I1097="SBJ","CB","?"))</f>
        <v> </v>
      </c>
      <c r="I1097" s="25" t="str">
        <f>IF(OR(E1097="",E1097="!!!",F1097="NEW"),"",INDEX(B1096:B$2,-1+SUMPRODUCT(MAX(ROW(E1096:E$2)*(E1097=E1096:E$2)))))</f>
        <v> </v>
      </c>
      <c r="J1097" s="25" t="str">
        <f>IF(OR(E1097="",E1097="!!!",F1097="NEW"),"",COUNTBLANK(OFFSET(A$1,,,SUMPRODUCT(MAX(ROW(E$2:E1097)*(E1097=E$2:E1097)))))-COUNTBLANK(OFFSET(A$1,,,SUMPRODUCT(MAX(ROW(E$1:E1096)*(E2=E$1:E1096))))))</f>
        <v> </v>
      </c>
      <c r="K1097" s="25" t="str">
        <f>IF(OR(E1097="",E1097="!!!",F1097="NEW"),"",INDEX(J$1:J1096,SUMPRODUCT(MAX(ROW(E$1:E1096)*(E1097=E$1:E1096)))))</f>
        <v> </v>
      </c>
      <c r="L1097" s="26"/>
    </row>
    <row r="1098" spans="1:12">
      <c r="A1098" s="20"/>
    </row>
    <row r="1099" spans="1:12">
      <c r="A1099" s="20" t="s">
        <v>896</v>
      </c>
    </row>
    <row r="1100" spans="1:12">
      <c r="A1100" s="20" t="s">
        <v>573</v>
      </c>
      <c r="E1100" s="21">
        <f>IF(D1100="?OLD","!!!","")</f>
        <v/>
      </c>
      <c r="F1100" s="22" t="str">
        <f>IF(OR(E1100="",E1100="!!!"),"",IF(NOT(ISNA(VLOOKUP(E1100,E$1:E1099,1,FALSE()))),"OLD",IF(AND(E1100&lt;&gt;"",E1100&lt;&gt;"!!!"),"NEW","")))</f>
        <v> </v>
      </c>
      <c r="G1100" s="23" t="str">
        <f>IF(OR(E1100="",E1100="!!!"),"",IF(OR(J1100=0,AND(J1100=1,K1100=1),AND(J1100=1,I1100="SBJ"),AND(J1100=1,I1100=0)),"?IN_FOCUS",IF(J1100&lt;=2,"?ACTIVATED",IF(J1100&lt;&gt;"","?FAMILIAR",IF(F1100="NEW",IF(ISNA(VLOOKUP(E1100,#REF!,1,FALSE())),"?TYPE_IDENTIFIABLE","?REFERENTIAL"),"_")))))</f>
        <v> </v>
      </c>
      <c r="H1100" s="24" t="str">
        <f>IF(J1100&lt;&gt;1,"",IF(I1100="SBJ","CB","?"))</f>
        <v> </v>
      </c>
      <c r="I1100" s="25" t="str">
        <f>IF(OR(E1100="",E1100="!!!",F1100="NEW"),"",INDEX(B1099:B$2,-1+SUMPRODUCT(MAX(ROW(E1099:E$2)*(E1100=E1099:E$2)))))</f>
        <v> </v>
      </c>
      <c r="J1100" s="25" t="str">
        <f>IF(OR(E1100="",E1100="!!!",F1100="NEW"),"",COUNTBLANK(OFFSET(A$1,,,SUMPRODUCT(MAX(ROW(E$2:E1100)*(E1100=E$2:E1100)))))-COUNTBLANK(OFFSET(A$1,,,SUMPRODUCT(MAX(ROW(E$1:E1099)*(E2=E$1:E1099))))))</f>
        <v> </v>
      </c>
      <c r="K1100" s="25" t="str">
        <f>IF(OR(E1100="",E1100="!!!",F1100="NEW"),"",INDEX(J$1:J1099,SUMPRODUCT(MAX(ROW(E$1:E1099)*(E1100=E$1:E1099)))))</f>
        <v> </v>
      </c>
      <c r="L1100" s="26"/>
    </row>
    <row r="1101" spans="1:12">
      <c r="A1101" s="20" t="s">
        <v>267</v>
      </c>
      <c r="B1101" s="27" t="s">
        <v>477</v>
      </c>
      <c r="C1101" s="27" t="s">
        <v>538</v>
      </c>
      <c r="D1101" s="27" t="s">
        <v>483</v>
      </c>
      <c r="E1101" s="21">
        <f>IF(D1101="?OLD","!!!","")</f>
        <v/>
      </c>
      <c r="F1101" s="22" t="str">
        <f>IF(OR(E1101="",E1101="!!!"),"",IF(NOT(ISNA(VLOOKUP(E1101,E$1:E1100,1,FALSE()))),"OLD",IF(AND(E1101&lt;&gt;"",E1101&lt;&gt;"!!!"),"NEW","")))</f>
        <v> </v>
      </c>
      <c r="G1101" s="23" t="str">
        <f>IF(OR(E1101="",E1101="!!!"),"",IF(OR(J1101=0,AND(J1101=1,K1101=1),AND(J1101=1,I1101="SBJ"),AND(J1101=1,I1101=0)),"?IN_FOCUS",IF(J1101&lt;=2,"?ACTIVATED",IF(J1101&lt;&gt;"","?FAMILIAR",IF(F1101="NEW",IF(ISNA(VLOOKUP(E1101,#REF!,1,FALSE())),"?TYPE_IDENTIFIABLE","?REFERENTIAL"),"_")))))</f>
        <v> </v>
      </c>
      <c r="H1101" s="24" t="str">
        <f>IF(J1101&lt;&gt;1,"",IF(I1101="SBJ","CB","?"))</f>
        <v> </v>
      </c>
      <c r="I1101" s="25" t="str">
        <f>IF(OR(E1101="",E1101="!!!",F1101="NEW"),"",INDEX(B1100:B$2,-1+SUMPRODUCT(MAX(ROW(E1100:E$2)*(E1101=E1100:E$2)))))</f>
        <v> </v>
      </c>
      <c r="J1101" s="25" t="str">
        <f>IF(OR(E1101="",E1101="!!!",F1101="NEW"),"",COUNTBLANK(OFFSET(A$1,,,SUMPRODUCT(MAX(ROW(E$2:E1101)*(E1101=E$2:E1101)))))-COUNTBLANK(OFFSET(A$1,,,SUMPRODUCT(MAX(ROW(E$1:E1100)*(E2=E$1:E1100))))))</f>
        <v> </v>
      </c>
      <c r="K1101" s="25" t="str">
        <f>IF(OR(E1101="",E1101="!!!",F1101="NEW"),"",INDEX(J$1:J1100,SUMPRODUCT(MAX(ROW(E$1:E1100)*(E1101=E$1:E1100)))))</f>
        <v> </v>
      </c>
      <c r="L1101" s="26"/>
    </row>
    <row r="1102" spans="1:12">
      <c r="A1102" s="20" t="s">
        <v>805</v>
      </c>
      <c r="E1102" s="21">
        <f>IF(D1102="?OLD","!!!","")</f>
        <v/>
      </c>
      <c r="F1102" s="22" t="str">
        <f>IF(OR(E1102="",E1102="!!!"),"",IF(NOT(ISNA(VLOOKUP(E1102,E$1:E1101,1,FALSE()))),"OLD",IF(AND(E1102&lt;&gt;"",E1102&lt;&gt;"!!!"),"NEW","")))</f>
        <v> </v>
      </c>
      <c r="G1102" s="23" t="str">
        <f>IF(OR(E1102="",E1102="!!!"),"",IF(OR(J1102=0,AND(J1102=1,K1102=1),AND(J1102=1,I1102="SBJ"),AND(J1102=1,I1102=0)),"?IN_FOCUS",IF(J1102&lt;=2,"?ACTIVATED",IF(J1102&lt;&gt;"","?FAMILIAR",IF(F1102="NEW",IF(ISNA(VLOOKUP(E1102,#REF!,1,FALSE())),"?TYPE_IDENTIFIABLE","?REFERENTIAL"),"_")))))</f>
        <v> </v>
      </c>
      <c r="H1102" s="24" t="str">
        <f>IF(J1102&lt;&gt;1,"",IF(I1102="SBJ","CB","?"))</f>
        <v> </v>
      </c>
      <c r="I1102" s="25" t="str">
        <f>IF(OR(E1102="",E1102="!!!",F1102="NEW"),"",INDEX(B1101:B$2,-1+SUMPRODUCT(MAX(ROW(E1101:E$2)*(E1102=E1101:E$2)))))</f>
        <v> </v>
      </c>
      <c r="J1102" s="25" t="str">
        <f>IF(OR(E1102="",E1102="!!!",F1102="NEW"),"",COUNTBLANK(OFFSET(A$1,,,SUMPRODUCT(MAX(ROW(E$2:E1102)*(E1102=E$2:E1102)))))-COUNTBLANK(OFFSET(A$1,,,SUMPRODUCT(MAX(ROW(E$1:E1101)*(E2=E$1:E1101))))))</f>
        <v> </v>
      </c>
      <c r="K1102" s="25" t="str">
        <f>IF(OR(E1102="",E1102="!!!",F1102="NEW"),"",INDEX(J$1:J1101,SUMPRODUCT(MAX(ROW(E$1:E1101)*(E1102=E$1:E1101)))))</f>
        <v> </v>
      </c>
      <c r="L1102" s="26"/>
    </row>
    <row r="1103" spans="1:12">
      <c r="A1103" s="20" t="s">
        <v>475</v>
      </c>
      <c r="B1103" s="27" t="s">
        <v>477</v>
      </c>
      <c r="C1103" s="27" t="s">
        <v>516</v>
      </c>
      <c r="E1103" s="21">
        <f>IF(D1103="?OLD","!!!","")</f>
        <v/>
      </c>
      <c r="F1103" s="22" t="str">
        <f>IF(OR(E1103="",E1103="!!!"),"",IF(NOT(ISNA(VLOOKUP(E1103,E$1:E1102,1,FALSE()))),"OLD",IF(AND(E1103&lt;&gt;"",E1103&lt;&gt;"!!!"),"NEW","")))</f>
        <v> </v>
      </c>
      <c r="G1103" s="23" t="str">
        <f>IF(OR(E1103="",E1103="!!!"),"",IF(OR(J1103=0,AND(J1103=1,K1103=1),AND(J1103=1,I1103="SBJ"),AND(J1103=1,I1103=0)),"?IN_FOCUS",IF(J1103&lt;=2,"?ACTIVATED",IF(J1103&lt;&gt;"","?FAMILIAR",IF(F1103="NEW",IF(ISNA(VLOOKUP(E1103,#REF!,1,FALSE())),"?TYPE_IDENTIFIABLE","?REFERENTIAL"),"_")))))</f>
        <v> </v>
      </c>
      <c r="H1103" s="24" t="str">
        <f>IF(J1103&lt;&gt;1,"",IF(I1103="SBJ","CB","?"))</f>
        <v> </v>
      </c>
      <c r="I1103" s="25" t="str">
        <f>IF(OR(E1103="",E1103="!!!",F1103="NEW"),"",INDEX(B1102:B$2,-1+SUMPRODUCT(MAX(ROW(E1102:E$2)*(E1103=E1102:E$2)))))</f>
        <v> </v>
      </c>
      <c r="J1103" s="25" t="str">
        <f>IF(OR(E1103="",E1103="!!!",F1103="NEW"),"",COUNTBLANK(OFFSET(A$1,,,SUMPRODUCT(MAX(ROW(E$2:E1103)*(E1103=E$2:E1103)))))-COUNTBLANK(OFFSET(A$1,,,SUMPRODUCT(MAX(ROW(E$1:E1102)*(E2=E$1:E1102))))))</f>
        <v> </v>
      </c>
      <c r="K1103" s="25" t="str">
        <f>IF(OR(E1103="",E1103="!!!",F1103="NEW"),"",INDEX(J$1:J1102,SUMPRODUCT(MAX(ROW(E$1:E1102)*(E1103=E$1:E1102)))))</f>
        <v> </v>
      </c>
      <c r="L1103" s="26"/>
    </row>
    <row r="1104" spans="1:12">
      <c r="A1104" s="20" t="s">
        <v>897</v>
      </c>
      <c r="E1104" s="21">
        <f>IF(D1104="?OLD","!!!","")</f>
        <v/>
      </c>
      <c r="F1104" s="22" t="str">
        <f>IF(OR(E1104="",E1104="!!!"),"",IF(NOT(ISNA(VLOOKUP(E1104,E$1:E1103,1,FALSE()))),"OLD",IF(AND(E1104&lt;&gt;"",E1104&lt;&gt;"!!!"),"NEW","")))</f>
        <v> </v>
      </c>
      <c r="G1104" s="23" t="str">
        <f>IF(OR(E1104="",E1104="!!!"),"",IF(OR(J1104=0,AND(J1104=1,K1104=1),AND(J1104=1,I1104="SBJ"),AND(J1104=1,I1104=0)),"?IN_FOCUS",IF(J1104&lt;=2,"?ACTIVATED",IF(J1104&lt;&gt;"","?FAMILIAR",IF(F1104="NEW",IF(ISNA(VLOOKUP(E1104,#REF!,1,FALSE())),"?TYPE_IDENTIFIABLE","?REFERENTIAL"),"_")))))</f>
        <v> </v>
      </c>
      <c r="H1104" s="24" t="str">
        <f>IF(J1104&lt;&gt;1,"",IF(I1104="SBJ","CB","?"))</f>
        <v> </v>
      </c>
      <c r="I1104" s="25" t="str">
        <f>IF(OR(E1104="",E1104="!!!",F1104="NEW"),"",INDEX(B1103:B$2,-1+SUMPRODUCT(MAX(ROW(E1103:E$2)*(E1104=E1103:E$2)))))</f>
        <v> </v>
      </c>
      <c r="J1104" s="25" t="str">
        <f>IF(OR(E1104="",E1104="!!!",F1104="NEW"),"",COUNTBLANK(OFFSET(A$1,,,SUMPRODUCT(MAX(ROW(E$2:E1104)*(E1104=E$2:E1104)))))-COUNTBLANK(OFFSET(A$1,,,SUMPRODUCT(MAX(ROW(E$1:E1103)*(E2=E$1:E1103))))))</f>
        <v> </v>
      </c>
      <c r="K1104" s="25" t="str">
        <f>IF(OR(E1104="",E1104="!!!",F1104="NEW"),"",INDEX(J$1:J1103,SUMPRODUCT(MAX(ROW(E$1:E1103)*(E1104=E$1:E1103)))))</f>
        <v> </v>
      </c>
      <c r="L1104" s="26"/>
    </row>
    <row r="1105" spans="1:12">
      <c r="A1105" s="20" t="s">
        <v>561</v>
      </c>
      <c r="E1105" s="21">
        <f>IF(D1105="?OLD","!!!","")</f>
        <v/>
      </c>
      <c r="F1105" s="22" t="str">
        <f>IF(OR(E1105="",E1105="!!!"),"",IF(NOT(ISNA(VLOOKUP(E1105,E$1:E1104,1,FALSE()))),"OLD",IF(AND(E1105&lt;&gt;"",E1105&lt;&gt;"!!!"),"NEW","")))</f>
        <v> </v>
      </c>
      <c r="G1105" s="23" t="str">
        <f>IF(OR(E1105="",E1105="!!!"),"",IF(OR(J1105=0,AND(J1105=1,K1105=1),AND(J1105=1,I1105="SBJ"),AND(J1105=1,I1105=0)),"?IN_FOCUS",IF(J1105&lt;=2,"?ACTIVATED",IF(J1105&lt;&gt;"","?FAMILIAR",IF(F1105="NEW",IF(ISNA(VLOOKUP(E1105,#REF!,1,FALSE())),"?TYPE_IDENTIFIABLE","?REFERENTIAL"),"_")))))</f>
        <v> </v>
      </c>
      <c r="H1105" s="24" t="str">
        <f>IF(J1105&lt;&gt;1,"",IF(I1105="SBJ","CB","?"))</f>
        <v> </v>
      </c>
      <c r="I1105" s="25" t="str">
        <f>IF(OR(E1105="",E1105="!!!",F1105="NEW"),"",INDEX(B1104:B$2,-1+SUMPRODUCT(MAX(ROW(E1104:E$2)*(E1105=E1104:E$2)))))</f>
        <v> </v>
      </c>
      <c r="J1105" s="25" t="str">
        <f>IF(OR(E1105="",E1105="!!!",F1105="NEW"),"",COUNTBLANK(OFFSET(A$1,,,SUMPRODUCT(MAX(ROW(E$2:E1105)*(E1105=E$2:E1105)))))-COUNTBLANK(OFFSET(A$1,,,SUMPRODUCT(MAX(ROW(E$1:E1104)*(E2=E$1:E1104))))))</f>
        <v> </v>
      </c>
      <c r="K1105" s="25" t="str">
        <f>IF(OR(E1105="",E1105="!!!",F1105="NEW"),"",INDEX(J$1:J1104,SUMPRODUCT(MAX(ROW(E$1:E1104)*(E1105=E$1:E1104)))))</f>
        <v> </v>
      </c>
      <c r="L1105" s="26"/>
    </row>
    <row r="1106" spans="1:12">
      <c r="A1106" s="20" t="s">
        <v>898</v>
      </c>
      <c r="E1106" s="21">
        <f>IF(D1106="?OLD","!!!","")</f>
        <v/>
      </c>
      <c r="F1106" s="22" t="str">
        <f>IF(OR(E1106="",E1106="!!!"),"",IF(NOT(ISNA(VLOOKUP(E1106,E$1:E1105,1,FALSE()))),"OLD",IF(AND(E1106&lt;&gt;"",E1106&lt;&gt;"!!!"),"NEW","")))</f>
        <v> </v>
      </c>
      <c r="G1106" s="23" t="str">
        <f>IF(OR(E1106="",E1106="!!!"),"",IF(OR(J1106=0,AND(J1106=1,K1106=1),AND(J1106=1,I1106="SBJ"),AND(J1106=1,I1106=0)),"?IN_FOCUS",IF(J1106&lt;=2,"?ACTIVATED",IF(J1106&lt;&gt;"","?FAMILIAR",IF(F1106="NEW",IF(ISNA(VLOOKUP(E1106,#REF!,1,FALSE())),"?TYPE_IDENTIFIABLE","?REFERENTIAL"),"_")))))</f>
        <v> </v>
      </c>
      <c r="H1106" s="24" t="str">
        <f>IF(J1106&lt;&gt;1,"",IF(I1106="SBJ","CB","?"))</f>
        <v> </v>
      </c>
      <c r="I1106" s="25" t="str">
        <f>IF(OR(E1106="",E1106="!!!",F1106="NEW"),"",INDEX(B1105:B$2,-1+SUMPRODUCT(MAX(ROW(E1105:E$2)*(E1106=E1105:E$2)))))</f>
        <v> </v>
      </c>
      <c r="J1106" s="25" t="str">
        <f>IF(OR(E1106="",E1106="!!!",F1106="NEW"),"",COUNTBLANK(OFFSET(A$1,,,SUMPRODUCT(MAX(ROW(E$2:E1106)*(E1106=E$2:E1106)))))-COUNTBLANK(OFFSET(A$1,,,SUMPRODUCT(MAX(ROW(E$1:E1105)*(E2=E$1:E1105))))))</f>
        <v> </v>
      </c>
      <c r="K1106" s="25" t="str">
        <f>IF(OR(E1106="",E1106="!!!",F1106="NEW"),"",INDEX(J$1:J1105,SUMPRODUCT(MAX(ROW(E$1:E1105)*(E1106=E$1:E1105)))))</f>
        <v> </v>
      </c>
      <c r="L1106" s="26"/>
    </row>
    <row r="1107" spans="1:12">
      <c r="A1107" s="20" t="s">
        <v>899</v>
      </c>
      <c r="B1107" s="27" t="s">
        <v>477</v>
      </c>
      <c r="C1107" s="27" t="s">
        <v>538</v>
      </c>
      <c r="D1107" s="27" t="s">
        <v>483</v>
      </c>
      <c r="E1107" s="21">
        <f>IF(D1107="?OLD","!!!","")</f>
        <v/>
      </c>
      <c r="F1107" s="22" t="str">
        <f>IF(OR(E1107="",E1107="!!!"),"",IF(NOT(ISNA(VLOOKUP(E1107,E$1:E1106,1,FALSE()))),"OLD",IF(AND(E1107&lt;&gt;"",E1107&lt;&gt;"!!!"),"NEW","")))</f>
        <v> </v>
      </c>
      <c r="G1107" s="23" t="str">
        <f>IF(OR(E1107="",E1107="!!!"),"",IF(OR(J1107=0,AND(J1107=1,K1107=1),AND(J1107=1,I1107="SBJ"),AND(J1107=1,I1107=0)),"?IN_FOCUS",IF(J1107&lt;=2,"?ACTIVATED",IF(J1107&lt;&gt;"","?FAMILIAR",IF(F1107="NEW",IF(ISNA(VLOOKUP(E1107,#REF!,1,FALSE())),"?TYPE_IDENTIFIABLE","?REFERENTIAL"),"_")))))</f>
        <v> </v>
      </c>
      <c r="H1107" s="24" t="str">
        <f>IF(J1107&lt;&gt;1,"",IF(I1107="SBJ","CB","?"))</f>
        <v> </v>
      </c>
      <c r="I1107" s="25" t="str">
        <f>IF(OR(E1107="",E1107="!!!",F1107="NEW"),"",INDEX(B1106:B$2,-1+SUMPRODUCT(MAX(ROW(E1106:E$2)*(E1107=E1106:E$2)))))</f>
        <v> </v>
      </c>
      <c r="J1107" s="25" t="str">
        <f>IF(OR(E1107="",E1107="!!!",F1107="NEW"),"",COUNTBLANK(OFFSET(A$1,,,SUMPRODUCT(MAX(ROW(E$2:E1107)*(E1107=E$2:E1107)))))-COUNTBLANK(OFFSET(A$1,,,SUMPRODUCT(MAX(ROW(E$1:E1106)*(E2=E$1:E1106))))))</f>
        <v> </v>
      </c>
      <c r="K1107" s="25" t="str">
        <f>IF(OR(E1107="",E1107="!!!",F1107="NEW"),"",INDEX(J$1:J1106,SUMPRODUCT(MAX(ROW(E$1:E1106)*(E1107=E$1:E1106)))))</f>
        <v> </v>
      </c>
      <c r="L1107" s="26"/>
    </row>
    <row r="1108" spans="1:12">
      <c r="A1108" s="20" t="s">
        <v>900</v>
      </c>
      <c r="E1108" s="21">
        <f>IF(D1108="?OLD","!!!","")</f>
        <v/>
      </c>
      <c r="F1108" s="22" t="str">
        <f>IF(OR(E1108="",E1108="!!!"),"",IF(NOT(ISNA(VLOOKUP(E1108,E$1:E1107,1,FALSE()))),"OLD",IF(AND(E1108&lt;&gt;"",E1108&lt;&gt;"!!!"),"NEW","")))</f>
        <v> </v>
      </c>
      <c r="G1108" s="23" t="str">
        <f>IF(OR(E1108="",E1108="!!!"),"",IF(OR(J1108=0,AND(J1108=1,K1108=1),AND(J1108=1,I1108="SBJ"),AND(J1108=1,I1108=0)),"?IN_FOCUS",IF(J1108&lt;=2,"?ACTIVATED",IF(J1108&lt;&gt;"","?FAMILIAR",IF(F1108="NEW",IF(ISNA(VLOOKUP(E1108,#REF!,1,FALSE())),"?TYPE_IDENTIFIABLE","?REFERENTIAL"),"_")))))</f>
        <v> </v>
      </c>
      <c r="H1108" s="24" t="str">
        <f>IF(J1108&lt;&gt;1,"",IF(I1108="SBJ","CB","?"))</f>
        <v> </v>
      </c>
      <c r="I1108" s="25" t="str">
        <f>IF(OR(E1108="",E1108="!!!",F1108="NEW"),"",INDEX(B1107:B$2,-1+SUMPRODUCT(MAX(ROW(E1107:E$2)*(E1108=E1107:E$2)))))</f>
        <v> </v>
      </c>
      <c r="J1108" s="25" t="str">
        <f>IF(OR(E1108="",E1108="!!!",F1108="NEW"),"",COUNTBLANK(OFFSET(A$1,,,SUMPRODUCT(MAX(ROW(E$2:E1108)*(E1108=E$2:E1108)))))-COUNTBLANK(OFFSET(A$1,,,SUMPRODUCT(MAX(ROW(E$1:E1107)*(E2=E$1:E1107))))))</f>
        <v> </v>
      </c>
      <c r="K1108" s="25" t="str">
        <f>IF(OR(E1108="",E1108="!!!",F1108="NEW"),"",INDEX(J$1:J1107,SUMPRODUCT(MAX(ROW(E$1:E1107)*(E1108=E$1:E1107)))))</f>
        <v> </v>
      </c>
      <c r="L1108" s="26"/>
    </row>
    <row r="1109" spans="1:12">
      <c r="A1109" s="20" t="s">
        <v>528</v>
      </c>
      <c r="E1109" s="21">
        <f>IF(D1109="?OLD","!!!","")</f>
        <v/>
      </c>
      <c r="F1109" s="22" t="str">
        <f>IF(OR(E1109="",E1109="!!!"),"",IF(NOT(ISNA(VLOOKUP(E1109,E$1:E1108,1,FALSE()))),"OLD",IF(AND(E1109&lt;&gt;"",E1109&lt;&gt;"!!!"),"NEW","")))</f>
        <v> </v>
      </c>
      <c r="G1109" s="23" t="str">
        <f>IF(OR(E1109="",E1109="!!!"),"",IF(OR(J1109=0,AND(J1109=1,K1109=1),AND(J1109=1,I1109="SBJ"),AND(J1109=1,I1109=0)),"?IN_FOCUS",IF(J1109&lt;=2,"?ACTIVATED",IF(J1109&lt;&gt;"","?FAMILIAR",IF(F1109="NEW",IF(ISNA(VLOOKUP(E1109,#REF!,1,FALSE())),"?TYPE_IDENTIFIABLE","?REFERENTIAL"),"_")))))</f>
        <v> </v>
      </c>
      <c r="H1109" s="24" t="str">
        <f>IF(J1109&lt;&gt;1,"",IF(I1109="SBJ","CB","?"))</f>
        <v> </v>
      </c>
      <c r="I1109" s="25" t="str">
        <f>IF(OR(E1109="",E1109="!!!",F1109="NEW"),"",INDEX(B1108:B$2,-1+SUMPRODUCT(MAX(ROW(E1108:E$2)*(E1109=E1108:E$2)))))</f>
        <v> </v>
      </c>
      <c r="J1109" s="25" t="str">
        <f>IF(OR(E1109="",E1109="!!!",F1109="NEW"),"",COUNTBLANK(OFFSET(A$1,,,SUMPRODUCT(MAX(ROW(E$2:E1109)*(E1109=E$2:E1109)))))-COUNTBLANK(OFFSET(A$1,,,SUMPRODUCT(MAX(ROW(E$1:E1108)*(E2=E$1:E1108))))))</f>
        <v> </v>
      </c>
      <c r="K1109" s="25" t="str">
        <f>IF(OR(E1109="",E1109="!!!",F1109="NEW"),"",INDEX(J$1:J1108,SUMPRODUCT(MAX(ROW(E$1:E1108)*(E1109=E$1:E1108)))))</f>
        <v> </v>
      </c>
      <c r="L1109" s="26"/>
    </row>
    <row r="1110" spans="1:12">
      <c r="A1110" s="20" t="s">
        <v>475</v>
      </c>
      <c r="E1110" s="21">
        <f>IF(D1110="?OLD","!!!","")</f>
        <v/>
      </c>
      <c r="F1110" s="22" t="str">
        <f>IF(OR(E1110="",E1110="!!!"),"",IF(NOT(ISNA(VLOOKUP(E1110,E$1:E1109,1,FALSE()))),"OLD",IF(AND(E1110&lt;&gt;"",E1110&lt;&gt;"!!!"),"NEW","")))</f>
        <v> </v>
      </c>
      <c r="G1110" s="23" t="str">
        <f>IF(OR(E1110="",E1110="!!!"),"",IF(OR(J1110=0,AND(J1110=1,K1110=1),AND(J1110=1,I1110="SBJ"),AND(J1110=1,I1110=0)),"?IN_FOCUS",IF(J1110&lt;=2,"?ACTIVATED",IF(J1110&lt;&gt;"","?FAMILIAR",IF(F1110="NEW",IF(ISNA(VLOOKUP(E1110,#REF!,1,FALSE())),"?TYPE_IDENTIFIABLE","?REFERENTIAL"),"_")))))</f>
        <v> </v>
      </c>
      <c r="H1110" s="24" t="str">
        <f>IF(J1110&lt;&gt;1,"",IF(I1110="SBJ","CB","?"))</f>
        <v> </v>
      </c>
      <c r="I1110" s="25" t="str">
        <f>IF(OR(E1110="",E1110="!!!",F1110="NEW"),"",INDEX(B1109:B$2,-1+SUMPRODUCT(MAX(ROW(E1109:E$2)*(E1110=E1109:E$2)))))</f>
        <v> </v>
      </c>
      <c r="J1110" s="25" t="str">
        <f>IF(OR(E1110="",E1110="!!!",F1110="NEW"),"",COUNTBLANK(OFFSET(A$1,,,SUMPRODUCT(MAX(ROW(E$2:E1110)*(E1110=E$2:E1110)))))-COUNTBLANK(OFFSET(A$1,,,SUMPRODUCT(MAX(ROW(E$1:E1109)*(E2=E$1:E1109))))))</f>
        <v> </v>
      </c>
      <c r="K1110" s="25" t="str">
        <f>IF(OR(E1110="",E1110="!!!",F1110="NEW"),"",INDEX(J$1:J1109,SUMPRODUCT(MAX(ROW(E$1:E1109)*(E1110=E$1:E1109)))))</f>
        <v> </v>
      </c>
      <c r="L1110" s="26"/>
    </row>
    <row r="1111" spans="1:12">
      <c r="A1111" s="20" t="s">
        <v>897</v>
      </c>
      <c r="B1111" s="27" t="s">
        <v>490</v>
      </c>
      <c r="C1111" s="27" t="s">
        <v>478</v>
      </c>
      <c r="E1111" s="21">
        <f>IF(D1111="?OLD","!!!","")</f>
        <v/>
      </c>
      <c r="F1111" s="22" t="str">
        <f>IF(OR(E1111="",E1111="!!!"),"",IF(NOT(ISNA(VLOOKUP(E1111,E$1:E1110,1,FALSE()))),"OLD",IF(AND(E1111&lt;&gt;"",E1111&lt;&gt;"!!!"),"NEW","")))</f>
        <v> </v>
      </c>
      <c r="G1111" s="23" t="str">
        <f>IF(OR(E1111="",E1111="!!!"),"",IF(OR(J1111=0,AND(J1111=1,K1111=1),AND(J1111=1,I1111="SBJ"),AND(J1111=1,I1111=0)),"?IN_FOCUS",IF(J1111&lt;=2,"?ACTIVATED",IF(J1111&lt;&gt;"","?FAMILIAR",IF(F1111="NEW",IF(ISNA(VLOOKUP(E1111,#REF!,1,FALSE())),"?TYPE_IDENTIFIABLE","?REFERENTIAL"),"_")))))</f>
        <v> </v>
      </c>
      <c r="H1111" s="24" t="str">
        <f>IF(J1111&lt;&gt;1,"",IF(I1111="SBJ","CB","?"))</f>
        <v> </v>
      </c>
      <c r="I1111" s="25" t="str">
        <f>IF(OR(E1111="",E1111="!!!",F1111="NEW"),"",INDEX(B1110:B$2,-1+SUMPRODUCT(MAX(ROW(E1110:E$2)*(E1111=E1110:E$2)))))</f>
        <v> </v>
      </c>
      <c r="J1111" s="25" t="str">
        <f>IF(OR(E1111="",E1111="!!!",F1111="NEW"),"",COUNTBLANK(OFFSET(A$1,,,SUMPRODUCT(MAX(ROW(E$2:E1111)*(E1111=E$2:E1111)))))-COUNTBLANK(OFFSET(A$1,,,SUMPRODUCT(MAX(ROW(E$1:E1110)*(E2=E$1:E1110))))))</f>
        <v> </v>
      </c>
      <c r="K1111" s="25" t="str">
        <f>IF(OR(E1111="",E1111="!!!",F1111="NEW"),"",INDEX(J$1:J1110,SUMPRODUCT(MAX(ROW(E$1:E1110)*(E1111=E$1:E1110)))))</f>
        <v> </v>
      </c>
      <c r="L1111" s="26"/>
    </row>
    <row r="1112" spans="1:12">
      <c r="A1112" s="20" t="s">
        <v>561</v>
      </c>
      <c r="E1112" s="21">
        <f>IF(D1112="?OLD","!!!","")</f>
        <v/>
      </c>
      <c r="F1112" s="22" t="str">
        <f>IF(OR(E1112="",E1112="!!!"),"",IF(NOT(ISNA(VLOOKUP(E1112,E$1:E1111,1,FALSE()))),"OLD",IF(AND(E1112&lt;&gt;"",E1112&lt;&gt;"!!!"),"NEW","")))</f>
        <v> </v>
      </c>
      <c r="G1112" s="23" t="str">
        <f>IF(OR(E1112="",E1112="!!!"),"",IF(OR(J1112=0,AND(J1112=1,K1112=1),AND(J1112=1,I1112="SBJ"),AND(J1112=1,I1112=0)),"?IN_FOCUS",IF(J1112&lt;=2,"?ACTIVATED",IF(J1112&lt;&gt;"","?FAMILIAR",IF(F1112="NEW",IF(ISNA(VLOOKUP(E1112,#REF!,1,FALSE())),"?TYPE_IDENTIFIABLE","?REFERENTIAL"),"_")))))</f>
        <v> </v>
      </c>
      <c r="H1112" s="24" t="str">
        <f>IF(J1112&lt;&gt;1,"",IF(I1112="SBJ","CB","?"))</f>
        <v> </v>
      </c>
      <c r="I1112" s="25" t="str">
        <f>IF(OR(E1112="",E1112="!!!",F1112="NEW"),"",INDEX(B1111:B$2,-1+SUMPRODUCT(MAX(ROW(E1111:E$2)*(E1112=E1111:E$2)))))</f>
        <v> </v>
      </c>
      <c r="J1112" s="25" t="str">
        <f>IF(OR(E1112="",E1112="!!!",F1112="NEW"),"",COUNTBLANK(OFFSET(A$1,,,SUMPRODUCT(MAX(ROW(E$2:E1112)*(E1112=E$2:E1112)))))-COUNTBLANK(OFFSET(A$1,,,SUMPRODUCT(MAX(ROW(E$1:E1111)*(E2=E$1:E1111))))))</f>
        <v> </v>
      </c>
      <c r="K1112" s="25" t="str">
        <f>IF(OR(E1112="",E1112="!!!",F1112="NEW"),"",INDEX(J$1:J1111,SUMPRODUCT(MAX(ROW(E$1:E1111)*(E1112=E$1:E1111)))))</f>
        <v> </v>
      </c>
      <c r="L1112" s="26"/>
    </row>
    <row r="1113" spans="1:12">
      <c r="A1113" s="20" t="s">
        <v>592</v>
      </c>
      <c r="E1113" s="21">
        <f>IF(D1113="?OLD","!!!","")</f>
        <v/>
      </c>
      <c r="F1113" s="22" t="str">
        <f>IF(OR(E1113="",E1113="!!!"),"",IF(NOT(ISNA(VLOOKUP(E1113,E$1:E1112,1,FALSE()))),"OLD",IF(AND(E1113&lt;&gt;"",E1113&lt;&gt;"!!!"),"NEW","")))</f>
        <v> </v>
      </c>
      <c r="G1113" s="23" t="str">
        <f>IF(OR(E1113="",E1113="!!!"),"",IF(OR(J1113=0,AND(J1113=1,K1113=1),AND(J1113=1,I1113="SBJ"),AND(J1113=1,I1113=0)),"?IN_FOCUS",IF(J1113&lt;=2,"?ACTIVATED",IF(J1113&lt;&gt;"","?FAMILIAR",IF(F1113="NEW",IF(ISNA(VLOOKUP(E1113,#REF!,1,FALSE())),"?TYPE_IDENTIFIABLE","?REFERENTIAL"),"_")))))</f>
        <v> </v>
      </c>
      <c r="H1113" s="24" t="str">
        <f>IF(J1113&lt;&gt;1,"",IF(I1113="SBJ","CB","?"))</f>
        <v> </v>
      </c>
      <c r="I1113" s="25" t="str">
        <f>IF(OR(E1113="",E1113="!!!",F1113="NEW"),"",INDEX(B1112:B$2,-1+SUMPRODUCT(MAX(ROW(E1112:E$2)*(E1113=E1112:E$2)))))</f>
        <v> </v>
      </c>
      <c r="J1113" s="25" t="str">
        <f>IF(OR(E1113="",E1113="!!!",F1113="NEW"),"",COUNTBLANK(OFFSET(A$1,,,SUMPRODUCT(MAX(ROW(E$2:E1113)*(E1113=E$2:E1113)))))-COUNTBLANK(OFFSET(A$1,,,SUMPRODUCT(MAX(ROW(E$1:E1112)*(E2=E$1:E1112))))))</f>
        <v> </v>
      </c>
      <c r="K1113" s="25" t="str">
        <f>IF(OR(E1113="",E1113="!!!",F1113="NEW"),"",INDEX(J$1:J1112,SUMPRODUCT(MAX(ROW(E$1:E1112)*(E1113=E$1:E1112)))))</f>
        <v> </v>
      </c>
      <c r="L1113" s="26"/>
    </row>
    <row r="1114" spans="1:12">
      <c r="A1114" s="20" t="s">
        <v>901</v>
      </c>
      <c r="E1114" s="21">
        <f>IF(D1114="?OLD","!!!","")</f>
        <v/>
      </c>
      <c r="F1114" s="22" t="str">
        <f>IF(OR(E1114="",E1114="!!!"),"",IF(NOT(ISNA(VLOOKUP(E1114,E$1:E1113,1,FALSE()))),"OLD",IF(AND(E1114&lt;&gt;"",E1114&lt;&gt;"!!!"),"NEW","")))</f>
        <v> </v>
      </c>
      <c r="G1114" s="23" t="str">
        <f>IF(OR(E1114="",E1114="!!!"),"",IF(OR(J1114=0,AND(J1114=1,K1114=1),AND(J1114=1,I1114="SBJ"),AND(J1114=1,I1114=0)),"?IN_FOCUS",IF(J1114&lt;=2,"?ACTIVATED",IF(J1114&lt;&gt;"","?FAMILIAR",IF(F1114="NEW",IF(ISNA(VLOOKUP(E1114,#REF!,1,FALSE())),"?TYPE_IDENTIFIABLE","?REFERENTIAL"),"_")))))</f>
        <v> </v>
      </c>
      <c r="H1114" s="24" t="str">
        <f>IF(J1114&lt;&gt;1,"",IF(I1114="SBJ","CB","?"))</f>
        <v> </v>
      </c>
      <c r="I1114" s="25" t="str">
        <f>IF(OR(E1114="",E1114="!!!",F1114="NEW"),"",INDEX(B1113:B$2,-1+SUMPRODUCT(MAX(ROW(E1113:E$2)*(E1114=E1113:E$2)))))</f>
        <v> </v>
      </c>
      <c r="J1114" s="25" t="str">
        <f>IF(OR(E1114="",E1114="!!!",F1114="NEW"),"",COUNTBLANK(OFFSET(A$1,,,SUMPRODUCT(MAX(ROW(E$2:E1114)*(E1114=E$2:E1114)))))-COUNTBLANK(OFFSET(A$1,,,SUMPRODUCT(MAX(ROW(E$1:E1113)*(E2=E$1:E1113))))))</f>
        <v> </v>
      </c>
      <c r="K1114" s="25" t="str">
        <f>IF(OR(E1114="",E1114="!!!",F1114="NEW"),"",INDEX(J$1:J1113,SUMPRODUCT(MAX(ROW(E$1:E1113)*(E1114=E$1:E1113)))))</f>
        <v> </v>
      </c>
      <c r="L1114" s="26"/>
    </row>
    <row r="1115" spans="1:12">
      <c r="A1115" s="20" t="s">
        <v>569</v>
      </c>
      <c r="B1115" s="27" t="s">
        <v>542</v>
      </c>
      <c r="C1115" s="27" t="s">
        <v>491</v>
      </c>
      <c r="D1115" s="27" t="s">
        <v>483</v>
      </c>
      <c r="E1115" s="21">
        <f>IF(D1115="?OLD","!!!","")</f>
        <v/>
      </c>
      <c r="F1115" s="22" t="str">
        <f>IF(OR(E1115="",E1115="!!!"),"",IF(NOT(ISNA(VLOOKUP(E1115,E$1:E1114,1,FALSE()))),"OLD",IF(AND(E1115&lt;&gt;"",E1115&lt;&gt;"!!!"),"NEW","")))</f>
        <v> </v>
      </c>
      <c r="G1115" s="23" t="str">
        <f>IF(OR(E1115="",E1115="!!!"),"",IF(OR(J1115=0,AND(J1115=1,K1115=1),AND(J1115=1,I1115="SBJ"),AND(J1115=1,I1115=0)),"?IN_FOCUS",IF(J1115&lt;=2,"?ACTIVATED",IF(J1115&lt;&gt;"","?FAMILIAR",IF(F1115="NEW",IF(ISNA(VLOOKUP(E1115,#REF!,1,FALSE())),"?TYPE_IDENTIFIABLE","?REFERENTIAL"),"_")))))</f>
        <v> </v>
      </c>
      <c r="H1115" s="24" t="str">
        <f>IF(J1115&lt;&gt;1,"",IF(I1115="SBJ","CB","?"))</f>
        <v> </v>
      </c>
      <c r="I1115" s="25" t="str">
        <f>IF(OR(E1115="",E1115="!!!",F1115="NEW"),"",INDEX(B1114:B$2,-1+SUMPRODUCT(MAX(ROW(E1114:E$2)*(E1115=E1114:E$2)))))</f>
        <v> </v>
      </c>
      <c r="J1115" s="25" t="str">
        <f>IF(OR(E1115="",E1115="!!!",F1115="NEW"),"",COUNTBLANK(OFFSET(A$1,,,SUMPRODUCT(MAX(ROW(E$2:E1115)*(E1115=E$2:E1115)))))-COUNTBLANK(OFFSET(A$1,,,SUMPRODUCT(MAX(ROW(E$1:E1114)*(E2=E$1:E1114))))))</f>
        <v> </v>
      </c>
      <c r="K1115" s="25" t="str">
        <f>IF(OR(E1115="",E1115="!!!",F1115="NEW"),"",INDEX(J$1:J1114,SUMPRODUCT(MAX(ROW(E$1:E1114)*(E1115=E$1:E1114)))))</f>
        <v> </v>
      </c>
      <c r="L1115" s="26"/>
    </row>
    <row r="1116" spans="1:12">
      <c r="A1116" s="20" t="s">
        <v>507</v>
      </c>
      <c r="E1116" s="21">
        <f>IF(D1116="?OLD","!!!","")</f>
        <v/>
      </c>
      <c r="F1116" s="22" t="str">
        <f>IF(OR(E1116="",E1116="!!!"),"",IF(NOT(ISNA(VLOOKUP(E1116,E$1:E1115,1,FALSE()))),"OLD",IF(AND(E1116&lt;&gt;"",E1116&lt;&gt;"!!!"),"NEW","")))</f>
        <v> </v>
      </c>
      <c r="G1116" s="23" t="str">
        <f>IF(OR(E1116="",E1116="!!!"),"",IF(OR(J1116=0,AND(J1116=1,K1116=1),AND(J1116=1,I1116="SBJ"),AND(J1116=1,I1116=0)),"?IN_FOCUS",IF(J1116&lt;=2,"?ACTIVATED",IF(J1116&lt;&gt;"","?FAMILIAR",IF(F1116="NEW",IF(ISNA(VLOOKUP(E1116,#REF!,1,FALSE())),"?TYPE_IDENTIFIABLE","?REFERENTIAL"),"_")))))</f>
        <v> </v>
      </c>
      <c r="H1116" s="24" t="str">
        <f>IF(J1116&lt;&gt;1,"",IF(I1116="SBJ","CB","?"))</f>
        <v> </v>
      </c>
      <c r="I1116" s="25" t="str">
        <f>IF(OR(E1116="",E1116="!!!",F1116="NEW"),"",INDEX(B1115:B$2,-1+SUMPRODUCT(MAX(ROW(E1115:E$2)*(E1116=E1115:E$2)))))</f>
        <v> </v>
      </c>
      <c r="J1116" s="25" t="str">
        <f>IF(OR(E1116="",E1116="!!!",F1116="NEW"),"",COUNTBLANK(OFFSET(A$1,,,SUMPRODUCT(MAX(ROW(E$2:E1116)*(E1116=E$2:E1116)))))-COUNTBLANK(OFFSET(A$1,,,SUMPRODUCT(MAX(ROW(E$1:E1115)*(E2=E$1:E1115))))))</f>
        <v> </v>
      </c>
      <c r="K1116" s="25" t="str">
        <f>IF(OR(E1116="",E1116="!!!",F1116="NEW"),"",INDEX(J$1:J1115,SUMPRODUCT(MAX(ROW(E$1:E1115)*(E1116=E$1:E1115)))))</f>
        <v> </v>
      </c>
      <c r="L1116" s="26"/>
    </row>
    <row r="1117" spans="1:12">
      <c r="A1117" s="20" t="s">
        <v>380</v>
      </c>
      <c r="E1117" s="21">
        <f>IF(D1117="?OLD","!!!","")</f>
        <v/>
      </c>
      <c r="F1117" s="22" t="str">
        <f>IF(OR(E1117="",E1117="!!!"),"",IF(NOT(ISNA(VLOOKUP(E1117,E$1:E1116,1,FALSE()))),"OLD",IF(AND(E1117&lt;&gt;"",E1117&lt;&gt;"!!!"),"NEW","")))</f>
        <v> </v>
      </c>
      <c r="G1117" s="23" t="str">
        <f>IF(OR(E1117="",E1117="!!!"),"",IF(OR(J1117=0,AND(J1117=1,K1117=1),AND(J1117=1,I1117="SBJ"),AND(J1117=1,I1117=0)),"?IN_FOCUS",IF(J1117&lt;=2,"?ACTIVATED",IF(J1117&lt;&gt;"","?FAMILIAR",IF(F1117="NEW",IF(ISNA(VLOOKUP(E1117,#REF!,1,FALSE())),"?TYPE_IDENTIFIABLE","?REFERENTIAL"),"_")))))</f>
        <v> </v>
      </c>
      <c r="H1117" s="24" t="str">
        <f>IF(J1117&lt;&gt;1,"",IF(I1117="SBJ","CB","?"))</f>
        <v> </v>
      </c>
      <c r="I1117" s="25" t="str">
        <f>IF(OR(E1117="",E1117="!!!",F1117="NEW"),"",INDEX(B1116:B$2,-1+SUMPRODUCT(MAX(ROW(E1116:E$2)*(E1117=E1116:E$2)))))</f>
        <v> </v>
      </c>
      <c r="J1117" s="25" t="str">
        <f>IF(OR(E1117="",E1117="!!!",F1117="NEW"),"",COUNTBLANK(OFFSET(A$1,,,SUMPRODUCT(MAX(ROW(E$2:E1117)*(E1117=E$2:E1117)))))-COUNTBLANK(OFFSET(A$1,,,SUMPRODUCT(MAX(ROW(E$1:E1116)*(E2=E$1:E1116))))))</f>
        <v> </v>
      </c>
      <c r="K1117" s="25" t="str">
        <f>IF(OR(E1117="",E1117="!!!",F1117="NEW"),"",INDEX(J$1:J1116,SUMPRODUCT(MAX(ROW(E$1:E1116)*(E1117=E$1:E1116)))))</f>
        <v> </v>
      </c>
      <c r="L1117" s="26"/>
    </row>
    <row r="1118" spans="1:12">
      <c r="A1118" s="20" t="s">
        <v>902</v>
      </c>
      <c r="B1118" s="27" t="s">
        <v>490</v>
      </c>
      <c r="C1118" s="27" t="s">
        <v>498</v>
      </c>
      <c r="E1118" s="21">
        <f>IF(D1118="?OLD","!!!","")</f>
        <v/>
      </c>
      <c r="F1118" s="22" t="str">
        <f>IF(OR(E1118="",E1118="!!!"),"",IF(NOT(ISNA(VLOOKUP(E1118,E$1:E1117,1,FALSE()))),"OLD",IF(AND(E1118&lt;&gt;"",E1118&lt;&gt;"!!!"),"NEW","")))</f>
        <v> </v>
      </c>
      <c r="G1118" s="23" t="str">
        <f>IF(OR(E1118="",E1118="!!!"),"",IF(OR(J1118=0,AND(J1118=1,K1118=1),AND(J1118=1,I1118="SBJ"),AND(J1118=1,I1118=0)),"?IN_FOCUS",IF(J1118&lt;=2,"?ACTIVATED",IF(J1118&lt;&gt;"","?FAMILIAR",IF(F1118="NEW",IF(ISNA(VLOOKUP(E1118,#REF!,1,FALSE())),"?TYPE_IDENTIFIABLE","?REFERENTIAL"),"_")))))</f>
        <v> </v>
      </c>
      <c r="H1118" s="24" t="str">
        <f>IF(J1118&lt;&gt;1,"",IF(I1118="SBJ","CB","?"))</f>
        <v> </v>
      </c>
      <c r="I1118" s="25" t="str">
        <f>IF(OR(E1118="",E1118="!!!",F1118="NEW"),"",INDEX(B1117:B$2,-1+SUMPRODUCT(MAX(ROW(E1117:E$2)*(E1118=E1117:E$2)))))</f>
        <v> </v>
      </c>
      <c r="J1118" s="25" t="str">
        <f>IF(OR(E1118="",E1118="!!!",F1118="NEW"),"",COUNTBLANK(OFFSET(A$1,,,SUMPRODUCT(MAX(ROW(E$2:E1118)*(E1118=E$2:E1118)))))-COUNTBLANK(OFFSET(A$1,,,SUMPRODUCT(MAX(ROW(E$1:E1117)*(E2=E$1:E1117))))))</f>
        <v> </v>
      </c>
      <c r="K1118" s="25" t="str">
        <f>IF(OR(E1118="",E1118="!!!",F1118="NEW"),"",INDEX(J$1:J1117,SUMPRODUCT(MAX(ROW(E$1:E1117)*(E1118=E$1:E1117)))))</f>
        <v> </v>
      </c>
      <c r="L1118" s="26"/>
    </row>
    <row r="1119" spans="1:12">
      <c r="A1119" s="20" t="s">
        <v>561</v>
      </c>
      <c r="E1119" s="21">
        <f>IF(D1119="?OLD","!!!","")</f>
        <v/>
      </c>
      <c r="F1119" s="22" t="str">
        <f>IF(OR(E1119="",E1119="!!!"),"",IF(NOT(ISNA(VLOOKUP(E1119,E$1:E1118,1,FALSE()))),"OLD",IF(AND(E1119&lt;&gt;"",E1119&lt;&gt;"!!!"),"NEW","")))</f>
        <v> </v>
      </c>
      <c r="G1119" s="23" t="str">
        <f>IF(OR(E1119="",E1119="!!!"),"",IF(OR(J1119=0,AND(J1119=1,K1119=1),AND(J1119=1,I1119="SBJ"),AND(J1119=1,I1119=0)),"?IN_FOCUS",IF(J1119&lt;=2,"?ACTIVATED",IF(J1119&lt;&gt;"","?FAMILIAR",IF(F1119="NEW",IF(ISNA(VLOOKUP(E1119,#REF!,1,FALSE())),"?TYPE_IDENTIFIABLE","?REFERENTIAL"),"_")))))</f>
        <v> </v>
      </c>
      <c r="H1119" s="24" t="str">
        <f>IF(J1119&lt;&gt;1,"",IF(I1119="SBJ","CB","?"))</f>
        <v> </v>
      </c>
      <c r="I1119" s="25" t="str">
        <f>IF(OR(E1119="",E1119="!!!",F1119="NEW"),"",INDEX(B1118:B$2,-1+SUMPRODUCT(MAX(ROW(E1118:E$2)*(E1119=E1118:E$2)))))</f>
        <v> </v>
      </c>
      <c r="J1119" s="25" t="str">
        <f>IF(OR(E1119="",E1119="!!!",F1119="NEW"),"",COUNTBLANK(OFFSET(A$1,,,SUMPRODUCT(MAX(ROW(E$2:E1119)*(E1119=E$2:E1119)))))-COUNTBLANK(OFFSET(A$1,,,SUMPRODUCT(MAX(ROW(E$1:E1118)*(E2=E$1:E1118))))))</f>
        <v> </v>
      </c>
      <c r="K1119" s="25" t="str">
        <f>IF(OR(E1119="",E1119="!!!",F1119="NEW"),"",INDEX(J$1:J1118,SUMPRODUCT(MAX(ROW(E$1:E1118)*(E1119=E$1:E1118)))))</f>
        <v> </v>
      </c>
      <c r="L1119" s="26"/>
    </row>
    <row r="1120" spans="1:12">
      <c r="A1120" s="20"/>
    </row>
    <row r="1121" spans="1:12">
      <c r="A1121" s="20" t="s">
        <v>903</v>
      </c>
    </row>
    <row r="1122" spans="1:12">
      <c r="A1122" s="20" t="s">
        <v>904</v>
      </c>
      <c r="B1122" s="27" t="s">
        <v>549</v>
      </c>
      <c r="C1122" s="27" t="s">
        <v>491</v>
      </c>
      <c r="D1122" s="27" t="s">
        <v>483</v>
      </c>
      <c r="E1122" s="21">
        <f>IF(D1122="?OLD","!!!","")</f>
        <v/>
      </c>
      <c r="F1122" s="22" t="str">
        <f>IF(OR(E1122="",E1122="!!!"),"",IF(NOT(ISNA(VLOOKUP(E1122,E$1:E1121,1,FALSE()))),"OLD",IF(AND(E1122&lt;&gt;"",E1122&lt;&gt;"!!!"),"NEW","")))</f>
        <v> </v>
      </c>
      <c r="G1122" s="23" t="str">
        <f>IF(OR(E1122="",E1122="!!!"),"",IF(OR(J1122=0,AND(J1122=1,K1122=1),AND(J1122=1,I1122="SBJ"),AND(J1122=1,I1122=0)),"?IN_FOCUS",IF(J1122&lt;=2,"?ACTIVATED",IF(J1122&lt;&gt;"","?FAMILIAR",IF(F1122="NEW",IF(ISNA(VLOOKUP(E1122,#REF!,1,FALSE())),"?TYPE_IDENTIFIABLE","?REFERENTIAL"),"_")))))</f>
        <v> </v>
      </c>
      <c r="H1122" s="24" t="str">
        <f>IF(J1122&lt;&gt;1,"",IF(I1122="SBJ","CB","?"))</f>
        <v> </v>
      </c>
      <c r="I1122" s="25" t="str">
        <f>IF(OR(E1122="",E1122="!!!",F1122="NEW"),"",INDEX(B1121:B$2,-1+SUMPRODUCT(MAX(ROW(E1121:E$2)*(E1122=E1121:E$2)))))</f>
        <v> </v>
      </c>
      <c r="J1122" s="25" t="str">
        <f>IF(OR(E1122="",E1122="!!!",F1122="NEW"),"",COUNTBLANK(OFFSET(A$1,,,SUMPRODUCT(MAX(ROW(E$2:E1122)*(E1122=E$2:E1122)))))-COUNTBLANK(OFFSET(A$1,,,SUMPRODUCT(MAX(ROW(E$1:E1121)*(E2=E$1:E1121))))))</f>
        <v> </v>
      </c>
      <c r="K1122" s="25" t="str">
        <f>IF(OR(E1122="",E1122="!!!",F1122="NEW"),"",INDEX(J$1:J1121,SUMPRODUCT(MAX(ROW(E$1:E1121)*(E1122=E$1:E1121)))))</f>
        <v> </v>
      </c>
      <c r="L1122" s="26"/>
    </row>
    <row r="1123" spans="1:12">
      <c r="A1123" s="20" t="s">
        <v>558</v>
      </c>
      <c r="E1123" s="21">
        <f>IF(D1123="?OLD","!!!","")</f>
        <v/>
      </c>
      <c r="F1123" s="22" t="str">
        <f>IF(OR(E1123="",E1123="!!!"),"",IF(NOT(ISNA(VLOOKUP(E1123,E$1:E1122,1,FALSE()))),"OLD",IF(AND(E1123&lt;&gt;"",E1123&lt;&gt;"!!!"),"NEW","")))</f>
        <v> </v>
      </c>
      <c r="G1123" s="23" t="str">
        <f>IF(OR(E1123="",E1123="!!!"),"",IF(OR(J1123=0,AND(J1123=1,K1123=1),AND(J1123=1,I1123="SBJ"),AND(J1123=1,I1123=0)),"?IN_FOCUS",IF(J1123&lt;=2,"?ACTIVATED",IF(J1123&lt;&gt;"","?FAMILIAR",IF(F1123="NEW",IF(ISNA(VLOOKUP(E1123,#REF!,1,FALSE())),"?TYPE_IDENTIFIABLE","?REFERENTIAL"),"_")))))</f>
        <v> </v>
      </c>
      <c r="H1123" s="24" t="str">
        <f>IF(J1123&lt;&gt;1,"",IF(I1123="SBJ","CB","?"))</f>
        <v> </v>
      </c>
      <c r="I1123" s="25" t="str">
        <f>IF(OR(E1123="",E1123="!!!",F1123="NEW"),"",INDEX(B1122:B$2,-1+SUMPRODUCT(MAX(ROW(E1122:E$2)*(E1123=E1122:E$2)))))</f>
        <v> </v>
      </c>
      <c r="J1123" s="25" t="str">
        <f>IF(OR(E1123="",E1123="!!!",F1123="NEW"),"",COUNTBLANK(OFFSET(A$1,,,SUMPRODUCT(MAX(ROW(E$2:E1123)*(E1123=E$2:E1123)))))-COUNTBLANK(OFFSET(A$1,,,SUMPRODUCT(MAX(ROW(E$1:E1122)*(E2=E$1:E1122))))))</f>
        <v> </v>
      </c>
      <c r="K1123" s="25" t="str">
        <f>IF(OR(E1123="",E1123="!!!",F1123="NEW"),"",INDEX(J$1:J1122,SUMPRODUCT(MAX(ROW(E$1:E1122)*(E1123=E$1:E1122)))))</f>
        <v> </v>
      </c>
      <c r="L1123" s="26"/>
    </row>
    <row r="1124" spans="1:12">
      <c r="A1124" s="20" t="s">
        <v>495</v>
      </c>
      <c r="E1124" s="21">
        <f>IF(D1124="?OLD","!!!","")</f>
        <v/>
      </c>
      <c r="F1124" s="22" t="str">
        <f>IF(OR(E1124="",E1124="!!!"),"",IF(NOT(ISNA(VLOOKUP(E1124,E$1:E1123,1,FALSE()))),"OLD",IF(AND(E1124&lt;&gt;"",E1124&lt;&gt;"!!!"),"NEW","")))</f>
        <v> </v>
      </c>
      <c r="G1124" s="23" t="str">
        <f>IF(OR(E1124="",E1124="!!!"),"",IF(OR(J1124=0,AND(J1124=1,K1124=1),AND(J1124=1,I1124="SBJ"),AND(J1124=1,I1124=0)),"?IN_FOCUS",IF(J1124&lt;=2,"?ACTIVATED",IF(J1124&lt;&gt;"","?FAMILIAR",IF(F1124="NEW",IF(ISNA(VLOOKUP(E1124,#REF!,1,FALSE())),"?TYPE_IDENTIFIABLE","?REFERENTIAL"),"_")))))</f>
        <v> </v>
      </c>
      <c r="H1124" s="24" t="str">
        <f>IF(J1124&lt;&gt;1,"",IF(I1124="SBJ","CB","?"))</f>
        <v> </v>
      </c>
      <c r="I1124" s="25" t="str">
        <f>IF(OR(E1124="",E1124="!!!",F1124="NEW"),"",INDEX(B1123:B$2,-1+SUMPRODUCT(MAX(ROW(E1123:E$2)*(E1124=E1123:E$2)))))</f>
        <v> </v>
      </c>
      <c r="J1124" s="25" t="str">
        <f>IF(OR(E1124="",E1124="!!!",F1124="NEW"),"",COUNTBLANK(OFFSET(A$1,,,SUMPRODUCT(MAX(ROW(E$2:E1124)*(E1124=E$2:E1124)))))-COUNTBLANK(OFFSET(A$1,,,SUMPRODUCT(MAX(ROW(E$1:E1123)*(E2=E$1:E1123))))))</f>
        <v> </v>
      </c>
      <c r="K1124" s="25" t="str">
        <f>IF(OR(E1124="",E1124="!!!",F1124="NEW"),"",INDEX(J$1:J1123,SUMPRODUCT(MAX(ROW(E$1:E1123)*(E1124=E$1:E1123)))))</f>
        <v> </v>
      </c>
      <c r="L1124" s="26"/>
    </row>
    <row r="1125" spans="1:12">
      <c r="A1125" s="20" t="s">
        <v>905</v>
      </c>
      <c r="B1125" s="27" t="s">
        <v>477</v>
      </c>
      <c r="C1125" s="27" t="s">
        <v>538</v>
      </c>
      <c r="D1125" s="27" t="s">
        <v>483</v>
      </c>
      <c r="E1125" s="21">
        <f>IF(D1125="?OLD","!!!","")</f>
        <v/>
      </c>
      <c r="F1125" s="22" t="str">
        <f>IF(OR(E1125="",E1125="!!!"),"",IF(NOT(ISNA(VLOOKUP(E1125,E$1:E1124,1,FALSE()))),"OLD",IF(AND(E1125&lt;&gt;"",E1125&lt;&gt;"!!!"),"NEW","")))</f>
        <v> </v>
      </c>
      <c r="G1125" s="23" t="str">
        <f>IF(OR(E1125="",E1125="!!!"),"",IF(OR(J1125=0,AND(J1125=1,K1125=1),AND(J1125=1,I1125="SBJ"),AND(J1125=1,I1125=0)),"?IN_FOCUS",IF(J1125&lt;=2,"?ACTIVATED",IF(J1125&lt;&gt;"","?FAMILIAR",IF(F1125="NEW",IF(ISNA(VLOOKUP(E1125,#REF!,1,FALSE())),"?TYPE_IDENTIFIABLE","?REFERENTIAL"),"_")))))</f>
        <v> </v>
      </c>
      <c r="H1125" s="24" t="str">
        <f>IF(J1125&lt;&gt;1,"",IF(I1125="SBJ","CB","?"))</f>
        <v> </v>
      </c>
      <c r="I1125" s="25" t="str">
        <f>IF(OR(E1125="",E1125="!!!",F1125="NEW"),"",INDEX(B1124:B$2,-1+SUMPRODUCT(MAX(ROW(E1124:E$2)*(E1125=E1124:E$2)))))</f>
        <v> </v>
      </c>
      <c r="J1125" s="25" t="str">
        <f>IF(OR(E1125="",E1125="!!!",F1125="NEW"),"",COUNTBLANK(OFFSET(A$1,,,SUMPRODUCT(MAX(ROW(E$2:E1125)*(E1125=E$2:E1125)))))-COUNTBLANK(OFFSET(A$1,,,SUMPRODUCT(MAX(ROW(E$1:E1124)*(E2=E$1:E1124))))))</f>
        <v> </v>
      </c>
      <c r="K1125" s="25" t="str">
        <f>IF(OR(E1125="",E1125="!!!",F1125="NEW"),"",INDEX(J$1:J1124,SUMPRODUCT(MAX(ROW(E$1:E1124)*(E1125=E$1:E1124)))))</f>
        <v> </v>
      </c>
      <c r="L1125" s="26"/>
    </row>
    <row r="1126" spans="1:12">
      <c r="A1126" s="20" t="s">
        <v>590</v>
      </c>
      <c r="E1126" s="21">
        <f>IF(D1126="?OLD","!!!","")</f>
        <v/>
      </c>
      <c r="F1126" s="22" t="str">
        <f>IF(OR(E1126="",E1126="!!!"),"",IF(NOT(ISNA(VLOOKUP(E1126,E$1:E1125,1,FALSE()))),"OLD",IF(AND(E1126&lt;&gt;"",E1126&lt;&gt;"!!!"),"NEW","")))</f>
        <v> </v>
      </c>
      <c r="G1126" s="23" t="str">
        <f>IF(OR(E1126="",E1126="!!!"),"",IF(OR(J1126=0,AND(J1126=1,K1126=1),AND(J1126=1,I1126="SBJ"),AND(J1126=1,I1126=0)),"?IN_FOCUS",IF(J1126&lt;=2,"?ACTIVATED",IF(J1126&lt;&gt;"","?FAMILIAR",IF(F1126="NEW",IF(ISNA(VLOOKUP(E1126,#REF!,1,FALSE())),"?TYPE_IDENTIFIABLE","?REFERENTIAL"),"_")))))</f>
        <v> </v>
      </c>
      <c r="H1126" s="24" t="str">
        <f>IF(J1126&lt;&gt;1,"",IF(I1126="SBJ","CB","?"))</f>
        <v> </v>
      </c>
      <c r="I1126" s="25" t="str">
        <f>IF(OR(E1126="",E1126="!!!",F1126="NEW"),"",INDEX(B1125:B$2,-1+SUMPRODUCT(MAX(ROW(E1125:E$2)*(E1126=E1125:E$2)))))</f>
        <v> </v>
      </c>
      <c r="J1126" s="25" t="str">
        <f>IF(OR(E1126="",E1126="!!!",F1126="NEW"),"",COUNTBLANK(OFFSET(A$1,,,SUMPRODUCT(MAX(ROW(E$2:E1126)*(E1126=E$2:E1126)))))-COUNTBLANK(OFFSET(A$1,,,SUMPRODUCT(MAX(ROW(E$1:E1125)*(E2=E$1:E1125))))))</f>
        <v> </v>
      </c>
      <c r="K1126" s="25" t="str">
        <f>IF(OR(E1126="",E1126="!!!",F1126="NEW"),"",INDEX(J$1:J1125,SUMPRODUCT(MAX(ROW(E$1:E1125)*(E1126=E$1:E1125)))))</f>
        <v> </v>
      </c>
      <c r="L1126" s="26"/>
    </row>
    <row r="1127" spans="1:12">
      <c r="A1127" s="20" t="s">
        <v>906</v>
      </c>
      <c r="E1127" s="21">
        <f>IF(D1127="?OLD","!!!","")</f>
        <v/>
      </c>
      <c r="F1127" s="22" t="str">
        <f>IF(OR(E1127="",E1127="!!!"),"",IF(NOT(ISNA(VLOOKUP(E1127,E$1:E1126,1,FALSE()))),"OLD",IF(AND(E1127&lt;&gt;"",E1127&lt;&gt;"!!!"),"NEW","")))</f>
        <v> </v>
      </c>
      <c r="G1127" s="23" t="str">
        <f>IF(OR(E1127="",E1127="!!!"),"",IF(OR(J1127=0,AND(J1127=1,K1127=1),AND(J1127=1,I1127="SBJ"),AND(J1127=1,I1127=0)),"?IN_FOCUS",IF(J1127&lt;=2,"?ACTIVATED",IF(J1127&lt;&gt;"","?FAMILIAR",IF(F1127="NEW",IF(ISNA(VLOOKUP(E1127,#REF!,1,FALSE())),"?TYPE_IDENTIFIABLE","?REFERENTIAL"),"_")))))</f>
        <v> </v>
      </c>
      <c r="H1127" s="24" t="str">
        <f>IF(J1127&lt;&gt;1,"",IF(I1127="SBJ","CB","?"))</f>
        <v> </v>
      </c>
      <c r="I1127" s="25" t="str">
        <f>IF(OR(E1127="",E1127="!!!",F1127="NEW"),"",INDEX(B1126:B$2,-1+SUMPRODUCT(MAX(ROW(E1126:E$2)*(E1127=E1126:E$2)))))</f>
        <v> </v>
      </c>
      <c r="J1127" s="25" t="str">
        <f>IF(OR(E1127="",E1127="!!!",F1127="NEW"),"",COUNTBLANK(OFFSET(A$1,,,SUMPRODUCT(MAX(ROW(E$2:E1127)*(E1127=E$2:E1127)))))-COUNTBLANK(OFFSET(A$1,,,SUMPRODUCT(MAX(ROW(E$1:E1126)*(E2=E$1:E1126))))))</f>
        <v> </v>
      </c>
      <c r="K1127" s="25" t="str">
        <f>IF(OR(E1127="",E1127="!!!",F1127="NEW"),"",INDEX(J$1:J1126,SUMPRODUCT(MAX(ROW(E$1:E1126)*(E1127=E$1:E1126)))))</f>
        <v> </v>
      </c>
      <c r="L1127" s="26"/>
    </row>
    <row r="1128" spans="1:12">
      <c r="A1128" s="20" t="s">
        <v>507</v>
      </c>
      <c r="E1128" s="21">
        <f>IF(D1128="?OLD","!!!","")</f>
        <v/>
      </c>
      <c r="F1128" s="22" t="str">
        <f>IF(OR(E1128="",E1128="!!!"),"",IF(NOT(ISNA(VLOOKUP(E1128,E$1:E1127,1,FALSE()))),"OLD",IF(AND(E1128&lt;&gt;"",E1128&lt;&gt;"!!!"),"NEW","")))</f>
        <v> </v>
      </c>
      <c r="G1128" s="23" t="str">
        <f>IF(OR(E1128="",E1128="!!!"),"",IF(OR(J1128=0,AND(J1128=1,K1128=1),AND(J1128=1,I1128="SBJ"),AND(J1128=1,I1128=0)),"?IN_FOCUS",IF(J1128&lt;=2,"?ACTIVATED",IF(J1128&lt;&gt;"","?FAMILIAR",IF(F1128="NEW",IF(ISNA(VLOOKUP(E1128,#REF!,1,FALSE())),"?TYPE_IDENTIFIABLE","?REFERENTIAL"),"_")))))</f>
        <v> </v>
      </c>
      <c r="H1128" s="24" t="str">
        <f>IF(J1128&lt;&gt;1,"",IF(I1128="SBJ","CB","?"))</f>
        <v> </v>
      </c>
      <c r="I1128" s="25" t="str">
        <f>IF(OR(E1128="",E1128="!!!",F1128="NEW"),"",INDEX(B1127:B$2,-1+SUMPRODUCT(MAX(ROW(E1127:E$2)*(E1128=E1127:E$2)))))</f>
        <v> </v>
      </c>
      <c r="J1128" s="25" t="str">
        <f>IF(OR(E1128="",E1128="!!!",F1128="NEW"),"",COUNTBLANK(OFFSET(A$1,,,SUMPRODUCT(MAX(ROW(E$2:E1128)*(E1128=E$2:E1128)))))-COUNTBLANK(OFFSET(A$1,,,SUMPRODUCT(MAX(ROW(E$1:E1127)*(E2=E$1:E1127))))))</f>
        <v> </v>
      </c>
      <c r="K1128" s="25" t="str">
        <f>IF(OR(E1128="",E1128="!!!",F1128="NEW"),"",INDEX(J$1:J1127,SUMPRODUCT(MAX(ROW(E$1:E1127)*(E1128=E$1:E1127)))))</f>
        <v> </v>
      </c>
      <c r="L1128" s="26"/>
    </row>
    <row r="1129" spans="1:12">
      <c r="A1129" s="20" t="s">
        <v>485</v>
      </c>
      <c r="E1129" s="21">
        <f>IF(D1129="?OLD","!!!","")</f>
        <v/>
      </c>
      <c r="F1129" s="22" t="str">
        <f>IF(OR(E1129="",E1129="!!!"),"",IF(NOT(ISNA(VLOOKUP(E1129,E$1:E1128,1,FALSE()))),"OLD",IF(AND(E1129&lt;&gt;"",E1129&lt;&gt;"!!!"),"NEW","")))</f>
        <v> </v>
      </c>
      <c r="G1129" s="23" t="str">
        <f>IF(OR(E1129="",E1129="!!!"),"",IF(OR(J1129=0,AND(J1129=1,K1129=1),AND(J1129=1,I1129="SBJ"),AND(J1129=1,I1129=0)),"?IN_FOCUS",IF(J1129&lt;=2,"?ACTIVATED",IF(J1129&lt;&gt;"","?FAMILIAR",IF(F1129="NEW",IF(ISNA(VLOOKUP(E1129,#REF!,1,FALSE())),"?TYPE_IDENTIFIABLE","?REFERENTIAL"),"_")))))</f>
        <v> </v>
      </c>
      <c r="H1129" s="24" t="str">
        <f>IF(J1129&lt;&gt;1,"",IF(I1129="SBJ","CB","?"))</f>
        <v> </v>
      </c>
      <c r="I1129" s="25" t="str">
        <f>IF(OR(E1129="",E1129="!!!",F1129="NEW"),"",INDEX(B1128:B$2,-1+SUMPRODUCT(MAX(ROW(E1128:E$2)*(E1129=E1128:E$2)))))</f>
        <v> </v>
      </c>
      <c r="J1129" s="25" t="str">
        <f>IF(OR(E1129="",E1129="!!!",F1129="NEW"),"",COUNTBLANK(OFFSET(A$1,,,SUMPRODUCT(MAX(ROW(E$2:E1129)*(E1129=E$2:E1129)))))-COUNTBLANK(OFFSET(A$1,,,SUMPRODUCT(MAX(ROW(E$1:E1128)*(E2=E$1:E1128))))))</f>
        <v> </v>
      </c>
      <c r="K1129" s="25" t="str">
        <f>IF(OR(E1129="",E1129="!!!",F1129="NEW"),"",INDEX(J$1:J1128,SUMPRODUCT(MAX(ROW(E$1:E1128)*(E1129=E$1:E1128)))))</f>
        <v> </v>
      </c>
      <c r="L1129" s="26"/>
    </row>
    <row r="1130" spans="1:12">
      <c r="A1130" s="20" t="s">
        <v>907</v>
      </c>
      <c r="B1130" s="27" t="s">
        <v>477</v>
      </c>
      <c r="C1130" s="27" t="s">
        <v>538</v>
      </c>
      <c r="D1130" s="27" t="s">
        <v>483</v>
      </c>
      <c r="E1130" s="21">
        <f>IF(D1130="?OLD","!!!","")</f>
        <v/>
      </c>
      <c r="F1130" s="22" t="str">
        <f>IF(OR(E1130="",E1130="!!!"),"",IF(NOT(ISNA(VLOOKUP(E1130,E$1:E1129,1,FALSE()))),"OLD",IF(AND(E1130&lt;&gt;"",E1130&lt;&gt;"!!!"),"NEW","")))</f>
        <v> </v>
      </c>
      <c r="G1130" s="23" t="str">
        <f>IF(OR(E1130="",E1130="!!!"),"",IF(OR(J1130=0,AND(J1130=1,K1130=1),AND(J1130=1,I1130="SBJ"),AND(J1130=1,I1130=0)),"?IN_FOCUS",IF(J1130&lt;=2,"?ACTIVATED",IF(J1130&lt;&gt;"","?FAMILIAR",IF(F1130="NEW",IF(ISNA(VLOOKUP(E1130,#REF!,1,FALSE())),"?TYPE_IDENTIFIABLE","?REFERENTIAL"),"_")))))</f>
        <v> </v>
      </c>
      <c r="H1130" s="24" t="str">
        <f>IF(J1130&lt;&gt;1,"",IF(I1130="SBJ","CB","?"))</f>
        <v> </v>
      </c>
      <c r="I1130" s="25" t="str">
        <f>IF(OR(E1130="",E1130="!!!",F1130="NEW"),"",INDEX(B1129:B$2,-1+SUMPRODUCT(MAX(ROW(E1129:E$2)*(E1130=E1129:E$2)))))</f>
        <v> </v>
      </c>
      <c r="J1130" s="25" t="str">
        <f>IF(OR(E1130="",E1130="!!!",F1130="NEW"),"",COUNTBLANK(OFFSET(A$1,,,SUMPRODUCT(MAX(ROW(E$2:E1130)*(E1130=E$2:E1130)))))-COUNTBLANK(OFFSET(A$1,,,SUMPRODUCT(MAX(ROW(E$1:E1129)*(E2=E$1:E1129))))))</f>
        <v> </v>
      </c>
      <c r="K1130" s="25" t="str">
        <f>IF(OR(E1130="",E1130="!!!",F1130="NEW"),"",INDEX(J$1:J1129,SUMPRODUCT(MAX(ROW(E$1:E1129)*(E1130=E$1:E1129)))))</f>
        <v> </v>
      </c>
      <c r="L1130" s="26"/>
    </row>
    <row r="1131" spans="1:12">
      <c r="A1131" s="20" t="s">
        <v>528</v>
      </c>
      <c r="E1131" s="21">
        <f>IF(D1131="?OLD","!!!","")</f>
        <v/>
      </c>
      <c r="F1131" s="22" t="str">
        <f>IF(OR(E1131="",E1131="!!!"),"",IF(NOT(ISNA(VLOOKUP(E1131,E$1:E1130,1,FALSE()))),"OLD",IF(AND(E1131&lt;&gt;"",E1131&lt;&gt;"!!!"),"NEW","")))</f>
        <v> </v>
      </c>
      <c r="G1131" s="23" t="str">
        <f>IF(OR(E1131="",E1131="!!!"),"",IF(OR(J1131=0,AND(J1131=1,K1131=1),AND(J1131=1,I1131="SBJ"),AND(J1131=1,I1131=0)),"?IN_FOCUS",IF(J1131&lt;=2,"?ACTIVATED",IF(J1131&lt;&gt;"","?FAMILIAR",IF(F1131="NEW",IF(ISNA(VLOOKUP(E1131,#REF!,1,FALSE())),"?TYPE_IDENTIFIABLE","?REFERENTIAL"),"_")))))</f>
        <v> </v>
      </c>
      <c r="H1131" s="24" t="str">
        <f>IF(J1131&lt;&gt;1,"",IF(I1131="SBJ","CB","?"))</f>
        <v> </v>
      </c>
      <c r="I1131" s="25" t="str">
        <f>IF(OR(E1131="",E1131="!!!",F1131="NEW"),"",INDEX(B1130:B$2,-1+SUMPRODUCT(MAX(ROW(E1130:E$2)*(E1131=E1130:E$2)))))</f>
        <v> </v>
      </c>
      <c r="J1131" s="25" t="str">
        <f>IF(OR(E1131="",E1131="!!!",F1131="NEW"),"",COUNTBLANK(OFFSET(A$1,,,SUMPRODUCT(MAX(ROW(E$2:E1131)*(E1131=E$2:E1131)))))-COUNTBLANK(OFFSET(A$1,,,SUMPRODUCT(MAX(ROW(E$1:E1130)*(E2=E$1:E1130))))))</f>
        <v> </v>
      </c>
      <c r="K1131" s="25" t="str">
        <f>IF(OR(E1131="",E1131="!!!",F1131="NEW"),"",INDEX(J$1:J1130,SUMPRODUCT(MAX(ROW(E$1:E1130)*(E1131=E$1:E1130)))))</f>
        <v> </v>
      </c>
      <c r="L1131" s="26"/>
    </row>
    <row r="1132" spans="1:12">
      <c r="A1132" s="20" t="s">
        <v>908</v>
      </c>
      <c r="B1132" s="27" t="s">
        <v>490</v>
      </c>
      <c r="C1132" s="27" t="s">
        <v>482</v>
      </c>
      <c r="D1132" s="27" t="s">
        <v>483</v>
      </c>
      <c r="E1132" s="21">
        <f>IF(D1132="?OLD","!!!","")</f>
        <v/>
      </c>
      <c r="F1132" s="22" t="str">
        <f>IF(OR(E1132="",E1132="!!!"),"",IF(NOT(ISNA(VLOOKUP(E1132,E$1:E1131,1,FALSE()))),"OLD",IF(AND(E1132&lt;&gt;"",E1132&lt;&gt;"!!!"),"NEW","")))</f>
        <v> </v>
      </c>
      <c r="G1132" s="23" t="str">
        <f>IF(OR(E1132="",E1132="!!!"),"",IF(OR(J1132=0,AND(J1132=1,K1132=1),AND(J1132=1,I1132="SBJ"),AND(J1132=1,I1132=0)),"?IN_FOCUS",IF(J1132&lt;=2,"?ACTIVATED",IF(J1132&lt;&gt;"","?FAMILIAR",IF(F1132="NEW",IF(ISNA(VLOOKUP(E1132,#REF!,1,FALSE())),"?TYPE_IDENTIFIABLE","?REFERENTIAL"),"_")))))</f>
        <v> </v>
      </c>
      <c r="H1132" s="24" t="str">
        <f>IF(J1132&lt;&gt;1,"",IF(I1132="SBJ","CB","?"))</f>
        <v> </v>
      </c>
      <c r="I1132" s="25" t="str">
        <f>IF(OR(E1132="",E1132="!!!",F1132="NEW"),"",INDEX(B1131:B$2,-1+SUMPRODUCT(MAX(ROW(E1131:E$2)*(E1132=E1131:E$2)))))</f>
        <v> </v>
      </c>
      <c r="J1132" s="25" t="str">
        <f>IF(OR(E1132="",E1132="!!!",F1132="NEW"),"",COUNTBLANK(OFFSET(A$1,,,SUMPRODUCT(MAX(ROW(E$2:E1132)*(E1132=E$2:E1132)))))-COUNTBLANK(OFFSET(A$1,,,SUMPRODUCT(MAX(ROW(E$1:E1131)*(E2=E$1:E1131))))))</f>
        <v> </v>
      </c>
      <c r="K1132" s="25" t="str">
        <f>IF(OR(E1132="",E1132="!!!",F1132="NEW"),"",INDEX(J$1:J1131,SUMPRODUCT(MAX(ROW(E$1:E1131)*(E1132=E$1:E1131)))))</f>
        <v> </v>
      </c>
      <c r="L1132" s="26"/>
    </row>
    <row r="1133" spans="1:12">
      <c r="A1133" s="20" t="s">
        <v>489</v>
      </c>
      <c r="E1133" s="21">
        <f>IF(D1133="?OLD","!!!","")</f>
        <v/>
      </c>
      <c r="F1133" s="22" t="str">
        <f>IF(OR(E1133="",E1133="!!!"),"",IF(NOT(ISNA(VLOOKUP(E1133,E$1:E1132,1,FALSE()))),"OLD",IF(AND(E1133&lt;&gt;"",E1133&lt;&gt;"!!!"),"NEW","")))</f>
        <v> </v>
      </c>
      <c r="G1133" s="23" t="str">
        <f>IF(OR(E1133="",E1133="!!!"),"",IF(OR(J1133=0,AND(J1133=1,K1133=1),AND(J1133=1,I1133="SBJ"),AND(J1133=1,I1133=0)),"?IN_FOCUS",IF(J1133&lt;=2,"?ACTIVATED",IF(J1133&lt;&gt;"","?FAMILIAR",IF(F1133="NEW",IF(ISNA(VLOOKUP(E1133,#REF!,1,FALSE())),"?TYPE_IDENTIFIABLE","?REFERENTIAL"),"_")))))</f>
        <v> </v>
      </c>
      <c r="H1133" s="24" t="str">
        <f>IF(J1133&lt;&gt;1,"",IF(I1133="SBJ","CB","?"))</f>
        <v> </v>
      </c>
      <c r="I1133" s="25" t="str">
        <f>IF(OR(E1133="",E1133="!!!",F1133="NEW"),"",INDEX(B1132:B$2,-1+SUMPRODUCT(MAX(ROW(E1132:E$2)*(E1133=E1132:E$2)))))</f>
        <v> </v>
      </c>
      <c r="J1133" s="25" t="str">
        <f>IF(OR(E1133="",E1133="!!!",F1133="NEW"),"",COUNTBLANK(OFFSET(A$1,,,SUMPRODUCT(MAX(ROW(E$2:E1133)*(E1133=E$2:E1133)))))-COUNTBLANK(OFFSET(A$1,,,SUMPRODUCT(MAX(ROW(E$1:E1132)*(E2=E$1:E1132))))))</f>
        <v> </v>
      </c>
      <c r="K1133" s="25" t="str">
        <f>IF(OR(E1133="",E1133="!!!",F1133="NEW"),"",INDEX(J$1:J1132,SUMPRODUCT(MAX(ROW(E$1:E1132)*(E1133=E$1:E1132)))))</f>
        <v> </v>
      </c>
      <c r="L1133" s="26"/>
    </row>
    <row r="1134" spans="1:12">
      <c r="A1134" s="20" t="s">
        <v>909</v>
      </c>
      <c r="E1134" s="21">
        <f>IF(D1134="?OLD","!!!","")</f>
        <v/>
      </c>
      <c r="F1134" s="22" t="str">
        <f>IF(OR(E1134="",E1134="!!!"),"",IF(NOT(ISNA(VLOOKUP(E1134,E$1:E1133,1,FALSE()))),"OLD",IF(AND(E1134&lt;&gt;"",E1134&lt;&gt;"!!!"),"NEW","")))</f>
        <v> </v>
      </c>
      <c r="G1134" s="23" t="str">
        <f>IF(OR(E1134="",E1134="!!!"),"",IF(OR(J1134=0,AND(J1134=1,K1134=1),AND(J1134=1,I1134="SBJ"),AND(J1134=1,I1134=0)),"?IN_FOCUS",IF(J1134&lt;=2,"?ACTIVATED",IF(J1134&lt;&gt;"","?FAMILIAR",IF(F1134="NEW",IF(ISNA(VLOOKUP(E1134,#REF!,1,FALSE())),"?TYPE_IDENTIFIABLE","?REFERENTIAL"),"_")))))</f>
        <v> </v>
      </c>
      <c r="H1134" s="24" t="str">
        <f>IF(J1134&lt;&gt;1,"",IF(I1134="SBJ","CB","?"))</f>
        <v> </v>
      </c>
      <c r="I1134" s="25" t="str">
        <f>IF(OR(E1134="",E1134="!!!",F1134="NEW"),"",INDEX(B1133:B$2,-1+SUMPRODUCT(MAX(ROW(E1133:E$2)*(E1134=E1133:E$2)))))</f>
        <v> </v>
      </c>
      <c r="J1134" s="25" t="str">
        <f>IF(OR(E1134="",E1134="!!!",F1134="NEW"),"",COUNTBLANK(OFFSET(A$1,,,SUMPRODUCT(MAX(ROW(E$2:E1134)*(E1134=E$2:E1134)))))-COUNTBLANK(OFFSET(A$1,,,SUMPRODUCT(MAX(ROW(E$1:E1133)*(E2=E$1:E1133))))))</f>
        <v> </v>
      </c>
      <c r="K1134" s="25" t="str">
        <f>IF(OR(E1134="",E1134="!!!",F1134="NEW"),"",INDEX(J$1:J1133,SUMPRODUCT(MAX(ROW(E$1:E1133)*(E1134=E$1:E1133)))))</f>
        <v> </v>
      </c>
      <c r="L1134" s="26"/>
    </row>
    <row r="1135" spans="1:12">
      <c r="A1135" s="20" t="s">
        <v>590</v>
      </c>
      <c r="E1135" s="21">
        <f>IF(D1135="?OLD","!!!","")</f>
        <v/>
      </c>
      <c r="F1135" s="22" t="str">
        <f>IF(OR(E1135="",E1135="!!!"),"",IF(NOT(ISNA(VLOOKUP(E1135,E$1:E1134,1,FALSE()))),"OLD",IF(AND(E1135&lt;&gt;"",E1135&lt;&gt;"!!!"),"NEW","")))</f>
        <v> </v>
      </c>
      <c r="G1135" s="23" t="str">
        <f>IF(OR(E1135="",E1135="!!!"),"",IF(OR(J1135=0,AND(J1135=1,K1135=1),AND(J1135=1,I1135="SBJ"),AND(J1135=1,I1135=0)),"?IN_FOCUS",IF(J1135&lt;=2,"?ACTIVATED",IF(J1135&lt;&gt;"","?FAMILIAR",IF(F1135="NEW",IF(ISNA(VLOOKUP(E1135,#REF!,1,FALSE())),"?TYPE_IDENTIFIABLE","?REFERENTIAL"),"_")))))</f>
        <v> </v>
      </c>
      <c r="H1135" s="24" t="str">
        <f>IF(J1135&lt;&gt;1,"",IF(I1135="SBJ","CB","?"))</f>
        <v> </v>
      </c>
      <c r="I1135" s="25" t="str">
        <f>IF(OR(E1135="",E1135="!!!",F1135="NEW"),"",INDEX(B1134:B$2,-1+SUMPRODUCT(MAX(ROW(E1134:E$2)*(E1135=E1134:E$2)))))</f>
        <v> </v>
      </c>
      <c r="J1135" s="25" t="str">
        <f>IF(OR(E1135="",E1135="!!!",F1135="NEW"),"",COUNTBLANK(OFFSET(A$1,,,SUMPRODUCT(MAX(ROW(E$2:E1135)*(E1135=E$2:E1135)))))-COUNTBLANK(OFFSET(A$1,,,SUMPRODUCT(MAX(ROW(E$1:E1134)*(E2=E$1:E1134))))))</f>
        <v> </v>
      </c>
      <c r="K1135" s="25" t="str">
        <f>IF(OR(E1135="",E1135="!!!",F1135="NEW"),"",INDEX(J$1:J1134,SUMPRODUCT(MAX(ROW(E$1:E1134)*(E1135=E$1:E1134)))))</f>
        <v> </v>
      </c>
      <c r="L1135" s="26"/>
    </row>
    <row r="1136" spans="1:12">
      <c r="A1136" s="20" t="s">
        <v>369</v>
      </c>
      <c r="E1136" s="21">
        <f>IF(D1136="?OLD","!!!","")</f>
        <v/>
      </c>
      <c r="F1136" s="22" t="str">
        <f>IF(OR(E1136="",E1136="!!!"),"",IF(NOT(ISNA(VLOOKUP(E1136,E$1:E1135,1,FALSE()))),"OLD",IF(AND(E1136&lt;&gt;"",E1136&lt;&gt;"!!!"),"NEW","")))</f>
        <v> </v>
      </c>
      <c r="G1136" s="23" t="str">
        <f>IF(OR(E1136="",E1136="!!!"),"",IF(OR(J1136=0,AND(J1136=1,K1136=1),AND(J1136=1,I1136="SBJ"),AND(J1136=1,I1136=0)),"?IN_FOCUS",IF(J1136&lt;=2,"?ACTIVATED",IF(J1136&lt;&gt;"","?FAMILIAR",IF(F1136="NEW",IF(ISNA(VLOOKUP(E1136,#REF!,1,FALSE())),"?TYPE_IDENTIFIABLE","?REFERENTIAL"),"_")))))</f>
        <v> </v>
      </c>
      <c r="H1136" s="24" t="str">
        <f>IF(J1136&lt;&gt;1,"",IF(I1136="SBJ","CB","?"))</f>
        <v> </v>
      </c>
      <c r="I1136" s="25" t="str">
        <f>IF(OR(E1136="",E1136="!!!",F1136="NEW"),"",INDEX(B1135:B$2,-1+SUMPRODUCT(MAX(ROW(E1135:E$2)*(E1136=E1135:E$2)))))</f>
        <v> </v>
      </c>
      <c r="J1136" s="25" t="str">
        <f>IF(OR(E1136="",E1136="!!!",F1136="NEW"),"",COUNTBLANK(OFFSET(A$1,,,SUMPRODUCT(MAX(ROW(E$2:E1136)*(E1136=E$2:E1136)))))-COUNTBLANK(OFFSET(A$1,,,SUMPRODUCT(MAX(ROW(E$1:E1135)*(E2=E$1:E1135))))))</f>
        <v> </v>
      </c>
      <c r="K1136" s="25" t="str">
        <f>IF(OR(E1136="",E1136="!!!",F1136="NEW"),"",INDEX(J$1:J1135,SUMPRODUCT(MAX(ROW(E$1:E1135)*(E1136=E$1:E1135)))))</f>
        <v> </v>
      </c>
      <c r="L1136" s="26"/>
    </row>
    <row r="1137" spans="1:12">
      <c r="A1137" s="20" t="s">
        <v>910</v>
      </c>
      <c r="E1137" s="21">
        <f>IF(D1137="?OLD","!!!","")</f>
        <v/>
      </c>
      <c r="F1137" s="22" t="str">
        <f>IF(OR(E1137="",E1137="!!!"),"",IF(NOT(ISNA(VLOOKUP(E1137,E$1:E1136,1,FALSE()))),"OLD",IF(AND(E1137&lt;&gt;"",E1137&lt;&gt;"!!!"),"NEW","")))</f>
        <v> </v>
      </c>
      <c r="G1137" s="23" t="str">
        <f>IF(OR(E1137="",E1137="!!!"),"",IF(OR(J1137=0,AND(J1137=1,K1137=1),AND(J1137=1,I1137="SBJ"),AND(J1137=1,I1137=0)),"?IN_FOCUS",IF(J1137&lt;=2,"?ACTIVATED",IF(J1137&lt;&gt;"","?FAMILIAR",IF(F1137="NEW",IF(ISNA(VLOOKUP(E1137,#REF!,1,FALSE())),"?TYPE_IDENTIFIABLE","?REFERENTIAL"),"_")))))</f>
        <v> </v>
      </c>
      <c r="H1137" s="24" t="str">
        <f>IF(J1137&lt;&gt;1,"",IF(I1137="SBJ","CB","?"))</f>
        <v> </v>
      </c>
      <c r="I1137" s="25" t="str">
        <f>IF(OR(E1137="",E1137="!!!",F1137="NEW"),"",INDEX(B1136:B$2,-1+SUMPRODUCT(MAX(ROW(E1136:E$2)*(E1137=E1136:E$2)))))</f>
        <v> </v>
      </c>
      <c r="J1137" s="25" t="str">
        <f>IF(OR(E1137="",E1137="!!!",F1137="NEW"),"",COUNTBLANK(OFFSET(A$1,,,SUMPRODUCT(MAX(ROW(E$2:E1137)*(E1137=E$2:E1137)))))-COUNTBLANK(OFFSET(A$1,,,SUMPRODUCT(MAX(ROW(E$1:E1136)*(E2=E$1:E1136))))))</f>
        <v> </v>
      </c>
      <c r="K1137" s="25" t="str">
        <f>IF(OR(E1137="",E1137="!!!",F1137="NEW"),"",INDEX(J$1:J1136,SUMPRODUCT(MAX(ROW(E$1:E1136)*(E1137=E$1:E1136)))))</f>
        <v> </v>
      </c>
      <c r="L1137" s="26"/>
    </row>
    <row r="1138" spans="1:12">
      <c r="A1138" s="20" t="s">
        <v>528</v>
      </c>
      <c r="E1138" s="21">
        <f>IF(D1138="?OLD","!!!","")</f>
        <v/>
      </c>
      <c r="F1138" s="22" t="str">
        <f>IF(OR(E1138="",E1138="!!!"),"",IF(NOT(ISNA(VLOOKUP(E1138,E$1:E1137,1,FALSE()))),"OLD",IF(AND(E1138&lt;&gt;"",E1138&lt;&gt;"!!!"),"NEW","")))</f>
        <v> </v>
      </c>
      <c r="G1138" s="23" t="str">
        <f>IF(OR(E1138="",E1138="!!!"),"",IF(OR(J1138=0,AND(J1138=1,K1138=1),AND(J1138=1,I1138="SBJ"),AND(J1138=1,I1138=0)),"?IN_FOCUS",IF(J1138&lt;=2,"?ACTIVATED",IF(J1138&lt;&gt;"","?FAMILIAR",IF(F1138="NEW",IF(ISNA(VLOOKUP(E1138,#REF!,1,FALSE())),"?TYPE_IDENTIFIABLE","?REFERENTIAL"),"_")))))</f>
        <v> </v>
      </c>
      <c r="H1138" s="24" t="str">
        <f>IF(J1138&lt;&gt;1,"",IF(I1138="SBJ","CB","?"))</f>
        <v> </v>
      </c>
      <c r="I1138" s="25" t="str">
        <f>IF(OR(E1138="",E1138="!!!",F1138="NEW"),"",INDEX(B1137:B$2,-1+SUMPRODUCT(MAX(ROW(E1137:E$2)*(E1138=E1137:E$2)))))</f>
        <v> </v>
      </c>
      <c r="J1138" s="25" t="str">
        <f>IF(OR(E1138="",E1138="!!!",F1138="NEW"),"",COUNTBLANK(OFFSET(A$1,,,SUMPRODUCT(MAX(ROW(E$2:E1138)*(E1138=E$2:E1138)))))-COUNTBLANK(OFFSET(A$1,,,SUMPRODUCT(MAX(ROW(E$1:E1137)*(E2=E$1:E1137))))))</f>
        <v> </v>
      </c>
      <c r="K1138" s="25" t="str">
        <f>IF(OR(E1138="",E1138="!!!",F1138="NEW"),"",INDEX(J$1:J1137,SUMPRODUCT(MAX(ROW(E$1:E1137)*(E1138=E$1:E1137)))))</f>
        <v> </v>
      </c>
      <c r="L1138" s="26"/>
    </row>
    <row r="1139" spans="1:12">
      <c r="A1139" s="20" t="s">
        <v>485</v>
      </c>
      <c r="B1139" s="27" t="s">
        <v>547</v>
      </c>
      <c r="C1139" s="27" t="s">
        <v>491</v>
      </c>
      <c r="D1139" s="27" t="s">
        <v>483</v>
      </c>
      <c r="E1139" s="21">
        <f>IF(D1139="?OLD","!!!","")</f>
        <v/>
      </c>
      <c r="F1139" s="22" t="str">
        <f>IF(OR(E1139="",E1139="!!!"),"",IF(NOT(ISNA(VLOOKUP(E1139,E$1:E1138,1,FALSE()))),"OLD",IF(AND(E1139&lt;&gt;"",E1139&lt;&gt;"!!!"),"NEW","")))</f>
        <v> </v>
      </c>
      <c r="G1139" s="23" t="str">
        <f>IF(OR(E1139="",E1139="!!!"),"",IF(OR(J1139=0,AND(J1139=1,K1139=1),AND(J1139=1,I1139="SBJ"),AND(J1139=1,I1139=0)),"?IN_FOCUS",IF(J1139&lt;=2,"?ACTIVATED",IF(J1139&lt;&gt;"","?FAMILIAR",IF(F1139="NEW",IF(ISNA(VLOOKUP(E1139,#REF!,1,FALSE())),"?TYPE_IDENTIFIABLE","?REFERENTIAL"),"_")))))</f>
        <v> </v>
      </c>
      <c r="H1139" s="24" t="str">
        <f>IF(J1139&lt;&gt;1,"",IF(I1139="SBJ","CB","?"))</f>
        <v> </v>
      </c>
      <c r="I1139" s="25" t="str">
        <f>IF(OR(E1139="",E1139="!!!",F1139="NEW"),"",INDEX(B1138:B$2,-1+SUMPRODUCT(MAX(ROW(E1138:E$2)*(E1139=E1138:E$2)))))</f>
        <v> </v>
      </c>
      <c r="J1139" s="25" t="str">
        <f>IF(OR(E1139="",E1139="!!!",F1139="NEW"),"",COUNTBLANK(OFFSET(A$1,,,SUMPRODUCT(MAX(ROW(E$2:E1139)*(E1139=E$2:E1139)))))-COUNTBLANK(OFFSET(A$1,,,SUMPRODUCT(MAX(ROW(E$1:E1138)*(E2=E$1:E1138))))))</f>
        <v> </v>
      </c>
      <c r="K1139" s="25" t="str">
        <f>IF(OR(E1139="",E1139="!!!",F1139="NEW"),"",INDEX(J$1:J1138,SUMPRODUCT(MAX(ROW(E$1:E1138)*(E1139=E$1:E1138)))))</f>
        <v> </v>
      </c>
      <c r="L1139" s="26"/>
    </row>
    <row r="1140" spans="1:12">
      <c r="A1140" s="20" t="s">
        <v>492</v>
      </c>
      <c r="E1140" s="21">
        <f>IF(D1140="?OLD","!!!","")</f>
        <v/>
      </c>
      <c r="F1140" s="22" t="str">
        <f>IF(OR(E1140="",E1140="!!!"),"",IF(NOT(ISNA(VLOOKUP(E1140,E$1:E1139,1,FALSE()))),"OLD",IF(AND(E1140&lt;&gt;"",E1140&lt;&gt;"!!!"),"NEW","")))</f>
        <v> </v>
      </c>
      <c r="G1140" s="23" t="str">
        <f>IF(OR(E1140="",E1140="!!!"),"",IF(OR(J1140=0,AND(J1140=1,K1140=1),AND(J1140=1,I1140="SBJ"),AND(J1140=1,I1140=0)),"?IN_FOCUS",IF(J1140&lt;=2,"?ACTIVATED",IF(J1140&lt;&gt;"","?FAMILIAR",IF(F1140="NEW",IF(ISNA(VLOOKUP(E1140,#REF!,1,FALSE())),"?TYPE_IDENTIFIABLE","?REFERENTIAL"),"_")))))</f>
        <v> </v>
      </c>
      <c r="H1140" s="24" t="str">
        <f>IF(J1140&lt;&gt;1,"",IF(I1140="SBJ","CB","?"))</f>
        <v> </v>
      </c>
      <c r="I1140" s="25" t="str">
        <f>IF(OR(E1140="",E1140="!!!",F1140="NEW"),"",INDEX(B1139:B$2,-1+SUMPRODUCT(MAX(ROW(E1139:E$2)*(E1140=E1139:E$2)))))</f>
        <v> </v>
      </c>
      <c r="J1140" s="25" t="str">
        <f>IF(OR(E1140="",E1140="!!!",F1140="NEW"),"",COUNTBLANK(OFFSET(A$1,,,SUMPRODUCT(MAX(ROW(E$2:E1140)*(E1140=E$2:E1140)))))-COUNTBLANK(OFFSET(A$1,,,SUMPRODUCT(MAX(ROW(E$1:E1139)*(E2=E$1:E1139))))))</f>
        <v> </v>
      </c>
      <c r="K1140" s="25" t="str">
        <f>IF(OR(E1140="",E1140="!!!",F1140="NEW"),"",INDEX(J$1:J1139,SUMPRODUCT(MAX(ROW(E$1:E1139)*(E1140=E$1:E1139)))))</f>
        <v> </v>
      </c>
      <c r="L1140" s="26"/>
    </row>
    <row r="1141" spans="1:12">
      <c r="A1141" s="20" t="s">
        <v>380</v>
      </c>
      <c r="E1141" s="21">
        <f>IF(D1141="?OLD","!!!","")</f>
        <v/>
      </c>
      <c r="F1141" s="22" t="str">
        <f>IF(OR(E1141="",E1141="!!!"),"",IF(NOT(ISNA(VLOOKUP(E1141,E$1:E1140,1,FALSE()))),"OLD",IF(AND(E1141&lt;&gt;"",E1141&lt;&gt;"!!!"),"NEW","")))</f>
        <v> </v>
      </c>
      <c r="G1141" s="23" t="str">
        <f>IF(OR(E1141="",E1141="!!!"),"",IF(OR(J1141=0,AND(J1141=1,K1141=1),AND(J1141=1,I1141="SBJ"),AND(J1141=1,I1141=0)),"?IN_FOCUS",IF(J1141&lt;=2,"?ACTIVATED",IF(J1141&lt;&gt;"","?FAMILIAR",IF(F1141="NEW",IF(ISNA(VLOOKUP(E1141,#REF!,1,FALSE())),"?TYPE_IDENTIFIABLE","?REFERENTIAL"),"_")))))</f>
        <v> </v>
      </c>
      <c r="H1141" s="24" t="str">
        <f>IF(J1141&lt;&gt;1,"",IF(I1141="SBJ","CB","?"))</f>
        <v> </v>
      </c>
      <c r="I1141" s="25" t="str">
        <f>IF(OR(E1141="",E1141="!!!",F1141="NEW"),"",INDEX(B1140:B$2,-1+SUMPRODUCT(MAX(ROW(E1140:E$2)*(E1141=E1140:E$2)))))</f>
        <v> </v>
      </c>
      <c r="J1141" s="25" t="str">
        <f>IF(OR(E1141="",E1141="!!!",F1141="NEW"),"",COUNTBLANK(OFFSET(A$1,,,SUMPRODUCT(MAX(ROW(E$2:E1141)*(E1141=E$2:E1141)))))-COUNTBLANK(OFFSET(A$1,,,SUMPRODUCT(MAX(ROW(E$1:E1140)*(E2=E$1:E1140))))))</f>
        <v> </v>
      </c>
      <c r="K1141" s="25" t="str">
        <f>IF(OR(E1141="",E1141="!!!",F1141="NEW"),"",INDEX(J$1:J1140,SUMPRODUCT(MAX(ROW(E$1:E1140)*(E1141=E$1:E1140)))))</f>
        <v> </v>
      </c>
      <c r="L1141" s="26"/>
    </row>
    <row r="1142" spans="1:12">
      <c r="A1142" s="20" t="s">
        <v>824</v>
      </c>
      <c r="B1142" s="27" t="s">
        <v>490</v>
      </c>
      <c r="C1142" s="27" t="s">
        <v>498</v>
      </c>
      <c r="E1142" s="21">
        <f>IF(D1142="?OLD","!!!","")</f>
        <v/>
      </c>
      <c r="F1142" s="22" t="str">
        <f>IF(OR(E1142="",E1142="!!!"),"",IF(NOT(ISNA(VLOOKUP(E1142,E$1:E1141,1,FALSE()))),"OLD",IF(AND(E1142&lt;&gt;"",E1142&lt;&gt;"!!!"),"NEW","")))</f>
        <v> </v>
      </c>
      <c r="G1142" s="23" t="str">
        <f>IF(OR(E1142="",E1142="!!!"),"",IF(OR(J1142=0,AND(J1142=1,K1142=1),AND(J1142=1,I1142="SBJ"),AND(J1142=1,I1142=0)),"?IN_FOCUS",IF(J1142&lt;=2,"?ACTIVATED",IF(J1142&lt;&gt;"","?FAMILIAR",IF(F1142="NEW",IF(ISNA(VLOOKUP(E1142,#REF!,1,FALSE())),"?TYPE_IDENTIFIABLE","?REFERENTIAL"),"_")))))</f>
        <v> </v>
      </c>
      <c r="H1142" s="24" t="str">
        <f>IF(J1142&lt;&gt;1,"",IF(I1142="SBJ","CB","?"))</f>
        <v> </v>
      </c>
      <c r="I1142" s="25" t="str">
        <f>IF(OR(E1142="",E1142="!!!",F1142="NEW"),"",INDEX(B1141:B$2,-1+SUMPRODUCT(MAX(ROW(E1141:E$2)*(E1142=E1141:E$2)))))</f>
        <v> </v>
      </c>
      <c r="J1142" s="25" t="str">
        <f>IF(OR(E1142="",E1142="!!!",F1142="NEW"),"",COUNTBLANK(OFFSET(A$1,,,SUMPRODUCT(MAX(ROW(E$2:E1142)*(E1142=E$2:E1142)))))-COUNTBLANK(OFFSET(A$1,,,SUMPRODUCT(MAX(ROW(E$1:E1141)*(E2=E$1:E1141))))))</f>
        <v> </v>
      </c>
      <c r="K1142" s="25" t="str">
        <f>IF(OR(E1142="",E1142="!!!",F1142="NEW"),"",INDEX(J$1:J1141,SUMPRODUCT(MAX(ROW(E$1:E1141)*(E1142=E$1:E1141)))))</f>
        <v> </v>
      </c>
      <c r="L1142" s="26"/>
    </row>
    <row r="1143" spans="1:12">
      <c r="A1143" s="20" t="s">
        <v>825</v>
      </c>
      <c r="E1143" s="21">
        <f>IF(D1143="?OLD","!!!","")</f>
        <v/>
      </c>
      <c r="F1143" s="22" t="str">
        <f>IF(OR(E1143="",E1143="!!!"),"",IF(NOT(ISNA(VLOOKUP(E1143,E$1:E1142,1,FALSE()))),"OLD",IF(AND(E1143&lt;&gt;"",E1143&lt;&gt;"!!!"),"NEW","")))</f>
        <v> </v>
      </c>
      <c r="G1143" s="23" t="str">
        <f>IF(OR(E1143="",E1143="!!!"),"",IF(OR(J1143=0,AND(J1143=1,K1143=1),AND(J1143=1,I1143="SBJ"),AND(J1143=1,I1143=0)),"?IN_FOCUS",IF(J1143&lt;=2,"?ACTIVATED",IF(J1143&lt;&gt;"","?FAMILIAR",IF(F1143="NEW",IF(ISNA(VLOOKUP(E1143,#REF!,1,FALSE())),"?TYPE_IDENTIFIABLE","?REFERENTIAL"),"_")))))</f>
        <v> </v>
      </c>
      <c r="H1143" s="24" t="str">
        <f>IF(J1143&lt;&gt;1,"",IF(I1143="SBJ","CB","?"))</f>
        <v> </v>
      </c>
      <c r="I1143" s="25" t="str">
        <f>IF(OR(E1143="",E1143="!!!",F1143="NEW"),"",INDEX(B1142:B$2,-1+SUMPRODUCT(MAX(ROW(E1142:E$2)*(E1143=E1142:E$2)))))</f>
        <v> </v>
      </c>
      <c r="J1143" s="25" t="str">
        <f>IF(OR(E1143="",E1143="!!!",F1143="NEW"),"",COUNTBLANK(OFFSET(A$1,,,SUMPRODUCT(MAX(ROW(E$2:E1143)*(E1143=E$2:E1143)))))-COUNTBLANK(OFFSET(A$1,,,SUMPRODUCT(MAX(ROW(E$1:E1142)*(E2=E$1:E1142))))))</f>
        <v> </v>
      </c>
      <c r="K1143" s="25" t="str">
        <f>IF(OR(E1143="",E1143="!!!",F1143="NEW"),"",INDEX(J$1:J1142,SUMPRODUCT(MAX(ROW(E$1:E1142)*(E1143=E$1:E1142)))))</f>
        <v> </v>
      </c>
      <c r="L1143" s="26"/>
    </row>
    <row r="1144" spans="1:12">
      <c r="A1144" s="20" t="s">
        <v>531</v>
      </c>
      <c r="E1144" s="21">
        <f>IF(D1144="?OLD","!!!","")</f>
        <v/>
      </c>
      <c r="F1144" s="22" t="str">
        <f>IF(OR(E1144="",E1144="!!!"),"",IF(NOT(ISNA(VLOOKUP(E1144,E$1:E1143,1,FALSE()))),"OLD",IF(AND(E1144&lt;&gt;"",E1144&lt;&gt;"!!!"),"NEW","")))</f>
        <v> </v>
      </c>
      <c r="G1144" s="23" t="str">
        <f>IF(OR(E1144="",E1144="!!!"),"",IF(OR(J1144=0,AND(J1144=1,K1144=1),AND(J1144=1,I1144="SBJ"),AND(J1144=1,I1144=0)),"?IN_FOCUS",IF(J1144&lt;=2,"?ACTIVATED",IF(J1144&lt;&gt;"","?FAMILIAR",IF(F1144="NEW",IF(ISNA(VLOOKUP(E1144,#REF!,1,FALSE())),"?TYPE_IDENTIFIABLE","?REFERENTIAL"),"_")))))</f>
        <v> </v>
      </c>
      <c r="H1144" s="24" t="str">
        <f>IF(J1144&lt;&gt;1,"",IF(I1144="SBJ","CB","?"))</f>
        <v> </v>
      </c>
      <c r="I1144" s="25" t="str">
        <f>IF(OR(E1144="",E1144="!!!",F1144="NEW"),"",INDEX(B1143:B$2,-1+SUMPRODUCT(MAX(ROW(E1143:E$2)*(E1144=E1143:E$2)))))</f>
        <v> </v>
      </c>
      <c r="J1144" s="25" t="str">
        <f>IF(OR(E1144="",E1144="!!!",F1144="NEW"),"",COUNTBLANK(OFFSET(A$1,,,SUMPRODUCT(MAX(ROW(E$2:E1144)*(E1144=E$2:E1144)))))-COUNTBLANK(OFFSET(A$1,,,SUMPRODUCT(MAX(ROW(E$1:E1143)*(E2=E$1:E1143))))))</f>
        <v> </v>
      </c>
      <c r="K1144" s="25" t="str">
        <f>IF(OR(E1144="",E1144="!!!",F1144="NEW"),"",INDEX(J$1:J1143,SUMPRODUCT(MAX(ROW(E$1:E1143)*(E1144=E$1:E1143)))))</f>
        <v> </v>
      </c>
      <c r="L1144" s="26"/>
    </row>
    <row r="1145" spans="1:12">
      <c r="A1145" s="20"/>
    </row>
    <row r="1146" spans="1:12">
      <c r="A1146" s="20" t="s">
        <v>911</v>
      </c>
    </row>
    <row r="1147" spans="1:12">
      <c r="A1147" s="20" t="s">
        <v>597</v>
      </c>
      <c r="E1147" s="21">
        <f>IF(D1147="?OLD","!!!","")</f>
        <v/>
      </c>
      <c r="F1147" s="22" t="str">
        <f>IF(OR(E1147="",E1147="!!!"),"",IF(NOT(ISNA(VLOOKUP(E1147,E$1:E1146,1,FALSE()))),"OLD",IF(AND(E1147&lt;&gt;"",E1147&lt;&gt;"!!!"),"NEW","")))</f>
        <v> </v>
      </c>
      <c r="G1147" s="23" t="str">
        <f>IF(OR(E1147="",E1147="!!!"),"",IF(OR(J1147=0,AND(J1147=1,K1147=1),AND(J1147=1,I1147="SBJ"),AND(J1147=1,I1147=0)),"?IN_FOCUS",IF(J1147&lt;=2,"?ACTIVATED",IF(J1147&lt;&gt;"","?FAMILIAR",IF(F1147="NEW",IF(ISNA(VLOOKUP(E1147,#REF!,1,FALSE())),"?TYPE_IDENTIFIABLE","?REFERENTIAL"),"_")))))</f>
        <v> </v>
      </c>
      <c r="H1147" s="24" t="str">
        <f>IF(J1147&lt;&gt;1,"",IF(I1147="SBJ","CB","?"))</f>
        <v> </v>
      </c>
      <c r="I1147" s="25" t="str">
        <f>IF(OR(E1147="",E1147="!!!",F1147="NEW"),"",INDEX(B1146:B$2,-1+SUMPRODUCT(MAX(ROW(E1146:E$2)*(E1147=E1146:E$2)))))</f>
        <v> </v>
      </c>
      <c r="J1147" s="25" t="str">
        <f>IF(OR(E1147="",E1147="!!!",F1147="NEW"),"",COUNTBLANK(OFFSET(A$1,,,SUMPRODUCT(MAX(ROW(E$2:E1147)*(E1147=E$2:E1147)))))-COUNTBLANK(OFFSET(A$1,,,SUMPRODUCT(MAX(ROW(E$1:E1146)*(E2=E$1:E1146))))))</f>
        <v> </v>
      </c>
      <c r="K1147" s="25" t="str">
        <f>IF(OR(E1147="",E1147="!!!",F1147="NEW"),"",INDEX(J$1:J1146,SUMPRODUCT(MAX(ROW(E$1:E1146)*(E1147=E$1:E1146)))))</f>
        <v> </v>
      </c>
      <c r="L1147" s="26"/>
    </row>
    <row r="1148" spans="1:12">
      <c r="A1148" s="20" t="s">
        <v>275</v>
      </c>
      <c r="B1148" s="27" t="s">
        <v>477</v>
      </c>
      <c r="C1148" s="27" t="s">
        <v>598</v>
      </c>
      <c r="D1148" s="27" t="s">
        <v>483</v>
      </c>
      <c r="E1148" s="21">
        <f>IF(D1148="?OLD","!!!","")</f>
        <v/>
      </c>
      <c r="F1148" s="22" t="str">
        <f>IF(OR(E1148="",E1148="!!!"),"",IF(NOT(ISNA(VLOOKUP(E1148,E$1:E1147,1,FALSE()))),"OLD",IF(AND(E1148&lt;&gt;"",E1148&lt;&gt;"!!!"),"NEW","")))</f>
        <v> </v>
      </c>
      <c r="G1148" s="23" t="str">
        <f>IF(OR(E1148="",E1148="!!!"),"",IF(OR(J1148=0,AND(J1148=1,K1148=1),AND(J1148=1,I1148="SBJ"),AND(J1148=1,I1148=0)),"?IN_FOCUS",IF(J1148&lt;=2,"?ACTIVATED",IF(J1148&lt;&gt;"","?FAMILIAR",IF(F1148="NEW",IF(ISNA(VLOOKUP(E1148,#REF!,1,FALSE())),"?TYPE_IDENTIFIABLE","?REFERENTIAL"),"_")))))</f>
        <v> </v>
      </c>
      <c r="H1148" s="24" t="str">
        <f>IF(J1148&lt;&gt;1,"",IF(I1148="SBJ","CB","?"))</f>
        <v> </v>
      </c>
      <c r="I1148" s="25" t="str">
        <f>IF(OR(E1148="",E1148="!!!",F1148="NEW"),"",INDEX(B1147:B$2,-1+SUMPRODUCT(MAX(ROW(E1147:E$2)*(E1148=E1147:E$2)))))</f>
        <v> </v>
      </c>
      <c r="J1148" s="25" t="str">
        <f>IF(OR(E1148="",E1148="!!!",F1148="NEW"),"",COUNTBLANK(OFFSET(A$1,,,SUMPRODUCT(MAX(ROW(E$2:E1148)*(E1148=E$2:E1148)))))-COUNTBLANK(OFFSET(A$1,,,SUMPRODUCT(MAX(ROW(E$1:E1147)*(E2=E$1:E1147))))))</f>
        <v> </v>
      </c>
      <c r="K1148" s="25" t="str">
        <f>IF(OR(E1148="",E1148="!!!",F1148="NEW"),"",INDEX(J$1:J1147,SUMPRODUCT(MAX(ROW(E$1:E1147)*(E1148=E$1:E1147)))))</f>
        <v> </v>
      </c>
      <c r="L1148" s="26"/>
    </row>
    <row r="1149" spans="1:12">
      <c r="A1149" s="20" t="s">
        <v>561</v>
      </c>
      <c r="E1149" s="21">
        <f>IF(D1149="?OLD","!!!","")</f>
        <v/>
      </c>
      <c r="F1149" s="22" t="str">
        <f>IF(OR(E1149="",E1149="!!!"),"",IF(NOT(ISNA(VLOOKUP(E1149,E$1:E1148,1,FALSE()))),"OLD",IF(AND(E1149&lt;&gt;"",E1149&lt;&gt;"!!!"),"NEW","")))</f>
        <v> </v>
      </c>
      <c r="G1149" s="23" t="str">
        <f>IF(OR(E1149="",E1149="!!!"),"",IF(OR(J1149=0,AND(J1149=1,K1149=1),AND(J1149=1,I1149="SBJ"),AND(J1149=1,I1149=0)),"?IN_FOCUS",IF(J1149&lt;=2,"?ACTIVATED",IF(J1149&lt;&gt;"","?FAMILIAR",IF(F1149="NEW",IF(ISNA(VLOOKUP(E1149,#REF!,1,FALSE())),"?TYPE_IDENTIFIABLE","?REFERENTIAL"),"_")))))</f>
        <v> </v>
      </c>
      <c r="H1149" s="24" t="str">
        <f>IF(J1149&lt;&gt;1,"",IF(I1149="SBJ","CB","?"))</f>
        <v> </v>
      </c>
      <c r="I1149" s="25" t="str">
        <f>IF(OR(E1149="",E1149="!!!",F1149="NEW"),"",INDEX(B1148:B$2,-1+SUMPRODUCT(MAX(ROW(E1148:E$2)*(E1149=E1148:E$2)))))</f>
        <v> </v>
      </c>
      <c r="J1149" s="25" t="str">
        <f>IF(OR(E1149="",E1149="!!!",F1149="NEW"),"",COUNTBLANK(OFFSET(A$1,,,SUMPRODUCT(MAX(ROW(E$2:E1149)*(E1149=E$2:E1149)))))-COUNTBLANK(OFFSET(A$1,,,SUMPRODUCT(MAX(ROW(E$1:E1148)*(E2=E$1:E1148))))))</f>
        <v> </v>
      </c>
      <c r="K1149" s="25" t="str">
        <f>IF(OR(E1149="",E1149="!!!",F1149="NEW"),"",INDEX(J$1:J1148,SUMPRODUCT(MAX(ROW(E$1:E1148)*(E1149=E$1:E1148)))))</f>
        <v> </v>
      </c>
      <c r="L1149" s="26"/>
    </row>
    <row r="1150" spans="1:12">
      <c r="A1150" s="20" t="s">
        <v>384</v>
      </c>
      <c r="E1150" s="21">
        <f>IF(D1150="?OLD","!!!","")</f>
        <v/>
      </c>
      <c r="F1150" s="22" t="str">
        <f>IF(OR(E1150="",E1150="!!!"),"",IF(NOT(ISNA(VLOOKUP(E1150,E$1:E1149,1,FALSE()))),"OLD",IF(AND(E1150&lt;&gt;"",E1150&lt;&gt;"!!!"),"NEW","")))</f>
        <v> </v>
      </c>
      <c r="G1150" s="23" t="str">
        <f>IF(OR(E1150="",E1150="!!!"),"",IF(OR(J1150=0,AND(J1150=1,K1150=1),AND(J1150=1,I1150="SBJ"),AND(J1150=1,I1150=0)),"?IN_FOCUS",IF(J1150&lt;=2,"?ACTIVATED",IF(J1150&lt;&gt;"","?FAMILIAR",IF(F1150="NEW",IF(ISNA(VLOOKUP(E1150,#REF!,1,FALSE())),"?TYPE_IDENTIFIABLE","?REFERENTIAL"),"_")))))</f>
        <v> </v>
      </c>
      <c r="H1150" s="24" t="str">
        <f>IF(J1150&lt;&gt;1,"",IF(I1150="SBJ","CB","?"))</f>
        <v> </v>
      </c>
      <c r="I1150" s="25" t="str">
        <f>IF(OR(E1150="",E1150="!!!",F1150="NEW"),"",INDEX(B1149:B$2,-1+SUMPRODUCT(MAX(ROW(E1149:E$2)*(E1150=E1149:E$2)))))</f>
        <v> </v>
      </c>
      <c r="J1150" s="25" t="str">
        <f>IF(OR(E1150="",E1150="!!!",F1150="NEW"),"",COUNTBLANK(OFFSET(A$1,,,SUMPRODUCT(MAX(ROW(E$2:E1150)*(E1150=E$2:E1150)))))-COUNTBLANK(OFFSET(A$1,,,SUMPRODUCT(MAX(ROW(E$1:E1149)*(E2=E$1:E1149))))))</f>
        <v> </v>
      </c>
      <c r="K1150" s="25" t="str">
        <f>IF(OR(E1150="",E1150="!!!",F1150="NEW"),"",INDEX(J$1:J1149,SUMPRODUCT(MAX(ROW(E$1:E1149)*(E1150=E$1:E1149)))))</f>
        <v> </v>
      </c>
      <c r="L1150" s="26"/>
    </row>
    <row r="1151" spans="1:12">
      <c r="A1151" s="20" t="s">
        <v>489</v>
      </c>
      <c r="E1151" s="21">
        <f>IF(D1151="?OLD","!!!","")</f>
        <v/>
      </c>
      <c r="F1151" s="22" t="str">
        <f>IF(OR(E1151="",E1151="!!!"),"",IF(NOT(ISNA(VLOOKUP(E1151,E$1:E1150,1,FALSE()))),"OLD",IF(AND(E1151&lt;&gt;"",E1151&lt;&gt;"!!!"),"NEW","")))</f>
        <v> </v>
      </c>
      <c r="G1151" s="23" t="str">
        <f>IF(OR(E1151="",E1151="!!!"),"",IF(OR(J1151=0,AND(J1151=1,K1151=1),AND(J1151=1,I1151="SBJ"),AND(J1151=1,I1151=0)),"?IN_FOCUS",IF(J1151&lt;=2,"?ACTIVATED",IF(J1151&lt;&gt;"","?FAMILIAR",IF(F1151="NEW",IF(ISNA(VLOOKUP(E1151,#REF!,1,FALSE())),"?TYPE_IDENTIFIABLE","?REFERENTIAL"),"_")))))</f>
        <v> </v>
      </c>
      <c r="H1151" s="24" t="str">
        <f>IF(J1151&lt;&gt;1,"",IF(I1151="SBJ","CB","?"))</f>
        <v> </v>
      </c>
      <c r="I1151" s="25" t="str">
        <f>IF(OR(E1151="",E1151="!!!",F1151="NEW"),"",INDEX(B1150:B$2,-1+SUMPRODUCT(MAX(ROW(E1150:E$2)*(E1151=E1150:E$2)))))</f>
        <v> </v>
      </c>
      <c r="J1151" s="25" t="str">
        <f>IF(OR(E1151="",E1151="!!!",F1151="NEW"),"",COUNTBLANK(OFFSET(A$1,,,SUMPRODUCT(MAX(ROW(E$2:E1151)*(E1151=E$2:E1151)))))-COUNTBLANK(OFFSET(A$1,,,SUMPRODUCT(MAX(ROW(E$1:E1150)*(E2=E$1:E1150))))))</f>
        <v> </v>
      </c>
      <c r="K1151" s="25" t="str">
        <f>IF(OR(E1151="",E1151="!!!",F1151="NEW"),"",INDEX(J$1:J1150,SUMPRODUCT(MAX(ROW(E$1:E1150)*(E1151=E$1:E1150)))))</f>
        <v> </v>
      </c>
      <c r="L1151" s="26"/>
    </row>
    <row r="1152" spans="1:12">
      <c r="A1152" s="20" t="s">
        <v>912</v>
      </c>
      <c r="B1152" s="27" t="s">
        <v>477</v>
      </c>
      <c r="C1152" s="27" t="s">
        <v>516</v>
      </c>
      <c r="E1152" s="21">
        <f>IF(D1152="?OLD","!!!","")</f>
        <v/>
      </c>
      <c r="F1152" s="22" t="str">
        <f>IF(OR(E1152="",E1152="!!!"),"",IF(NOT(ISNA(VLOOKUP(E1152,E$1:E1151,1,FALSE()))),"OLD",IF(AND(E1152&lt;&gt;"",E1152&lt;&gt;"!!!"),"NEW","")))</f>
        <v> </v>
      </c>
      <c r="G1152" s="23" t="str">
        <f>IF(OR(E1152="",E1152="!!!"),"",IF(OR(J1152=0,AND(J1152=1,K1152=1),AND(J1152=1,I1152="SBJ"),AND(J1152=1,I1152=0)),"?IN_FOCUS",IF(J1152&lt;=2,"?ACTIVATED",IF(J1152&lt;&gt;"","?FAMILIAR",IF(F1152="NEW",IF(ISNA(VLOOKUP(E1152,#REF!,1,FALSE())),"?TYPE_IDENTIFIABLE","?REFERENTIAL"),"_")))))</f>
        <v> </v>
      </c>
      <c r="H1152" s="24" t="str">
        <f>IF(J1152&lt;&gt;1,"",IF(I1152="SBJ","CB","?"))</f>
        <v> </v>
      </c>
      <c r="I1152" s="25" t="str">
        <f>IF(OR(E1152="",E1152="!!!",F1152="NEW"),"",INDEX(B1151:B$2,-1+SUMPRODUCT(MAX(ROW(E1151:E$2)*(E1152=E1151:E$2)))))</f>
        <v> </v>
      </c>
      <c r="J1152" s="25" t="str">
        <f>IF(OR(E1152="",E1152="!!!",F1152="NEW"),"",COUNTBLANK(OFFSET(A$1,,,SUMPRODUCT(MAX(ROW(E$2:E1152)*(E1152=E$2:E1152)))))-COUNTBLANK(OFFSET(A$1,,,SUMPRODUCT(MAX(ROW(E$1:E1151)*(E2=E$1:E1151))))))</f>
        <v> </v>
      </c>
      <c r="K1152" s="25" t="str">
        <f>IF(OR(E1152="",E1152="!!!",F1152="NEW"),"",INDEX(J$1:J1151,SUMPRODUCT(MAX(ROW(E$1:E1151)*(E1152=E$1:E1151)))))</f>
        <v> </v>
      </c>
      <c r="L1152" s="26"/>
    </row>
    <row r="1153" spans="1:12">
      <c r="A1153" s="20" t="s">
        <v>585</v>
      </c>
      <c r="B1153" s="27" t="s">
        <v>477</v>
      </c>
      <c r="C1153" s="27" t="s">
        <v>482</v>
      </c>
      <c r="D1153" s="27" t="s">
        <v>483</v>
      </c>
      <c r="E1153" s="21">
        <f>IF(D1153="?OLD","!!!","")</f>
        <v/>
      </c>
      <c r="F1153" s="22" t="str">
        <f>IF(OR(E1153="",E1153="!!!"),"",IF(NOT(ISNA(VLOOKUP(E1153,E$1:E1152,1,FALSE()))),"OLD",IF(AND(E1153&lt;&gt;"",E1153&lt;&gt;"!!!"),"NEW","")))</f>
        <v> </v>
      </c>
      <c r="G1153" s="23" t="str">
        <f>IF(OR(E1153="",E1153="!!!"),"",IF(OR(J1153=0,AND(J1153=1,K1153=1),AND(J1153=1,I1153="SBJ"),AND(J1153=1,I1153=0)),"?IN_FOCUS",IF(J1153&lt;=2,"?ACTIVATED",IF(J1153&lt;&gt;"","?FAMILIAR",IF(F1153="NEW",IF(ISNA(VLOOKUP(E1153,#REF!,1,FALSE())),"?TYPE_IDENTIFIABLE","?REFERENTIAL"),"_")))))</f>
        <v> </v>
      </c>
      <c r="H1153" s="24" t="str">
        <f>IF(J1153&lt;&gt;1,"",IF(I1153="SBJ","CB","?"))</f>
        <v> </v>
      </c>
      <c r="I1153" s="25" t="str">
        <f>IF(OR(E1153="",E1153="!!!",F1153="NEW"),"",INDEX(B1152:B$2,-1+SUMPRODUCT(MAX(ROW(E1152:E$2)*(E1153=E1152:E$2)))))</f>
        <v> </v>
      </c>
      <c r="J1153" s="25" t="str">
        <f>IF(OR(E1153="",E1153="!!!",F1153="NEW"),"",COUNTBLANK(OFFSET(A$1,,,SUMPRODUCT(MAX(ROW(E$2:E1153)*(E1153=E$2:E1153)))))-COUNTBLANK(OFFSET(A$1,,,SUMPRODUCT(MAX(ROW(E$1:E1152)*(E2=E$1:E1152))))))</f>
        <v> </v>
      </c>
      <c r="K1153" s="25" t="str">
        <f>IF(OR(E1153="",E1153="!!!",F1153="NEW"),"",INDEX(J$1:J1152,SUMPRODUCT(MAX(ROW(E$1:E1152)*(E1153=E$1:E1152)))))</f>
        <v> </v>
      </c>
      <c r="L1153" s="26"/>
    </row>
    <row r="1154" spans="1:12">
      <c r="A1154" s="20" t="s">
        <v>507</v>
      </c>
      <c r="E1154" s="21">
        <f>IF(D1154="?OLD","!!!","")</f>
        <v/>
      </c>
      <c r="F1154" s="22" t="str">
        <f>IF(OR(E1154="",E1154="!!!"),"",IF(NOT(ISNA(VLOOKUP(E1154,E$1:E1153,1,FALSE()))),"OLD",IF(AND(E1154&lt;&gt;"",E1154&lt;&gt;"!!!"),"NEW","")))</f>
        <v> </v>
      </c>
      <c r="G1154" s="23" t="str">
        <f>IF(OR(E1154="",E1154="!!!"),"",IF(OR(J1154=0,AND(J1154=1,K1154=1),AND(J1154=1,I1154="SBJ"),AND(J1154=1,I1154=0)),"?IN_FOCUS",IF(J1154&lt;=2,"?ACTIVATED",IF(J1154&lt;&gt;"","?FAMILIAR",IF(F1154="NEW",IF(ISNA(VLOOKUP(E1154,#REF!,1,FALSE())),"?TYPE_IDENTIFIABLE","?REFERENTIAL"),"_")))))</f>
        <v> </v>
      </c>
      <c r="H1154" s="24" t="str">
        <f>IF(J1154&lt;&gt;1,"",IF(I1154="SBJ","CB","?"))</f>
        <v> </v>
      </c>
      <c r="I1154" s="25" t="str">
        <f>IF(OR(E1154="",E1154="!!!",F1154="NEW"),"",INDEX(B1153:B$2,-1+SUMPRODUCT(MAX(ROW(E1153:E$2)*(E1154=E1153:E$2)))))</f>
        <v> </v>
      </c>
      <c r="J1154" s="25" t="str">
        <f>IF(OR(E1154="",E1154="!!!",F1154="NEW"),"",COUNTBLANK(OFFSET(A$1,,,SUMPRODUCT(MAX(ROW(E$2:E1154)*(E1154=E$2:E1154)))))-COUNTBLANK(OFFSET(A$1,,,SUMPRODUCT(MAX(ROW(E$1:E1153)*(E2=E$1:E1153))))))</f>
        <v> </v>
      </c>
      <c r="K1154" s="25" t="str">
        <f>IF(OR(E1154="",E1154="!!!",F1154="NEW"),"",INDEX(J$1:J1153,SUMPRODUCT(MAX(ROW(E$1:E1153)*(E1154=E$1:E1153)))))</f>
        <v> </v>
      </c>
      <c r="L1154" s="26"/>
    </row>
    <row r="1155" spans="1:12">
      <c r="A1155" s="20" t="s">
        <v>791</v>
      </c>
      <c r="E1155" s="21">
        <f>IF(D1155="?OLD","!!!","")</f>
        <v/>
      </c>
      <c r="F1155" s="22" t="str">
        <f>IF(OR(E1155="",E1155="!!!"),"",IF(NOT(ISNA(VLOOKUP(E1155,E$1:E1154,1,FALSE()))),"OLD",IF(AND(E1155&lt;&gt;"",E1155&lt;&gt;"!!!"),"NEW","")))</f>
        <v> </v>
      </c>
      <c r="G1155" s="23" t="str">
        <f>IF(OR(E1155="",E1155="!!!"),"",IF(OR(J1155=0,AND(J1155=1,K1155=1),AND(J1155=1,I1155="SBJ"),AND(J1155=1,I1155=0)),"?IN_FOCUS",IF(J1155&lt;=2,"?ACTIVATED",IF(J1155&lt;&gt;"","?FAMILIAR",IF(F1155="NEW",IF(ISNA(VLOOKUP(E1155,#REF!,1,FALSE())),"?TYPE_IDENTIFIABLE","?REFERENTIAL"),"_")))))</f>
        <v> </v>
      </c>
      <c r="H1155" s="24" t="str">
        <f>IF(J1155&lt;&gt;1,"",IF(I1155="SBJ","CB","?"))</f>
        <v> </v>
      </c>
      <c r="I1155" s="25" t="str">
        <f>IF(OR(E1155="",E1155="!!!",F1155="NEW"),"",INDEX(B1154:B$2,-1+SUMPRODUCT(MAX(ROW(E1154:E$2)*(E1155=E1154:E$2)))))</f>
        <v> </v>
      </c>
      <c r="J1155" s="25" t="str">
        <f>IF(OR(E1155="",E1155="!!!",F1155="NEW"),"",COUNTBLANK(OFFSET(A$1,,,SUMPRODUCT(MAX(ROW(E$2:E1155)*(E1155=E$2:E1155)))))-COUNTBLANK(OFFSET(A$1,,,SUMPRODUCT(MAX(ROW(E$1:E1154)*(E2=E$1:E1154))))))</f>
        <v> </v>
      </c>
      <c r="K1155" s="25" t="str">
        <f>IF(OR(E1155="",E1155="!!!",F1155="NEW"),"",INDEX(J$1:J1154,SUMPRODUCT(MAX(ROW(E$1:E1154)*(E1155=E$1:E1154)))))</f>
        <v> </v>
      </c>
      <c r="L1155" s="26"/>
    </row>
    <row r="1156" spans="1:12">
      <c r="A1156" s="20" t="s">
        <v>913</v>
      </c>
      <c r="B1156" s="27" t="s">
        <v>490</v>
      </c>
      <c r="C1156" s="27" t="s">
        <v>478</v>
      </c>
      <c r="E1156" s="21">
        <f>IF(D1156="?OLD","!!!","")</f>
        <v/>
      </c>
      <c r="F1156" s="22" t="str">
        <f>IF(OR(E1156="",E1156="!!!"),"",IF(NOT(ISNA(VLOOKUP(E1156,E$1:E1155,1,FALSE()))),"OLD",IF(AND(E1156&lt;&gt;"",E1156&lt;&gt;"!!!"),"NEW","")))</f>
        <v> </v>
      </c>
      <c r="G1156" s="23" t="str">
        <f>IF(OR(E1156="",E1156="!!!"),"",IF(OR(J1156=0,AND(J1156=1,K1156=1),AND(J1156=1,I1156="SBJ"),AND(J1156=1,I1156=0)),"?IN_FOCUS",IF(J1156&lt;=2,"?ACTIVATED",IF(J1156&lt;&gt;"","?FAMILIAR",IF(F1156="NEW",IF(ISNA(VLOOKUP(E1156,#REF!,1,FALSE())),"?TYPE_IDENTIFIABLE","?REFERENTIAL"),"_")))))</f>
        <v> </v>
      </c>
      <c r="H1156" s="24" t="str">
        <f>IF(J1156&lt;&gt;1,"",IF(I1156="SBJ","CB","?"))</f>
        <v> </v>
      </c>
      <c r="I1156" s="25" t="str">
        <f>IF(OR(E1156="",E1156="!!!",F1156="NEW"),"",INDEX(B1155:B$2,-1+SUMPRODUCT(MAX(ROW(E1155:E$2)*(E1156=E1155:E$2)))))</f>
        <v> </v>
      </c>
      <c r="J1156" s="25" t="str">
        <f>IF(OR(E1156="",E1156="!!!",F1156="NEW"),"",COUNTBLANK(OFFSET(A$1,,,SUMPRODUCT(MAX(ROW(E$2:E1156)*(E1156=E$2:E1156)))))-COUNTBLANK(OFFSET(A$1,,,SUMPRODUCT(MAX(ROW(E$1:E1155)*(E2=E$1:E1155))))))</f>
        <v> </v>
      </c>
      <c r="K1156" s="25" t="str">
        <f>IF(OR(E1156="",E1156="!!!",F1156="NEW"),"",INDEX(J$1:J1155,SUMPRODUCT(MAX(ROW(E$1:E1155)*(E1156=E$1:E1155)))))</f>
        <v> </v>
      </c>
      <c r="L1156" s="26"/>
    </row>
    <row r="1157" spans="1:12">
      <c r="A1157" s="20" t="s">
        <v>489</v>
      </c>
      <c r="E1157" s="21">
        <f>IF(D1157="?OLD","!!!","")</f>
        <v/>
      </c>
      <c r="F1157" s="22" t="str">
        <f>IF(OR(E1157="",E1157="!!!"),"",IF(NOT(ISNA(VLOOKUP(E1157,E$1:E1156,1,FALSE()))),"OLD",IF(AND(E1157&lt;&gt;"",E1157&lt;&gt;"!!!"),"NEW","")))</f>
        <v> </v>
      </c>
      <c r="G1157" s="23" t="str">
        <f>IF(OR(E1157="",E1157="!!!"),"",IF(OR(J1157=0,AND(J1157=1,K1157=1),AND(J1157=1,I1157="SBJ"),AND(J1157=1,I1157=0)),"?IN_FOCUS",IF(J1157&lt;=2,"?ACTIVATED",IF(J1157&lt;&gt;"","?FAMILIAR",IF(F1157="NEW",IF(ISNA(VLOOKUP(E1157,#REF!,1,FALSE())),"?TYPE_IDENTIFIABLE","?REFERENTIAL"),"_")))))</f>
        <v> </v>
      </c>
      <c r="H1157" s="24" t="str">
        <f>IF(J1157&lt;&gt;1,"",IF(I1157="SBJ","CB","?"))</f>
        <v> </v>
      </c>
      <c r="I1157" s="25" t="str">
        <f>IF(OR(E1157="",E1157="!!!",F1157="NEW"),"",INDEX(B1156:B$2,-1+SUMPRODUCT(MAX(ROW(E1156:E$2)*(E1157=E1156:E$2)))))</f>
        <v> </v>
      </c>
      <c r="J1157" s="25" t="str">
        <f>IF(OR(E1157="",E1157="!!!",F1157="NEW"),"",COUNTBLANK(OFFSET(A$1,,,SUMPRODUCT(MAX(ROW(E$2:E1157)*(E1157=E$2:E1157)))))-COUNTBLANK(OFFSET(A$1,,,SUMPRODUCT(MAX(ROW(E$1:E1156)*(E2=E$1:E1156))))))</f>
        <v> </v>
      </c>
      <c r="K1157" s="25" t="str">
        <f>IF(OR(E1157="",E1157="!!!",F1157="NEW"),"",INDEX(J$1:J1156,SUMPRODUCT(MAX(ROW(E$1:E1156)*(E1157=E$1:E1156)))))</f>
        <v> </v>
      </c>
      <c r="L1157" s="26"/>
    </row>
    <row r="1158" spans="1:12">
      <c r="A1158" s="20" t="s">
        <v>752</v>
      </c>
      <c r="E1158" s="21">
        <f>IF(D1158="?OLD","!!!","")</f>
        <v/>
      </c>
      <c r="F1158" s="22" t="str">
        <f>IF(OR(E1158="",E1158="!!!"),"",IF(NOT(ISNA(VLOOKUP(E1158,E$1:E1157,1,FALSE()))),"OLD",IF(AND(E1158&lt;&gt;"",E1158&lt;&gt;"!!!"),"NEW","")))</f>
        <v> </v>
      </c>
      <c r="G1158" s="23" t="str">
        <f>IF(OR(E1158="",E1158="!!!"),"",IF(OR(J1158=0,AND(J1158=1,K1158=1),AND(J1158=1,I1158="SBJ"),AND(J1158=1,I1158=0)),"?IN_FOCUS",IF(J1158&lt;=2,"?ACTIVATED",IF(J1158&lt;&gt;"","?FAMILIAR",IF(F1158="NEW",IF(ISNA(VLOOKUP(E1158,#REF!,1,FALSE())),"?TYPE_IDENTIFIABLE","?REFERENTIAL"),"_")))))</f>
        <v> </v>
      </c>
      <c r="H1158" s="24" t="str">
        <f>IF(J1158&lt;&gt;1,"",IF(I1158="SBJ","CB","?"))</f>
        <v> </v>
      </c>
      <c r="I1158" s="25" t="str">
        <f>IF(OR(E1158="",E1158="!!!",F1158="NEW"),"",INDEX(B1157:B$2,-1+SUMPRODUCT(MAX(ROW(E1157:E$2)*(E1158=E1157:E$2)))))</f>
        <v> </v>
      </c>
      <c r="J1158" s="25" t="str">
        <f>IF(OR(E1158="",E1158="!!!",F1158="NEW"),"",COUNTBLANK(OFFSET(A$1,,,SUMPRODUCT(MAX(ROW(E$2:E1158)*(E1158=E$2:E1158)))))-COUNTBLANK(OFFSET(A$1,,,SUMPRODUCT(MAX(ROW(E$1:E1157)*(E2=E$1:E1157))))))</f>
        <v> </v>
      </c>
      <c r="K1158" s="25" t="str">
        <f>IF(OR(E1158="",E1158="!!!",F1158="NEW"),"",INDEX(J$1:J1157,SUMPRODUCT(MAX(ROW(E$1:E1157)*(E1158=E$1:E1157)))))</f>
        <v> </v>
      </c>
      <c r="L1158" s="26"/>
    </row>
    <row r="1159" spans="1:12">
      <c r="A1159" s="20" t="s">
        <v>914</v>
      </c>
      <c r="E1159" s="21">
        <f>IF(D1159="?OLD","!!!","")</f>
        <v/>
      </c>
      <c r="F1159" s="22" t="str">
        <f>IF(OR(E1159="",E1159="!!!"),"",IF(NOT(ISNA(VLOOKUP(E1159,E$1:E1158,1,FALSE()))),"OLD",IF(AND(E1159&lt;&gt;"",E1159&lt;&gt;"!!!"),"NEW","")))</f>
        <v> </v>
      </c>
      <c r="G1159" s="23" t="str">
        <f>IF(OR(E1159="",E1159="!!!"),"",IF(OR(J1159=0,AND(J1159=1,K1159=1),AND(J1159=1,I1159="SBJ"),AND(J1159=1,I1159=0)),"?IN_FOCUS",IF(J1159&lt;=2,"?ACTIVATED",IF(J1159&lt;&gt;"","?FAMILIAR",IF(F1159="NEW",IF(ISNA(VLOOKUP(E1159,#REF!,1,FALSE())),"?TYPE_IDENTIFIABLE","?REFERENTIAL"),"_")))))</f>
        <v> </v>
      </c>
      <c r="H1159" s="24" t="str">
        <f>IF(J1159&lt;&gt;1,"",IF(I1159="SBJ","CB","?"))</f>
        <v> </v>
      </c>
      <c r="I1159" s="25" t="str">
        <f>IF(OR(E1159="",E1159="!!!",F1159="NEW"),"",INDEX(B1158:B$2,-1+SUMPRODUCT(MAX(ROW(E1158:E$2)*(E1159=E1158:E$2)))))</f>
        <v> </v>
      </c>
      <c r="J1159" s="25" t="str">
        <f>IF(OR(E1159="",E1159="!!!",F1159="NEW"),"",COUNTBLANK(OFFSET(A$1,,,SUMPRODUCT(MAX(ROW(E$2:E1159)*(E1159=E$2:E1159)))))-COUNTBLANK(OFFSET(A$1,,,SUMPRODUCT(MAX(ROW(E$1:E1158)*(E2=E$1:E1158))))))</f>
        <v> </v>
      </c>
      <c r="K1159" s="25" t="str">
        <f>IF(OR(E1159="",E1159="!!!",F1159="NEW"),"",INDEX(J$1:J1158,SUMPRODUCT(MAX(ROW(E$1:E1158)*(E1159=E$1:E1158)))))</f>
        <v> </v>
      </c>
      <c r="L1159" s="26"/>
    </row>
    <row r="1160" spans="1:12">
      <c r="A1160" s="20" t="s">
        <v>915</v>
      </c>
      <c r="B1160" s="27" t="s">
        <v>542</v>
      </c>
      <c r="C1160" s="27" t="s">
        <v>516</v>
      </c>
      <c r="E1160" s="21">
        <f>IF(D1160="?OLD","!!!","")</f>
        <v/>
      </c>
      <c r="F1160" s="22" t="str">
        <f>IF(OR(E1160="",E1160="!!!"),"",IF(NOT(ISNA(VLOOKUP(E1160,E$1:E1159,1,FALSE()))),"OLD",IF(AND(E1160&lt;&gt;"",E1160&lt;&gt;"!!!"),"NEW","")))</f>
        <v> </v>
      </c>
      <c r="G1160" s="23" t="str">
        <f>IF(OR(E1160="",E1160="!!!"),"",IF(OR(J1160=0,AND(J1160=1,K1160=1),AND(J1160=1,I1160="SBJ"),AND(J1160=1,I1160=0)),"?IN_FOCUS",IF(J1160&lt;=2,"?ACTIVATED",IF(J1160&lt;&gt;"","?FAMILIAR",IF(F1160="NEW",IF(ISNA(VLOOKUP(E1160,#REF!,1,FALSE())),"?TYPE_IDENTIFIABLE","?REFERENTIAL"),"_")))))</f>
        <v> </v>
      </c>
      <c r="H1160" s="24" t="str">
        <f>IF(J1160&lt;&gt;1,"",IF(I1160="SBJ","CB","?"))</f>
        <v> </v>
      </c>
      <c r="I1160" s="25" t="str">
        <f>IF(OR(E1160="",E1160="!!!",F1160="NEW"),"",INDEX(B1159:B$2,-1+SUMPRODUCT(MAX(ROW(E1159:E$2)*(E1160=E1159:E$2)))))</f>
        <v> </v>
      </c>
      <c r="J1160" s="25" t="str">
        <f>IF(OR(E1160="",E1160="!!!",F1160="NEW"),"",COUNTBLANK(OFFSET(A$1,,,SUMPRODUCT(MAX(ROW(E$2:E1160)*(E1160=E$2:E1160)))))-COUNTBLANK(OFFSET(A$1,,,SUMPRODUCT(MAX(ROW(E$1:E1159)*(E2=E$1:E1159))))))</f>
        <v> </v>
      </c>
      <c r="K1160" s="25" t="str">
        <f>IF(OR(E1160="",E1160="!!!",F1160="NEW"),"",INDEX(J$1:J1159,SUMPRODUCT(MAX(ROW(E$1:E1159)*(E1160=E$1:E1159)))))</f>
        <v> </v>
      </c>
      <c r="L1160" s="26"/>
    </row>
    <row r="1161" spans="1:12">
      <c r="A1161" s="20" t="s">
        <v>531</v>
      </c>
      <c r="E1161" s="21">
        <f>IF(D1161="?OLD","!!!","")</f>
        <v/>
      </c>
      <c r="F1161" s="22" t="str">
        <f>IF(OR(E1161="",E1161="!!!"),"",IF(NOT(ISNA(VLOOKUP(E1161,E$1:E1160,1,FALSE()))),"OLD",IF(AND(E1161&lt;&gt;"",E1161&lt;&gt;"!!!"),"NEW","")))</f>
        <v> </v>
      </c>
      <c r="G1161" s="23" t="str">
        <f>IF(OR(E1161="",E1161="!!!"),"",IF(OR(J1161=0,AND(J1161=1,K1161=1),AND(J1161=1,I1161="SBJ"),AND(J1161=1,I1161=0)),"?IN_FOCUS",IF(J1161&lt;=2,"?ACTIVATED",IF(J1161&lt;&gt;"","?FAMILIAR",IF(F1161="NEW",IF(ISNA(VLOOKUP(E1161,#REF!,1,FALSE())),"?TYPE_IDENTIFIABLE","?REFERENTIAL"),"_")))))</f>
        <v> </v>
      </c>
      <c r="H1161" s="24" t="str">
        <f>IF(J1161&lt;&gt;1,"",IF(I1161="SBJ","CB","?"))</f>
        <v> </v>
      </c>
      <c r="I1161" s="25" t="str">
        <f>IF(OR(E1161="",E1161="!!!",F1161="NEW"),"",INDEX(B1160:B$2,-1+SUMPRODUCT(MAX(ROW(E1160:E$2)*(E1161=E1160:E$2)))))</f>
        <v> </v>
      </c>
      <c r="J1161" s="25" t="str">
        <f>IF(OR(E1161="",E1161="!!!",F1161="NEW"),"",COUNTBLANK(OFFSET(A$1,,,SUMPRODUCT(MAX(ROW(E$2:E1161)*(E1161=E$2:E1161)))))-COUNTBLANK(OFFSET(A$1,,,SUMPRODUCT(MAX(ROW(E$1:E1160)*(E2=E$1:E1160))))))</f>
        <v> </v>
      </c>
      <c r="K1161" s="25" t="str">
        <f>IF(OR(E1161="",E1161="!!!",F1161="NEW"),"",INDEX(J$1:J1160,SUMPRODUCT(MAX(ROW(E$1:E1160)*(E1161=E$1:E1160)))))</f>
        <v> </v>
      </c>
      <c r="L1161" s="26"/>
    </row>
    <row r="1162" spans="1:12">
      <c r="A1162" s="20"/>
    </row>
    <row r="1163" spans="1:12">
      <c r="A1163" s="20" t="s">
        <v>916</v>
      </c>
    </row>
    <row r="1164" spans="1:12">
      <c r="A1164" s="20" t="s">
        <v>633</v>
      </c>
      <c r="E1164" s="21">
        <f>IF(D1164="?OLD","!!!","")</f>
        <v/>
      </c>
      <c r="F1164" s="22" t="str">
        <f>IF(OR(E1164="",E1164="!!!"),"",IF(NOT(ISNA(VLOOKUP(E1164,E$1:E1163,1,FALSE()))),"OLD",IF(AND(E1164&lt;&gt;"",E1164&lt;&gt;"!!!"),"NEW","")))</f>
        <v> </v>
      </c>
      <c r="G1164" s="23" t="str">
        <f>IF(OR(E1164="",E1164="!!!"),"",IF(OR(J1164=0,AND(J1164=1,K1164=1),AND(J1164=1,I1164="SBJ"),AND(J1164=1,I1164=0)),"?IN_FOCUS",IF(J1164&lt;=2,"?ACTIVATED",IF(J1164&lt;&gt;"","?FAMILIAR",IF(F1164="NEW",IF(ISNA(VLOOKUP(E1164,#REF!,1,FALSE())),"?TYPE_IDENTIFIABLE","?REFERENTIAL"),"_")))))</f>
        <v> </v>
      </c>
      <c r="H1164" s="24" t="str">
        <f>IF(J1164&lt;&gt;1,"",IF(I1164="SBJ","CB","?"))</f>
        <v> </v>
      </c>
      <c r="I1164" s="25" t="str">
        <f>IF(OR(E1164="",E1164="!!!",F1164="NEW"),"",INDEX(B1163:B$2,-1+SUMPRODUCT(MAX(ROW(E1163:E$2)*(E1164=E1163:E$2)))))</f>
        <v> </v>
      </c>
      <c r="J1164" s="25" t="str">
        <f>IF(OR(E1164="",E1164="!!!",F1164="NEW"),"",COUNTBLANK(OFFSET(A$1,,,SUMPRODUCT(MAX(ROW(E$2:E1164)*(E1164=E$2:E1164)))))-COUNTBLANK(OFFSET(A$1,,,SUMPRODUCT(MAX(ROW(E$1:E1163)*(E2=E$1:E1163))))))</f>
        <v> </v>
      </c>
      <c r="K1164" s="25" t="str">
        <f>IF(OR(E1164="",E1164="!!!",F1164="NEW"),"",INDEX(J$1:J1163,SUMPRODUCT(MAX(ROW(E$1:E1163)*(E1164=E$1:E1163)))))</f>
        <v> </v>
      </c>
      <c r="L1164" s="26"/>
    </row>
    <row r="1165" spans="1:12">
      <c r="A1165" s="20" t="s">
        <v>885</v>
      </c>
      <c r="B1165" s="27" t="s">
        <v>549</v>
      </c>
      <c r="C1165" s="27" t="s">
        <v>487</v>
      </c>
      <c r="D1165" s="27" t="s">
        <v>483</v>
      </c>
      <c r="E1165" s="21">
        <f>IF(D1165="?OLD","!!!","")</f>
        <v/>
      </c>
      <c r="F1165" s="22" t="str">
        <f>IF(OR(E1165="",E1165="!!!"),"",IF(NOT(ISNA(VLOOKUP(E1165,E$1:E1164,1,FALSE()))),"OLD",IF(AND(E1165&lt;&gt;"",E1165&lt;&gt;"!!!"),"NEW","")))</f>
        <v> </v>
      </c>
      <c r="G1165" s="23" t="str">
        <f>IF(OR(E1165="",E1165="!!!"),"",IF(OR(J1165=0,AND(J1165=1,K1165=1),AND(J1165=1,I1165="SBJ"),AND(J1165=1,I1165=0)),"?IN_FOCUS",IF(J1165&lt;=2,"?ACTIVATED",IF(J1165&lt;&gt;"","?FAMILIAR",IF(F1165="NEW",IF(ISNA(VLOOKUP(E1165,#REF!,1,FALSE())),"?TYPE_IDENTIFIABLE","?REFERENTIAL"),"_")))))</f>
        <v> </v>
      </c>
      <c r="H1165" s="24" t="str">
        <f>IF(J1165&lt;&gt;1,"",IF(I1165="SBJ","CB","?"))</f>
        <v> </v>
      </c>
      <c r="I1165" s="25" t="str">
        <f>IF(OR(E1165="",E1165="!!!",F1165="NEW"),"",INDEX(B1164:B$2,-1+SUMPRODUCT(MAX(ROW(E1164:E$2)*(E1165=E1164:E$2)))))</f>
        <v> </v>
      </c>
      <c r="J1165" s="25" t="str">
        <f>IF(OR(E1165="",E1165="!!!",F1165="NEW"),"",COUNTBLANK(OFFSET(A$1,,,SUMPRODUCT(MAX(ROW(E$2:E1165)*(E1165=E$2:E1165)))))-COUNTBLANK(OFFSET(A$1,,,SUMPRODUCT(MAX(ROW(E$1:E1164)*(E2=E$1:E1164))))))</f>
        <v> </v>
      </c>
      <c r="K1165" s="25" t="str">
        <f>IF(OR(E1165="",E1165="!!!",F1165="NEW"),"",INDEX(J$1:J1164,SUMPRODUCT(MAX(ROW(E$1:E1164)*(E1165=E$1:E1164)))))</f>
        <v> </v>
      </c>
      <c r="L1165" s="26"/>
    </row>
    <row r="1166" spans="1:12">
      <c r="A1166" s="20" t="s">
        <v>558</v>
      </c>
      <c r="E1166" s="21">
        <f>IF(D1166="?OLD","!!!","")</f>
        <v/>
      </c>
      <c r="F1166" s="22" t="str">
        <f>IF(OR(E1166="",E1166="!!!"),"",IF(NOT(ISNA(VLOOKUP(E1166,E$1:E1165,1,FALSE()))),"OLD",IF(AND(E1166&lt;&gt;"",E1166&lt;&gt;"!!!"),"NEW","")))</f>
        <v> </v>
      </c>
      <c r="G1166" s="23" t="str">
        <f>IF(OR(E1166="",E1166="!!!"),"",IF(OR(J1166=0,AND(J1166=1,K1166=1),AND(J1166=1,I1166="SBJ"),AND(J1166=1,I1166=0)),"?IN_FOCUS",IF(J1166&lt;=2,"?ACTIVATED",IF(J1166&lt;&gt;"","?FAMILIAR",IF(F1166="NEW",IF(ISNA(VLOOKUP(E1166,#REF!,1,FALSE())),"?TYPE_IDENTIFIABLE","?REFERENTIAL"),"_")))))</f>
        <v> </v>
      </c>
      <c r="H1166" s="24" t="str">
        <f>IF(J1166&lt;&gt;1,"",IF(I1166="SBJ","CB","?"))</f>
        <v> </v>
      </c>
      <c r="I1166" s="25" t="str">
        <f>IF(OR(E1166="",E1166="!!!",F1166="NEW"),"",INDEX(B1165:B$2,-1+SUMPRODUCT(MAX(ROW(E1165:E$2)*(E1166=E1165:E$2)))))</f>
        <v> </v>
      </c>
      <c r="J1166" s="25" t="str">
        <f>IF(OR(E1166="",E1166="!!!",F1166="NEW"),"",COUNTBLANK(OFFSET(A$1,,,SUMPRODUCT(MAX(ROW(E$2:E1166)*(E1166=E$2:E1166)))))-COUNTBLANK(OFFSET(A$1,,,SUMPRODUCT(MAX(ROW(E$1:E1165)*(E2=E$1:E1165))))))</f>
        <v> </v>
      </c>
      <c r="K1166" s="25" t="str">
        <f>IF(OR(E1166="",E1166="!!!",F1166="NEW"),"",INDEX(J$1:J1165,SUMPRODUCT(MAX(ROW(E$1:E1165)*(E1166=E$1:E1165)))))</f>
        <v> </v>
      </c>
      <c r="L1166" s="26"/>
    </row>
    <row r="1167" spans="1:12">
      <c r="A1167" s="20" t="s">
        <v>917</v>
      </c>
      <c r="E1167" s="21">
        <f>IF(D1167="?OLD","!!!","")</f>
        <v/>
      </c>
      <c r="F1167" s="22" t="str">
        <f>IF(OR(E1167="",E1167="!!!"),"",IF(NOT(ISNA(VLOOKUP(E1167,E$1:E1166,1,FALSE()))),"OLD",IF(AND(E1167&lt;&gt;"",E1167&lt;&gt;"!!!"),"NEW","")))</f>
        <v> </v>
      </c>
      <c r="G1167" s="23" t="str">
        <f>IF(OR(E1167="",E1167="!!!"),"",IF(OR(J1167=0,AND(J1167=1,K1167=1),AND(J1167=1,I1167="SBJ"),AND(J1167=1,I1167=0)),"?IN_FOCUS",IF(J1167&lt;=2,"?ACTIVATED",IF(J1167&lt;&gt;"","?FAMILIAR",IF(F1167="NEW",IF(ISNA(VLOOKUP(E1167,#REF!,1,FALSE())),"?TYPE_IDENTIFIABLE","?REFERENTIAL"),"_")))))</f>
        <v> </v>
      </c>
      <c r="H1167" s="24" t="str">
        <f>IF(J1167&lt;&gt;1,"",IF(I1167="SBJ","CB","?"))</f>
        <v> </v>
      </c>
      <c r="I1167" s="25" t="str">
        <f>IF(OR(E1167="",E1167="!!!",F1167="NEW"),"",INDEX(B1166:B$2,-1+SUMPRODUCT(MAX(ROW(E1166:E$2)*(E1167=E1166:E$2)))))</f>
        <v> </v>
      </c>
      <c r="J1167" s="25" t="str">
        <f>IF(OR(E1167="",E1167="!!!",F1167="NEW"),"",COUNTBLANK(OFFSET(A$1,,,SUMPRODUCT(MAX(ROW(E$2:E1167)*(E1167=E$2:E1167)))))-COUNTBLANK(OFFSET(A$1,,,SUMPRODUCT(MAX(ROW(E$1:E1166)*(E2=E$1:E1166))))))</f>
        <v> </v>
      </c>
      <c r="K1167" s="25" t="str">
        <f>IF(OR(E1167="",E1167="!!!",F1167="NEW"),"",INDEX(J$1:J1166,SUMPRODUCT(MAX(ROW(E$1:E1166)*(E1167=E$1:E1166)))))</f>
        <v> </v>
      </c>
      <c r="L1167" s="26"/>
    </row>
    <row r="1168" spans="1:12">
      <c r="A1168" s="20" t="s">
        <v>485</v>
      </c>
      <c r="E1168" s="21">
        <f>IF(D1168="?OLD","!!!","")</f>
        <v/>
      </c>
      <c r="F1168" s="22" t="str">
        <f>IF(OR(E1168="",E1168="!!!"),"",IF(NOT(ISNA(VLOOKUP(E1168,E$1:E1167,1,FALSE()))),"OLD",IF(AND(E1168&lt;&gt;"",E1168&lt;&gt;"!!!"),"NEW","")))</f>
        <v> </v>
      </c>
      <c r="G1168" s="23" t="str">
        <f>IF(OR(E1168="",E1168="!!!"),"",IF(OR(J1168=0,AND(J1168=1,K1168=1),AND(J1168=1,I1168="SBJ"),AND(J1168=1,I1168=0)),"?IN_FOCUS",IF(J1168&lt;=2,"?ACTIVATED",IF(J1168&lt;&gt;"","?FAMILIAR",IF(F1168="NEW",IF(ISNA(VLOOKUP(E1168,#REF!,1,FALSE())),"?TYPE_IDENTIFIABLE","?REFERENTIAL"),"_")))))</f>
        <v> </v>
      </c>
      <c r="H1168" s="24" t="str">
        <f>IF(J1168&lt;&gt;1,"",IF(I1168="SBJ","CB","?"))</f>
        <v> </v>
      </c>
      <c r="I1168" s="25" t="str">
        <f>IF(OR(E1168="",E1168="!!!",F1168="NEW"),"",INDEX(B1167:B$2,-1+SUMPRODUCT(MAX(ROW(E1167:E$2)*(E1168=E1167:E$2)))))</f>
        <v> </v>
      </c>
      <c r="J1168" s="25" t="str">
        <f>IF(OR(E1168="",E1168="!!!",F1168="NEW"),"",COUNTBLANK(OFFSET(A$1,,,SUMPRODUCT(MAX(ROW(E$2:E1168)*(E1168=E$2:E1168)))))-COUNTBLANK(OFFSET(A$1,,,SUMPRODUCT(MAX(ROW(E$1:E1167)*(E2=E$1:E1167))))))</f>
        <v> </v>
      </c>
      <c r="K1168" s="25" t="str">
        <f>IF(OR(E1168="",E1168="!!!",F1168="NEW"),"",INDEX(J$1:J1167,SUMPRODUCT(MAX(ROW(E$1:E1167)*(E1168=E$1:E1167)))))</f>
        <v> </v>
      </c>
      <c r="L1168" s="26"/>
    </row>
    <row r="1169" spans="1:12">
      <c r="A1169" s="20" t="s">
        <v>824</v>
      </c>
      <c r="B1169" s="27" t="s">
        <v>549</v>
      </c>
      <c r="C1169" s="27" t="s">
        <v>487</v>
      </c>
      <c r="D1169" s="27" t="s">
        <v>483</v>
      </c>
      <c r="E1169" s="21">
        <f>IF(D1169="?OLD","!!!","")</f>
        <v/>
      </c>
      <c r="F1169" s="22" t="str">
        <f>IF(OR(E1169="",E1169="!!!"),"",IF(NOT(ISNA(VLOOKUP(E1169,E$1:E1168,1,FALSE()))),"OLD",IF(AND(E1169&lt;&gt;"",E1169&lt;&gt;"!!!"),"NEW","")))</f>
        <v> </v>
      </c>
      <c r="G1169" s="23" t="str">
        <f>IF(OR(E1169="",E1169="!!!"),"",IF(OR(J1169=0,AND(J1169=1,K1169=1),AND(J1169=1,I1169="SBJ"),AND(J1169=1,I1169=0)),"?IN_FOCUS",IF(J1169&lt;=2,"?ACTIVATED",IF(J1169&lt;&gt;"","?FAMILIAR",IF(F1169="NEW",IF(ISNA(VLOOKUP(E1169,#REF!,1,FALSE())),"?TYPE_IDENTIFIABLE","?REFERENTIAL"),"_")))))</f>
        <v> </v>
      </c>
      <c r="H1169" s="24" t="str">
        <f>IF(J1169&lt;&gt;1,"",IF(I1169="SBJ","CB","?"))</f>
        <v> </v>
      </c>
      <c r="I1169" s="25" t="str">
        <f>IF(OR(E1169="",E1169="!!!",F1169="NEW"),"",INDEX(B1168:B$2,-1+SUMPRODUCT(MAX(ROW(E1168:E$2)*(E1169=E1168:E$2)))))</f>
        <v> </v>
      </c>
      <c r="J1169" s="25" t="str">
        <f>IF(OR(E1169="",E1169="!!!",F1169="NEW"),"",COUNTBLANK(OFFSET(A$1,,,SUMPRODUCT(MAX(ROW(E$2:E1169)*(E1169=E$2:E1169)))))-COUNTBLANK(OFFSET(A$1,,,SUMPRODUCT(MAX(ROW(E$1:E1168)*(E2=E$1:E1168))))))</f>
        <v> </v>
      </c>
      <c r="K1169" s="25" t="str">
        <f>IF(OR(E1169="",E1169="!!!",F1169="NEW"),"",INDEX(J$1:J1168,SUMPRODUCT(MAX(ROW(E$1:E1168)*(E1169=E$1:E1168)))))</f>
        <v> </v>
      </c>
      <c r="L1169" s="26"/>
    </row>
    <row r="1170" spans="1:12">
      <c r="A1170" s="20" t="s">
        <v>825</v>
      </c>
      <c r="E1170" s="21">
        <f>IF(D1170="?OLD","!!!","")</f>
        <v/>
      </c>
      <c r="F1170" s="22" t="str">
        <f>IF(OR(E1170="",E1170="!!!"),"",IF(NOT(ISNA(VLOOKUP(E1170,E$1:E1169,1,FALSE()))),"OLD",IF(AND(E1170&lt;&gt;"",E1170&lt;&gt;"!!!"),"NEW","")))</f>
        <v> </v>
      </c>
      <c r="G1170" s="23" t="str">
        <f>IF(OR(E1170="",E1170="!!!"),"",IF(OR(J1170=0,AND(J1170=1,K1170=1),AND(J1170=1,I1170="SBJ"),AND(J1170=1,I1170=0)),"?IN_FOCUS",IF(J1170&lt;=2,"?ACTIVATED",IF(J1170&lt;&gt;"","?FAMILIAR",IF(F1170="NEW",IF(ISNA(VLOOKUP(E1170,#REF!,1,FALSE())),"?TYPE_IDENTIFIABLE","?REFERENTIAL"),"_")))))</f>
        <v> </v>
      </c>
      <c r="H1170" s="24" t="str">
        <f>IF(J1170&lt;&gt;1,"",IF(I1170="SBJ","CB","?"))</f>
        <v> </v>
      </c>
      <c r="I1170" s="25" t="str">
        <f>IF(OR(E1170="",E1170="!!!",F1170="NEW"),"",INDEX(B1169:B$2,-1+SUMPRODUCT(MAX(ROW(E1169:E$2)*(E1170=E1169:E$2)))))</f>
        <v> </v>
      </c>
      <c r="J1170" s="25" t="str">
        <f>IF(OR(E1170="",E1170="!!!",F1170="NEW"),"",COUNTBLANK(OFFSET(A$1,,,SUMPRODUCT(MAX(ROW(E$2:E1170)*(E1170=E$2:E1170)))))-COUNTBLANK(OFFSET(A$1,,,SUMPRODUCT(MAX(ROW(E$1:E1169)*(E2=E$1:E1169))))))</f>
        <v> </v>
      </c>
      <c r="K1170" s="25" t="str">
        <f>IF(OR(E1170="",E1170="!!!",F1170="NEW"),"",INDEX(J$1:J1169,SUMPRODUCT(MAX(ROW(E$1:E1169)*(E1170=E$1:E1169)))))</f>
        <v> </v>
      </c>
      <c r="L1170" s="26"/>
    </row>
    <row r="1171" spans="1:12">
      <c r="A1171" s="20" t="s">
        <v>680</v>
      </c>
      <c r="E1171" s="21">
        <f>IF(D1171="?OLD","!!!","")</f>
        <v/>
      </c>
      <c r="F1171" s="22" t="str">
        <f>IF(OR(E1171="",E1171="!!!"),"",IF(NOT(ISNA(VLOOKUP(E1171,E$1:E1170,1,FALSE()))),"OLD",IF(AND(E1171&lt;&gt;"",E1171&lt;&gt;"!!!"),"NEW","")))</f>
        <v> </v>
      </c>
      <c r="G1171" s="23" t="str">
        <f>IF(OR(E1171="",E1171="!!!"),"",IF(OR(J1171=0,AND(J1171=1,K1171=1),AND(J1171=1,I1171="SBJ"),AND(J1171=1,I1171=0)),"?IN_FOCUS",IF(J1171&lt;=2,"?ACTIVATED",IF(J1171&lt;&gt;"","?FAMILIAR",IF(F1171="NEW",IF(ISNA(VLOOKUP(E1171,#REF!,1,FALSE())),"?TYPE_IDENTIFIABLE","?REFERENTIAL"),"_")))))</f>
        <v> </v>
      </c>
      <c r="H1171" s="24" t="str">
        <f>IF(J1171&lt;&gt;1,"",IF(I1171="SBJ","CB","?"))</f>
        <v> </v>
      </c>
      <c r="I1171" s="25" t="str">
        <f>IF(OR(E1171="",E1171="!!!",F1171="NEW"),"",INDEX(B1170:B$2,-1+SUMPRODUCT(MAX(ROW(E1170:E$2)*(E1171=E1170:E$2)))))</f>
        <v> </v>
      </c>
      <c r="J1171" s="25" t="str">
        <f>IF(OR(E1171="",E1171="!!!",F1171="NEW"),"",COUNTBLANK(OFFSET(A$1,,,SUMPRODUCT(MAX(ROW(E$2:E1171)*(E1171=E$2:E1171)))))-COUNTBLANK(OFFSET(A$1,,,SUMPRODUCT(MAX(ROW(E$1:E1170)*(E2=E$1:E1170))))))</f>
        <v> </v>
      </c>
      <c r="K1171" s="25" t="str">
        <f>IF(OR(E1171="",E1171="!!!",F1171="NEW"),"",INDEX(J$1:J1170,SUMPRODUCT(MAX(ROW(E$1:E1170)*(E1171=E$1:E1170)))))</f>
        <v> </v>
      </c>
      <c r="L1171" s="26"/>
    </row>
    <row r="1172" spans="1:12">
      <c r="A1172" s="20" t="s">
        <v>558</v>
      </c>
      <c r="E1172" s="21">
        <f>IF(D1172="?OLD","!!!","")</f>
        <v/>
      </c>
      <c r="F1172" s="22" t="str">
        <f>IF(OR(E1172="",E1172="!!!"),"",IF(NOT(ISNA(VLOOKUP(E1172,E$1:E1171,1,FALSE()))),"OLD",IF(AND(E1172&lt;&gt;"",E1172&lt;&gt;"!!!"),"NEW","")))</f>
        <v> </v>
      </c>
      <c r="G1172" s="23" t="str">
        <f>IF(OR(E1172="",E1172="!!!"),"",IF(OR(J1172=0,AND(J1172=1,K1172=1),AND(J1172=1,I1172="SBJ"),AND(J1172=1,I1172=0)),"?IN_FOCUS",IF(J1172&lt;=2,"?ACTIVATED",IF(J1172&lt;&gt;"","?FAMILIAR",IF(F1172="NEW",IF(ISNA(VLOOKUP(E1172,#REF!,1,FALSE())),"?TYPE_IDENTIFIABLE","?REFERENTIAL"),"_")))))</f>
        <v> </v>
      </c>
      <c r="H1172" s="24" t="str">
        <f>IF(J1172&lt;&gt;1,"",IF(I1172="SBJ","CB","?"))</f>
        <v> </v>
      </c>
      <c r="I1172" s="25" t="str">
        <f>IF(OR(E1172="",E1172="!!!",F1172="NEW"),"",INDEX(B1171:B$2,-1+SUMPRODUCT(MAX(ROW(E1171:E$2)*(E1172=E1171:E$2)))))</f>
        <v> </v>
      </c>
      <c r="J1172" s="25" t="str">
        <f>IF(OR(E1172="",E1172="!!!",F1172="NEW"),"",COUNTBLANK(OFFSET(A$1,,,SUMPRODUCT(MAX(ROW(E$2:E1172)*(E1172=E$2:E1172)))))-COUNTBLANK(OFFSET(A$1,,,SUMPRODUCT(MAX(ROW(E$1:E1171)*(E2=E$1:E1171))))))</f>
        <v> </v>
      </c>
      <c r="K1172" s="25" t="str">
        <f>IF(OR(E1172="",E1172="!!!",F1172="NEW"),"",INDEX(J$1:J1171,SUMPRODUCT(MAX(ROW(E$1:E1171)*(E1172=E$1:E1171)))))</f>
        <v> </v>
      </c>
      <c r="L1172" s="26"/>
    </row>
    <row r="1173" spans="1:12">
      <c r="A1173" s="20" t="s">
        <v>675</v>
      </c>
      <c r="E1173" s="21">
        <f>IF(D1173="?OLD","!!!","")</f>
        <v/>
      </c>
      <c r="F1173" s="22" t="str">
        <f>IF(OR(E1173="",E1173="!!!"),"",IF(NOT(ISNA(VLOOKUP(E1173,E$1:E1172,1,FALSE()))),"OLD",IF(AND(E1173&lt;&gt;"",E1173&lt;&gt;"!!!"),"NEW","")))</f>
        <v> </v>
      </c>
      <c r="G1173" s="23" t="str">
        <f>IF(OR(E1173="",E1173="!!!"),"",IF(OR(J1173=0,AND(J1173=1,K1173=1),AND(J1173=1,I1173="SBJ"),AND(J1173=1,I1173=0)),"?IN_FOCUS",IF(J1173&lt;=2,"?ACTIVATED",IF(J1173&lt;&gt;"","?FAMILIAR",IF(F1173="NEW",IF(ISNA(VLOOKUP(E1173,#REF!,1,FALSE())),"?TYPE_IDENTIFIABLE","?REFERENTIAL"),"_")))))</f>
        <v> </v>
      </c>
      <c r="H1173" s="24" t="str">
        <f>IF(J1173&lt;&gt;1,"",IF(I1173="SBJ","CB","?"))</f>
        <v> </v>
      </c>
      <c r="I1173" s="25" t="str">
        <f>IF(OR(E1173="",E1173="!!!",F1173="NEW"),"",INDEX(B1172:B$2,-1+SUMPRODUCT(MAX(ROW(E1172:E$2)*(E1173=E1172:E$2)))))</f>
        <v> </v>
      </c>
      <c r="J1173" s="25" t="str">
        <f>IF(OR(E1173="",E1173="!!!",F1173="NEW"),"",COUNTBLANK(OFFSET(A$1,,,SUMPRODUCT(MAX(ROW(E$2:E1173)*(E1173=E$2:E1173)))))-COUNTBLANK(OFFSET(A$1,,,SUMPRODUCT(MAX(ROW(E$1:E1172)*(E2=E$1:E1172))))))</f>
        <v> </v>
      </c>
      <c r="K1173" s="25" t="str">
        <f>IF(OR(E1173="",E1173="!!!",F1173="NEW"),"",INDEX(J$1:J1172,SUMPRODUCT(MAX(ROW(E$1:E1172)*(E1173=E$1:E1172)))))</f>
        <v> </v>
      </c>
      <c r="L1173" s="26"/>
    </row>
    <row r="1174" spans="1:12">
      <c r="A1174" s="20" t="s">
        <v>395</v>
      </c>
      <c r="E1174" s="21">
        <f>IF(D1174="?OLD","!!!","")</f>
        <v/>
      </c>
      <c r="F1174" s="22" t="str">
        <f>IF(OR(E1174="",E1174="!!!"),"",IF(NOT(ISNA(VLOOKUP(E1174,E$1:E1173,1,FALSE()))),"OLD",IF(AND(E1174&lt;&gt;"",E1174&lt;&gt;"!!!"),"NEW","")))</f>
        <v> </v>
      </c>
      <c r="G1174" s="23" t="str">
        <f>IF(OR(E1174="",E1174="!!!"),"",IF(OR(J1174=0,AND(J1174=1,K1174=1),AND(J1174=1,I1174="SBJ"),AND(J1174=1,I1174=0)),"?IN_FOCUS",IF(J1174&lt;=2,"?ACTIVATED",IF(J1174&lt;&gt;"","?FAMILIAR",IF(F1174="NEW",IF(ISNA(VLOOKUP(E1174,#REF!,1,FALSE())),"?TYPE_IDENTIFIABLE","?REFERENTIAL"),"_")))))</f>
        <v> </v>
      </c>
      <c r="H1174" s="24" t="str">
        <f>IF(J1174&lt;&gt;1,"",IF(I1174="SBJ","CB","?"))</f>
        <v> </v>
      </c>
      <c r="I1174" s="25" t="str">
        <f>IF(OR(E1174="",E1174="!!!",F1174="NEW"),"",INDEX(B1173:B$2,-1+SUMPRODUCT(MAX(ROW(E1173:E$2)*(E1174=E1173:E$2)))))</f>
        <v> </v>
      </c>
      <c r="J1174" s="25" t="str">
        <f>IF(OR(E1174="",E1174="!!!",F1174="NEW"),"",COUNTBLANK(OFFSET(A$1,,,SUMPRODUCT(MAX(ROW(E$2:E1174)*(E1174=E$2:E1174)))))-COUNTBLANK(OFFSET(A$1,,,SUMPRODUCT(MAX(ROW(E$1:E1173)*(E2=E$1:E1173))))))</f>
        <v> </v>
      </c>
      <c r="K1174" s="25" t="str">
        <f>IF(OR(E1174="",E1174="!!!",F1174="NEW"),"",INDEX(J$1:J1173,SUMPRODUCT(MAX(ROW(E$1:E1173)*(E1174=E$1:E1173)))))</f>
        <v> </v>
      </c>
      <c r="L1174" s="26"/>
    </row>
    <row r="1175" spans="1:12">
      <c r="A1175" s="20" t="s">
        <v>594</v>
      </c>
      <c r="E1175" s="21">
        <f>IF(D1175="?OLD","!!!","")</f>
        <v/>
      </c>
      <c r="F1175" s="22" t="str">
        <f>IF(OR(E1175="",E1175="!!!"),"",IF(NOT(ISNA(VLOOKUP(E1175,E$1:E1174,1,FALSE()))),"OLD",IF(AND(E1175&lt;&gt;"",E1175&lt;&gt;"!!!"),"NEW","")))</f>
        <v> </v>
      </c>
      <c r="G1175" s="23" t="str">
        <f>IF(OR(E1175="",E1175="!!!"),"",IF(OR(J1175=0,AND(J1175=1,K1175=1),AND(J1175=1,I1175="SBJ"),AND(J1175=1,I1175=0)),"?IN_FOCUS",IF(J1175&lt;=2,"?ACTIVATED",IF(J1175&lt;&gt;"","?FAMILIAR",IF(F1175="NEW",IF(ISNA(VLOOKUP(E1175,#REF!,1,FALSE())),"?TYPE_IDENTIFIABLE","?REFERENTIAL"),"_")))))</f>
        <v> </v>
      </c>
      <c r="H1175" s="24" t="str">
        <f>IF(J1175&lt;&gt;1,"",IF(I1175="SBJ","CB","?"))</f>
        <v> </v>
      </c>
      <c r="I1175" s="25" t="str">
        <f>IF(OR(E1175="",E1175="!!!",F1175="NEW"),"",INDEX(B1174:B$2,-1+SUMPRODUCT(MAX(ROW(E1174:E$2)*(E1175=E1174:E$2)))))</f>
        <v> </v>
      </c>
      <c r="J1175" s="25" t="str">
        <f>IF(OR(E1175="",E1175="!!!",F1175="NEW"),"",COUNTBLANK(OFFSET(A$1,,,SUMPRODUCT(MAX(ROW(E$2:E1175)*(E1175=E$2:E1175)))))-COUNTBLANK(OFFSET(A$1,,,SUMPRODUCT(MAX(ROW(E$1:E1174)*(E2=E$1:E1174))))))</f>
        <v> </v>
      </c>
      <c r="K1175" s="25" t="str">
        <f>IF(OR(E1175="",E1175="!!!",F1175="NEW"),"",INDEX(J$1:J1174,SUMPRODUCT(MAX(ROW(E$1:E1174)*(E1175=E$1:E1174)))))</f>
        <v> </v>
      </c>
      <c r="L1175" s="26"/>
    </row>
    <row r="1176" spans="1:12">
      <c r="A1176" s="20" t="s">
        <v>485</v>
      </c>
      <c r="E1176" s="21">
        <f>IF(D1176="?OLD","!!!","")</f>
        <v/>
      </c>
      <c r="F1176" s="22" t="str">
        <f>IF(OR(E1176="",E1176="!!!"),"",IF(NOT(ISNA(VLOOKUP(E1176,E$1:E1175,1,FALSE()))),"OLD",IF(AND(E1176&lt;&gt;"",E1176&lt;&gt;"!!!"),"NEW","")))</f>
        <v> </v>
      </c>
      <c r="G1176" s="23" t="str">
        <f>IF(OR(E1176="",E1176="!!!"),"",IF(OR(J1176=0,AND(J1176=1,K1176=1),AND(J1176=1,I1176="SBJ"),AND(J1176=1,I1176=0)),"?IN_FOCUS",IF(J1176&lt;=2,"?ACTIVATED",IF(J1176&lt;&gt;"","?FAMILIAR",IF(F1176="NEW",IF(ISNA(VLOOKUP(E1176,#REF!,1,FALSE())),"?TYPE_IDENTIFIABLE","?REFERENTIAL"),"_")))))</f>
        <v> </v>
      </c>
      <c r="H1176" s="24" t="str">
        <f>IF(J1176&lt;&gt;1,"",IF(I1176="SBJ","CB","?"))</f>
        <v> </v>
      </c>
      <c r="I1176" s="25" t="str">
        <f>IF(OR(E1176="",E1176="!!!",F1176="NEW"),"",INDEX(B1175:B$2,-1+SUMPRODUCT(MAX(ROW(E1175:E$2)*(E1176=E1175:E$2)))))</f>
        <v> </v>
      </c>
      <c r="J1176" s="25" t="str">
        <f>IF(OR(E1176="",E1176="!!!",F1176="NEW"),"",COUNTBLANK(OFFSET(A$1,,,SUMPRODUCT(MAX(ROW(E$2:E1176)*(E1176=E$2:E1176)))))-COUNTBLANK(OFFSET(A$1,,,SUMPRODUCT(MAX(ROW(E$1:E1175)*(E2=E$1:E1175))))))</f>
        <v> </v>
      </c>
      <c r="K1176" s="25" t="str">
        <f>IF(OR(E1176="",E1176="!!!",F1176="NEW"),"",INDEX(J$1:J1175,SUMPRODUCT(MAX(ROW(E$1:E1175)*(E1176=E$1:E1175)))))</f>
        <v> </v>
      </c>
      <c r="L1176" s="26"/>
    </row>
    <row r="1177" spans="1:12">
      <c r="A1177" s="20" t="s">
        <v>824</v>
      </c>
      <c r="B1177" s="27" t="s">
        <v>477</v>
      </c>
      <c r="C1177" s="27" t="s">
        <v>487</v>
      </c>
      <c r="D1177" s="27" t="s">
        <v>483</v>
      </c>
      <c r="E1177" s="21">
        <f>IF(D1177="?OLD","!!!","")</f>
        <v/>
      </c>
      <c r="F1177" s="22" t="str">
        <f>IF(OR(E1177="",E1177="!!!"),"",IF(NOT(ISNA(VLOOKUP(E1177,E$1:E1176,1,FALSE()))),"OLD",IF(AND(E1177&lt;&gt;"",E1177&lt;&gt;"!!!"),"NEW","")))</f>
        <v> </v>
      </c>
      <c r="G1177" s="23" t="str">
        <f>IF(OR(E1177="",E1177="!!!"),"",IF(OR(J1177=0,AND(J1177=1,K1177=1),AND(J1177=1,I1177="SBJ"),AND(J1177=1,I1177=0)),"?IN_FOCUS",IF(J1177&lt;=2,"?ACTIVATED",IF(J1177&lt;&gt;"","?FAMILIAR",IF(F1177="NEW",IF(ISNA(VLOOKUP(E1177,#REF!,1,FALSE())),"?TYPE_IDENTIFIABLE","?REFERENTIAL"),"_")))))</f>
        <v> </v>
      </c>
      <c r="H1177" s="24" t="str">
        <f>IF(J1177&lt;&gt;1,"",IF(I1177="SBJ","CB","?"))</f>
        <v> </v>
      </c>
      <c r="I1177" s="25" t="str">
        <f>IF(OR(E1177="",E1177="!!!",F1177="NEW"),"",INDEX(B1176:B$2,-1+SUMPRODUCT(MAX(ROW(E1176:E$2)*(E1177=E1176:E$2)))))</f>
        <v> </v>
      </c>
      <c r="J1177" s="25" t="str">
        <f>IF(OR(E1177="",E1177="!!!",F1177="NEW"),"",COUNTBLANK(OFFSET(A$1,,,SUMPRODUCT(MAX(ROW(E$2:E1177)*(E1177=E$2:E1177)))))-COUNTBLANK(OFFSET(A$1,,,SUMPRODUCT(MAX(ROW(E$1:E1176)*(E2=E$1:E1176))))))</f>
        <v> </v>
      </c>
      <c r="K1177" s="25" t="str">
        <f>IF(OR(E1177="",E1177="!!!",F1177="NEW"),"",INDEX(J$1:J1176,SUMPRODUCT(MAX(ROW(E$1:E1176)*(E1177=E$1:E1176)))))</f>
        <v> </v>
      </c>
      <c r="L1177" s="26"/>
    </row>
    <row r="1178" spans="1:12">
      <c r="A1178" s="20" t="s">
        <v>835</v>
      </c>
      <c r="E1178" s="21">
        <f>IF(D1178="?OLD","!!!","")</f>
        <v/>
      </c>
      <c r="F1178" s="22" t="str">
        <f>IF(OR(E1178="",E1178="!!!"),"",IF(NOT(ISNA(VLOOKUP(E1178,E$1:E1177,1,FALSE()))),"OLD",IF(AND(E1178&lt;&gt;"",E1178&lt;&gt;"!!!"),"NEW","")))</f>
        <v> </v>
      </c>
      <c r="G1178" s="23" t="str">
        <f>IF(OR(E1178="",E1178="!!!"),"",IF(OR(J1178=0,AND(J1178=1,K1178=1),AND(J1178=1,I1178="SBJ"),AND(J1178=1,I1178=0)),"?IN_FOCUS",IF(J1178&lt;=2,"?ACTIVATED",IF(J1178&lt;&gt;"","?FAMILIAR",IF(F1178="NEW",IF(ISNA(VLOOKUP(E1178,#REF!,1,FALSE())),"?TYPE_IDENTIFIABLE","?REFERENTIAL"),"_")))))</f>
        <v> </v>
      </c>
      <c r="H1178" s="24" t="str">
        <f>IF(J1178&lt;&gt;1,"",IF(I1178="SBJ","CB","?"))</f>
        <v> </v>
      </c>
      <c r="I1178" s="25" t="str">
        <f>IF(OR(E1178="",E1178="!!!",F1178="NEW"),"",INDEX(B1177:B$2,-1+SUMPRODUCT(MAX(ROW(E1177:E$2)*(E1178=E1177:E$2)))))</f>
        <v> </v>
      </c>
      <c r="J1178" s="25" t="str">
        <f>IF(OR(E1178="",E1178="!!!",F1178="NEW"),"",COUNTBLANK(OFFSET(A$1,,,SUMPRODUCT(MAX(ROW(E$2:E1178)*(E1178=E$2:E1178)))))-COUNTBLANK(OFFSET(A$1,,,SUMPRODUCT(MAX(ROW(E$1:E1177)*(E2=E$1:E1177))))))</f>
        <v> </v>
      </c>
      <c r="K1178" s="25" t="str">
        <f>IF(OR(E1178="",E1178="!!!",F1178="NEW"),"",INDEX(J$1:J1177,SUMPRODUCT(MAX(ROW(E$1:E1177)*(E1178=E$1:E1177)))))</f>
        <v> </v>
      </c>
      <c r="L1178" s="26"/>
    </row>
    <row r="1179" spans="1:12">
      <c r="A1179" s="20" t="s">
        <v>492</v>
      </c>
      <c r="B1179" s="27" t="s">
        <v>553</v>
      </c>
      <c r="E1179" s="21">
        <f>IF(D1179="?OLD","!!!","")</f>
        <v/>
      </c>
      <c r="F1179" s="22" t="str">
        <f>IF(OR(E1179="",E1179="!!!"),"",IF(NOT(ISNA(VLOOKUP(E1179,E$1:E1178,1,FALSE()))),"OLD",IF(AND(E1179&lt;&gt;"",E1179&lt;&gt;"!!!"),"NEW","")))</f>
        <v> </v>
      </c>
      <c r="G1179" s="23" t="str">
        <f>IF(OR(E1179="",E1179="!!!"),"",IF(OR(J1179=0,AND(J1179=1,K1179=1),AND(J1179=1,I1179="SBJ"),AND(J1179=1,I1179=0)),"?IN_FOCUS",IF(J1179&lt;=2,"?ACTIVATED",IF(J1179&lt;&gt;"","?FAMILIAR",IF(F1179="NEW",IF(ISNA(VLOOKUP(E1179,#REF!,1,FALSE())),"?TYPE_IDENTIFIABLE","?REFERENTIAL"),"_")))))</f>
        <v> </v>
      </c>
      <c r="H1179" s="24" t="str">
        <f>IF(J1179&lt;&gt;1,"",IF(I1179="SBJ","CB","?"))</f>
        <v> </v>
      </c>
      <c r="I1179" s="25" t="str">
        <f>IF(OR(E1179="",E1179="!!!",F1179="NEW"),"",INDEX(B1178:B$2,-1+SUMPRODUCT(MAX(ROW(E1178:E$2)*(E1179=E1178:E$2)))))</f>
        <v> </v>
      </c>
      <c r="J1179" s="25" t="str">
        <f>IF(OR(E1179="",E1179="!!!",F1179="NEW"),"",COUNTBLANK(OFFSET(A$1,,,SUMPRODUCT(MAX(ROW(E$2:E1179)*(E1179=E$2:E1179)))))-COUNTBLANK(OFFSET(A$1,,,SUMPRODUCT(MAX(ROW(E$1:E1178)*(E2=E$1:E1178))))))</f>
        <v> </v>
      </c>
      <c r="K1179" s="25" t="str">
        <f>IF(OR(E1179="",E1179="!!!",F1179="NEW"),"",INDEX(J$1:J1178,SUMPRODUCT(MAX(ROW(E$1:E1178)*(E1179=E$1:E1178)))))</f>
        <v> </v>
      </c>
      <c r="L1179" s="26"/>
    </row>
    <row r="1180" spans="1:12">
      <c r="A1180" s="20" t="s">
        <v>680</v>
      </c>
      <c r="E1180" s="21">
        <f>IF(D1180="?OLD","!!!","")</f>
        <v/>
      </c>
      <c r="F1180" s="22" t="str">
        <f>IF(OR(E1180="",E1180="!!!"),"",IF(NOT(ISNA(VLOOKUP(E1180,E$1:E1179,1,FALSE()))),"OLD",IF(AND(E1180&lt;&gt;"",E1180&lt;&gt;"!!!"),"NEW","")))</f>
        <v> </v>
      </c>
      <c r="G1180" s="23" t="str">
        <f>IF(OR(E1180="",E1180="!!!"),"",IF(OR(J1180=0,AND(J1180=1,K1180=1),AND(J1180=1,I1180="SBJ"),AND(J1180=1,I1180=0)),"?IN_FOCUS",IF(J1180&lt;=2,"?ACTIVATED",IF(J1180&lt;&gt;"","?FAMILIAR",IF(F1180="NEW",IF(ISNA(VLOOKUP(E1180,#REF!,1,FALSE())),"?TYPE_IDENTIFIABLE","?REFERENTIAL"),"_")))))</f>
        <v> </v>
      </c>
      <c r="H1180" s="24" t="str">
        <f>IF(J1180&lt;&gt;1,"",IF(I1180="SBJ","CB","?"))</f>
        <v> </v>
      </c>
      <c r="I1180" s="25" t="str">
        <f>IF(OR(E1180="",E1180="!!!",F1180="NEW"),"",INDEX(B1179:B$2,-1+SUMPRODUCT(MAX(ROW(E1179:E$2)*(E1180=E1179:E$2)))))</f>
        <v> </v>
      </c>
      <c r="J1180" s="25" t="str">
        <f>IF(OR(E1180="",E1180="!!!",F1180="NEW"),"",COUNTBLANK(OFFSET(A$1,,,SUMPRODUCT(MAX(ROW(E$2:E1180)*(E1180=E$2:E1180)))))-COUNTBLANK(OFFSET(A$1,,,SUMPRODUCT(MAX(ROW(E$1:E1179)*(E2=E$1:E1179))))))</f>
        <v> </v>
      </c>
      <c r="K1180" s="25" t="str">
        <f>IF(OR(E1180="",E1180="!!!",F1180="NEW"),"",INDEX(J$1:J1179,SUMPRODUCT(MAX(ROW(E$1:E1179)*(E1180=E$1:E1179)))))</f>
        <v> </v>
      </c>
      <c r="L1180" s="26"/>
    </row>
    <row r="1181" spans="1:12">
      <c r="A1181" s="20" t="s">
        <v>558</v>
      </c>
      <c r="E1181" s="21">
        <f>IF(D1181="?OLD","!!!","")</f>
        <v/>
      </c>
      <c r="F1181" s="22" t="str">
        <f>IF(OR(E1181="",E1181="!!!"),"",IF(NOT(ISNA(VLOOKUP(E1181,E$1:E1180,1,FALSE()))),"OLD",IF(AND(E1181&lt;&gt;"",E1181&lt;&gt;"!!!"),"NEW","")))</f>
        <v> </v>
      </c>
      <c r="G1181" s="23" t="str">
        <f>IF(OR(E1181="",E1181="!!!"),"",IF(OR(J1181=0,AND(J1181=1,K1181=1),AND(J1181=1,I1181="SBJ"),AND(J1181=1,I1181=0)),"?IN_FOCUS",IF(J1181&lt;=2,"?ACTIVATED",IF(J1181&lt;&gt;"","?FAMILIAR",IF(F1181="NEW",IF(ISNA(VLOOKUP(E1181,#REF!,1,FALSE())),"?TYPE_IDENTIFIABLE","?REFERENTIAL"),"_")))))</f>
        <v> </v>
      </c>
      <c r="H1181" s="24" t="str">
        <f>IF(J1181&lt;&gt;1,"",IF(I1181="SBJ","CB","?"))</f>
        <v> </v>
      </c>
      <c r="I1181" s="25" t="str">
        <f>IF(OR(E1181="",E1181="!!!",F1181="NEW"),"",INDEX(B1180:B$2,-1+SUMPRODUCT(MAX(ROW(E1180:E$2)*(E1181=E1180:E$2)))))</f>
        <v> </v>
      </c>
      <c r="J1181" s="25" t="str">
        <f>IF(OR(E1181="",E1181="!!!",F1181="NEW"),"",COUNTBLANK(OFFSET(A$1,,,SUMPRODUCT(MAX(ROW(E$2:E1181)*(E1181=E$2:E1181)))))-COUNTBLANK(OFFSET(A$1,,,SUMPRODUCT(MAX(ROW(E$1:E1180)*(E2=E$1:E1180))))))</f>
        <v> </v>
      </c>
      <c r="K1181" s="25" t="str">
        <f>IF(OR(E1181="",E1181="!!!",F1181="NEW"),"",INDEX(J$1:J1180,SUMPRODUCT(MAX(ROW(E$1:E1180)*(E1181=E$1:E1180)))))</f>
        <v> </v>
      </c>
      <c r="L1181" s="26"/>
    </row>
    <row r="1182" spans="1:12">
      <c r="A1182" s="20" t="s">
        <v>675</v>
      </c>
      <c r="E1182" s="21">
        <f>IF(D1182="?OLD","!!!","")</f>
        <v/>
      </c>
      <c r="F1182" s="22" t="str">
        <f>IF(OR(E1182="",E1182="!!!"),"",IF(NOT(ISNA(VLOOKUP(E1182,E$1:E1181,1,FALSE()))),"OLD",IF(AND(E1182&lt;&gt;"",E1182&lt;&gt;"!!!"),"NEW","")))</f>
        <v> </v>
      </c>
      <c r="G1182" s="23" t="str">
        <f>IF(OR(E1182="",E1182="!!!"),"",IF(OR(J1182=0,AND(J1182=1,K1182=1),AND(J1182=1,I1182="SBJ"),AND(J1182=1,I1182=0)),"?IN_FOCUS",IF(J1182&lt;=2,"?ACTIVATED",IF(J1182&lt;&gt;"","?FAMILIAR",IF(F1182="NEW",IF(ISNA(VLOOKUP(E1182,#REF!,1,FALSE())),"?TYPE_IDENTIFIABLE","?REFERENTIAL"),"_")))))</f>
        <v> </v>
      </c>
      <c r="H1182" s="24" t="str">
        <f>IF(J1182&lt;&gt;1,"",IF(I1182="SBJ","CB","?"))</f>
        <v> </v>
      </c>
      <c r="I1182" s="25" t="str">
        <f>IF(OR(E1182="",E1182="!!!",F1182="NEW"),"",INDEX(B1181:B$2,-1+SUMPRODUCT(MAX(ROW(E1181:E$2)*(E1182=E1181:E$2)))))</f>
        <v> </v>
      </c>
      <c r="J1182" s="25" t="str">
        <f>IF(OR(E1182="",E1182="!!!",F1182="NEW"),"",COUNTBLANK(OFFSET(A$1,,,SUMPRODUCT(MAX(ROW(E$2:E1182)*(E1182=E$2:E1182)))))-COUNTBLANK(OFFSET(A$1,,,SUMPRODUCT(MAX(ROW(E$1:E1181)*(E2=E$1:E1181))))))</f>
        <v> </v>
      </c>
      <c r="K1182" s="25" t="str">
        <f>IF(OR(E1182="",E1182="!!!",F1182="NEW"),"",INDEX(J$1:J1181,SUMPRODUCT(MAX(ROW(E$1:E1181)*(E1182=E$1:E1181)))))</f>
        <v> </v>
      </c>
      <c r="L1182" s="26"/>
    </row>
    <row r="1183" spans="1:12">
      <c r="A1183" s="20" t="s">
        <v>395</v>
      </c>
      <c r="E1183" s="21">
        <f>IF(D1183="?OLD","!!!","")</f>
        <v/>
      </c>
      <c r="F1183" s="22" t="str">
        <f>IF(OR(E1183="",E1183="!!!"),"",IF(NOT(ISNA(VLOOKUP(E1183,E$1:E1182,1,FALSE()))),"OLD",IF(AND(E1183&lt;&gt;"",E1183&lt;&gt;"!!!"),"NEW","")))</f>
        <v> </v>
      </c>
      <c r="G1183" s="23" t="str">
        <f>IF(OR(E1183="",E1183="!!!"),"",IF(OR(J1183=0,AND(J1183=1,K1183=1),AND(J1183=1,I1183="SBJ"),AND(J1183=1,I1183=0)),"?IN_FOCUS",IF(J1183&lt;=2,"?ACTIVATED",IF(J1183&lt;&gt;"","?FAMILIAR",IF(F1183="NEW",IF(ISNA(VLOOKUP(E1183,#REF!,1,FALSE())),"?TYPE_IDENTIFIABLE","?REFERENTIAL"),"_")))))</f>
        <v> </v>
      </c>
      <c r="H1183" s="24" t="str">
        <f>IF(J1183&lt;&gt;1,"",IF(I1183="SBJ","CB","?"))</f>
        <v> </v>
      </c>
      <c r="I1183" s="25" t="str">
        <f>IF(OR(E1183="",E1183="!!!",F1183="NEW"),"",INDEX(B1182:B$2,-1+SUMPRODUCT(MAX(ROW(E1182:E$2)*(E1183=E1182:E$2)))))</f>
        <v> </v>
      </c>
      <c r="J1183" s="25" t="str">
        <f>IF(OR(E1183="",E1183="!!!",F1183="NEW"),"",COUNTBLANK(OFFSET(A$1,,,SUMPRODUCT(MAX(ROW(E$2:E1183)*(E1183=E$2:E1183)))))-COUNTBLANK(OFFSET(A$1,,,SUMPRODUCT(MAX(ROW(E$1:E1182)*(E2=E$1:E1182))))))</f>
        <v> </v>
      </c>
      <c r="K1183" s="25" t="str">
        <f>IF(OR(E1183="",E1183="!!!",F1183="NEW"),"",INDEX(J$1:J1182,SUMPRODUCT(MAX(ROW(E$1:E1182)*(E1183=E$1:E1182)))))</f>
        <v> </v>
      </c>
      <c r="L1183" s="26"/>
    </row>
    <row r="1184" spans="1:12">
      <c r="A1184" s="20" t="s">
        <v>594</v>
      </c>
      <c r="E1184" s="21">
        <f>IF(D1184="?OLD","!!!","")</f>
        <v/>
      </c>
      <c r="F1184" s="22" t="str">
        <f>IF(OR(E1184="",E1184="!!!"),"",IF(NOT(ISNA(VLOOKUP(E1184,E$1:E1183,1,FALSE()))),"OLD",IF(AND(E1184&lt;&gt;"",E1184&lt;&gt;"!!!"),"NEW","")))</f>
        <v> </v>
      </c>
      <c r="G1184" s="23" t="str">
        <f>IF(OR(E1184="",E1184="!!!"),"",IF(OR(J1184=0,AND(J1184=1,K1184=1),AND(J1184=1,I1184="SBJ"),AND(J1184=1,I1184=0)),"?IN_FOCUS",IF(J1184&lt;=2,"?ACTIVATED",IF(J1184&lt;&gt;"","?FAMILIAR",IF(F1184="NEW",IF(ISNA(VLOOKUP(E1184,#REF!,1,FALSE())),"?TYPE_IDENTIFIABLE","?REFERENTIAL"),"_")))))</f>
        <v> </v>
      </c>
      <c r="H1184" s="24" t="str">
        <f>IF(J1184&lt;&gt;1,"",IF(I1184="SBJ","CB","?"))</f>
        <v> </v>
      </c>
      <c r="I1184" s="25" t="str">
        <f>IF(OR(E1184="",E1184="!!!",F1184="NEW"),"",INDEX(B1183:B$2,-1+SUMPRODUCT(MAX(ROW(E1183:E$2)*(E1184=E1183:E$2)))))</f>
        <v> </v>
      </c>
      <c r="J1184" s="25" t="str">
        <f>IF(OR(E1184="",E1184="!!!",F1184="NEW"),"",COUNTBLANK(OFFSET(A$1,,,SUMPRODUCT(MAX(ROW(E$2:E1184)*(E1184=E$2:E1184)))))-COUNTBLANK(OFFSET(A$1,,,SUMPRODUCT(MAX(ROW(E$1:E1183)*(E2=E$1:E1183))))))</f>
        <v> </v>
      </c>
      <c r="K1184" s="25" t="str">
        <f>IF(OR(E1184="",E1184="!!!",F1184="NEW"),"",INDEX(J$1:J1183,SUMPRODUCT(MAX(ROW(E$1:E1183)*(E1184=E$1:E1183)))))</f>
        <v> </v>
      </c>
      <c r="L1184" s="26"/>
    </row>
    <row r="1185" spans="1:12">
      <c r="A1185" s="20" t="s">
        <v>503</v>
      </c>
      <c r="E1185" s="21">
        <f>IF(D1185="?OLD","!!!","")</f>
        <v/>
      </c>
      <c r="F1185" s="22" t="str">
        <f>IF(OR(E1185="",E1185="!!!"),"",IF(NOT(ISNA(VLOOKUP(E1185,E$1:E1184,1,FALSE()))),"OLD",IF(AND(E1185&lt;&gt;"",E1185&lt;&gt;"!!!"),"NEW","")))</f>
        <v> </v>
      </c>
      <c r="G1185" s="23" t="str">
        <f>IF(OR(E1185="",E1185="!!!"),"",IF(OR(J1185=0,AND(J1185=1,K1185=1),AND(J1185=1,I1185="SBJ"),AND(J1185=1,I1185=0)),"?IN_FOCUS",IF(J1185&lt;=2,"?ACTIVATED",IF(J1185&lt;&gt;"","?FAMILIAR",IF(F1185="NEW",IF(ISNA(VLOOKUP(E1185,#REF!,1,FALSE())),"?TYPE_IDENTIFIABLE","?REFERENTIAL"),"_")))))</f>
        <v> </v>
      </c>
      <c r="H1185" s="24" t="str">
        <f>IF(J1185&lt;&gt;1,"",IF(I1185="SBJ","CB","?"))</f>
        <v> </v>
      </c>
      <c r="I1185" s="25" t="str">
        <f>IF(OR(E1185="",E1185="!!!",F1185="NEW"),"",INDEX(B1184:B$2,-1+SUMPRODUCT(MAX(ROW(E1184:E$2)*(E1185=E1184:E$2)))))</f>
        <v> </v>
      </c>
      <c r="J1185" s="25" t="str">
        <f>IF(OR(E1185="",E1185="!!!",F1185="NEW"),"",COUNTBLANK(OFFSET(A$1,,,SUMPRODUCT(MAX(ROW(E$2:E1185)*(E1185=E$2:E1185)))))-COUNTBLANK(OFFSET(A$1,,,SUMPRODUCT(MAX(ROW(E$1:E1184)*(E2=E$1:E1184))))))</f>
        <v> </v>
      </c>
      <c r="K1185" s="25" t="str">
        <f>IF(OR(E1185="",E1185="!!!",F1185="NEW"),"",INDEX(J$1:J1184,SUMPRODUCT(MAX(ROW(E$1:E1184)*(E1185=E$1:E1184)))))</f>
        <v> </v>
      </c>
      <c r="L1185" s="26"/>
    </row>
    <row r="1186" spans="1:12">
      <c r="A1186" s="20" t="s">
        <v>865</v>
      </c>
      <c r="B1186" s="27" t="s">
        <v>540</v>
      </c>
      <c r="C1186" s="27" t="s">
        <v>487</v>
      </c>
      <c r="D1186" s="27" t="s">
        <v>483</v>
      </c>
      <c r="E1186" s="21">
        <f>IF(D1186="?OLD","!!!","")</f>
        <v/>
      </c>
      <c r="F1186" s="22" t="str">
        <f>IF(OR(E1186="",E1186="!!!"),"",IF(NOT(ISNA(VLOOKUP(E1186,E$1:E1185,1,FALSE()))),"OLD",IF(AND(E1186&lt;&gt;"",E1186&lt;&gt;"!!!"),"NEW","")))</f>
        <v> </v>
      </c>
      <c r="G1186" s="23" t="str">
        <f>IF(OR(E1186="",E1186="!!!"),"",IF(OR(J1186=0,AND(J1186=1,K1186=1),AND(J1186=1,I1186="SBJ"),AND(J1186=1,I1186=0)),"?IN_FOCUS",IF(J1186&lt;=2,"?ACTIVATED",IF(J1186&lt;&gt;"","?FAMILIAR",IF(F1186="NEW",IF(ISNA(VLOOKUP(E1186,#REF!,1,FALSE())),"?TYPE_IDENTIFIABLE","?REFERENTIAL"),"_")))))</f>
        <v> </v>
      </c>
      <c r="H1186" s="24" t="str">
        <f>IF(J1186&lt;&gt;1,"",IF(I1186="SBJ","CB","?"))</f>
        <v> </v>
      </c>
      <c r="I1186" s="25" t="str">
        <f>IF(OR(E1186="",E1186="!!!",F1186="NEW"),"",INDEX(B1185:B$2,-1+SUMPRODUCT(MAX(ROW(E1185:E$2)*(E1186=E1185:E$2)))))</f>
        <v> </v>
      </c>
      <c r="J1186" s="25" t="str">
        <f>IF(OR(E1186="",E1186="!!!",F1186="NEW"),"",COUNTBLANK(OFFSET(A$1,,,SUMPRODUCT(MAX(ROW(E$2:E1186)*(E1186=E$2:E1186)))))-COUNTBLANK(OFFSET(A$1,,,SUMPRODUCT(MAX(ROW(E$1:E1185)*(E2=E$1:E1185))))))</f>
        <v> </v>
      </c>
      <c r="K1186" s="25" t="str">
        <f>IF(OR(E1186="",E1186="!!!",F1186="NEW"),"",INDEX(J$1:J1185,SUMPRODUCT(MAX(ROW(E$1:E1185)*(E1186=E$1:E1185)))))</f>
        <v> </v>
      </c>
      <c r="L1186" s="26"/>
    </row>
    <row r="1187" spans="1:12">
      <c r="A1187" s="20" t="s">
        <v>489</v>
      </c>
      <c r="E1187" s="21">
        <f>IF(D1187="?OLD","!!!","")</f>
        <v/>
      </c>
      <c r="F1187" s="22" t="str">
        <f>IF(OR(E1187="",E1187="!!!"),"",IF(NOT(ISNA(VLOOKUP(E1187,E$1:E1186,1,FALSE()))),"OLD",IF(AND(E1187&lt;&gt;"",E1187&lt;&gt;"!!!"),"NEW","")))</f>
        <v> </v>
      </c>
      <c r="G1187" s="23" t="str">
        <f>IF(OR(E1187="",E1187="!!!"),"",IF(OR(J1187=0,AND(J1187=1,K1187=1),AND(J1187=1,I1187="SBJ"),AND(J1187=1,I1187=0)),"?IN_FOCUS",IF(J1187&lt;=2,"?ACTIVATED",IF(J1187&lt;&gt;"","?FAMILIAR",IF(F1187="NEW",IF(ISNA(VLOOKUP(E1187,#REF!,1,FALSE())),"?TYPE_IDENTIFIABLE","?REFERENTIAL"),"_")))))</f>
        <v> </v>
      </c>
      <c r="H1187" s="24" t="str">
        <f>IF(J1187&lt;&gt;1,"",IF(I1187="SBJ","CB","?"))</f>
        <v> </v>
      </c>
      <c r="I1187" s="25" t="str">
        <f>IF(OR(E1187="",E1187="!!!",F1187="NEW"),"",INDEX(B1186:B$2,-1+SUMPRODUCT(MAX(ROW(E1186:E$2)*(E1187=E1186:E$2)))))</f>
        <v> </v>
      </c>
      <c r="J1187" s="25" t="str">
        <f>IF(OR(E1187="",E1187="!!!",F1187="NEW"),"",COUNTBLANK(OFFSET(A$1,,,SUMPRODUCT(MAX(ROW(E$2:E1187)*(E1187=E$2:E1187)))))-COUNTBLANK(OFFSET(A$1,,,SUMPRODUCT(MAX(ROW(E$1:E1186)*(E2=E$1:E1186))))))</f>
        <v> </v>
      </c>
      <c r="K1187" s="25" t="str">
        <f>IF(OR(E1187="",E1187="!!!",F1187="NEW"),"",INDEX(J$1:J1186,SUMPRODUCT(MAX(ROW(E$1:E1186)*(E1187=E$1:E1186)))))</f>
        <v> </v>
      </c>
      <c r="L1187" s="26"/>
    </row>
    <row r="1188" spans="1:12">
      <c r="A1188" s="20" t="s">
        <v>492</v>
      </c>
      <c r="B1188" s="27" t="s">
        <v>493</v>
      </c>
      <c r="E1188" s="21">
        <f>IF(D1188="?OLD","!!!","")</f>
        <v/>
      </c>
      <c r="F1188" s="22" t="str">
        <f>IF(OR(E1188="",E1188="!!!"),"",IF(NOT(ISNA(VLOOKUP(E1188,E$1:E1187,1,FALSE()))),"OLD",IF(AND(E1188&lt;&gt;"",E1188&lt;&gt;"!!!"),"NEW","")))</f>
        <v> </v>
      </c>
      <c r="G1188" s="23" t="str">
        <f>IF(OR(E1188="",E1188="!!!"),"",IF(OR(J1188=0,AND(J1188=1,K1188=1),AND(J1188=1,I1188="SBJ"),AND(J1188=1,I1188=0)),"?IN_FOCUS",IF(J1188&lt;=2,"?ACTIVATED",IF(J1188&lt;&gt;"","?FAMILIAR",IF(F1188="NEW",IF(ISNA(VLOOKUP(E1188,#REF!,1,FALSE())),"?TYPE_IDENTIFIABLE","?REFERENTIAL"),"_")))))</f>
        <v> </v>
      </c>
      <c r="H1188" s="24" t="str">
        <f>IF(J1188&lt;&gt;1,"",IF(I1188="SBJ","CB","?"))</f>
        <v> </v>
      </c>
      <c r="I1188" s="25" t="str">
        <f>IF(OR(E1188="",E1188="!!!",F1188="NEW"),"",INDEX(B1187:B$2,-1+SUMPRODUCT(MAX(ROW(E1187:E$2)*(E1188=E1187:E$2)))))</f>
        <v> </v>
      </c>
      <c r="J1188" s="25" t="str">
        <f>IF(OR(E1188="",E1188="!!!",F1188="NEW"),"",COUNTBLANK(OFFSET(A$1,,,SUMPRODUCT(MAX(ROW(E$2:E1188)*(E1188=E$2:E1188)))))-COUNTBLANK(OFFSET(A$1,,,SUMPRODUCT(MAX(ROW(E$1:E1187)*(E2=E$1:E1187))))))</f>
        <v> </v>
      </c>
      <c r="K1188" s="25" t="str">
        <f>IF(OR(E1188="",E1188="!!!",F1188="NEW"),"",INDEX(J$1:J1187,SUMPRODUCT(MAX(ROW(E$1:E1187)*(E1188=E$1:E1187)))))</f>
        <v> </v>
      </c>
      <c r="L1188" s="26"/>
    </row>
    <row r="1189" spans="1:12">
      <c r="A1189" s="20" t="s">
        <v>680</v>
      </c>
      <c r="E1189" s="21">
        <f>IF(D1189="?OLD","!!!","")</f>
        <v/>
      </c>
      <c r="F1189" s="22" t="str">
        <f>IF(OR(E1189="",E1189="!!!"),"",IF(NOT(ISNA(VLOOKUP(E1189,E$1:E1188,1,FALSE()))),"OLD",IF(AND(E1189&lt;&gt;"",E1189&lt;&gt;"!!!"),"NEW","")))</f>
        <v> </v>
      </c>
      <c r="G1189" s="23" t="str">
        <f>IF(OR(E1189="",E1189="!!!"),"",IF(OR(J1189=0,AND(J1189=1,K1189=1),AND(J1189=1,I1189="SBJ"),AND(J1189=1,I1189=0)),"?IN_FOCUS",IF(J1189&lt;=2,"?ACTIVATED",IF(J1189&lt;&gt;"","?FAMILIAR",IF(F1189="NEW",IF(ISNA(VLOOKUP(E1189,#REF!,1,FALSE())),"?TYPE_IDENTIFIABLE","?REFERENTIAL"),"_")))))</f>
        <v> </v>
      </c>
      <c r="H1189" s="24" t="str">
        <f>IF(J1189&lt;&gt;1,"",IF(I1189="SBJ","CB","?"))</f>
        <v> </v>
      </c>
      <c r="I1189" s="25" t="str">
        <f>IF(OR(E1189="",E1189="!!!",F1189="NEW"),"",INDEX(B1188:B$2,-1+SUMPRODUCT(MAX(ROW(E1188:E$2)*(E1189=E1188:E$2)))))</f>
        <v> </v>
      </c>
      <c r="J1189" s="25" t="str">
        <f>IF(OR(E1189="",E1189="!!!",F1189="NEW"),"",COUNTBLANK(OFFSET(A$1,,,SUMPRODUCT(MAX(ROW(E$2:E1189)*(E1189=E$2:E1189)))))-COUNTBLANK(OFFSET(A$1,,,SUMPRODUCT(MAX(ROW(E$1:E1188)*(E2=E$1:E1188))))))</f>
        <v> </v>
      </c>
      <c r="K1189" s="25" t="str">
        <f>IF(OR(E1189="",E1189="!!!",F1189="NEW"),"",INDEX(J$1:J1188,SUMPRODUCT(MAX(ROW(E$1:E1188)*(E1189=E$1:E1188)))))</f>
        <v> </v>
      </c>
      <c r="L1189" s="26"/>
    </row>
    <row r="1190" spans="1:12">
      <c r="A1190" s="20" t="s">
        <v>558</v>
      </c>
      <c r="E1190" s="21">
        <f>IF(D1190="?OLD","!!!","")</f>
        <v/>
      </c>
      <c r="F1190" s="22" t="str">
        <f>IF(OR(E1190="",E1190="!!!"),"",IF(NOT(ISNA(VLOOKUP(E1190,E$1:E1189,1,FALSE()))),"OLD",IF(AND(E1190&lt;&gt;"",E1190&lt;&gt;"!!!"),"NEW","")))</f>
        <v> </v>
      </c>
      <c r="G1190" s="23" t="str">
        <f>IF(OR(E1190="",E1190="!!!"),"",IF(OR(J1190=0,AND(J1190=1,K1190=1),AND(J1190=1,I1190="SBJ"),AND(J1190=1,I1190=0)),"?IN_FOCUS",IF(J1190&lt;=2,"?ACTIVATED",IF(J1190&lt;&gt;"","?FAMILIAR",IF(F1190="NEW",IF(ISNA(VLOOKUP(E1190,#REF!,1,FALSE())),"?TYPE_IDENTIFIABLE","?REFERENTIAL"),"_")))))</f>
        <v> </v>
      </c>
      <c r="H1190" s="24" t="str">
        <f>IF(J1190&lt;&gt;1,"",IF(I1190="SBJ","CB","?"))</f>
        <v> </v>
      </c>
      <c r="I1190" s="25" t="str">
        <f>IF(OR(E1190="",E1190="!!!",F1190="NEW"),"",INDEX(B1189:B$2,-1+SUMPRODUCT(MAX(ROW(E1189:E$2)*(E1190=E1189:E$2)))))</f>
        <v> </v>
      </c>
      <c r="J1190" s="25" t="str">
        <f>IF(OR(E1190="",E1190="!!!",F1190="NEW"),"",COUNTBLANK(OFFSET(A$1,,,SUMPRODUCT(MAX(ROW(E$2:E1190)*(E1190=E$2:E1190)))))-COUNTBLANK(OFFSET(A$1,,,SUMPRODUCT(MAX(ROW(E$1:E1189)*(E2=E$1:E1189))))))</f>
        <v> </v>
      </c>
      <c r="K1190" s="25" t="str">
        <f>IF(OR(E1190="",E1190="!!!",F1190="NEW"),"",INDEX(J$1:J1189,SUMPRODUCT(MAX(ROW(E$1:E1189)*(E1190=E$1:E1189)))))</f>
        <v> </v>
      </c>
      <c r="L1190" s="26"/>
    </row>
    <row r="1191" spans="1:12">
      <c r="A1191" s="20" t="s">
        <v>675</v>
      </c>
      <c r="E1191" s="21">
        <f>IF(D1191="?OLD","!!!","")</f>
        <v/>
      </c>
      <c r="F1191" s="22" t="str">
        <f>IF(OR(E1191="",E1191="!!!"),"",IF(NOT(ISNA(VLOOKUP(E1191,E$1:E1190,1,FALSE()))),"OLD",IF(AND(E1191&lt;&gt;"",E1191&lt;&gt;"!!!"),"NEW","")))</f>
        <v> </v>
      </c>
      <c r="G1191" s="23" t="str">
        <f>IF(OR(E1191="",E1191="!!!"),"",IF(OR(J1191=0,AND(J1191=1,K1191=1),AND(J1191=1,I1191="SBJ"),AND(J1191=1,I1191=0)),"?IN_FOCUS",IF(J1191&lt;=2,"?ACTIVATED",IF(J1191&lt;&gt;"","?FAMILIAR",IF(F1191="NEW",IF(ISNA(VLOOKUP(E1191,#REF!,1,FALSE())),"?TYPE_IDENTIFIABLE","?REFERENTIAL"),"_")))))</f>
        <v> </v>
      </c>
      <c r="H1191" s="24" t="str">
        <f>IF(J1191&lt;&gt;1,"",IF(I1191="SBJ","CB","?"))</f>
        <v> </v>
      </c>
      <c r="I1191" s="25" t="str">
        <f>IF(OR(E1191="",E1191="!!!",F1191="NEW"),"",INDEX(B1190:B$2,-1+SUMPRODUCT(MAX(ROW(E1190:E$2)*(E1191=E1190:E$2)))))</f>
        <v> </v>
      </c>
      <c r="J1191" s="25" t="str">
        <f>IF(OR(E1191="",E1191="!!!",F1191="NEW"),"",COUNTBLANK(OFFSET(A$1,,,SUMPRODUCT(MAX(ROW(E$2:E1191)*(E1191=E$2:E1191)))))-COUNTBLANK(OFFSET(A$1,,,SUMPRODUCT(MAX(ROW(E$1:E1190)*(E2=E$1:E1190))))))</f>
        <v> </v>
      </c>
      <c r="K1191" s="25" t="str">
        <f>IF(OR(E1191="",E1191="!!!",F1191="NEW"),"",INDEX(J$1:J1190,SUMPRODUCT(MAX(ROW(E$1:E1190)*(E1191=E$1:E1190)))))</f>
        <v> </v>
      </c>
      <c r="L1191" s="26"/>
    </row>
    <row r="1192" spans="1:12">
      <c r="A1192" s="20" t="s">
        <v>741</v>
      </c>
      <c r="E1192" s="21">
        <f>IF(D1192="?OLD","!!!","")</f>
        <v/>
      </c>
      <c r="F1192" s="22" t="str">
        <f>IF(OR(E1192="",E1192="!!!"),"",IF(NOT(ISNA(VLOOKUP(E1192,E$1:E1191,1,FALSE()))),"OLD",IF(AND(E1192&lt;&gt;"",E1192&lt;&gt;"!!!"),"NEW","")))</f>
        <v> </v>
      </c>
      <c r="G1192" s="23" t="str">
        <f>IF(OR(E1192="",E1192="!!!"),"",IF(OR(J1192=0,AND(J1192=1,K1192=1),AND(J1192=1,I1192="SBJ"),AND(J1192=1,I1192=0)),"?IN_FOCUS",IF(J1192&lt;=2,"?ACTIVATED",IF(J1192&lt;&gt;"","?FAMILIAR",IF(F1192="NEW",IF(ISNA(VLOOKUP(E1192,#REF!,1,FALSE())),"?TYPE_IDENTIFIABLE","?REFERENTIAL"),"_")))))</f>
        <v> </v>
      </c>
      <c r="H1192" s="24" t="str">
        <f>IF(J1192&lt;&gt;1,"",IF(I1192="SBJ","CB","?"))</f>
        <v> </v>
      </c>
      <c r="I1192" s="25" t="str">
        <f>IF(OR(E1192="",E1192="!!!",F1192="NEW"),"",INDEX(B1191:B$2,-1+SUMPRODUCT(MAX(ROW(E1191:E$2)*(E1192=E1191:E$2)))))</f>
        <v> </v>
      </c>
      <c r="J1192" s="25" t="str">
        <f>IF(OR(E1192="",E1192="!!!",F1192="NEW"),"",COUNTBLANK(OFFSET(A$1,,,SUMPRODUCT(MAX(ROW(E$2:E1192)*(E1192=E$2:E1192)))))-COUNTBLANK(OFFSET(A$1,,,SUMPRODUCT(MAX(ROW(E$1:E1191)*(E2=E$1:E1191))))))</f>
        <v> </v>
      </c>
      <c r="K1192" s="25" t="str">
        <f>IF(OR(E1192="",E1192="!!!",F1192="NEW"),"",INDEX(J$1:J1191,SUMPRODUCT(MAX(ROW(E$1:E1191)*(E1192=E$1:E1191)))))</f>
        <v> </v>
      </c>
      <c r="L1192" s="26"/>
    </row>
    <row r="1193" spans="1:12">
      <c r="A1193" s="20" t="s">
        <v>594</v>
      </c>
      <c r="E1193" s="21">
        <f>IF(D1193="?OLD","!!!","")</f>
        <v/>
      </c>
      <c r="F1193" s="22" t="str">
        <f>IF(OR(E1193="",E1193="!!!"),"",IF(NOT(ISNA(VLOOKUP(E1193,E$1:E1192,1,FALSE()))),"OLD",IF(AND(E1193&lt;&gt;"",E1193&lt;&gt;"!!!"),"NEW","")))</f>
        <v> </v>
      </c>
      <c r="G1193" s="23" t="str">
        <f>IF(OR(E1193="",E1193="!!!"),"",IF(OR(J1193=0,AND(J1193=1,K1193=1),AND(J1193=1,I1193="SBJ"),AND(J1193=1,I1193=0)),"?IN_FOCUS",IF(J1193&lt;=2,"?ACTIVATED",IF(J1193&lt;&gt;"","?FAMILIAR",IF(F1193="NEW",IF(ISNA(VLOOKUP(E1193,#REF!,1,FALSE())),"?TYPE_IDENTIFIABLE","?REFERENTIAL"),"_")))))</f>
        <v> </v>
      </c>
      <c r="H1193" s="24" t="str">
        <f>IF(J1193&lt;&gt;1,"",IF(I1193="SBJ","CB","?"))</f>
        <v> </v>
      </c>
      <c r="I1193" s="25" t="str">
        <f>IF(OR(E1193="",E1193="!!!",F1193="NEW"),"",INDEX(B1192:B$2,-1+SUMPRODUCT(MAX(ROW(E1192:E$2)*(E1193=E1192:E$2)))))</f>
        <v> </v>
      </c>
      <c r="J1193" s="25" t="str">
        <f>IF(OR(E1193="",E1193="!!!",F1193="NEW"),"",COUNTBLANK(OFFSET(A$1,,,SUMPRODUCT(MAX(ROW(E$2:E1193)*(E1193=E$2:E1193)))))-COUNTBLANK(OFFSET(A$1,,,SUMPRODUCT(MAX(ROW(E$1:E1192)*(E2=E$1:E1192))))))</f>
        <v> </v>
      </c>
      <c r="K1193" s="25" t="str">
        <f>IF(OR(E1193="",E1193="!!!",F1193="NEW"),"",INDEX(J$1:J1192,SUMPRODUCT(MAX(ROW(E$1:E1192)*(E1193=E$1:E1192)))))</f>
        <v> </v>
      </c>
      <c r="L1193" s="26"/>
    </row>
    <row r="1194" spans="1:12">
      <c r="A1194" s="20" t="s">
        <v>503</v>
      </c>
      <c r="E1194" s="21">
        <f>IF(D1194="?OLD","!!!","")</f>
        <v/>
      </c>
      <c r="F1194" s="22" t="str">
        <f>IF(OR(E1194="",E1194="!!!"),"",IF(NOT(ISNA(VLOOKUP(E1194,E$1:E1193,1,FALSE()))),"OLD",IF(AND(E1194&lt;&gt;"",E1194&lt;&gt;"!!!"),"NEW","")))</f>
        <v> </v>
      </c>
      <c r="G1194" s="23" t="str">
        <f>IF(OR(E1194="",E1194="!!!"),"",IF(OR(J1194=0,AND(J1194=1,K1194=1),AND(J1194=1,I1194="SBJ"),AND(J1194=1,I1194=0)),"?IN_FOCUS",IF(J1194&lt;=2,"?ACTIVATED",IF(J1194&lt;&gt;"","?FAMILIAR",IF(F1194="NEW",IF(ISNA(VLOOKUP(E1194,#REF!,1,FALSE())),"?TYPE_IDENTIFIABLE","?REFERENTIAL"),"_")))))</f>
        <v> </v>
      </c>
      <c r="H1194" s="24" t="str">
        <f>IF(J1194&lt;&gt;1,"",IF(I1194="SBJ","CB","?"))</f>
        <v> </v>
      </c>
      <c r="I1194" s="25" t="str">
        <f>IF(OR(E1194="",E1194="!!!",F1194="NEW"),"",INDEX(B1193:B$2,-1+SUMPRODUCT(MAX(ROW(E1193:E$2)*(E1194=E1193:E$2)))))</f>
        <v> </v>
      </c>
      <c r="J1194" s="25" t="str">
        <f>IF(OR(E1194="",E1194="!!!",F1194="NEW"),"",COUNTBLANK(OFFSET(A$1,,,SUMPRODUCT(MAX(ROW(E$2:E1194)*(E1194=E$2:E1194)))))-COUNTBLANK(OFFSET(A$1,,,SUMPRODUCT(MAX(ROW(E$1:E1193)*(E2=E$1:E1193))))))</f>
        <v> </v>
      </c>
      <c r="K1194" s="25" t="str">
        <f>IF(OR(E1194="",E1194="!!!",F1194="NEW"),"",INDEX(J$1:J1193,SUMPRODUCT(MAX(ROW(E$1:E1193)*(E1194=E$1:E1193)))))</f>
        <v> </v>
      </c>
      <c r="L1194" s="26"/>
    </row>
    <row r="1195" spans="1:12">
      <c r="A1195" s="20" t="s">
        <v>895</v>
      </c>
      <c r="B1195" s="27" t="s">
        <v>659</v>
      </c>
      <c r="C1195" s="27" t="s">
        <v>487</v>
      </c>
      <c r="D1195" s="27" t="s">
        <v>483</v>
      </c>
      <c r="E1195" s="21">
        <f>IF(D1195="?OLD","!!!","")</f>
        <v/>
      </c>
      <c r="F1195" s="22" t="str">
        <f>IF(OR(E1195="",E1195="!!!"),"",IF(NOT(ISNA(VLOOKUP(E1195,E$1:E1194,1,FALSE()))),"OLD",IF(AND(E1195&lt;&gt;"",E1195&lt;&gt;"!!!"),"NEW","")))</f>
        <v> </v>
      </c>
      <c r="G1195" s="23" t="str">
        <f>IF(OR(E1195="",E1195="!!!"),"",IF(OR(J1195=0,AND(J1195=1,K1195=1),AND(J1195=1,I1195="SBJ"),AND(J1195=1,I1195=0)),"?IN_FOCUS",IF(J1195&lt;=2,"?ACTIVATED",IF(J1195&lt;&gt;"","?FAMILIAR",IF(F1195="NEW",IF(ISNA(VLOOKUP(E1195,#REF!,1,FALSE())),"?TYPE_IDENTIFIABLE","?REFERENTIAL"),"_")))))</f>
        <v> </v>
      </c>
      <c r="H1195" s="24" t="str">
        <f>IF(J1195&lt;&gt;1,"",IF(I1195="SBJ","CB","?"))</f>
        <v> </v>
      </c>
      <c r="I1195" s="25" t="str">
        <f>IF(OR(E1195="",E1195="!!!",F1195="NEW"),"",INDEX(B1194:B$2,-1+SUMPRODUCT(MAX(ROW(E1194:E$2)*(E1195=E1194:E$2)))))</f>
        <v> </v>
      </c>
      <c r="J1195" s="25" t="str">
        <f>IF(OR(E1195="",E1195="!!!",F1195="NEW"),"",COUNTBLANK(OFFSET(A$1,,,SUMPRODUCT(MAX(ROW(E$2:E1195)*(E1195=E$2:E1195)))))-COUNTBLANK(OFFSET(A$1,,,SUMPRODUCT(MAX(ROW(E$1:E1194)*(E2=E$1:E1194))))))</f>
        <v> </v>
      </c>
      <c r="K1195" s="25" t="str">
        <f>IF(OR(E1195="",E1195="!!!",F1195="NEW"),"",INDEX(J$1:J1194,SUMPRODUCT(MAX(ROW(E$1:E1194)*(E1195=E$1:E1194)))))</f>
        <v> </v>
      </c>
      <c r="L1195" s="26"/>
    </row>
    <row r="1196" spans="1:12">
      <c r="A1196" s="20" t="s">
        <v>531</v>
      </c>
      <c r="E1196" s="21">
        <f>IF(D1196="?OLD","!!!","")</f>
        <v/>
      </c>
      <c r="F1196" s="22" t="str">
        <f>IF(OR(E1196="",E1196="!!!"),"",IF(NOT(ISNA(VLOOKUP(E1196,E$1:E1195,1,FALSE()))),"OLD",IF(AND(E1196&lt;&gt;"",E1196&lt;&gt;"!!!"),"NEW","")))</f>
        <v> </v>
      </c>
      <c r="G1196" s="23" t="str">
        <f>IF(OR(E1196="",E1196="!!!"),"",IF(OR(J1196=0,AND(J1196=1,K1196=1),AND(J1196=1,I1196="SBJ"),AND(J1196=1,I1196=0)),"?IN_FOCUS",IF(J1196&lt;=2,"?ACTIVATED",IF(J1196&lt;&gt;"","?FAMILIAR",IF(F1196="NEW",IF(ISNA(VLOOKUP(E1196,#REF!,1,FALSE())),"?TYPE_IDENTIFIABLE","?REFERENTIAL"),"_")))))</f>
        <v> </v>
      </c>
      <c r="H1196" s="24" t="str">
        <f>IF(J1196&lt;&gt;1,"",IF(I1196="SBJ","CB","?"))</f>
        <v> </v>
      </c>
      <c r="I1196" s="25" t="str">
        <f>IF(OR(E1196="",E1196="!!!",F1196="NEW"),"",INDEX(B1195:B$2,-1+SUMPRODUCT(MAX(ROW(E1195:E$2)*(E1196=E1195:E$2)))))</f>
        <v> </v>
      </c>
      <c r="J1196" s="25" t="str">
        <f>IF(OR(E1196="",E1196="!!!",F1196="NEW"),"",COUNTBLANK(OFFSET(A$1,,,SUMPRODUCT(MAX(ROW(E$2:E1196)*(E1196=E$2:E1196)))))-COUNTBLANK(OFFSET(A$1,,,SUMPRODUCT(MAX(ROW(E$1:E1195)*(E2=E$1:E1195))))))</f>
        <v> </v>
      </c>
      <c r="K1196" s="25" t="str">
        <f>IF(OR(E1196="",E1196="!!!",F1196="NEW"),"",INDEX(J$1:J1195,SUMPRODUCT(MAX(ROW(E$1:E1195)*(E1196=E$1:E1195)))))</f>
        <v> </v>
      </c>
      <c r="L1196" s="26"/>
    </row>
    <row r="1197" spans="1:12">
      <c r="A1197" s="20"/>
    </row>
    <row r="1198" spans="1:12">
      <c r="A1198" s="20" t="s">
        <v>918</v>
      </c>
    </row>
    <row r="1199" spans="1:12">
      <c r="A1199" s="20" t="s">
        <v>776</v>
      </c>
      <c r="E1199" s="21">
        <f>IF(D1199="?OLD","!!!","")</f>
        <v/>
      </c>
      <c r="F1199" s="22" t="str">
        <f>IF(OR(E1199="",E1199="!!!"),"",IF(NOT(ISNA(VLOOKUP(E1199,E$1:E1198,1,FALSE()))),"OLD",IF(AND(E1199&lt;&gt;"",E1199&lt;&gt;"!!!"),"NEW","")))</f>
        <v> </v>
      </c>
      <c r="G1199" s="23" t="str">
        <f>IF(OR(E1199="",E1199="!!!"),"",IF(OR(J1199=0,AND(J1199=1,K1199=1),AND(J1199=1,I1199="SBJ"),AND(J1199=1,I1199=0)),"?IN_FOCUS",IF(J1199&lt;=2,"?ACTIVATED",IF(J1199&lt;&gt;"","?FAMILIAR",IF(F1199="NEW",IF(ISNA(VLOOKUP(E1199,#REF!,1,FALSE())),"?TYPE_IDENTIFIABLE","?REFERENTIAL"),"_")))))</f>
        <v> </v>
      </c>
      <c r="H1199" s="24" t="str">
        <f>IF(J1199&lt;&gt;1,"",IF(I1199="SBJ","CB","?"))</f>
        <v> </v>
      </c>
      <c r="I1199" s="25" t="str">
        <f>IF(OR(E1199="",E1199="!!!",F1199="NEW"),"",INDEX(B1198:B$2,-1+SUMPRODUCT(MAX(ROW(E1198:E$2)*(E1199=E1198:E$2)))))</f>
        <v> </v>
      </c>
      <c r="J1199" s="25" t="str">
        <f>IF(OR(E1199="",E1199="!!!",F1199="NEW"),"",COUNTBLANK(OFFSET(A$1,,,SUMPRODUCT(MAX(ROW(E$2:E1199)*(E1199=E$2:E1199)))))-COUNTBLANK(OFFSET(A$1,,,SUMPRODUCT(MAX(ROW(E$1:E1198)*(E2=E$1:E1198))))))</f>
        <v> </v>
      </c>
      <c r="K1199" s="25" t="str">
        <f>IF(OR(E1199="",E1199="!!!",F1199="NEW"),"",INDEX(J$1:J1198,SUMPRODUCT(MAX(ROW(E$1:E1198)*(E1199=E$1:E1198)))))</f>
        <v> </v>
      </c>
      <c r="L1199" s="26"/>
    </row>
    <row r="1200" spans="1:12">
      <c r="A1200" s="20" t="s">
        <v>919</v>
      </c>
      <c r="B1200" s="27" t="s">
        <v>549</v>
      </c>
      <c r="C1200" s="27" t="s">
        <v>844</v>
      </c>
      <c r="D1200" s="27" t="s">
        <v>483</v>
      </c>
      <c r="E1200" s="21">
        <f>IF(D1200="?OLD","!!!","")</f>
        <v/>
      </c>
      <c r="F1200" s="22" t="str">
        <f>IF(OR(E1200="",E1200="!!!"),"",IF(NOT(ISNA(VLOOKUP(E1200,E$1:E1199,1,FALSE()))),"OLD",IF(AND(E1200&lt;&gt;"",E1200&lt;&gt;"!!!"),"NEW","")))</f>
        <v> </v>
      </c>
      <c r="G1200" s="23" t="str">
        <f>IF(OR(E1200="",E1200="!!!"),"",IF(OR(J1200=0,AND(J1200=1,K1200=1),AND(J1200=1,I1200="SBJ"),AND(J1200=1,I1200=0)),"?IN_FOCUS",IF(J1200&lt;=2,"?ACTIVATED",IF(J1200&lt;&gt;"","?FAMILIAR",IF(F1200="NEW",IF(ISNA(VLOOKUP(E1200,#REF!,1,FALSE())),"?TYPE_IDENTIFIABLE","?REFERENTIAL"),"_")))))</f>
        <v> </v>
      </c>
      <c r="H1200" s="24" t="str">
        <f>IF(J1200&lt;&gt;1,"",IF(I1200="SBJ","CB","?"))</f>
        <v> </v>
      </c>
      <c r="I1200" s="25" t="str">
        <f>IF(OR(E1200="",E1200="!!!",F1200="NEW"),"",INDEX(B1199:B$2,-1+SUMPRODUCT(MAX(ROW(E1199:E$2)*(E1200=E1199:E$2)))))</f>
        <v> </v>
      </c>
      <c r="J1200" s="25" t="str">
        <f>IF(OR(E1200="",E1200="!!!",F1200="NEW"),"",COUNTBLANK(OFFSET(A$1,,,SUMPRODUCT(MAX(ROW(E$2:E1200)*(E1200=E$2:E1200)))))-COUNTBLANK(OFFSET(A$1,,,SUMPRODUCT(MAX(ROW(E$1:E1199)*(E2=E$1:E1199))))))</f>
        <v> </v>
      </c>
      <c r="K1200" s="25" t="str">
        <f>IF(OR(E1200="",E1200="!!!",F1200="NEW"),"",INDEX(J$1:J1199,SUMPRODUCT(MAX(ROW(E$1:E1199)*(E1200=E$1:E1199)))))</f>
        <v> </v>
      </c>
      <c r="L1200" s="26"/>
    </row>
    <row r="1201" spans="1:12">
      <c r="A1201" s="20" t="s">
        <v>528</v>
      </c>
      <c r="E1201" s="21">
        <f>IF(D1201="?OLD","!!!","")</f>
        <v/>
      </c>
      <c r="F1201" s="22" t="str">
        <f>IF(OR(E1201="",E1201="!!!"),"",IF(NOT(ISNA(VLOOKUP(E1201,E$1:E1200,1,FALSE()))),"OLD",IF(AND(E1201&lt;&gt;"",E1201&lt;&gt;"!!!"),"NEW","")))</f>
        <v> </v>
      </c>
      <c r="G1201" s="23" t="str">
        <f>IF(OR(E1201="",E1201="!!!"),"",IF(OR(J1201=0,AND(J1201=1,K1201=1),AND(J1201=1,I1201="SBJ"),AND(J1201=1,I1201=0)),"?IN_FOCUS",IF(J1201&lt;=2,"?ACTIVATED",IF(J1201&lt;&gt;"","?FAMILIAR",IF(F1201="NEW",IF(ISNA(VLOOKUP(E1201,#REF!,1,FALSE())),"?TYPE_IDENTIFIABLE","?REFERENTIAL"),"_")))))</f>
        <v> </v>
      </c>
      <c r="H1201" s="24" t="str">
        <f>IF(J1201&lt;&gt;1,"",IF(I1201="SBJ","CB","?"))</f>
        <v> </v>
      </c>
      <c r="I1201" s="25" t="str">
        <f>IF(OR(E1201="",E1201="!!!",F1201="NEW"),"",INDEX(B1200:B$2,-1+SUMPRODUCT(MAX(ROW(E1200:E$2)*(E1201=E1200:E$2)))))</f>
        <v> </v>
      </c>
      <c r="J1201" s="25" t="str">
        <f>IF(OR(E1201="",E1201="!!!",F1201="NEW"),"",COUNTBLANK(OFFSET(A$1,,,SUMPRODUCT(MAX(ROW(E$2:E1201)*(E1201=E$2:E1201)))))-COUNTBLANK(OFFSET(A$1,,,SUMPRODUCT(MAX(ROW(E$1:E1200)*(E2=E$1:E1200))))))</f>
        <v> </v>
      </c>
      <c r="K1201" s="25" t="str">
        <f>IF(OR(E1201="",E1201="!!!",F1201="NEW"),"",INDEX(J$1:J1200,SUMPRODUCT(MAX(ROW(E$1:E1200)*(E1201=E$1:E1200)))))</f>
        <v> </v>
      </c>
      <c r="L1201" s="26"/>
    </row>
    <row r="1202" spans="1:12">
      <c r="A1202" s="20" t="s">
        <v>908</v>
      </c>
      <c r="B1202" s="27" t="s">
        <v>490</v>
      </c>
      <c r="C1202" s="27" t="s">
        <v>482</v>
      </c>
      <c r="D1202" s="27" t="s">
        <v>483</v>
      </c>
      <c r="E1202" s="21">
        <f>IF(D1202="?OLD","!!!","")</f>
        <v/>
      </c>
      <c r="F1202" s="22" t="str">
        <f>IF(OR(E1202="",E1202="!!!"),"",IF(NOT(ISNA(VLOOKUP(E1202,E$1:E1201,1,FALSE()))),"OLD",IF(AND(E1202&lt;&gt;"",E1202&lt;&gt;"!!!"),"NEW","")))</f>
        <v> </v>
      </c>
      <c r="G1202" s="23" t="str">
        <f>IF(OR(E1202="",E1202="!!!"),"",IF(OR(J1202=0,AND(J1202=1,K1202=1),AND(J1202=1,I1202="SBJ"),AND(J1202=1,I1202=0)),"?IN_FOCUS",IF(J1202&lt;=2,"?ACTIVATED",IF(J1202&lt;&gt;"","?FAMILIAR",IF(F1202="NEW",IF(ISNA(VLOOKUP(E1202,#REF!,1,FALSE())),"?TYPE_IDENTIFIABLE","?REFERENTIAL"),"_")))))</f>
        <v> </v>
      </c>
      <c r="H1202" s="24" t="str">
        <f>IF(J1202&lt;&gt;1,"",IF(I1202="SBJ","CB","?"))</f>
        <v> </v>
      </c>
      <c r="I1202" s="25" t="str">
        <f>IF(OR(E1202="",E1202="!!!",F1202="NEW"),"",INDEX(B1201:B$2,-1+SUMPRODUCT(MAX(ROW(E1201:E$2)*(E1202=E1201:E$2)))))</f>
        <v> </v>
      </c>
      <c r="J1202" s="25" t="str">
        <f>IF(OR(E1202="",E1202="!!!",F1202="NEW"),"",COUNTBLANK(OFFSET(A$1,,,SUMPRODUCT(MAX(ROW(E$2:E1202)*(E1202=E$2:E1202)))))-COUNTBLANK(OFFSET(A$1,,,SUMPRODUCT(MAX(ROW(E$1:E1201)*(E2=E$1:E1201))))))</f>
        <v> </v>
      </c>
      <c r="K1202" s="25" t="str">
        <f>IF(OR(E1202="",E1202="!!!",F1202="NEW"),"",INDEX(J$1:J1201,SUMPRODUCT(MAX(ROW(E$1:E1201)*(E1202=E$1:E1201)))))</f>
        <v> </v>
      </c>
      <c r="L1202" s="26"/>
    </row>
    <row r="1203" spans="1:12">
      <c r="A1203" s="20" t="s">
        <v>577</v>
      </c>
      <c r="E1203" s="21">
        <f>IF(D1203="?OLD","!!!","")</f>
        <v/>
      </c>
      <c r="F1203" s="22" t="str">
        <f>IF(OR(E1203="",E1203="!!!"),"",IF(NOT(ISNA(VLOOKUP(E1203,E$1:E1202,1,FALSE()))),"OLD",IF(AND(E1203&lt;&gt;"",E1203&lt;&gt;"!!!"),"NEW","")))</f>
        <v> </v>
      </c>
      <c r="G1203" s="23" t="str">
        <f>IF(OR(E1203="",E1203="!!!"),"",IF(OR(J1203=0,AND(J1203=1,K1203=1),AND(J1203=1,I1203="SBJ"),AND(J1203=1,I1203=0)),"?IN_FOCUS",IF(J1203&lt;=2,"?ACTIVATED",IF(J1203&lt;&gt;"","?FAMILIAR",IF(F1203="NEW",IF(ISNA(VLOOKUP(E1203,#REF!,1,FALSE())),"?TYPE_IDENTIFIABLE","?REFERENTIAL"),"_")))))</f>
        <v> </v>
      </c>
      <c r="H1203" s="24" t="str">
        <f>IF(J1203&lt;&gt;1,"",IF(I1203="SBJ","CB","?"))</f>
        <v> </v>
      </c>
      <c r="I1203" s="25" t="str">
        <f>IF(OR(E1203="",E1203="!!!",F1203="NEW"),"",INDEX(B1202:B$2,-1+SUMPRODUCT(MAX(ROW(E1202:E$2)*(E1203=E1202:E$2)))))</f>
        <v> </v>
      </c>
      <c r="J1203" s="25" t="str">
        <f>IF(OR(E1203="",E1203="!!!",F1203="NEW"),"",COUNTBLANK(OFFSET(A$1,,,SUMPRODUCT(MAX(ROW(E$2:E1203)*(E1203=E$2:E1203)))))-COUNTBLANK(OFFSET(A$1,,,SUMPRODUCT(MAX(ROW(E$1:E1202)*(E2=E$1:E1202))))))</f>
        <v> </v>
      </c>
      <c r="K1203" s="25" t="str">
        <f>IF(OR(E1203="",E1203="!!!",F1203="NEW"),"",INDEX(J$1:J1202,SUMPRODUCT(MAX(ROW(E$1:E1202)*(E1203=E$1:E1202)))))</f>
        <v> </v>
      </c>
      <c r="L1203" s="26"/>
    </row>
    <row r="1204" spans="1:12">
      <c r="A1204" s="20" t="s">
        <v>847</v>
      </c>
      <c r="E1204" s="21">
        <f>IF(D1204="?OLD","!!!","")</f>
        <v/>
      </c>
      <c r="F1204" s="22" t="str">
        <f>IF(OR(E1204="",E1204="!!!"),"",IF(NOT(ISNA(VLOOKUP(E1204,E$1:E1203,1,FALSE()))),"OLD",IF(AND(E1204&lt;&gt;"",E1204&lt;&gt;"!!!"),"NEW","")))</f>
        <v> </v>
      </c>
      <c r="G1204" s="23" t="str">
        <f>IF(OR(E1204="",E1204="!!!"),"",IF(OR(J1204=0,AND(J1204=1,K1204=1),AND(J1204=1,I1204="SBJ"),AND(J1204=1,I1204=0)),"?IN_FOCUS",IF(J1204&lt;=2,"?ACTIVATED",IF(J1204&lt;&gt;"","?FAMILIAR",IF(F1204="NEW",IF(ISNA(VLOOKUP(E1204,#REF!,1,FALSE())),"?TYPE_IDENTIFIABLE","?REFERENTIAL"),"_")))))</f>
        <v> </v>
      </c>
      <c r="H1204" s="24" t="str">
        <f>IF(J1204&lt;&gt;1,"",IF(I1204="SBJ","CB","?"))</f>
        <v> </v>
      </c>
      <c r="I1204" s="25" t="str">
        <f>IF(OR(E1204="",E1204="!!!",F1204="NEW"),"",INDEX(B1203:B$2,-1+SUMPRODUCT(MAX(ROW(E1203:E$2)*(E1204=E1203:E$2)))))</f>
        <v> </v>
      </c>
      <c r="J1204" s="25" t="str">
        <f>IF(OR(E1204="",E1204="!!!",F1204="NEW"),"",COUNTBLANK(OFFSET(A$1,,,SUMPRODUCT(MAX(ROW(E$2:E1204)*(E1204=E$2:E1204)))))-COUNTBLANK(OFFSET(A$1,,,SUMPRODUCT(MAX(ROW(E$1:E1203)*(E2=E$1:E1203))))))</f>
        <v> </v>
      </c>
      <c r="K1204" s="25" t="str">
        <f>IF(OR(E1204="",E1204="!!!",F1204="NEW"),"",INDEX(J$1:J1203,SUMPRODUCT(MAX(ROW(E$1:E1203)*(E1204=E$1:E1203)))))</f>
        <v> </v>
      </c>
      <c r="L1204" s="26"/>
    </row>
    <row r="1205" spans="1:12">
      <c r="A1205" s="20" t="s">
        <v>920</v>
      </c>
      <c r="B1205" s="27" t="s">
        <v>481</v>
      </c>
      <c r="C1205" s="27" t="s">
        <v>478</v>
      </c>
      <c r="E1205" s="21">
        <f>IF(D1205="?OLD","!!!","")</f>
        <v/>
      </c>
      <c r="F1205" s="22" t="str">
        <f>IF(OR(E1205="",E1205="!!!"),"",IF(NOT(ISNA(VLOOKUP(E1205,E$1:E1204,1,FALSE()))),"OLD",IF(AND(E1205&lt;&gt;"",E1205&lt;&gt;"!!!"),"NEW","")))</f>
        <v> </v>
      </c>
      <c r="G1205" s="23" t="str">
        <f>IF(OR(E1205="",E1205="!!!"),"",IF(OR(J1205=0,AND(J1205=1,K1205=1),AND(J1205=1,I1205="SBJ"),AND(J1205=1,I1205=0)),"?IN_FOCUS",IF(J1205&lt;=2,"?ACTIVATED",IF(J1205&lt;&gt;"","?FAMILIAR",IF(F1205="NEW",IF(ISNA(VLOOKUP(E1205,#REF!,1,FALSE())),"?TYPE_IDENTIFIABLE","?REFERENTIAL"),"_")))))</f>
        <v> </v>
      </c>
      <c r="H1205" s="24" t="str">
        <f>IF(J1205&lt;&gt;1,"",IF(I1205="SBJ","CB","?"))</f>
        <v> </v>
      </c>
      <c r="I1205" s="25" t="str">
        <f>IF(OR(E1205="",E1205="!!!",F1205="NEW"),"",INDEX(B1204:B$2,-1+SUMPRODUCT(MAX(ROW(E1204:E$2)*(E1205=E1204:E$2)))))</f>
        <v> </v>
      </c>
      <c r="J1205" s="25" t="str">
        <f>IF(OR(E1205="",E1205="!!!",F1205="NEW"),"",COUNTBLANK(OFFSET(A$1,,,SUMPRODUCT(MAX(ROW(E$2:E1205)*(E1205=E$2:E1205)))))-COUNTBLANK(OFFSET(A$1,,,SUMPRODUCT(MAX(ROW(E$1:E1204)*(E2=E$1:E1204))))))</f>
        <v> </v>
      </c>
      <c r="K1205" s="25" t="str">
        <f>IF(OR(E1205="",E1205="!!!",F1205="NEW"),"",INDEX(J$1:J1204,SUMPRODUCT(MAX(ROW(E$1:E1204)*(E1205=E$1:E1204)))))</f>
        <v> </v>
      </c>
      <c r="L1205" s="26"/>
    </row>
    <row r="1206" spans="1:12">
      <c r="A1206" s="20" t="s">
        <v>921</v>
      </c>
      <c r="E1206" s="21">
        <f>IF(D1206="?OLD","!!!","")</f>
        <v/>
      </c>
      <c r="F1206" s="22" t="str">
        <f>IF(OR(E1206="",E1206="!!!"),"",IF(NOT(ISNA(VLOOKUP(E1206,E$1:E1205,1,FALSE()))),"OLD",IF(AND(E1206&lt;&gt;"",E1206&lt;&gt;"!!!"),"NEW","")))</f>
        <v> </v>
      </c>
      <c r="G1206" s="23" t="str">
        <f>IF(OR(E1206="",E1206="!!!"),"",IF(OR(J1206=0,AND(J1206=1,K1206=1),AND(J1206=1,I1206="SBJ"),AND(J1206=1,I1206=0)),"?IN_FOCUS",IF(J1206&lt;=2,"?ACTIVATED",IF(J1206&lt;&gt;"","?FAMILIAR",IF(F1206="NEW",IF(ISNA(VLOOKUP(E1206,#REF!,1,FALSE())),"?TYPE_IDENTIFIABLE","?REFERENTIAL"),"_")))))</f>
        <v> </v>
      </c>
      <c r="H1206" s="24" t="str">
        <f>IF(J1206&lt;&gt;1,"",IF(I1206="SBJ","CB","?"))</f>
        <v> </v>
      </c>
      <c r="I1206" s="25" t="str">
        <f>IF(OR(E1206="",E1206="!!!",F1206="NEW"),"",INDEX(B1205:B$2,-1+SUMPRODUCT(MAX(ROW(E1205:E$2)*(E1206=E1205:E$2)))))</f>
        <v> </v>
      </c>
      <c r="J1206" s="25" t="str">
        <f>IF(OR(E1206="",E1206="!!!",F1206="NEW"),"",COUNTBLANK(OFFSET(A$1,,,SUMPRODUCT(MAX(ROW(E$2:E1206)*(E1206=E$2:E1206)))))-COUNTBLANK(OFFSET(A$1,,,SUMPRODUCT(MAX(ROW(E$1:E1205)*(E2=E$1:E1205))))))</f>
        <v> </v>
      </c>
      <c r="K1206" s="25" t="str">
        <f>IF(OR(E1206="",E1206="!!!",F1206="NEW"),"",INDEX(J$1:J1205,SUMPRODUCT(MAX(ROW(E$1:E1205)*(E1206=E$1:E1205)))))</f>
        <v> </v>
      </c>
      <c r="L1206" s="26"/>
    </row>
    <row r="1207" spans="1:12">
      <c r="A1207" s="20" t="s">
        <v>531</v>
      </c>
      <c r="E1207" s="21">
        <f>IF(D1207="?OLD","!!!","")</f>
        <v/>
      </c>
      <c r="F1207" s="22" t="str">
        <f>IF(OR(E1207="",E1207="!!!"),"",IF(NOT(ISNA(VLOOKUP(E1207,E$1:E1206,1,FALSE()))),"OLD",IF(AND(E1207&lt;&gt;"",E1207&lt;&gt;"!!!"),"NEW","")))</f>
        <v> </v>
      </c>
      <c r="G1207" s="23" t="str">
        <f>IF(OR(E1207="",E1207="!!!"),"",IF(OR(J1207=0,AND(J1207=1,K1207=1),AND(J1207=1,I1207="SBJ"),AND(J1207=1,I1207=0)),"?IN_FOCUS",IF(J1207&lt;=2,"?ACTIVATED",IF(J1207&lt;&gt;"","?FAMILIAR",IF(F1207="NEW",IF(ISNA(VLOOKUP(E1207,#REF!,1,FALSE())),"?TYPE_IDENTIFIABLE","?REFERENTIAL"),"_")))))</f>
        <v> </v>
      </c>
      <c r="H1207" s="24" t="str">
        <f>IF(J1207&lt;&gt;1,"",IF(I1207="SBJ","CB","?"))</f>
        <v> </v>
      </c>
      <c r="I1207" s="25" t="str">
        <f>IF(OR(E1207="",E1207="!!!",F1207="NEW"),"",INDEX(B1206:B$2,-1+SUMPRODUCT(MAX(ROW(E1206:E$2)*(E1207=E1206:E$2)))))</f>
        <v> </v>
      </c>
      <c r="J1207" s="25" t="str">
        <f>IF(OR(E1207="",E1207="!!!",F1207="NEW"),"",COUNTBLANK(OFFSET(A$1,,,SUMPRODUCT(MAX(ROW(E$2:E1207)*(E1207=E$2:E1207)))))-COUNTBLANK(OFFSET(A$1,,,SUMPRODUCT(MAX(ROW(E$1:E1206)*(E2=E$1:E1206))))))</f>
        <v> </v>
      </c>
      <c r="K1207" s="25" t="str">
        <f>IF(OR(E1207="",E1207="!!!",F1207="NEW"),"",INDEX(J$1:J1206,SUMPRODUCT(MAX(ROW(E$1:E1206)*(E1207=E$1:E1206)))))</f>
        <v> </v>
      </c>
      <c r="L1207" s="26"/>
    </row>
    <row r="1208" spans="1:12">
      <c r="A1208" s="20"/>
    </row>
    <row r="1209" spans="1:12">
      <c r="A1209" s="20" t="s">
        <v>922</v>
      </c>
    </row>
    <row r="1210" spans="1:12">
      <c r="A1210" s="20" t="s">
        <v>909</v>
      </c>
      <c r="E1210" s="21">
        <f>IF(D1210="?OLD","!!!","")</f>
        <v/>
      </c>
      <c r="F1210" s="22" t="str">
        <f>IF(OR(E1210="",E1210="!!!"),"",IF(NOT(ISNA(VLOOKUP(E1210,E$1:E1209,1,FALSE()))),"OLD",IF(AND(E1210&lt;&gt;"",E1210&lt;&gt;"!!!"),"NEW","")))</f>
        <v> </v>
      </c>
      <c r="G1210" s="23" t="str">
        <f>IF(OR(E1210="",E1210="!!!"),"",IF(OR(J1210=0,AND(J1210=1,K1210=1),AND(J1210=1,I1210="SBJ"),AND(J1210=1,I1210=0)),"?IN_FOCUS",IF(J1210&lt;=2,"?ACTIVATED",IF(J1210&lt;&gt;"","?FAMILIAR",IF(F1210="NEW",IF(ISNA(VLOOKUP(E1210,#REF!,1,FALSE())),"?TYPE_IDENTIFIABLE","?REFERENTIAL"),"_")))))</f>
        <v> </v>
      </c>
      <c r="H1210" s="24" t="str">
        <f>IF(J1210&lt;&gt;1,"",IF(I1210="SBJ","CB","?"))</f>
        <v> </v>
      </c>
      <c r="I1210" s="25" t="str">
        <f>IF(OR(E1210="",E1210="!!!",F1210="NEW"),"",INDEX(B1209:B$2,-1+SUMPRODUCT(MAX(ROW(E1209:E$2)*(E1210=E1209:E$2)))))</f>
        <v> </v>
      </c>
      <c r="J1210" s="25" t="str">
        <f>IF(OR(E1210="",E1210="!!!",F1210="NEW"),"",COUNTBLANK(OFFSET(A$1,,,SUMPRODUCT(MAX(ROW(E$2:E1210)*(E1210=E$2:E1210)))))-COUNTBLANK(OFFSET(A$1,,,SUMPRODUCT(MAX(ROW(E$1:E1209)*(E2=E$1:E1209))))))</f>
        <v> </v>
      </c>
      <c r="K1210" s="25" t="str">
        <f>IF(OR(E1210="",E1210="!!!",F1210="NEW"),"",INDEX(J$1:J1209,SUMPRODUCT(MAX(ROW(E$1:E1209)*(E1210=E$1:E1209)))))</f>
        <v> </v>
      </c>
      <c r="L1210" s="26"/>
    </row>
    <row r="1211" spans="1:12">
      <c r="A1211" s="20" t="s">
        <v>550</v>
      </c>
      <c r="E1211" s="21">
        <f>IF(D1211="?OLD","!!!","")</f>
        <v/>
      </c>
      <c r="F1211" s="22" t="str">
        <f>IF(OR(E1211="",E1211="!!!"),"",IF(NOT(ISNA(VLOOKUP(E1211,E$1:E1210,1,FALSE()))),"OLD",IF(AND(E1211&lt;&gt;"",E1211&lt;&gt;"!!!"),"NEW","")))</f>
        <v> </v>
      </c>
      <c r="G1211" s="23" t="str">
        <f>IF(OR(E1211="",E1211="!!!"),"",IF(OR(J1211=0,AND(J1211=1,K1211=1),AND(J1211=1,I1211="SBJ"),AND(J1211=1,I1211=0)),"?IN_FOCUS",IF(J1211&lt;=2,"?ACTIVATED",IF(J1211&lt;&gt;"","?FAMILIAR",IF(F1211="NEW",IF(ISNA(VLOOKUP(E1211,#REF!,1,FALSE())),"?TYPE_IDENTIFIABLE","?REFERENTIAL"),"_")))))</f>
        <v> </v>
      </c>
      <c r="H1211" s="24" t="str">
        <f>IF(J1211&lt;&gt;1,"",IF(I1211="SBJ","CB","?"))</f>
        <v> </v>
      </c>
      <c r="I1211" s="25" t="str">
        <f>IF(OR(E1211="",E1211="!!!",F1211="NEW"),"",INDEX(B1210:B$2,-1+SUMPRODUCT(MAX(ROW(E1210:E$2)*(E1211=E1210:E$2)))))</f>
        <v> </v>
      </c>
      <c r="J1211" s="25" t="str">
        <f>IF(OR(E1211="",E1211="!!!",F1211="NEW"),"",COUNTBLANK(OFFSET(A$1,,,SUMPRODUCT(MAX(ROW(E$2:E1211)*(E1211=E$2:E1211)))))-COUNTBLANK(OFFSET(A$1,,,SUMPRODUCT(MAX(ROW(E$1:E1210)*(E2=E$1:E1210))))))</f>
        <v> </v>
      </c>
      <c r="K1211" s="25" t="str">
        <f>IF(OR(E1211="",E1211="!!!",F1211="NEW"),"",INDEX(J$1:J1210,SUMPRODUCT(MAX(ROW(E$1:E1210)*(E1211=E$1:E1210)))))</f>
        <v> </v>
      </c>
      <c r="L1211" s="26"/>
    </row>
    <row r="1212" spans="1:12">
      <c r="A1212" s="20" t="s">
        <v>503</v>
      </c>
      <c r="E1212" s="21">
        <f>IF(D1212="?OLD","!!!","")</f>
        <v/>
      </c>
      <c r="F1212" s="22" t="str">
        <f>IF(OR(E1212="",E1212="!!!"),"",IF(NOT(ISNA(VLOOKUP(E1212,E$1:E1211,1,FALSE()))),"OLD",IF(AND(E1212&lt;&gt;"",E1212&lt;&gt;"!!!"),"NEW","")))</f>
        <v> </v>
      </c>
      <c r="G1212" s="23" t="str">
        <f>IF(OR(E1212="",E1212="!!!"),"",IF(OR(J1212=0,AND(J1212=1,K1212=1),AND(J1212=1,I1212="SBJ"),AND(J1212=1,I1212=0)),"?IN_FOCUS",IF(J1212&lt;=2,"?ACTIVATED",IF(J1212&lt;&gt;"","?FAMILIAR",IF(F1212="NEW",IF(ISNA(VLOOKUP(E1212,#REF!,1,FALSE())),"?TYPE_IDENTIFIABLE","?REFERENTIAL"),"_")))))</f>
        <v> </v>
      </c>
      <c r="H1212" s="24" t="str">
        <f>IF(J1212&lt;&gt;1,"",IF(I1212="SBJ","CB","?"))</f>
        <v> </v>
      </c>
      <c r="I1212" s="25" t="str">
        <f>IF(OR(E1212="",E1212="!!!",F1212="NEW"),"",INDEX(B1211:B$2,-1+SUMPRODUCT(MAX(ROW(E1211:E$2)*(E1212=E1211:E$2)))))</f>
        <v> </v>
      </c>
      <c r="J1212" s="25" t="str">
        <f>IF(OR(E1212="",E1212="!!!",F1212="NEW"),"",COUNTBLANK(OFFSET(A$1,,,SUMPRODUCT(MAX(ROW(E$2:E1212)*(E1212=E$2:E1212)))))-COUNTBLANK(OFFSET(A$1,,,SUMPRODUCT(MAX(ROW(E$1:E1211)*(E2=E$1:E1211))))))</f>
        <v> </v>
      </c>
      <c r="K1212" s="25" t="str">
        <f>IF(OR(E1212="",E1212="!!!",F1212="NEW"),"",INDEX(J$1:J1211,SUMPRODUCT(MAX(ROW(E$1:E1211)*(E1212=E$1:E1211)))))</f>
        <v> </v>
      </c>
      <c r="L1212" s="26"/>
    </row>
    <row r="1213" spans="1:12">
      <c r="A1213" s="20" t="s">
        <v>923</v>
      </c>
      <c r="B1213" s="27" t="s">
        <v>477</v>
      </c>
      <c r="C1213" s="27" t="s">
        <v>635</v>
      </c>
      <c r="D1213" s="27" t="s">
        <v>483</v>
      </c>
      <c r="E1213" s="21">
        <f>IF(D1213="?OLD","!!!","")</f>
        <v/>
      </c>
      <c r="F1213" s="22" t="str">
        <f>IF(OR(E1213="",E1213="!!!"),"",IF(NOT(ISNA(VLOOKUP(E1213,E$1:E1212,1,FALSE()))),"OLD",IF(AND(E1213&lt;&gt;"",E1213&lt;&gt;"!!!"),"NEW","")))</f>
        <v> </v>
      </c>
      <c r="G1213" s="23" t="str">
        <f>IF(OR(E1213="",E1213="!!!"),"",IF(OR(J1213=0,AND(J1213=1,K1213=1),AND(J1213=1,I1213="SBJ"),AND(J1213=1,I1213=0)),"?IN_FOCUS",IF(J1213&lt;=2,"?ACTIVATED",IF(J1213&lt;&gt;"","?FAMILIAR",IF(F1213="NEW",IF(ISNA(VLOOKUP(E1213,#REF!,1,FALSE())),"?TYPE_IDENTIFIABLE","?REFERENTIAL"),"_")))))</f>
        <v> </v>
      </c>
      <c r="H1213" s="24" t="str">
        <f>IF(J1213&lt;&gt;1,"",IF(I1213="SBJ","CB","?"))</f>
        <v> </v>
      </c>
      <c r="I1213" s="25" t="str">
        <f>IF(OR(E1213="",E1213="!!!",F1213="NEW"),"",INDEX(B1212:B$2,-1+SUMPRODUCT(MAX(ROW(E1212:E$2)*(E1213=E1212:E$2)))))</f>
        <v> </v>
      </c>
      <c r="J1213" s="25" t="str">
        <f>IF(OR(E1213="",E1213="!!!",F1213="NEW"),"",COUNTBLANK(OFFSET(A$1,,,SUMPRODUCT(MAX(ROW(E$2:E1213)*(E1213=E$2:E1213)))))-COUNTBLANK(OFFSET(A$1,,,SUMPRODUCT(MAX(ROW(E$1:E1212)*(E2=E$1:E1212))))))</f>
        <v> </v>
      </c>
      <c r="K1213" s="25" t="str">
        <f>IF(OR(E1213="",E1213="!!!",F1213="NEW"),"",INDEX(J$1:J1212,SUMPRODUCT(MAX(ROW(E$1:E1212)*(E1213=E$1:E1212)))))</f>
        <v> </v>
      </c>
      <c r="L1213" s="26"/>
    </row>
    <row r="1214" spans="1:12">
      <c r="A1214" s="20" t="s">
        <v>924</v>
      </c>
      <c r="B1214" s="27" t="s">
        <v>477</v>
      </c>
      <c r="C1214" s="27" t="s">
        <v>487</v>
      </c>
      <c r="D1214" s="27" t="s">
        <v>483</v>
      </c>
      <c r="E1214" s="21">
        <f>IF(D1214="?OLD","!!!","")</f>
        <v/>
      </c>
      <c r="F1214" s="22" t="str">
        <f>IF(OR(E1214="",E1214="!!!"),"",IF(NOT(ISNA(VLOOKUP(E1214,E$1:E1213,1,FALSE()))),"OLD",IF(AND(E1214&lt;&gt;"",E1214&lt;&gt;"!!!"),"NEW","")))</f>
        <v> </v>
      </c>
      <c r="G1214" s="23" t="str">
        <f>IF(OR(E1214="",E1214="!!!"),"",IF(OR(J1214=0,AND(J1214=1,K1214=1),AND(J1214=1,I1214="SBJ"),AND(J1214=1,I1214=0)),"?IN_FOCUS",IF(J1214&lt;=2,"?ACTIVATED",IF(J1214&lt;&gt;"","?FAMILIAR",IF(F1214="NEW",IF(ISNA(VLOOKUP(E1214,#REF!,1,FALSE())),"?TYPE_IDENTIFIABLE","?REFERENTIAL"),"_")))))</f>
        <v> </v>
      </c>
      <c r="H1214" s="24" t="str">
        <f>IF(J1214&lt;&gt;1,"",IF(I1214="SBJ","CB","?"))</f>
        <v> </v>
      </c>
      <c r="I1214" s="25" t="str">
        <f>IF(OR(E1214="",E1214="!!!",F1214="NEW"),"",INDEX(B1213:B$2,-1+SUMPRODUCT(MAX(ROW(E1213:E$2)*(E1214=E1213:E$2)))))</f>
        <v> </v>
      </c>
      <c r="J1214" s="25" t="str">
        <f>IF(OR(E1214="",E1214="!!!",F1214="NEW"),"",COUNTBLANK(OFFSET(A$1,,,SUMPRODUCT(MAX(ROW(E$2:E1214)*(E1214=E$2:E1214)))))-COUNTBLANK(OFFSET(A$1,,,SUMPRODUCT(MAX(ROW(E$1:E1213)*(E2=E$1:E1213))))))</f>
        <v> </v>
      </c>
      <c r="K1214" s="25" t="str">
        <f>IF(OR(E1214="",E1214="!!!",F1214="NEW"),"",INDEX(J$1:J1213,SUMPRODUCT(MAX(ROW(E$1:E1213)*(E1214=E$1:E1213)))))</f>
        <v> </v>
      </c>
      <c r="L1214" s="26"/>
    </row>
    <row r="1215" spans="1:12">
      <c r="A1215" s="20" t="s">
        <v>492</v>
      </c>
      <c r="B1215" s="27" t="s">
        <v>537</v>
      </c>
      <c r="E1215" s="21">
        <f>IF(D1215="?OLD","!!!","")</f>
        <v/>
      </c>
      <c r="F1215" s="22" t="str">
        <f>IF(OR(E1215="",E1215="!!!"),"",IF(NOT(ISNA(VLOOKUP(E1215,E$1:E1214,1,FALSE()))),"OLD",IF(AND(E1215&lt;&gt;"",E1215&lt;&gt;"!!!"),"NEW","")))</f>
        <v> </v>
      </c>
      <c r="G1215" s="23" t="str">
        <f>IF(OR(E1215="",E1215="!!!"),"",IF(OR(J1215=0,AND(J1215=1,K1215=1),AND(J1215=1,I1215="SBJ"),AND(J1215=1,I1215=0)),"?IN_FOCUS",IF(J1215&lt;=2,"?ACTIVATED",IF(J1215&lt;&gt;"","?FAMILIAR",IF(F1215="NEW",IF(ISNA(VLOOKUP(E1215,#REF!,1,FALSE())),"?TYPE_IDENTIFIABLE","?REFERENTIAL"),"_")))))</f>
        <v> </v>
      </c>
      <c r="H1215" s="24" t="str">
        <f>IF(J1215&lt;&gt;1,"",IF(I1215="SBJ","CB","?"))</f>
        <v> </v>
      </c>
      <c r="I1215" s="25" t="str">
        <f>IF(OR(E1215="",E1215="!!!",F1215="NEW"),"",INDEX(B1214:B$2,-1+SUMPRODUCT(MAX(ROW(E1214:E$2)*(E1215=E1214:E$2)))))</f>
        <v> </v>
      </c>
      <c r="J1215" s="25" t="str">
        <f>IF(OR(E1215="",E1215="!!!",F1215="NEW"),"",COUNTBLANK(OFFSET(A$1,,,SUMPRODUCT(MAX(ROW(E$2:E1215)*(E1215=E$2:E1215)))))-COUNTBLANK(OFFSET(A$1,,,SUMPRODUCT(MAX(ROW(E$1:E1214)*(E2=E$1:E1214))))))</f>
        <v> </v>
      </c>
      <c r="K1215" s="25" t="str">
        <f>IF(OR(E1215="",E1215="!!!",F1215="NEW"),"",INDEX(J$1:J1214,SUMPRODUCT(MAX(ROW(E$1:E1214)*(E1215=E$1:E1214)))))</f>
        <v> </v>
      </c>
      <c r="L1215" s="26"/>
    </row>
    <row r="1216" spans="1:12">
      <c r="A1216" s="20" t="s">
        <v>485</v>
      </c>
      <c r="B1216" s="27" t="s">
        <v>542</v>
      </c>
      <c r="C1216" s="27" t="s">
        <v>482</v>
      </c>
      <c r="D1216" s="27" t="s">
        <v>483</v>
      </c>
      <c r="E1216" s="21">
        <f>IF(D1216="?OLD","!!!","")</f>
        <v/>
      </c>
      <c r="F1216" s="22" t="str">
        <f>IF(OR(E1216="",E1216="!!!"),"",IF(NOT(ISNA(VLOOKUP(E1216,E$1:E1215,1,FALSE()))),"OLD",IF(AND(E1216&lt;&gt;"",E1216&lt;&gt;"!!!"),"NEW","")))</f>
        <v> </v>
      </c>
      <c r="G1216" s="23" t="str">
        <f>IF(OR(E1216="",E1216="!!!"),"",IF(OR(J1216=0,AND(J1216=1,K1216=1),AND(J1216=1,I1216="SBJ"),AND(J1216=1,I1216=0)),"?IN_FOCUS",IF(J1216&lt;=2,"?ACTIVATED",IF(J1216&lt;&gt;"","?FAMILIAR",IF(F1216="NEW",IF(ISNA(VLOOKUP(E1216,#REF!,1,FALSE())),"?TYPE_IDENTIFIABLE","?REFERENTIAL"),"_")))))</f>
        <v> </v>
      </c>
      <c r="H1216" s="24" t="str">
        <f>IF(J1216&lt;&gt;1,"",IF(I1216="SBJ","CB","?"))</f>
        <v> </v>
      </c>
      <c r="I1216" s="25" t="str">
        <f>IF(OR(E1216="",E1216="!!!",F1216="NEW"),"",INDEX(B1215:B$2,-1+SUMPRODUCT(MAX(ROW(E1215:E$2)*(E1216=E1215:E$2)))))</f>
        <v> </v>
      </c>
      <c r="J1216" s="25" t="str">
        <f>IF(OR(E1216="",E1216="!!!",F1216="NEW"),"",COUNTBLANK(OFFSET(A$1,,,SUMPRODUCT(MAX(ROW(E$2:E1216)*(E1216=E$2:E1216)))))-COUNTBLANK(OFFSET(A$1,,,SUMPRODUCT(MAX(ROW(E$1:E1215)*(E2=E$1:E1215))))))</f>
        <v> </v>
      </c>
      <c r="K1216" s="25" t="str">
        <f>IF(OR(E1216="",E1216="!!!",F1216="NEW"),"",INDEX(J$1:J1215,SUMPRODUCT(MAX(ROW(E$1:E1215)*(E1216=E$1:E1215)))))</f>
        <v> </v>
      </c>
      <c r="L1216" s="26"/>
    </row>
    <row r="1217" spans="1:12">
      <c r="A1217" s="20" t="s">
        <v>574</v>
      </c>
      <c r="E1217" s="21">
        <f>IF(D1217="?OLD","!!!","")</f>
        <v/>
      </c>
      <c r="F1217" s="22" t="str">
        <f>IF(OR(E1217="",E1217="!!!"),"",IF(NOT(ISNA(VLOOKUP(E1217,E$1:E1216,1,FALSE()))),"OLD",IF(AND(E1217&lt;&gt;"",E1217&lt;&gt;"!!!"),"NEW","")))</f>
        <v> </v>
      </c>
      <c r="G1217" s="23" t="str">
        <f>IF(OR(E1217="",E1217="!!!"),"",IF(OR(J1217=0,AND(J1217=1,K1217=1),AND(J1217=1,I1217="SBJ"),AND(J1217=1,I1217=0)),"?IN_FOCUS",IF(J1217&lt;=2,"?ACTIVATED",IF(J1217&lt;&gt;"","?FAMILIAR",IF(F1217="NEW",IF(ISNA(VLOOKUP(E1217,#REF!,1,FALSE())),"?TYPE_IDENTIFIABLE","?REFERENTIAL"),"_")))))</f>
        <v> </v>
      </c>
      <c r="H1217" s="24" t="str">
        <f>IF(J1217&lt;&gt;1,"",IF(I1217="SBJ","CB","?"))</f>
        <v> </v>
      </c>
      <c r="I1217" s="25" t="str">
        <f>IF(OR(E1217="",E1217="!!!",F1217="NEW"),"",INDEX(B1216:B$2,-1+SUMPRODUCT(MAX(ROW(E1216:E$2)*(E1217=E1216:E$2)))))</f>
        <v> </v>
      </c>
      <c r="J1217" s="25" t="str">
        <f>IF(OR(E1217="",E1217="!!!",F1217="NEW"),"",COUNTBLANK(OFFSET(A$1,,,SUMPRODUCT(MAX(ROW(E$2:E1217)*(E1217=E$2:E1217)))))-COUNTBLANK(OFFSET(A$1,,,SUMPRODUCT(MAX(ROW(E$1:E1216)*(E2=E$1:E1216))))))</f>
        <v> </v>
      </c>
      <c r="K1217" s="25" t="str">
        <f>IF(OR(E1217="",E1217="!!!",F1217="NEW"),"",INDEX(J$1:J1216,SUMPRODUCT(MAX(ROW(E$1:E1216)*(E1217=E$1:E1216)))))</f>
        <v> </v>
      </c>
      <c r="L1217" s="26"/>
    </row>
    <row r="1218" spans="1:12">
      <c r="A1218" s="20" t="s">
        <v>530</v>
      </c>
      <c r="E1218" s="21">
        <f>IF(D1218="?OLD","!!!","")</f>
        <v/>
      </c>
      <c r="F1218" s="22" t="str">
        <f>IF(OR(E1218="",E1218="!!!"),"",IF(NOT(ISNA(VLOOKUP(E1218,E$1:E1217,1,FALSE()))),"OLD",IF(AND(E1218&lt;&gt;"",E1218&lt;&gt;"!!!"),"NEW","")))</f>
        <v> </v>
      </c>
      <c r="G1218" s="23" t="str">
        <f>IF(OR(E1218="",E1218="!!!"),"",IF(OR(J1218=0,AND(J1218=1,K1218=1),AND(J1218=1,I1218="SBJ"),AND(J1218=1,I1218=0)),"?IN_FOCUS",IF(J1218&lt;=2,"?ACTIVATED",IF(J1218&lt;&gt;"","?FAMILIAR",IF(F1218="NEW",IF(ISNA(VLOOKUP(E1218,#REF!,1,FALSE())),"?TYPE_IDENTIFIABLE","?REFERENTIAL"),"_")))))</f>
        <v> </v>
      </c>
      <c r="H1218" s="24" t="str">
        <f>IF(J1218&lt;&gt;1,"",IF(I1218="SBJ","CB","?"))</f>
        <v> </v>
      </c>
      <c r="I1218" s="25" t="str">
        <f>IF(OR(E1218="",E1218="!!!",F1218="NEW"),"",INDEX(B1217:B$2,-1+SUMPRODUCT(MAX(ROW(E1217:E$2)*(E1218=E1217:E$2)))))</f>
        <v> </v>
      </c>
      <c r="J1218" s="25" t="str">
        <f>IF(OR(E1218="",E1218="!!!",F1218="NEW"),"",COUNTBLANK(OFFSET(A$1,,,SUMPRODUCT(MAX(ROW(E$2:E1218)*(E1218=E$2:E1218)))))-COUNTBLANK(OFFSET(A$1,,,SUMPRODUCT(MAX(ROW(E$1:E1217)*(E2=E$1:E1217))))))</f>
        <v> </v>
      </c>
      <c r="K1218" s="25" t="str">
        <f>IF(OR(E1218="",E1218="!!!",F1218="NEW"),"",INDEX(J$1:J1217,SUMPRODUCT(MAX(ROW(E$1:E1217)*(E1218=E$1:E1217)))))</f>
        <v> </v>
      </c>
      <c r="L1218" s="26"/>
    </row>
    <row r="1219" spans="1:12">
      <c r="A1219" s="20" t="s">
        <v>507</v>
      </c>
      <c r="E1219" s="21">
        <f>IF(D1219="?OLD","!!!","")</f>
        <v/>
      </c>
      <c r="F1219" s="22" t="str">
        <f>IF(OR(E1219="",E1219="!!!"),"",IF(NOT(ISNA(VLOOKUP(E1219,E$1:E1218,1,FALSE()))),"OLD",IF(AND(E1219&lt;&gt;"",E1219&lt;&gt;"!!!"),"NEW","")))</f>
        <v> </v>
      </c>
      <c r="G1219" s="23" t="str">
        <f>IF(OR(E1219="",E1219="!!!"),"",IF(OR(J1219=0,AND(J1219=1,K1219=1),AND(J1219=1,I1219="SBJ"),AND(J1219=1,I1219=0)),"?IN_FOCUS",IF(J1219&lt;=2,"?ACTIVATED",IF(J1219&lt;&gt;"","?FAMILIAR",IF(F1219="NEW",IF(ISNA(VLOOKUP(E1219,#REF!,1,FALSE())),"?TYPE_IDENTIFIABLE","?REFERENTIAL"),"_")))))</f>
        <v> </v>
      </c>
      <c r="H1219" s="24" t="str">
        <f>IF(J1219&lt;&gt;1,"",IF(I1219="SBJ","CB","?"))</f>
        <v> </v>
      </c>
      <c r="I1219" s="25" t="str">
        <f>IF(OR(E1219="",E1219="!!!",F1219="NEW"),"",INDEX(B1218:B$2,-1+SUMPRODUCT(MAX(ROW(E1218:E$2)*(E1219=E1218:E$2)))))</f>
        <v> </v>
      </c>
      <c r="J1219" s="25" t="str">
        <f>IF(OR(E1219="",E1219="!!!",F1219="NEW"),"",COUNTBLANK(OFFSET(A$1,,,SUMPRODUCT(MAX(ROW(E$2:E1219)*(E1219=E$2:E1219)))))-COUNTBLANK(OFFSET(A$1,,,SUMPRODUCT(MAX(ROW(E$1:E1218)*(E2=E$1:E1218))))))</f>
        <v> </v>
      </c>
      <c r="K1219" s="25" t="str">
        <f>IF(OR(E1219="",E1219="!!!",F1219="NEW"),"",INDEX(J$1:J1218,SUMPRODUCT(MAX(ROW(E$1:E1218)*(E1219=E$1:E1218)))))</f>
        <v> </v>
      </c>
      <c r="L1219" s="26"/>
    </row>
    <row r="1220" spans="1:12">
      <c r="A1220" s="20" t="s">
        <v>485</v>
      </c>
      <c r="E1220" s="21">
        <f>IF(D1220="?OLD","!!!","")</f>
        <v/>
      </c>
      <c r="F1220" s="22" t="str">
        <f>IF(OR(E1220="",E1220="!!!"),"",IF(NOT(ISNA(VLOOKUP(E1220,E$1:E1219,1,FALSE()))),"OLD",IF(AND(E1220&lt;&gt;"",E1220&lt;&gt;"!!!"),"NEW","")))</f>
        <v> </v>
      </c>
      <c r="G1220" s="23" t="str">
        <f>IF(OR(E1220="",E1220="!!!"),"",IF(OR(J1220=0,AND(J1220=1,K1220=1),AND(J1220=1,I1220="SBJ"),AND(J1220=1,I1220=0)),"?IN_FOCUS",IF(J1220&lt;=2,"?ACTIVATED",IF(J1220&lt;&gt;"","?FAMILIAR",IF(F1220="NEW",IF(ISNA(VLOOKUP(E1220,#REF!,1,FALSE())),"?TYPE_IDENTIFIABLE","?REFERENTIAL"),"_")))))</f>
        <v> </v>
      </c>
      <c r="H1220" s="24" t="str">
        <f>IF(J1220&lt;&gt;1,"",IF(I1220="SBJ","CB","?"))</f>
        <v> </v>
      </c>
      <c r="I1220" s="25" t="str">
        <f>IF(OR(E1220="",E1220="!!!",F1220="NEW"),"",INDEX(B1219:B$2,-1+SUMPRODUCT(MAX(ROW(E1219:E$2)*(E1220=E1219:E$2)))))</f>
        <v> </v>
      </c>
      <c r="J1220" s="25" t="str">
        <f>IF(OR(E1220="",E1220="!!!",F1220="NEW"),"",COUNTBLANK(OFFSET(A$1,,,SUMPRODUCT(MAX(ROW(E$2:E1220)*(E1220=E$2:E1220)))))-COUNTBLANK(OFFSET(A$1,,,SUMPRODUCT(MAX(ROW(E$1:E1219)*(E2=E$1:E1219))))))</f>
        <v> </v>
      </c>
      <c r="K1220" s="25" t="str">
        <f>IF(OR(E1220="",E1220="!!!",F1220="NEW"),"",INDEX(J$1:J1219,SUMPRODUCT(MAX(ROW(E$1:E1219)*(E1220=E$1:E1219)))))</f>
        <v> </v>
      </c>
      <c r="L1220" s="26"/>
    </row>
    <row r="1221" spans="1:12">
      <c r="A1221" s="20" t="s">
        <v>925</v>
      </c>
      <c r="B1221" s="27" t="s">
        <v>540</v>
      </c>
      <c r="C1221" s="27" t="s">
        <v>635</v>
      </c>
      <c r="D1221" s="27" t="s">
        <v>483</v>
      </c>
      <c r="E1221" s="21">
        <f>IF(D1221="?OLD","!!!","")</f>
        <v/>
      </c>
      <c r="F1221" s="22" t="str">
        <f>IF(OR(E1221="",E1221="!!!"),"",IF(NOT(ISNA(VLOOKUP(E1221,E$1:E1220,1,FALSE()))),"OLD",IF(AND(E1221&lt;&gt;"",E1221&lt;&gt;"!!!"),"NEW","")))</f>
        <v> </v>
      </c>
      <c r="G1221" s="23" t="str">
        <f>IF(OR(E1221="",E1221="!!!"),"",IF(OR(J1221=0,AND(J1221=1,K1221=1),AND(J1221=1,I1221="SBJ"),AND(J1221=1,I1221=0)),"?IN_FOCUS",IF(J1221&lt;=2,"?ACTIVATED",IF(J1221&lt;&gt;"","?FAMILIAR",IF(F1221="NEW",IF(ISNA(VLOOKUP(E1221,#REF!,1,FALSE())),"?TYPE_IDENTIFIABLE","?REFERENTIAL"),"_")))))</f>
        <v> </v>
      </c>
      <c r="H1221" s="24" t="str">
        <f>IF(J1221&lt;&gt;1,"",IF(I1221="SBJ","CB","?"))</f>
        <v> </v>
      </c>
      <c r="I1221" s="25" t="str">
        <f>IF(OR(E1221="",E1221="!!!",F1221="NEW"),"",INDEX(B1220:B$2,-1+SUMPRODUCT(MAX(ROW(E1220:E$2)*(E1221=E1220:E$2)))))</f>
        <v> </v>
      </c>
      <c r="J1221" s="25" t="str">
        <f>IF(OR(E1221="",E1221="!!!",F1221="NEW"),"",COUNTBLANK(OFFSET(A$1,,,SUMPRODUCT(MAX(ROW(E$2:E1221)*(E1221=E$2:E1221)))))-COUNTBLANK(OFFSET(A$1,,,SUMPRODUCT(MAX(ROW(E$1:E1220)*(E2=E$1:E1220))))))</f>
        <v> </v>
      </c>
      <c r="K1221" s="25" t="str">
        <f>IF(OR(E1221="",E1221="!!!",F1221="NEW"),"",INDEX(J$1:J1220,SUMPRODUCT(MAX(ROW(E$1:E1220)*(E1221=E$1:E1220)))))</f>
        <v> </v>
      </c>
      <c r="L1221" s="26"/>
    </row>
    <row r="1222" spans="1:12">
      <c r="A1222" s="20" t="s">
        <v>926</v>
      </c>
      <c r="B1222" s="27" t="s">
        <v>490</v>
      </c>
      <c r="C1222" s="27" t="s">
        <v>487</v>
      </c>
      <c r="D1222" s="27" t="s">
        <v>483</v>
      </c>
      <c r="E1222" s="21">
        <f>IF(D1222="?OLD","!!!","")</f>
        <v/>
      </c>
      <c r="F1222" s="22" t="str">
        <f>IF(OR(E1222="",E1222="!!!"),"",IF(NOT(ISNA(VLOOKUP(E1222,E$1:E1221,1,FALSE()))),"OLD",IF(AND(E1222&lt;&gt;"",E1222&lt;&gt;"!!!"),"NEW","")))</f>
        <v> </v>
      </c>
      <c r="G1222" s="23" t="str">
        <f>IF(OR(E1222="",E1222="!!!"),"",IF(OR(J1222=0,AND(J1222=1,K1222=1),AND(J1222=1,I1222="SBJ"),AND(J1222=1,I1222=0)),"?IN_FOCUS",IF(J1222&lt;=2,"?ACTIVATED",IF(J1222&lt;&gt;"","?FAMILIAR",IF(F1222="NEW",IF(ISNA(VLOOKUP(E1222,#REF!,1,FALSE())),"?TYPE_IDENTIFIABLE","?REFERENTIAL"),"_")))))</f>
        <v> </v>
      </c>
      <c r="H1222" s="24" t="str">
        <f>IF(J1222&lt;&gt;1,"",IF(I1222="SBJ","CB","?"))</f>
        <v> </v>
      </c>
      <c r="I1222" s="25" t="str">
        <f>IF(OR(E1222="",E1222="!!!",F1222="NEW"),"",INDEX(B1221:B$2,-1+SUMPRODUCT(MAX(ROW(E1221:E$2)*(E1222=E1221:E$2)))))</f>
        <v> </v>
      </c>
      <c r="J1222" s="25" t="str">
        <f>IF(OR(E1222="",E1222="!!!",F1222="NEW"),"",COUNTBLANK(OFFSET(A$1,,,SUMPRODUCT(MAX(ROW(E$2:E1222)*(E1222=E$2:E1222)))))-COUNTBLANK(OFFSET(A$1,,,SUMPRODUCT(MAX(ROW(E$1:E1221)*(E2=E$1:E1221))))))</f>
        <v> </v>
      </c>
      <c r="K1222" s="25" t="str">
        <f>IF(OR(E1222="",E1222="!!!",F1222="NEW"),"",INDEX(J$1:J1221,SUMPRODUCT(MAX(ROW(E$1:E1221)*(E1222=E$1:E1221)))))</f>
        <v> </v>
      </c>
      <c r="L1222" s="26"/>
    </row>
    <row r="1223" spans="1:12">
      <c r="A1223" s="20" t="s">
        <v>592</v>
      </c>
      <c r="E1223" s="21">
        <f>IF(D1223="?OLD","!!!","")</f>
        <v/>
      </c>
      <c r="F1223" s="22" t="str">
        <f>IF(OR(E1223="",E1223="!!!"),"",IF(NOT(ISNA(VLOOKUP(E1223,E$1:E1222,1,FALSE()))),"OLD",IF(AND(E1223&lt;&gt;"",E1223&lt;&gt;"!!!"),"NEW","")))</f>
        <v> </v>
      </c>
      <c r="G1223" s="23" t="str">
        <f>IF(OR(E1223="",E1223="!!!"),"",IF(OR(J1223=0,AND(J1223=1,K1223=1),AND(J1223=1,I1223="SBJ"),AND(J1223=1,I1223=0)),"?IN_FOCUS",IF(J1223&lt;=2,"?ACTIVATED",IF(J1223&lt;&gt;"","?FAMILIAR",IF(F1223="NEW",IF(ISNA(VLOOKUP(E1223,#REF!,1,FALSE())),"?TYPE_IDENTIFIABLE","?REFERENTIAL"),"_")))))</f>
        <v> </v>
      </c>
      <c r="H1223" s="24" t="str">
        <f>IF(J1223&lt;&gt;1,"",IF(I1223="SBJ","CB","?"))</f>
        <v> </v>
      </c>
      <c r="I1223" s="25" t="str">
        <f>IF(OR(E1223="",E1223="!!!",F1223="NEW"),"",INDEX(B1222:B$2,-1+SUMPRODUCT(MAX(ROW(E1222:E$2)*(E1223=E1222:E$2)))))</f>
        <v> </v>
      </c>
      <c r="J1223" s="25" t="str">
        <f>IF(OR(E1223="",E1223="!!!",F1223="NEW"),"",COUNTBLANK(OFFSET(A$1,,,SUMPRODUCT(MAX(ROW(E$2:E1223)*(E1223=E$2:E1223)))))-COUNTBLANK(OFFSET(A$1,,,SUMPRODUCT(MAX(ROW(E$1:E1222)*(E2=E$1:E1222))))))</f>
        <v> </v>
      </c>
      <c r="K1223" s="25" t="str">
        <f>IF(OR(E1223="",E1223="!!!",F1223="NEW"),"",INDEX(J$1:J1222,SUMPRODUCT(MAX(ROW(E$1:E1222)*(E1223=E$1:E1222)))))</f>
        <v> </v>
      </c>
      <c r="L1223" s="26"/>
    </row>
    <row r="1224" spans="1:12">
      <c r="A1224" s="20" t="s">
        <v>577</v>
      </c>
      <c r="E1224" s="21">
        <f>IF(D1224="?OLD","!!!","")</f>
        <v/>
      </c>
      <c r="F1224" s="22" t="str">
        <f>IF(OR(E1224="",E1224="!!!"),"",IF(NOT(ISNA(VLOOKUP(E1224,E$1:E1223,1,FALSE()))),"OLD",IF(AND(E1224&lt;&gt;"",E1224&lt;&gt;"!!!"),"NEW","")))</f>
        <v> </v>
      </c>
      <c r="G1224" s="23" t="str">
        <f>IF(OR(E1224="",E1224="!!!"),"",IF(OR(J1224=0,AND(J1224=1,K1224=1),AND(J1224=1,I1224="SBJ"),AND(J1224=1,I1224=0)),"?IN_FOCUS",IF(J1224&lt;=2,"?ACTIVATED",IF(J1224&lt;&gt;"","?FAMILIAR",IF(F1224="NEW",IF(ISNA(VLOOKUP(E1224,#REF!,1,FALSE())),"?TYPE_IDENTIFIABLE","?REFERENTIAL"),"_")))))</f>
        <v> </v>
      </c>
      <c r="H1224" s="24" t="str">
        <f>IF(J1224&lt;&gt;1,"",IF(I1224="SBJ","CB","?"))</f>
        <v> </v>
      </c>
      <c r="I1224" s="25" t="str">
        <f>IF(OR(E1224="",E1224="!!!",F1224="NEW"),"",INDEX(B1223:B$2,-1+SUMPRODUCT(MAX(ROW(E1223:E$2)*(E1224=E1223:E$2)))))</f>
        <v> </v>
      </c>
      <c r="J1224" s="25" t="str">
        <f>IF(OR(E1224="",E1224="!!!",F1224="NEW"),"",COUNTBLANK(OFFSET(A$1,,,SUMPRODUCT(MAX(ROW(E$2:E1224)*(E1224=E$2:E1224)))))-COUNTBLANK(OFFSET(A$1,,,SUMPRODUCT(MAX(ROW(E$1:E1223)*(E2=E$1:E1223))))))</f>
        <v> </v>
      </c>
      <c r="K1224" s="25" t="str">
        <f>IF(OR(E1224="",E1224="!!!",F1224="NEW"),"",INDEX(J$1:J1223,SUMPRODUCT(MAX(ROW(E$1:E1223)*(E1224=E$1:E1223)))))</f>
        <v> </v>
      </c>
      <c r="L1224" s="26"/>
    </row>
    <row r="1225" spans="1:12">
      <c r="A1225" s="20" t="s">
        <v>380</v>
      </c>
      <c r="E1225" s="21">
        <f>IF(D1225="?OLD","!!!","")</f>
        <v/>
      </c>
      <c r="F1225" s="22" t="str">
        <f>IF(OR(E1225="",E1225="!!!"),"",IF(NOT(ISNA(VLOOKUP(E1225,E$1:E1224,1,FALSE()))),"OLD",IF(AND(E1225&lt;&gt;"",E1225&lt;&gt;"!!!"),"NEW","")))</f>
        <v> </v>
      </c>
      <c r="G1225" s="23" t="str">
        <f>IF(OR(E1225="",E1225="!!!"),"",IF(OR(J1225=0,AND(J1225=1,K1225=1),AND(J1225=1,I1225="SBJ"),AND(J1225=1,I1225=0)),"?IN_FOCUS",IF(J1225&lt;=2,"?ACTIVATED",IF(J1225&lt;&gt;"","?FAMILIAR",IF(F1225="NEW",IF(ISNA(VLOOKUP(E1225,#REF!,1,FALSE())),"?TYPE_IDENTIFIABLE","?REFERENTIAL"),"_")))))</f>
        <v> </v>
      </c>
      <c r="H1225" s="24" t="str">
        <f>IF(J1225&lt;&gt;1,"",IF(I1225="SBJ","CB","?"))</f>
        <v> </v>
      </c>
      <c r="I1225" s="25" t="str">
        <f>IF(OR(E1225="",E1225="!!!",F1225="NEW"),"",INDEX(B1224:B$2,-1+SUMPRODUCT(MAX(ROW(E1224:E$2)*(E1225=E1224:E$2)))))</f>
        <v> </v>
      </c>
      <c r="J1225" s="25" t="str">
        <f>IF(OR(E1225="",E1225="!!!",F1225="NEW"),"",COUNTBLANK(OFFSET(A$1,,,SUMPRODUCT(MAX(ROW(E$2:E1225)*(E1225=E$2:E1225)))))-COUNTBLANK(OFFSET(A$1,,,SUMPRODUCT(MAX(ROW(E$1:E1224)*(E2=E$1:E1224))))))</f>
        <v> </v>
      </c>
      <c r="K1225" s="25" t="str">
        <f>IF(OR(E1225="",E1225="!!!",F1225="NEW"),"",INDEX(J$1:J1224,SUMPRODUCT(MAX(ROW(E$1:E1224)*(E1225=E$1:E1224)))))</f>
        <v> </v>
      </c>
      <c r="L1225" s="26"/>
    </row>
    <row r="1226" spans="1:12">
      <c r="A1226" s="20" t="s">
        <v>486</v>
      </c>
      <c r="B1226" s="27" t="s">
        <v>542</v>
      </c>
      <c r="C1226" s="27" t="s">
        <v>498</v>
      </c>
      <c r="E1226" s="21">
        <f>IF(D1226="?OLD","!!!","")</f>
        <v/>
      </c>
      <c r="F1226" s="22" t="str">
        <f>IF(OR(E1226="",E1226="!!!"),"",IF(NOT(ISNA(VLOOKUP(E1226,E$1:E1225,1,FALSE()))),"OLD",IF(AND(E1226&lt;&gt;"",E1226&lt;&gt;"!!!"),"NEW","")))</f>
        <v> </v>
      </c>
      <c r="G1226" s="23" t="str">
        <f>IF(OR(E1226="",E1226="!!!"),"",IF(OR(J1226=0,AND(J1226=1,K1226=1),AND(J1226=1,I1226="SBJ"),AND(J1226=1,I1226=0)),"?IN_FOCUS",IF(J1226&lt;=2,"?ACTIVATED",IF(J1226&lt;&gt;"","?FAMILIAR",IF(F1226="NEW",IF(ISNA(VLOOKUP(E1226,#REF!,1,FALSE())),"?TYPE_IDENTIFIABLE","?REFERENTIAL"),"_")))))</f>
        <v> </v>
      </c>
      <c r="H1226" s="24" t="str">
        <f>IF(J1226&lt;&gt;1,"",IF(I1226="SBJ","CB","?"))</f>
        <v> </v>
      </c>
      <c r="I1226" s="25" t="str">
        <f>IF(OR(E1226="",E1226="!!!",F1226="NEW"),"",INDEX(B1225:B$2,-1+SUMPRODUCT(MAX(ROW(E1225:E$2)*(E1226=E1225:E$2)))))</f>
        <v> </v>
      </c>
      <c r="J1226" s="25" t="str">
        <f>IF(OR(E1226="",E1226="!!!",F1226="NEW"),"",COUNTBLANK(OFFSET(A$1,,,SUMPRODUCT(MAX(ROW(E$2:E1226)*(E1226=E$2:E1226)))))-COUNTBLANK(OFFSET(A$1,,,SUMPRODUCT(MAX(ROW(E$1:E1225)*(E2=E$1:E1225))))))</f>
        <v> </v>
      </c>
      <c r="K1226" s="25" t="str">
        <f>IF(OR(E1226="",E1226="!!!",F1226="NEW"),"",INDEX(J$1:J1225,SUMPRODUCT(MAX(ROW(E$1:E1225)*(E1226=E$1:E1225)))))</f>
        <v> </v>
      </c>
      <c r="L1226" s="26"/>
    </row>
    <row r="1227" spans="1:12">
      <c r="A1227" s="20" t="s">
        <v>369</v>
      </c>
      <c r="E1227" s="21">
        <f>IF(D1227="?OLD","!!!","")</f>
        <v/>
      </c>
      <c r="F1227" s="22" t="str">
        <f>IF(OR(E1227="",E1227="!!!"),"",IF(NOT(ISNA(VLOOKUP(E1227,E$1:E1226,1,FALSE()))),"OLD",IF(AND(E1227&lt;&gt;"",E1227&lt;&gt;"!!!"),"NEW","")))</f>
        <v> </v>
      </c>
      <c r="G1227" s="23" t="str">
        <f>IF(OR(E1227="",E1227="!!!"),"",IF(OR(J1227=0,AND(J1227=1,K1227=1),AND(J1227=1,I1227="SBJ"),AND(J1227=1,I1227=0)),"?IN_FOCUS",IF(J1227&lt;=2,"?ACTIVATED",IF(J1227&lt;&gt;"","?FAMILIAR",IF(F1227="NEW",IF(ISNA(VLOOKUP(E1227,#REF!,1,FALSE())),"?TYPE_IDENTIFIABLE","?REFERENTIAL"),"_")))))</f>
        <v> </v>
      </c>
      <c r="H1227" s="24" t="str">
        <f>IF(J1227&lt;&gt;1,"",IF(I1227="SBJ","CB","?"))</f>
        <v> </v>
      </c>
      <c r="I1227" s="25" t="str">
        <f>IF(OR(E1227="",E1227="!!!",F1227="NEW"),"",INDEX(B1226:B$2,-1+SUMPRODUCT(MAX(ROW(E1226:E$2)*(E1227=E1226:E$2)))))</f>
        <v> </v>
      </c>
      <c r="J1227" s="25" t="str">
        <f>IF(OR(E1227="",E1227="!!!",F1227="NEW"),"",COUNTBLANK(OFFSET(A$1,,,SUMPRODUCT(MAX(ROW(E$2:E1227)*(E1227=E$2:E1227)))))-COUNTBLANK(OFFSET(A$1,,,SUMPRODUCT(MAX(ROW(E$1:E1226)*(E2=E$1:E1226))))))</f>
        <v> </v>
      </c>
      <c r="K1227" s="25" t="str">
        <f>IF(OR(E1227="",E1227="!!!",F1227="NEW"),"",INDEX(J$1:J1226,SUMPRODUCT(MAX(ROW(E$1:E1226)*(E1227=E$1:E1226)))))</f>
        <v> </v>
      </c>
      <c r="L1227" s="26"/>
    </row>
    <row r="1228" spans="1:12">
      <c r="A1228" s="20" t="s">
        <v>910</v>
      </c>
      <c r="E1228" s="21">
        <f>IF(D1228="?OLD","!!!","")</f>
        <v/>
      </c>
      <c r="F1228" s="22" t="str">
        <f>IF(OR(E1228="",E1228="!!!"),"",IF(NOT(ISNA(VLOOKUP(E1228,E$1:E1227,1,FALSE()))),"OLD",IF(AND(E1228&lt;&gt;"",E1228&lt;&gt;"!!!"),"NEW","")))</f>
        <v> </v>
      </c>
      <c r="G1228" s="23" t="str">
        <f>IF(OR(E1228="",E1228="!!!"),"",IF(OR(J1228=0,AND(J1228=1,K1228=1),AND(J1228=1,I1228="SBJ"),AND(J1228=1,I1228=0)),"?IN_FOCUS",IF(J1228&lt;=2,"?ACTIVATED",IF(J1228&lt;&gt;"","?FAMILIAR",IF(F1228="NEW",IF(ISNA(VLOOKUP(E1228,#REF!,1,FALSE())),"?TYPE_IDENTIFIABLE","?REFERENTIAL"),"_")))))</f>
        <v> </v>
      </c>
      <c r="H1228" s="24" t="str">
        <f>IF(J1228&lt;&gt;1,"",IF(I1228="SBJ","CB","?"))</f>
        <v> </v>
      </c>
      <c r="I1228" s="25" t="str">
        <f>IF(OR(E1228="",E1228="!!!",F1228="NEW"),"",INDEX(B1227:B$2,-1+SUMPRODUCT(MAX(ROW(E1227:E$2)*(E1228=E1227:E$2)))))</f>
        <v> </v>
      </c>
      <c r="J1228" s="25" t="str">
        <f>IF(OR(E1228="",E1228="!!!",F1228="NEW"),"",COUNTBLANK(OFFSET(A$1,,,SUMPRODUCT(MAX(ROW(E$2:E1228)*(E1228=E$2:E1228)))))-COUNTBLANK(OFFSET(A$1,,,SUMPRODUCT(MAX(ROW(E$1:E1227)*(E2=E$1:E1227))))))</f>
        <v> </v>
      </c>
      <c r="K1228" s="25" t="str">
        <f>IF(OR(E1228="",E1228="!!!",F1228="NEW"),"",INDEX(J$1:J1227,SUMPRODUCT(MAX(ROW(E$1:E1227)*(E1228=E$1:E1227)))))</f>
        <v> </v>
      </c>
      <c r="L1228" s="26"/>
    </row>
    <row r="1229" spans="1:12">
      <c r="A1229" s="20" t="s">
        <v>531</v>
      </c>
      <c r="E1229" s="21">
        <f>IF(D1229="?OLD","!!!","")</f>
        <v/>
      </c>
      <c r="F1229" s="22" t="str">
        <f>IF(OR(E1229="",E1229="!!!"),"",IF(NOT(ISNA(VLOOKUP(E1229,E$1:E1228,1,FALSE()))),"OLD",IF(AND(E1229&lt;&gt;"",E1229&lt;&gt;"!!!"),"NEW","")))</f>
        <v> </v>
      </c>
      <c r="G1229" s="23" t="str">
        <f>IF(OR(E1229="",E1229="!!!"),"",IF(OR(J1229=0,AND(J1229=1,K1229=1),AND(J1229=1,I1229="SBJ"),AND(J1229=1,I1229=0)),"?IN_FOCUS",IF(J1229&lt;=2,"?ACTIVATED",IF(J1229&lt;&gt;"","?FAMILIAR",IF(F1229="NEW",IF(ISNA(VLOOKUP(E1229,#REF!,1,FALSE())),"?TYPE_IDENTIFIABLE","?REFERENTIAL"),"_")))))</f>
        <v> </v>
      </c>
      <c r="H1229" s="24" t="str">
        <f>IF(J1229&lt;&gt;1,"",IF(I1229="SBJ","CB","?"))</f>
        <v> </v>
      </c>
      <c r="I1229" s="25" t="str">
        <f>IF(OR(E1229="",E1229="!!!",F1229="NEW"),"",INDEX(B1228:B$2,-1+SUMPRODUCT(MAX(ROW(E1228:E$2)*(E1229=E1228:E$2)))))</f>
        <v> </v>
      </c>
      <c r="J1229" s="25" t="str">
        <f>IF(OR(E1229="",E1229="!!!",F1229="NEW"),"",COUNTBLANK(OFFSET(A$1,,,SUMPRODUCT(MAX(ROW(E$2:E1229)*(E1229=E$2:E1229)))))-COUNTBLANK(OFFSET(A$1,,,SUMPRODUCT(MAX(ROW(E$1:E1228)*(E2=E$1:E1228))))))</f>
        <v> </v>
      </c>
      <c r="K1229" s="25" t="str">
        <f>IF(OR(E1229="",E1229="!!!",F1229="NEW"),"",INDEX(J$1:J1228,SUMPRODUCT(MAX(ROW(E$1:E1228)*(E1229=E$1:E1228)))))</f>
        <v> </v>
      </c>
      <c r="L1229" s="26"/>
    </row>
    <row r="1230" spans="1:12">
      <c r="A1230" s="20"/>
    </row>
    <row r="1231" spans="1:12">
      <c r="A1231" s="20" t="s">
        <v>927</v>
      </c>
    </row>
    <row r="1232" spans="1:12">
      <c r="A1232" s="20" t="s">
        <v>608</v>
      </c>
      <c r="B1232" s="27" t="s">
        <v>549</v>
      </c>
      <c r="C1232" s="27" t="s">
        <v>482</v>
      </c>
      <c r="D1232" s="27" t="s">
        <v>483</v>
      </c>
      <c r="E1232" s="21">
        <f>IF(D1232="?OLD","!!!","")</f>
        <v/>
      </c>
      <c r="F1232" s="22" t="str">
        <f>IF(OR(E1232="",E1232="!!!"),"",IF(NOT(ISNA(VLOOKUP(E1232,E$1:E1231,1,FALSE()))),"OLD",IF(AND(E1232&lt;&gt;"",E1232&lt;&gt;"!!!"),"NEW","")))</f>
        <v> </v>
      </c>
      <c r="G1232" s="23" t="str">
        <f>IF(OR(E1232="",E1232="!!!"),"",IF(OR(J1232=0,AND(J1232=1,K1232=1),AND(J1232=1,I1232="SBJ"),AND(J1232=1,I1232=0)),"?IN_FOCUS",IF(J1232&lt;=2,"?ACTIVATED",IF(J1232&lt;&gt;"","?FAMILIAR",IF(F1232="NEW",IF(ISNA(VLOOKUP(E1232,#REF!,1,FALSE())),"?TYPE_IDENTIFIABLE","?REFERENTIAL"),"_")))))</f>
        <v> </v>
      </c>
      <c r="H1232" s="24" t="str">
        <f>IF(J1232&lt;&gt;1,"",IF(I1232="SBJ","CB","?"))</f>
        <v> </v>
      </c>
      <c r="I1232" s="25" t="str">
        <f>IF(OR(E1232="",E1232="!!!",F1232="NEW"),"",INDEX(B1231:B$2,-1+SUMPRODUCT(MAX(ROW(E1231:E$2)*(E1232=E1231:E$2)))))</f>
        <v> </v>
      </c>
      <c r="J1232" s="25" t="str">
        <f>IF(OR(E1232="",E1232="!!!",F1232="NEW"),"",COUNTBLANK(OFFSET(A$1,,,SUMPRODUCT(MAX(ROW(E$2:E1232)*(E1232=E$2:E1232)))))-COUNTBLANK(OFFSET(A$1,,,SUMPRODUCT(MAX(ROW(E$1:E1231)*(E2=E$1:E1231))))))</f>
        <v> </v>
      </c>
      <c r="K1232" s="25" t="str">
        <f>IF(OR(E1232="",E1232="!!!",F1232="NEW"),"",INDEX(J$1:J1231,SUMPRODUCT(MAX(ROW(E$1:E1231)*(E1232=E$1:E1231)))))</f>
        <v> </v>
      </c>
      <c r="L1232" s="26"/>
    </row>
    <row r="1233" spans="1:12">
      <c r="A1233" s="20" t="s">
        <v>928</v>
      </c>
      <c r="E1233" s="21">
        <f>IF(D1233="?OLD","!!!","")</f>
        <v/>
      </c>
      <c r="F1233" s="22" t="str">
        <f>IF(OR(E1233="",E1233="!!!"),"",IF(NOT(ISNA(VLOOKUP(E1233,E$1:E1232,1,FALSE()))),"OLD",IF(AND(E1233&lt;&gt;"",E1233&lt;&gt;"!!!"),"NEW","")))</f>
        <v> </v>
      </c>
      <c r="G1233" s="23" t="str">
        <f>IF(OR(E1233="",E1233="!!!"),"",IF(OR(J1233=0,AND(J1233=1,K1233=1),AND(J1233=1,I1233="SBJ"),AND(J1233=1,I1233=0)),"?IN_FOCUS",IF(J1233&lt;=2,"?ACTIVATED",IF(J1233&lt;&gt;"","?FAMILIAR",IF(F1233="NEW",IF(ISNA(VLOOKUP(E1233,#REF!,1,FALSE())),"?TYPE_IDENTIFIABLE","?REFERENTIAL"),"_")))))</f>
        <v> </v>
      </c>
      <c r="H1233" s="24" t="str">
        <f>IF(J1233&lt;&gt;1,"",IF(I1233="SBJ","CB","?"))</f>
        <v> </v>
      </c>
      <c r="I1233" s="25" t="str">
        <f>IF(OR(E1233="",E1233="!!!",F1233="NEW"),"",INDEX(B1232:B$2,-1+SUMPRODUCT(MAX(ROW(E1232:E$2)*(E1233=E1232:E$2)))))</f>
        <v> </v>
      </c>
      <c r="J1233" s="25" t="str">
        <f>IF(OR(E1233="",E1233="!!!",F1233="NEW"),"",COUNTBLANK(OFFSET(A$1,,,SUMPRODUCT(MAX(ROW(E$2:E1233)*(E1233=E$2:E1233)))))-COUNTBLANK(OFFSET(A$1,,,SUMPRODUCT(MAX(ROW(E$1:E1232)*(E2=E$1:E1232))))))</f>
        <v> </v>
      </c>
      <c r="K1233" s="25" t="str">
        <f>IF(OR(E1233="",E1233="!!!",F1233="NEW"),"",INDEX(J$1:J1232,SUMPRODUCT(MAX(ROW(E$1:E1232)*(E1233=E$1:E1232)))))</f>
        <v> </v>
      </c>
      <c r="L1233" s="26"/>
    </row>
    <row r="1234" spans="1:12">
      <c r="A1234" s="20" t="s">
        <v>72</v>
      </c>
      <c r="E1234" s="21">
        <f>IF(D1234="?OLD","!!!","")</f>
        <v/>
      </c>
      <c r="F1234" s="22" t="str">
        <f>IF(OR(E1234="",E1234="!!!"),"",IF(NOT(ISNA(VLOOKUP(E1234,E$1:E1233,1,FALSE()))),"OLD",IF(AND(E1234&lt;&gt;"",E1234&lt;&gt;"!!!"),"NEW","")))</f>
        <v> </v>
      </c>
      <c r="G1234" s="23" t="str">
        <f>IF(OR(E1234="",E1234="!!!"),"",IF(OR(J1234=0,AND(J1234=1,K1234=1),AND(J1234=1,I1234="SBJ"),AND(J1234=1,I1234=0)),"?IN_FOCUS",IF(J1234&lt;=2,"?ACTIVATED",IF(J1234&lt;&gt;"","?FAMILIAR",IF(F1234="NEW",IF(ISNA(VLOOKUP(E1234,#REF!,1,FALSE())),"?TYPE_IDENTIFIABLE","?REFERENTIAL"),"_")))))</f>
        <v> </v>
      </c>
      <c r="H1234" s="24" t="str">
        <f>IF(J1234&lt;&gt;1,"",IF(I1234="SBJ","CB","?"))</f>
        <v> </v>
      </c>
      <c r="I1234" s="25" t="str">
        <f>IF(OR(E1234="",E1234="!!!",F1234="NEW"),"",INDEX(B1233:B$2,-1+SUMPRODUCT(MAX(ROW(E1233:E$2)*(E1234=E1233:E$2)))))</f>
        <v> </v>
      </c>
      <c r="J1234" s="25" t="str">
        <f>IF(OR(E1234="",E1234="!!!",F1234="NEW"),"",COUNTBLANK(OFFSET(A$1,,,SUMPRODUCT(MAX(ROW(E$2:E1234)*(E1234=E$2:E1234)))))-COUNTBLANK(OFFSET(A$1,,,SUMPRODUCT(MAX(ROW(E$1:E1233)*(E2=E$1:E1233))))))</f>
        <v> </v>
      </c>
      <c r="K1234" s="25" t="str">
        <f>IF(OR(E1234="",E1234="!!!",F1234="NEW"),"",INDEX(J$1:J1233,SUMPRODUCT(MAX(ROW(E$1:E1233)*(E1234=E$1:E1233)))))</f>
        <v> </v>
      </c>
      <c r="L1234" s="26"/>
    </row>
    <row r="1235" spans="1:12">
      <c r="A1235" s="20" t="s">
        <v>529</v>
      </c>
      <c r="E1235" s="21">
        <f>IF(D1235="?OLD","!!!","")</f>
        <v/>
      </c>
      <c r="F1235" s="22" t="str">
        <f>IF(OR(E1235="",E1235="!!!"),"",IF(NOT(ISNA(VLOOKUP(E1235,E$1:E1234,1,FALSE()))),"OLD",IF(AND(E1235&lt;&gt;"",E1235&lt;&gt;"!!!"),"NEW","")))</f>
        <v> </v>
      </c>
      <c r="G1235" s="23" t="str">
        <f>IF(OR(E1235="",E1235="!!!"),"",IF(OR(J1235=0,AND(J1235=1,K1235=1),AND(J1235=1,I1235="SBJ"),AND(J1235=1,I1235=0)),"?IN_FOCUS",IF(J1235&lt;=2,"?ACTIVATED",IF(J1235&lt;&gt;"","?FAMILIAR",IF(F1235="NEW",IF(ISNA(VLOOKUP(E1235,#REF!,1,FALSE())),"?TYPE_IDENTIFIABLE","?REFERENTIAL"),"_")))))</f>
        <v> </v>
      </c>
      <c r="H1235" s="24" t="str">
        <f>IF(J1235&lt;&gt;1,"",IF(I1235="SBJ","CB","?"))</f>
        <v> </v>
      </c>
      <c r="I1235" s="25" t="str">
        <f>IF(OR(E1235="",E1235="!!!",F1235="NEW"),"",INDEX(B1234:B$2,-1+SUMPRODUCT(MAX(ROW(E1234:E$2)*(E1235=E1234:E$2)))))</f>
        <v> </v>
      </c>
      <c r="J1235" s="25" t="str">
        <f>IF(OR(E1235="",E1235="!!!",F1235="NEW"),"",COUNTBLANK(OFFSET(A$1,,,SUMPRODUCT(MAX(ROW(E$2:E1235)*(E1235=E$2:E1235)))))-COUNTBLANK(OFFSET(A$1,,,SUMPRODUCT(MAX(ROW(E$1:E1234)*(E2=E$1:E1234))))))</f>
        <v> </v>
      </c>
      <c r="K1235" s="25" t="str">
        <f>IF(OR(E1235="",E1235="!!!",F1235="NEW"),"",INDEX(J$1:J1234,SUMPRODUCT(MAX(ROW(E$1:E1234)*(E1235=E$1:E1234)))))</f>
        <v> </v>
      </c>
      <c r="L1235" s="26"/>
    </row>
    <row r="1236" spans="1:12">
      <c r="A1236" s="20" t="s">
        <v>929</v>
      </c>
      <c r="E1236" s="21">
        <f>IF(D1236="?OLD","!!!","")</f>
        <v/>
      </c>
      <c r="F1236" s="22" t="str">
        <f>IF(OR(E1236="",E1236="!!!"),"",IF(NOT(ISNA(VLOOKUP(E1236,E$1:E1235,1,FALSE()))),"OLD",IF(AND(E1236&lt;&gt;"",E1236&lt;&gt;"!!!"),"NEW","")))</f>
        <v> </v>
      </c>
      <c r="G1236" s="23" t="str">
        <f>IF(OR(E1236="",E1236="!!!"),"",IF(OR(J1236=0,AND(J1236=1,K1236=1),AND(J1236=1,I1236="SBJ"),AND(J1236=1,I1236=0)),"?IN_FOCUS",IF(J1236&lt;=2,"?ACTIVATED",IF(J1236&lt;&gt;"","?FAMILIAR",IF(F1236="NEW",IF(ISNA(VLOOKUP(E1236,#REF!,1,FALSE())),"?TYPE_IDENTIFIABLE","?REFERENTIAL"),"_")))))</f>
        <v> </v>
      </c>
      <c r="H1236" s="24" t="str">
        <f>IF(J1236&lt;&gt;1,"",IF(I1236="SBJ","CB","?"))</f>
        <v> </v>
      </c>
      <c r="I1236" s="25" t="str">
        <f>IF(OR(E1236="",E1236="!!!",F1236="NEW"),"",INDEX(B1235:B$2,-1+SUMPRODUCT(MAX(ROW(E1235:E$2)*(E1236=E1235:E$2)))))</f>
        <v> </v>
      </c>
      <c r="J1236" s="25" t="str">
        <f>IF(OR(E1236="",E1236="!!!",F1236="NEW"),"",COUNTBLANK(OFFSET(A$1,,,SUMPRODUCT(MAX(ROW(E$2:E1236)*(E1236=E$2:E1236)))))-COUNTBLANK(OFFSET(A$1,,,SUMPRODUCT(MAX(ROW(E$1:E1235)*(E2=E$1:E1235))))))</f>
        <v> </v>
      </c>
      <c r="K1236" s="25" t="str">
        <f>IF(OR(E1236="",E1236="!!!",F1236="NEW"),"",INDEX(J$1:J1235,SUMPRODUCT(MAX(ROW(E$1:E1235)*(E1236=E$1:E1235)))))</f>
        <v> </v>
      </c>
      <c r="L1236" s="26"/>
    </row>
    <row r="1237" spans="1:12">
      <c r="A1237" s="20" t="s">
        <v>894</v>
      </c>
      <c r="E1237" s="21">
        <f>IF(D1237="?OLD","!!!","")</f>
        <v/>
      </c>
      <c r="F1237" s="22" t="str">
        <f>IF(OR(E1237="",E1237="!!!"),"",IF(NOT(ISNA(VLOOKUP(E1237,E$1:E1236,1,FALSE()))),"OLD",IF(AND(E1237&lt;&gt;"",E1237&lt;&gt;"!!!"),"NEW","")))</f>
        <v> </v>
      </c>
      <c r="G1237" s="23" t="str">
        <f>IF(OR(E1237="",E1237="!!!"),"",IF(OR(J1237=0,AND(J1237=1,K1237=1),AND(J1237=1,I1237="SBJ"),AND(J1237=1,I1237=0)),"?IN_FOCUS",IF(J1237&lt;=2,"?ACTIVATED",IF(J1237&lt;&gt;"","?FAMILIAR",IF(F1237="NEW",IF(ISNA(VLOOKUP(E1237,#REF!,1,FALSE())),"?TYPE_IDENTIFIABLE","?REFERENTIAL"),"_")))))</f>
        <v> </v>
      </c>
      <c r="H1237" s="24" t="str">
        <f>IF(J1237&lt;&gt;1,"",IF(I1237="SBJ","CB","?"))</f>
        <v> </v>
      </c>
      <c r="I1237" s="25" t="str">
        <f>IF(OR(E1237="",E1237="!!!",F1237="NEW"),"",INDEX(B1236:B$2,-1+SUMPRODUCT(MAX(ROW(E1236:E$2)*(E1237=E1236:E$2)))))</f>
        <v> </v>
      </c>
      <c r="J1237" s="25" t="str">
        <f>IF(OR(E1237="",E1237="!!!",F1237="NEW"),"",COUNTBLANK(OFFSET(A$1,,,SUMPRODUCT(MAX(ROW(E$2:E1237)*(E1237=E$2:E1237)))))-COUNTBLANK(OFFSET(A$1,,,SUMPRODUCT(MAX(ROW(E$1:E1236)*(E2=E$1:E1236))))))</f>
        <v> </v>
      </c>
      <c r="K1237" s="25" t="str">
        <f>IF(OR(E1237="",E1237="!!!",F1237="NEW"),"",INDEX(J$1:J1236,SUMPRODUCT(MAX(ROW(E$1:E1236)*(E1237=E$1:E1236)))))</f>
        <v> </v>
      </c>
      <c r="L1237" s="26"/>
    </row>
    <row r="1238" spans="1:12">
      <c r="A1238" s="20" t="s">
        <v>507</v>
      </c>
      <c r="E1238" s="21">
        <f>IF(D1238="?OLD","!!!","")</f>
        <v/>
      </c>
      <c r="F1238" s="22" t="str">
        <f>IF(OR(E1238="",E1238="!!!"),"",IF(NOT(ISNA(VLOOKUP(E1238,E$1:E1237,1,FALSE()))),"OLD",IF(AND(E1238&lt;&gt;"",E1238&lt;&gt;"!!!"),"NEW","")))</f>
        <v> </v>
      </c>
      <c r="G1238" s="23" t="str">
        <f>IF(OR(E1238="",E1238="!!!"),"",IF(OR(J1238=0,AND(J1238=1,K1238=1),AND(J1238=1,I1238="SBJ"),AND(J1238=1,I1238=0)),"?IN_FOCUS",IF(J1238&lt;=2,"?ACTIVATED",IF(J1238&lt;&gt;"","?FAMILIAR",IF(F1238="NEW",IF(ISNA(VLOOKUP(E1238,#REF!,1,FALSE())),"?TYPE_IDENTIFIABLE","?REFERENTIAL"),"_")))))</f>
        <v> </v>
      </c>
      <c r="H1238" s="24" t="str">
        <f>IF(J1238&lt;&gt;1,"",IF(I1238="SBJ","CB","?"))</f>
        <v> </v>
      </c>
      <c r="I1238" s="25" t="str">
        <f>IF(OR(E1238="",E1238="!!!",F1238="NEW"),"",INDEX(B1237:B$2,-1+SUMPRODUCT(MAX(ROW(E1237:E$2)*(E1238=E1237:E$2)))))</f>
        <v> </v>
      </c>
      <c r="J1238" s="25" t="str">
        <f>IF(OR(E1238="",E1238="!!!",F1238="NEW"),"",COUNTBLANK(OFFSET(A$1,,,SUMPRODUCT(MAX(ROW(E$2:E1238)*(E1238=E$2:E1238)))))-COUNTBLANK(OFFSET(A$1,,,SUMPRODUCT(MAX(ROW(E$1:E1237)*(E2=E$1:E1237))))))</f>
        <v> </v>
      </c>
      <c r="K1238" s="25" t="str">
        <f>IF(OR(E1238="",E1238="!!!",F1238="NEW"),"",INDEX(J$1:J1237,SUMPRODUCT(MAX(ROW(E$1:E1237)*(E1238=E$1:E1237)))))</f>
        <v> </v>
      </c>
      <c r="L1238" s="26"/>
    </row>
    <row r="1239" spans="1:12">
      <c r="A1239" s="20" t="s">
        <v>769</v>
      </c>
      <c r="E1239" s="21">
        <f>IF(D1239="?OLD","!!!","")</f>
        <v/>
      </c>
      <c r="F1239" s="22" t="str">
        <f>IF(OR(E1239="",E1239="!!!"),"",IF(NOT(ISNA(VLOOKUP(E1239,E$1:E1238,1,FALSE()))),"OLD",IF(AND(E1239&lt;&gt;"",E1239&lt;&gt;"!!!"),"NEW","")))</f>
        <v> </v>
      </c>
      <c r="G1239" s="23" t="str">
        <f>IF(OR(E1239="",E1239="!!!"),"",IF(OR(J1239=0,AND(J1239=1,K1239=1),AND(J1239=1,I1239="SBJ"),AND(J1239=1,I1239=0)),"?IN_FOCUS",IF(J1239&lt;=2,"?ACTIVATED",IF(J1239&lt;&gt;"","?FAMILIAR",IF(F1239="NEW",IF(ISNA(VLOOKUP(E1239,#REF!,1,FALSE())),"?TYPE_IDENTIFIABLE","?REFERENTIAL"),"_")))))</f>
        <v> </v>
      </c>
      <c r="H1239" s="24" t="str">
        <f>IF(J1239&lt;&gt;1,"",IF(I1239="SBJ","CB","?"))</f>
        <v> </v>
      </c>
      <c r="I1239" s="25" t="str">
        <f>IF(OR(E1239="",E1239="!!!",F1239="NEW"),"",INDEX(B1238:B$2,-1+SUMPRODUCT(MAX(ROW(E1238:E$2)*(E1239=E1238:E$2)))))</f>
        <v> </v>
      </c>
      <c r="J1239" s="25" t="str">
        <f>IF(OR(E1239="",E1239="!!!",F1239="NEW"),"",COUNTBLANK(OFFSET(A$1,,,SUMPRODUCT(MAX(ROW(E$2:E1239)*(E1239=E$2:E1239)))))-COUNTBLANK(OFFSET(A$1,,,SUMPRODUCT(MAX(ROW(E$1:E1238)*(E2=E$1:E1238))))))</f>
        <v> </v>
      </c>
      <c r="K1239" s="25" t="str">
        <f>IF(OR(E1239="",E1239="!!!",F1239="NEW"),"",INDEX(J$1:J1238,SUMPRODUCT(MAX(ROW(E$1:E1238)*(E1239=E$1:E1238)))))</f>
        <v> </v>
      </c>
      <c r="L1239" s="26"/>
    </row>
    <row r="1240" spans="1:12">
      <c r="A1240" s="20" t="s">
        <v>930</v>
      </c>
      <c r="B1240" s="27" t="s">
        <v>547</v>
      </c>
      <c r="C1240" s="27" t="s">
        <v>598</v>
      </c>
      <c r="D1240" s="27" t="s">
        <v>483</v>
      </c>
      <c r="E1240" s="21">
        <f>IF(D1240="?OLD","!!!","")</f>
        <v/>
      </c>
      <c r="F1240" s="22" t="str">
        <f>IF(OR(E1240="",E1240="!!!"),"",IF(NOT(ISNA(VLOOKUP(E1240,E$1:E1239,1,FALSE()))),"OLD",IF(AND(E1240&lt;&gt;"",E1240&lt;&gt;"!!!"),"NEW","")))</f>
        <v> </v>
      </c>
      <c r="G1240" s="23" t="str">
        <f>IF(OR(E1240="",E1240="!!!"),"",IF(OR(J1240=0,AND(J1240=1,K1240=1),AND(J1240=1,I1240="SBJ"),AND(J1240=1,I1240=0)),"?IN_FOCUS",IF(J1240&lt;=2,"?ACTIVATED",IF(J1240&lt;&gt;"","?FAMILIAR",IF(F1240="NEW",IF(ISNA(VLOOKUP(E1240,#REF!,1,FALSE())),"?TYPE_IDENTIFIABLE","?REFERENTIAL"),"_")))))</f>
        <v> </v>
      </c>
      <c r="H1240" s="24" t="str">
        <f>IF(J1240&lt;&gt;1,"",IF(I1240="SBJ","CB","?"))</f>
        <v> </v>
      </c>
      <c r="I1240" s="25" t="str">
        <f>IF(OR(E1240="",E1240="!!!",F1240="NEW"),"",INDEX(B1239:B$2,-1+SUMPRODUCT(MAX(ROW(E1239:E$2)*(E1240=E1239:E$2)))))</f>
        <v> </v>
      </c>
      <c r="J1240" s="25" t="str">
        <f>IF(OR(E1240="",E1240="!!!",F1240="NEW"),"",COUNTBLANK(OFFSET(A$1,,,SUMPRODUCT(MAX(ROW(E$2:E1240)*(E1240=E$2:E1240)))))-COUNTBLANK(OFFSET(A$1,,,SUMPRODUCT(MAX(ROW(E$1:E1239)*(E2=E$1:E1239))))))</f>
        <v> </v>
      </c>
      <c r="K1240" s="25" t="str">
        <f>IF(OR(E1240="",E1240="!!!",F1240="NEW"),"",INDEX(J$1:J1239,SUMPRODUCT(MAX(ROW(E$1:E1239)*(E1240=E$1:E1239)))))</f>
        <v> </v>
      </c>
      <c r="L1240" s="26"/>
    </row>
    <row r="1241" spans="1:12">
      <c r="A1241" s="20" t="s">
        <v>592</v>
      </c>
      <c r="E1241" s="21">
        <f>IF(D1241="?OLD","!!!","")</f>
        <v/>
      </c>
      <c r="F1241" s="22" t="str">
        <f>IF(OR(E1241="",E1241="!!!"),"",IF(NOT(ISNA(VLOOKUP(E1241,E$1:E1240,1,FALSE()))),"OLD",IF(AND(E1241&lt;&gt;"",E1241&lt;&gt;"!!!"),"NEW","")))</f>
        <v> </v>
      </c>
      <c r="G1241" s="23" t="str">
        <f>IF(OR(E1241="",E1241="!!!"),"",IF(OR(J1241=0,AND(J1241=1,K1241=1),AND(J1241=1,I1241="SBJ"),AND(J1241=1,I1241=0)),"?IN_FOCUS",IF(J1241&lt;=2,"?ACTIVATED",IF(J1241&lt;&gt;"","?FAMILIAR",IF(F1241="NEW",IF(ISNA(VLOOKUP(E1241,#REF!,1,FALSE())),"?TYPE_IDENTIFIABLE","?REFERENTIAL"),"_")))))</f>
        <v> </v>
      </c>
      <c r="H1241" s="24" t="str">
        <f>IF(J1241&lt;&gt;1,"",IF(I1241="SBJ","CB","?"))</f>
        <v> </v>
      </c>
      <c r="I1241" s="25" t="str">
        <f>IF(OR(E1241="",E1241="!!!",F1241="NEW"),"",INDEX(B1240:B$2,-1+SUMPRODUCT(MAX(ROW(E1240:E$2)*(E1241=E1240:E$2)))))</f>
        <v> </v>
      </c>
      <c r="J1241" s="25" t="str">
        <f>IF(OR(E1241="",E1241="!!!",F1241="NEW"),"",COUNTBLANK(OFFSET(A$1,,,SUMPRODUCT(MAX(ROW(E$2:E1241)*(E1241=E$2:E1241)))))-COUNTBLANK(OFFSET(A$1,,,SUMPRODUCT(MAX(ROW(E$1:E1240)*(E2=E$1:E1240))))))</f>
        <v> </v>
      </c>
      <c r="K1241" s="25" t="str">
        <f>IF(OR(E1241="",E1241="!!!",F1241="NEW"),"",INDEX(J$1:J1240,SUMPRODUCT(MAX(ROW(E$1:E1240)*(E1241=E$1:E1240)))))</f>
        <v> </v>
      </c>
      <c r="L1241" s="26"/>
    </row>
    <row r="1242" spans="1:12">
      <c r="A1242" s="20" t="s">
        <v>931</v>
      </c>
      <c r="E1242" s="21">
        <f>IF(D1242="?OLD","!!!","")</f>
        <v/>
      </c>
      <c r="F1242" s="22" t="str">
        <f>IF(OR(E1242="",E1242="!!!"),"",IF(NOT(ISNA(VLOOKUP(E1242,E$1:E1241,1,FALSE()))),"OLD",IF(AND(E1242&lt;&gt;"",E1242&lt;&gt;"!!!"),"NEW","")))</f>
        <v> </v>
      </c>
      <c r="G1242" s="23" t="str">
        <f>IF(OR(E1242="",E1242="!!!"),"",IF(OR(J1242=0,AND(J1242=1,K1242=1),AND(J1242=1,I1242="SBJ"),AND(J1242=1,I1242=0)),"?IN_FOCUS",IF(J1242&lt;=2,"?ACTIVATED",IF(J1242&lt;&gt;"","?FAMILIAR",IF(F1242="NEW",IF(ISNA(VLOOKUP(E1242,#REF!,1,FALSE())),"?TYPE_IDENTIFIABLE","?REFERENTIAL"),"_")))))</f>
        <v> </v>
      </c>
      <c r="H1242" s="24" t="str">
        <f>IF(J1242&lt;&gt;1,"",IF(I1242="SBJ","CB","?"))</f>
        <v> </v>
      </c>
      <c r="I1242" s="25" t="str">
        <f>IF(OR(E1242="",E1242="!!!",F1242="NEW"),"",INDEX(B1241:B$2,-1+SUMPRODUCT(MAX(ROW(E1241:E$2)*(E1242=E1241:E$2)))))</f>
        <v> </v>
      </c>
      <c r="J1242" s="25" t="str">
        <f>IF(OR(E1242="",E1242="!!!",F1242="NEW"),"",COUNTBLANK(OFFSET(A$1,,,SUMPRODUCT(MAX(ROW(E$2:E1242)*(E1242=E$2:E1242)))))-COUNTBLANK(OFFSET(A$1,,,SUMPRODUCT(MAX(ROW(E$1:E1241)*(E2=E$1:E1241))))))</f>
        <v> </v>
      </c>
      <c r="K1242" s="25" t="str">
        <f>IF(OR(E1242="",E1242="!!!",F1242="NEW"),"",INDEX(J$1:J1241,SUMPRODUCT(MAX(ROW(E$1:E1241)*(E1242=E$1:E1241)))))</f>
        <v> </v>
      </c>
      <c r="L1242" s="26"/>
    </row>
    <row r="1243" spans="1:12">
      <c r="A1243" s="20" t="s">
        <v>679</v>
      </c>
      <c r="B1243" s="27" t="s">
        <v>497</v>
      </c>
      <c r="C1243" s="27" t="s">
        <v>482</v>
      </c>
      <c r="D1243" s="27" t="s">
        <v>483</v>
      </c>
      <c r="E1243" s="21">
        <f>IF(D1243="?OLD","!!!","")</f>
        <v/>
      </c>
      <c r="F1243" s="22" t="str">
        <f>IF(OR(E1243="",E1243="!!!"),"",IF(NOT(ISNA(VLOOKUP(E1243,E$1:E1242,1,FALSE()))),"OLD",IF(AND(E1243&lt;&gt;"",E1243&lt;&gt;"!!!"),"NEW","")))</f>
        <v> </v>
      </c>
      <c r="G1243" s="23" t="str">
        <f>IF(OR(E1243="",E1243="!!!"),"",IF(OR(J1243=0,AND(J1243=1,K1243=1),AND(J1243=1,I1243="SBJ"),AND(J1243=1,I1243=0)),"?IN_FOCUS",IF(J1243&lt;=2,"?ACTIVATED",IF(J1243&lt;&gt;"","?FAMILIAR",IF(F1243="NEW",IF(ISNA(VLOOKUP(E1243,#REF!,1,FALSE())),"?TYPE_IDENTIFIABLE","?REFERENTIAL"),"_")))))</f>
        <v> </v>
      </c>
      <c r="H1243" s="24" t="str">
        <f>IF(J1243&lt;&gt;1,"",IF(I1243="SBJ","CB","?"))</f>
        <v> </v>
      </c>
      <c r="I1243" s="25" t="str">
        <f>IF(OR(E1243="",E1243="!!!",F1243="NEW"),"",INDEX(B1242:B$2,-1+SUMPRODUCT(MAX(ROW(E1242:E$2)*(E1243=E1242:E$2)))))</f>
        <v> </v>
      </c>
      <c r="J1243" s="25" t="str">
        <f>IF(OR(E1243="",E1243="!!!",F1243="NEW"),"",COUNTBLANK(OFFSET(A$1,,,SUMPRODUCT(MAX(ROW(E$2:E1243)*(E1243=E$2:E1243)))))-COUNTBLANK(OFFSET(A$1,,,SUMPRODUCT(MAX(ROW(E$1:E1242)*(E2=E$1:E1242))))))</f>
        <v> </v>
      </c>
      <c r="K1243" s="25" t="str">
        <f>IF(OR(E1243="",E1243="!!!",F1243="NEW"),"",INDEX(J$1:J1242,SUMPRODUCT(MAX(ROW(E$1:E1242)*(E1243=E$1:E1242)))))</f>
        <v> </v>
      </c>
      <c r="L1243" s="26"/>
    </row>
    <row r="1244" spans="1:12">
      <c r="A1244" s="20" t="s">
        <v>507</v>
      </c>
      <c r="E1244" s="21">
        <f>IF(D1244="?OLD","!!!","")</f>
        <v/>
      </c>
      <c r="F1244" s="22" t="str">
        <f>IF(OR(E1244="",E1244="!!!"),"",IF(NOT(ISNA(VLOOKUP(E1244,E$1:E1243,1,FALSE()))),"OLD",IF(AND(E1244&lt;&gt;"",E1244&lt;&gt;"!!!"),"NEW","")))</f>
        <v> </v>
      </c>
      <c r="G1244" s="23" t="str">
        <f>IF(OR(E1244="",E1244="!!!"),"",IF(OR(J1244=0,AND(J1244=1,K1244=1),AND(J1244=1,I1244="SBJ"),AND(J1244=1,I1244=0)),"?IN_FOCUS",IF(J1244&lt;=2,"?ACTIVATED",IF(J1244&lt;&gt;"","?FAMILIAR",IF(F1244="NEW",IF(ISNA(VLOOKUP(E1244,#REF!,1,FALSE())),"?TYPE_IDENTIFIABLE","?REFERENTIAL"),"_")))))</f>
        <v> </v>
      </c>
      <c r="H1244" s="24" t="str">
        <f>IF(J1244&lt;&gt;1,"",IF(I1244="SBJ","CB","?"))</f>
        <v> </v>
      </c>
      <c r="I1244" s="25" t="str">
        <f>IF(OR(E1244="",E1244="!!!",F1244="NEW"),"",INDEX(B1243:B$2,-1+SUMPRODUCT(MAX(ROW(E1243:E$2)*(E1244=E1243:E$2)))))</f>
        <v> </v>
      </c>
      <c r="J1244" s="25" t="str">
        <f>IF(OR(E1244="",E1244="!!!",F1244="NEW"),"",COUNTBLANK(OFFSET(A$1,,,SUMPRODUCT(MAX(ROW(E$2:E1244)*(E1244=E$2:E1244)))))-COUNTBLANK(OFFSET(A$1,,,SUMPRODUCT(MAX(ROW(E$1:E1243)*(E2=E$1:E1243))))))</f>
        <v> </v>
      </c>
      <c r="K1244" s="25" t="str">
        <f>IF(OR(E1244="",E1244="!!!",F1244="NEW"),"",INDEX(J$1:J1243,SUMPRODUCT(MAX(ROW(E$1:E1243)*(E1244=E$1:E1243)))))</f>
        <v> </v>
      </c>
      <c r="L1244" s="26"/>
    </row>
    <row r="1245" spans="1:12">
      <c r="A1245" s="20" t="s">
        <v>380</v>
      </c>
      <c r="E1245" s="21">
        <f>IF(D1245="?OLD","!!!","")</f>
        <v/>
      </c>
      <c r="F1245" s="22" t="str">
        <f>IF(OR(E1245="",E1245="!!!"),"",IF(NOT(ISNA(VLOOKUP(E1245,E$1:E1244,1,FALSE()))),"OLD",IF(AND(E1245&lt;&gt;"",E1245&lt;&gt;"!!!"),"NEW","")))</f>
        <v> </v>
      </c>
      <c r="G1245" s="23" t="str">
        <f>IF(OR(E1245="",E1245="!!!"),"",IF(OR(J1245=0,AND(J1245=1,K1245=1),AND(J1245=1,I1245="SBJ"),AND(J1245=1,I1245=0)),"?IN_FOCUS",IF(J1245&lt;=2,"?ACTIVATED",IF(J1245&lt;&gt;"","?FAMILIAR",IF(F1245="NEW",IF(ISNA(VLOOKUP(E1245,#REF!,1,FALSE())),"?TYPE_IDENTIFIABLE","?REFERENTIAL"),"_")))))</f>
        <v> </v>
      </c>
      <c r="H1245" s="24" t="str">
        <f>IF(J1245&lt;&gt;1,"",IF(I1245="SBJ","CB","?"))</f>
        <v> </v>
      </c>
      <c r="I1245" s="25" t="str">
        <f>IF(OR(E1245="",E1245="!!!",F1245="NEW"),"",INDEX(B1244:B$2,-1+SUMPRODUCT(MAX(ROW(E1244:E$2)*(E1245=E1244:E$2)))))</f>
        <v> </v>
      </c>
      <c r="J1245" s="25" t="str">
        <f>IF(OR(E1245="",E1245="!!!",F1245="NEW"),"",COUNTBLANK(OFFSET(A$1,,,SUMPRODUCT(MAX(ROW(E$2:E1245)*(E1245=E$2:E1245)))))-COUNTBLANK(OFFSET(A$1,,,SUMPRODUCT(MAX(ROW(E$1:E1244)*(E2=E$1:E1244))))))</f>
        <v> </v>
      </c>
      <c r="K1245" s="25" t="str">
        <f>IF(OR(E1245="",E1245="!!!",F1245="NEW"),"",INDEX(J$1:J1244,SUMPRODUCT(MAX(ROW(E$1:E1244)*(E1245=E$1:E1244)))))</f>
        <v> </v>
      </c>
      <c r="L1245" s="26"/>
    </row>
    <row r="1246" spans="1:12">
      <c r="A1246" s="20" t="s">
        <v>586</v>
      </c>
      <c r="B1246" s="27" t="s">
        <v>659</v>
      </c>
      <c r="C1246" s="27" t="s">
        <v>538</v>
      </c>
      <c r="D1246" s="27" t="s">
        <v>483</v>
      </c>
      <c r="E1246" s="21">
        <f>IF(D1246="?OLD","!!!","")</f>
        <v/>
      </c>
      <c r="F1246" s="22" t="str">
        <f>IF(OR(E1246="",E1246="!!!"),"",IF(NOT(ISNA(VLOOKUP(E1246,E$1:E1245,1,FALSE()))),"OLD",IF(AND(E1246&lt;&gt;"",E1246&lt;&gt;"!!!"),"NEW","")))</f>
        <v> </v>
      </c>
      <c r="G1246" s="23" t="str">
        <f>IF(OR(E1246="",E1246="!!!"),"",IF(OR(J1246=0,AND(J1246=1,K1246=1),AND(J1246=1,I1246="SBJ"),AND(J1246=1,I1246=0)),"?IN_FOCUS",IF(J1246&lt;=2,"?ACTIVATED",IF(J1246&lt;&gt;"","?FAMILIAR",IF(F1246="NEW",IF(ISNA(VLOOKUP(E1246,#REF!,1,FALSE())),"?TYPE_IDENTIFIABLE","?REFERENTIAL"),"_")))))</f>
        <v> </v>
      </c>
      <c r="H1246" s="24" t="str">
        <f>IF(J1246&lt;&gt;1,"",IF(I1246="SBJ","CB","?"))</f>
        <v> </v>
      </c>
      <c r="I1246" s="25" t="str">
        <f>IF(OR(E1246="",E1246="!!!",F1246="NEW"),"",INDEX(B1245:B$2,-1+SUMPRODUCT(MAX(ROW(E1245:E$2)*(E1246=E1245:E$2)))))</f>
        <v> </v>
      </c>
      <c r="J1246" s="25" t="str">
        <f>IF(OR(E1246="",E1246="!!!",F1246="NEW"),"",COUNTBLANK(OFFSET(A$1,,,SUMPRODUCT(MAX(ROW(E$2:E1246)*(E1246=E$2:E1246)))))-COUNTBLANK(OFFSET(A$1,,,SUMPRODUCT(MAX(ROW(E$1:E1245)*(E2=E$1:E1245))))))</f>
        <v> </v>
      </c>
      <c r="K1246" s="25" t="str">
        <f>IF(OR(E1246="",E1246="!!!",F1246="NEW"),"",INDEX(J$1:J1245,SUMPRODUCT(MAX(ROW(E$1:E1245)*(E1246=E$1:E1245)))))</f>
        <v> </v>
      </c>
      <c r="L1246" s="26"/>
    </row>
    <row r="1247" spans="1:12">
      <c r="A1247" s="20" t="s">
        <v>528</v>
      </c>
      <c r="E1247" s="21">
        <f>IF(D1247="?OLD","!!!","")</f>
        <v/>
      </c>
      <c r="F1247" s="22" t="str">
        <f>IF(OR(E1247="",E1247="!!!"),"",IF(NOT(ISNA(VLOOKUP(E1247,E$1:E1246,1,FALSE()))),"OLD",IF(AND(E1247&lt;&gt;"",E1247&lt;&gt;"!!!"),"NEW","")))</f>
        <v> </v>
      </c>
      <c r="G1247" s="23" t="str">
        <f>IF(OR(E1247="",E1247="!!!"),"",IF(OR(J1247=0,AND(J1247=1,K1247=1),AND(J1247=1,I1247="SBJ"),AND(J1247=1,I1247=0)),"?IN_FOCUS",IF(J1247&lt;=2,"?ACTIVATED",IF(J1247&lt;&gt;"","?FAMILIAR",IF(F1247="NEW",IF(ISNA(VLOOKUP(E1247,#REF!,1,FALSE())),"?TYPE_IDENTIFIABLE","?REFERENTIAL"),"_")))))</f>
        <v> </v>
      </c>
      <c r="H1247" s="24" t="str">
        <f>IF(J1247&lt;&gt;1,"",IF(I1247="SBJ","CB","?"))</f>
        <v> </v>
      </c>
      <c r="I1247" s="25" t="str">
        <f>IF(OR(E1247="",E1247="!!!",F1247="NEW"),"",INDEX(B1246:B$2,-1+SUMPRODUCT(MAX(ROW(E1246:E$2)*(E1247=E1246:E$2)))))</f>
        <v> </v>
      </c>
      <c r="J1247" s="25" t="str">
        <f>IF(OR(E1247="",E1247="!!!",F1247="NEW"),"",COUNTBLANK(OFFSET(A$1,,,SUMPRODUCT(MAX(ROW(E$2:E1247)*(E1247=E$2:E1247)))))-COUNTBLANK(OFFSET(A$1,,,SUMPRODUCT(MAX(ROW(E$1:E1246)*(E2=E$1:E1246))))))</f>
        <v> </v>
      </c>
      <c r="K1247" s="25" t="str">
        <f>IF(OR(E1247="",E1247="!!!",F1247="NEW"),"",INDEX(J$1:J1246,SUMPRODUCT(MAX(ROW(E$1:E1246)*(E1247=E$1:E1246)))))</f>
        <v> </v>
      </c>
      <c r="L1247" s="26"/>
    </row>
    <row r="1248" spans="1:12">
      <c r="A1248" s="20" t="s">
        <v>587</v>
      </c>
      <c r="B1248" s="27" t="s">
        <v>736</v>
      </c>
      <c r="C1248" s="27" t="s">
        <v>516</v>
      </c>
      <c r="E1248" s="21">
        <f>IF(D1248="?OLD","!!!","")</f>
        <v/>
      </c>
      <c r="F1248" s="22" t="str">
        <f>IF(OR(E1248="",E1248="!!!"),"",IF(NOT(ISNA(VLOOKUP(E1248,E$1:E1247,1,FALSE()))),"OLD",IF(AND(E1248&lt;&gt;"",E1248&lt;&gt;"!!!"),"NEW","")))</f>
        <v> </v>
      </c>
      <c r="G1248" s="23" t="str">
        <f>IF(OR(E1248="",E1248="!!!"),"",IF(OR(J1248=0,AND(J1248=1,K1248=1),AND(J1248=1,I1248="SBJ"),AND(J1248=1,I1248=0)),"?IN_FOCUS",IF(J1248&lt;=2,"?ACTIVATED",IF(J1248&lt;&gt;"","?FAMILIAR",IF(F1248="NEW",IF(ISNA(VLOOKUP(E1248,#REF!,1,FALSE())),"?TYPE_IDENTIFIABLE","?REFERENTIAL"),"_")))))</f>
        <v> </v>
      </c>
      <c r="H1248" s="24" t="str">
        <f>IF(J1248&lt;&gt;1,"",IF(I1248="SBJ","CB","?"))</f>
        <v> </v>
      </c>
      <c r="I1248" s="25" t="str">
        <f>IF(OR(E1248="",E1248="!!!",F1248="NEW"),"",INDEX(B1247:B$2,-1+SUMPRODUCT(MAX(ROW(E1247:E$2)*(E1248=E1247:E$2)))))</f>
        <v> </v>
      </c>
      <c r="J1248" s="25" t="str">
        <f>IF(OR(E1248="",E1248="!!!",F1248="NEW"),"",COUNTBLANK(OFFSET(A$1,,,SUMPRODUCT(MAX(ROW(E$2:E1248)*(E1248=E$2:E1248)))))-COUNTBLANK(OFFSET(A$1,,,SUMPRODUCT(MAX(ROW(E$1:E1247)*(E2=E$1:E1247))))))</f>
        <v> </v>
      </c>
      <c r="K1248" s="25" t="str">
        <f>IF(OR(E1248="",E1248="!!!",F1248="NEW"),"",INDEX(J$1:J1247,SUMPRODUCT(MAX(ROW(E$1:E1247)*(E1248=E$1:E1247)))))</f>
        <v> </v>
      </c>
      <c r="L1248" s="26"/>
    </row>
    <row r="1249" spans="1:12">
      <c r="A1249" s="20" t="s">
        <v>531</v>
      </c>
      <c r="E1249" s="21">
        <f>IF(D1249="?OLD","!!!","")</f>
        <v/>
      </c>
      <c r="F1249" s="22" t="str">
        <f>IF(OR(E1249="",E1249="!!!"),"",IF(NOT(ISNA(VLOOKUP(E1249,E$1:E1248,1,FALSE()))),"OLD",IF(AND(E1249&lt;&gt;"",E1249&lt;&gt;"!!!"),"NEW","")))</f>
        <v> </v>
      </c>
      <c r="G1249" s="23" t="str">
        <f>IF(OR(E1249="",E1249="!!!"),"",IF(OR(J1249=0,AND(J1249=1,K1249=1),AND(J1249=1,I1249="SBJ"),AND(J1249=1,I1249=0)),"?IN_FOCUS",IF(J1249&lt;=2,"?ACTIVATED",IF(J1249&lt;&gt;"","?FAMILIAR",IF(F1249="NEW",IF(ISNA(VLOOKUP(E1249,#REF!,1,FALSE())),"?TYPE_IDENTIFIABLE","?REFERENTIAL"),"_")))))</f>
        <v> </v>
      </c>
      <c r="H1249" s="24" t="str">
        <f>IF(J1249&lt;&gt;1,"",IF(I1249="SBJ","CB","?"))</f>
        <v> </v>
      </c>
      <c r="I1249" s="25" t="str">
        <f>IF(OR(E1249="",E1249="!!!",F1249="NEW"),"",INDEX(B1248:B$2,-1+SUMPRODUCT(MAX(ROW(E1248:E$2)*(E1249=E1248:E$2)))))</f>
        <v> </v>
      </c>
      <c r="J1249" s="25" t="str">
        <f>IF(OR(E1249="",E1249="!!!",F1249="NEW"),"",COUNTBLANK(OFFSET(A$1,,,SUMPRODUCT(MAX(ROW(E$2:E1249)*(E1249=E$2:E1249)))))-COUNTBLANK(OFFSET(A$1,,,SUMPRODUCT(MAX(ROW(E$1:E1248)*(E2=E$1:E1248))))))</f>
        <v> </v>
      </c>
      <c r="K1249" s="25" t="str">
        <f>IF(OR(E1249="",E1249="!!!",F1249="NEW"),"",INDEX(J$1:J1248,SUMPRODUCT(MAX(ROW(E$1:E1248)*(E1249=E$1:E1248)))))</f>
        <v> </v>
      </c>
      <c r="L1249" s="26"/>
    </row>
    <row r="1250" spans="1:12">
      <c r="A1250" s="20"/>
    </row>
    <row r="1251" spans="1:12">
      <c r="A1251" s="20" t="s">
        <v>932</v>
      </c>
    </row>
    <row r="1252" spans="1:12">
      <c r="A1252" s="20" t="s">
        <v>293</v>
      </c>
      <c r="E1252" s="21">
        <f>IF(D1252="?OLD","!!!","")</f>
        <v/>
      </c>
      <c r="F1252" s="22" t="str">
        <f>IF(OR(E1252="",E1252="!!!"),"",IF(NOT(ISNA(VLOOKUP(E1252,E$1:E1251,1,FALSE()))),"OLD",IF(AND(E1252&lt;&gt;"",E1252&lt;&gt;"!!!"),"NEW","")))</f>
        <v> </v>
      </c>
      <c r="G1252" s="23" t="str">
        <f>IF(OR(E1252="",E1252="!!!"),"",IF(OR(J1252=0,AND(J1252=1,K1252=1),AND(J1252=1,I1252="SBJ"),AND(J1252=1,I1252=0)),"?IN_FOCUS",IF(J1252&lt;=2,"?ACTIVATED",IF(J1252&lt;&gt;"","?FAMILIAR",IF(F1252="NEW",IF(ISNA(VLOOKUP(E1252,#REF!,1,FALSE())),"?TYPE_IDENTIFIABLE","?REFERENTIAL"),"_")))))</f>
        <v> </v>
      </c>
      <c r="H1252" s="24" t="str">
        <f>IF(J1252&lt;&gt;1,"",IF(I1252="SBJ","CB","?"))</f>
        <v> </v>
      </c>
      <c r="I1252" s="25" t="str">
        <f>IF(OR(E1252="",E1252="!!!",F1252="NEW"),"",INDEX(B1251:B$2,-1+SUMPRODUCT(MAX(ROW(E1251:E$2)*(E1252=E1251:E$2)))))</f>
        <v> </v>
      </c>
      <c r="J1252" s="25" t="str">
        <f>IF(OR(E1252="",E1252="!!!",F1252="NEW"),"",COUNTBLANK(OFFSET(A$1,,,SUMPRODUCT(MAX(ROW(E$2:E1252)*(E1252=E$2:E1252)))))-COUNTBLANK(OFFSET(A$1,,,SUMPRODUCT(MAX(ROW(E$1:E1251)*(E2=E$1:E1251))))))</f>
        <v> </v>
      </c>
      <c r="K1252" s="25" t="str">
        <f>IF(OR(E1252="",E1252="!!!",F1252="NEW"),"",INDEX(J$1:J1251,SUMPRODUCT(MAX(ROW(E$1:E1251)*(E1252=E$1:E1251)))))</f>
        <v> </v>
      </c>
      <c r="L1252" s="26"/>
    </row>
    <row r="1253" spans="1:12">
      <c r="A1253" s="20" t="s">
        <v>507</v>
      </c>
      <c r="E1253" s="21">
        <f>IF(D1253="?OLD","!!!","")</f>
        <v/>
      </c>
      <c r="F1253" s="22" t="str">
        <f>IF(OR(E1253="",E1253="!!!"),"",IF(NOT(ISNA(VLOOKUP(E1253,E$1:E1252,1,FALSE()))),"OLD",IF(AND(E1253&lt;&gt;"",E1253&lt;&gt;"!!!"),"NEW","")))</f>
        <v> </v>
      </c>
      <c r="G1253" s="23" t="str">
        <f>IF(OR(E1253="",E1253="!!!"),"",IF(OR(J1253=0,AND(J1253=1,K1253=1),AND(J1253=1,I1253="SBJ"),AND(J1253=1,I1253=0)),"?IN_FOCUS",IF(J1253&lt;=2,"?ACTIVATED",IF(J1253&lt;&gt;"","?FAMILIAR",IF(F1253="NEW",IF(ISNA(VLOOKUP(E1253,#REF!,1,FALSE())),"?TYPE_IDENTIFIABLE","?REFERENTIAL"),"_")))))</f>
        <v> </v>
      </c>
      <c r="H1253" s="24" t="str">
        <f>IF(J1253&lt;&gt;1,"",IF(I1253="SBJ","CB","?"))</f>
        <v> </v>
      </c>
      <c r="I1253" s="25" t="str">
        <f>IF(OR(E1253="",E1253="!!!",F1253="NEW"),"",INDEX(B1252:B$2,-1+SUMPRODUCT(MAX(ROW(E1252:E$2)*(E1253=E1252:E$2)))))</f>
        <v> </v>
      </c>
      <c r="J1253" s="25" t="str">
        <f>IF(OR(E1253="",E1253="!!!",F1253="NEW"),"",COUNTBLANK(OFFSET(A$1,,,SUMPRODUCT(MAX(ROW(E$2:E1253)*(E1253=E$2:E1253)))))-COUNTBLANK(OFFSET(A$1,,,SUMPRODUCT(MAX(ROW(E$1:E1252)*(E2=E$1:E1252))))))</f>
        <v> </v>
      </c>
      <c r="K1253" s="25" t="str">
        <f>IF(OR(E1253="",E1253="!!!",F1253="NEW"),"",INDEX(J$1:J1252,SUMPRODUCT(MAX(ROW(E$1:E1252)*(E1253=E$1:E1252)))))</f>
        <v> </v>
      </c>
      <c r="L1253" s="26"/>
    </row>
    <row r="1254" spans="1:12">
      <c r="A1254" s="20" t="s">
        <v>495</v>
      </c>
      <c r="E1254" s="21">
        <f>IF(D1254="?OLD","!!!","")</f>
        <v/>
      </c>
      <c r="F1254" s="22" t="str">
        <f>IF(OR(E1254="",E1254="!!!"),"",IF(NOT(ISNA(VLOOKUP(E1254,E$1:E1253,1,FALSE()))),"OLD",IF(AND(E1254&lt;&gt;"",E1254&lt;&gt;"!!!"),"NEW","")))</f>
        <v> </v>
      </c>
      <c r="G1254" s="23" t="str">
        <f>IF(OR(E1254="",E1254="!!!"),"",IF(OR(J1254=0,AND(J1254=1,K1254=1),AND(J1254=1,I1254="SBJ"),AND(J1254=1,I1254=0)),"?IN_FOCUS",IF(J1254&lt;=2,"?ACTIVATED",IF(J1254&lt;&gt;"","?FAMILIAR",IF(F1254="NEW",IF(ISNA(VLOOKUP(E1254,#REF!,1,FALSE())),"?TYPE_IDENTIFIABLE","?REFERENTIAL"),"_")))))</f>
        <v> </v>
      </c>
      <c r="H1254" s="24" t="str">
        <f>IF(J1254&lt;&gt;1,"",IF(I1254="SBJ","CB","?"))</f>
        <v> </v>
      </c>
      <c r="I1254" s="25" t="str">
        <f>IF(OR(E1254="",E1254="!!!",F1254="NEW"),"",INDEX(B1253:B$2,-1+SUMPRODUCT(MAX(ROW(E1253:E$2)*(E1254=E1253:E$2)))))</f>
        <v> </v>
      </c>
      <c r="J1254" s="25" t="str">
        <f>IF(OR(E1254="",E1254="!!!",F1254="NEW"),"",COUNTBLANK(OFFSET(A$1,,,SUMPRODUCT(MAX(ROW(E$2:E1254)*(E1254=E$2:E1254)))))-COUNTBLANK(OFFSET(A$1,,,SUMPRODUCT(MAX(ROW(E$1:E1253)*(E2=E$1:E1253))))))</f>
        <v> </v>
      </c>
      <c r="K1254" s="25" t="str">
        <f>IF(OR(E1254="",E1254="!!!",F1254="NEW"),"",INDEX(J$1:J1253,SUMPRODUCT(MAX(ROW(E$1:E1253)*(E1254=E$1:E1253)))))</f>
        <v> </v>
      </c>
      <c r="L1254" s="26"/>
    </row>
    <row r="1255" spans="1:12">
      <c r="A1255" s="20" t="s">
        <v>496</v>
      </c>
      <c r="B1255" s="27" t="s">
        <v>481</v>
      </c>
      <c r="C1255" s="27" t="s">
        <v>498</v>
      </c>
      <c r="E1255" s="21">
        <f>IF(D1255="?OLD","!!!","")</f>
        <v/>
      </c>
      <c r="F1255" s="22" t="str">
        <f>IF(OR(E1255="",E1255="!!!"),"",IF(NOT(ISNA(VLOOKUP(E1255,E$1:E1254,1,FALSE()))),"OLD",IF(AND(E1255&lt;&gt;"",E1255&lt;&gt;"!!!"),"NEW","")))</f>
        <v> </v>
      </c>
      <c r="G1255" s="23" t="str">
        <f>IF(OR(E1255="",E1255="!!!"),"",IF(OR(J1255=0,AND(J1255=1,K1255=1),AND(J1255=1,I1255="SBJ"),AND(J1255=1,I1255=0)),"?IN_FOCUS",IF(J1255&lt;=2,"?ACTIVATED",IF(J1255&lt;&gt;"","?FAMILIAR",IF(F1255="NEW",IF(ISNA(VLOOKUP(E1255,#REF!,1,FALSE())),"?TYPE_IDENTIFIABLE","?REFERENTIAL"),"_")))))</f>
        <v> </v>
      </c>
      <c r="H1255" s="24" t="str">
        <f>IF(J1255&lt;&gt;1,"",IF(I1255="SBJ","CB","?"))</f>
        <v> </v>
      </c>
      <c r="I1255" s="25" t="str">
        <f>IF(OR(E1255="",E1255="!!!",F1255="NEW"),"",INDEX(B1254:B$2,-1+SUMPRODUCT(MAX(ROW(E1254:E$2)*(E1255=E1254:E$2)))))</f>
        <v> </v>
      </c>
      <c r="J1255" s="25" t="str">
        <f>IF(OR(E1255="",E1255="!!!",F1255="NEW"),"",COUNTBLANK(OFFSET(A$1,,,SUMPRODUCT(MAX(ROW(E$2:E1255)*(E1255=E$2:E1255)))))-COUNTBLANK(OFFSET(A$1,,,SUMPRODUCT(MAX(ROW(E$1:E1254)*(E2=E$1:E1254))))))</f>
        <v> </v>
      </c>
      <c r="K1255" s="25" t="str">
        <f>IF(OR(E1255="",E1255="!!!",F1255="NEW"),"",INDEX(J$1:J1254,SUMPRODUCT(MAX(ROW(E$1:E1254)*(E1255=E$1:E1254)))))</f>
        <v> </v>
      </c>
      <c r="L1255" s="26"/>
    </row>
    <row r="1256" spans="1:12">
      <c r="A1256" s="20" t="s">
        <v>492</v>
      </c>
      <c r="B1256" s="27" t="s">
        <v>553</v>
      </c>
      <c r="E1256" s="21">
        <f>IF(D1256="?OLD","!!!","")</f>
        <v/>
      </c>
      <c r="F1256" s="22" t="str">
        <f>IF(OR(E1256="",E1256="!!!"),"",IF(NOT(ISNA(VLOOKUP(E1256,E$1:E1255,1,FALSE()))),"OLD",IF(AND(E1256&lt;&gt;"",E1256&lt;&gt;"!!!"),"NEW","")))</f>
        <v> </v>
      </c>
      <c r="G1256" s="23" t="str">
        <f>IF(OR(E1256="",E1256="!!!"),"",IF(OR(J1256=0,AND(J1256=1,K1256=1),AND(J1256=1,I1256="SBJ"),AND(J1256=1,I1256=0)),"?IN_FOCUS",IF(J1256&lt;=2,"?ACTIVATED",IF(J1256&lt;&gt;"","?FAMILIAR",IF(F1256="NEW",IF(ISNA(VLOOKUP(E1256,#REF!,1,FALSE())),"?TYPE_IDENTIFIABLE","?REFERENTIAL"),"_")))))</f>
        <v> </v>
      </c>
      <c r="H1256" s="24" t="str">
        <f>IF(J1256&lt;&gt;1,"",IF(I1256="SBJ","CB","?"))</f>
        <v> </v>
      </c>
      <c r="I1256" s="25" t="str">
        <f>IF(OR(E1256="",E1256="!!!",F1256="NEW"),"",INDEX(B1255:B$2,-1+SUMPRODUCT(MAX(ROW(E1255:E$2)*(E1256=E1255:E$2)))))</f>
        <v> </v>
      </c>
      <c r="J1256" s="25" t="str">
        <f>IF(OR(E1256="",E1256="!!!",F1256="NEW"),"",COUNTBLANK(OFFSET(A$1,,,SUMPRODUCT(MAX(ROW(E$2:E1256)*(E1256=E$2:E1256)))))-COUNTBLANK(OFFSET(A$1,,,SUMPRODUCT(MAX(ROW(E$1:E1255)*(E2=E$1:E1255))))))</f>
        <v> </v>
      </c>
      <c r="K1256" s="25" t="str">
        <f>IF(OR(E1256="",E1256="!!!",F1256="NEW"),"",INDEX(J$1:J1255,SUMPRODUCT(MAX(ROW(E$1:E1255)*(E1256=E$1:E1255)))))</f>
        <v> </v>
      </c>
      <c r="L1256" s="26"/>
    </row>
    <row r="1257" spans="1:12">
      <c r="A1257" s="20" t="s">
        <v>558</v>
      </c>
      <c r="E1257" s="21">
        <f>IF(D1257="?OLD","!!!","")</f>
        <v/>
      </c>
      <c r="F1257" s="22" t="str">
        <f>IF(OR(E1257="",E1257="!!!"),"",IF(NOT(ISNA(VLOOKUP(E1257,E$1:E1256,1,FALSE()))),"OLD",IF(AND(E1257&lt;&gt;"",E1257&lt;&gt;"!!!"),"NEW","")))</f>
        <v> </v>
      </c>
      <c r="G1257" s="23" t="str">
        <f>IF(OR(E1257="",E1257="!!!"),"",IF(OR(J1257=0,AND(J1257=1,K1257=1),AND(J1257=1,I1257="SBJ"),AND(J1257=1,I1257=0)),"?IN_FOCUS",IF(J1257&lt;=2,"?ACTIVATED",IF(J1257&lt;&gt;"","?FAMILIAR",IF(F1257="NEW",IF(ISNA(VLOOKUP(E1257,#REF!,1,FALSE())),"?TYPE_IDENTIFIABLE","?REFERENTIAL"),"_")))))</f>
        <v> </v>
      </c>
      <c r="H1257" s="24" t="str">
        <f>IF(J1257&lt;&gt;1,"",IF(I1257="SBJ","CB","?"))</f>
        <v> </v>
      </c>
      <c r="I1257" s="25" t="str">
        <f>IF(OR(E1257="",E1257="!!!",F1257="NEW"),"",INDEX(B1256:B$2,-1+SUMPRODUCT(MAX(ROW(E1256:E$2)*(E1257=E1256:E$2)))))</f>
        <v> </v>
      </c>
      <c r="J1257" s="25" t="str">
        <f>IF(OR(E1257="",E1257="!!!",F1257="NEW"),"",COUNTBLANK(OFFSET(A$1,,,SUMPRODUCT(MAX(ROW(E$2:E1257)*(E1257=E$2:E1257)))))-COUNTBLANK(OFFSET(A$1,,,SUMPRODUCT(MAX(ROW(E$1:E1256)*(E2=E$1:E1256))))))</f>
        <v> </v>
      </c>
      <c r="K1257" s="25" t="str">
        <f>IF(OR(E1257="",E1257="!!!",F1257="NEW"),"",INDEX(J$1:J1256,SUMPRODUCT(MAX(ROW(E$1:E1256)*(E1257=E$1:E1256)))))</f>
        <v> </v>
      </c>
      <c r="L1257" s="26"/>
    </row>
    <row r="1258" spans="1:12">
      <c r="A1258" s="20" t="s">
        <v>933</v>
      </c>
      <c r="E1258" s="21">
        <f>IF(D1258="?OLD","!!!","")</f>
        <v/>
      </c>
      <c r="F1258" s="22" t="str">
        <f>IF(OR(E1258="",E1258="!!!"),"",IF(NOT(ISNA(VLOOKUP(E1258,E$1:E1257,1,FALSE()))),"OLD",IF(AND(E1258&lt;&gt;"",E1258&lt;&gt;"!!!"),"NEW","")))</f>
        <v> </v>
      </c>
      <c r="G1258" s="23" t="str">
        <f>IF(OR(E1258="",E1258="!!!"),"",IF(OR(J1258=0,AND(J1258=1,K1258=1),AND(J1258=1,I1258="SBJ"),AND(J1258=1,I1258=0)),"?IN_FOCUS",IF(J1258&lt;=2,"?ACTIVATED",IF(J1258&lt;&gt;"","?FAMILIAR",IF(F1258="NEW",IF(ISNA(VLOOKUP(E1258,#REF!,1,FALSE())),"?TYPE_IDENTIFIABLE","?REFERENTIAL"),"_")))))</f>
        <v> </v>
      </c>
      <c r="H1258" s="24" t="str">
        <f>IF(J1258&lt;&gt;1,"",IF(I1258="SBJ","CB","?"))</f>
        <v> </v>
      </c>
      <c r="I1258" s="25" t="str">
        <f>IF(OR(E1258="",E1258="!!!",F1258="NEW"),"",INDEX(B1257:B$2,-1+SUMPRODUCT(MAX(ROW(E1257:E$2)*(E1258=E1257:E$2)))))</f>
        <v> </v>
      </c>
      <c r="J1258" s="25" t="str">
        <f>IF(OR(E1258="",E1258="!!!",F1258="NEW"),"",COUNTBLANK(OFFSET(A$1,,,SUMPRODUCT(MAX(ROW(E$2:E1258)*(E1258=E$2:E1258)))))-COUNTBLANK(OFFSET(A$1,,,SUMPRODUCT(MAX(ROW(E$1:E1257)*(E2=E$1:E1257))))))</f>
        <v> </v>
      </c>
      <c r="K1258" s="25" t="str">
        <f>IF(OR(E1258="",E1258="!!!",F1258="NEW"),"",INDEX(J$1:J1257,SUMPRODUCT(MAX(ROW(E$1:E1257)*(E1258=E$1:E1257)))))</f>
        <v> </v>
      </c>
      <c r="L1258" s="26"/>
    </row>
    <row r="1259" spans="1:12">
      <c r="A1259" s="20" t="s">
        <v>558</v>
      </c>
      <c r="E1259" s="21">
        <f>IF(D1259="?OLD","!!!","")</f>
        <v/>
      </c>
      <c r="F1259" s="22" t="str">
        <f>IF(OR(E1259="",E1259="!!!"),"",IF(NOT(ISNA(VLOOKUP(E1259,E$1:E1258,1,FALSE()))),"OLD",IF(AND(E1259&lt;&gt;"",E1259&lt;&gt;"!!!"),"NEW","")))</f>
        <v> </v>
      </c>
      <c r="G1259" s="23" t="str">
        <f>IF(OR(E1259="",E1259="!!!"),"",IF(OR(J1259=0,AND(J1259=1,K1259=1),AND(J1259=1,I1259="SBJ"),AND(J1259=1,I1259=0)),"?IN_FOCUS",IF(J1259&lt;=2,"?ACTIVATED",IF(J1259&lt;&gt;"","?FAMILIAR",IF(F1259="NEW",IF(ISNA(VLOOKUP(E1259,#REF!,1,FALSE())),"?TYPE_IDENTIFIABLE","?REFERENTIAL"),"_")))))</f>
        <v> </v>
      </c>
      <c r="H1259" s="24" t="str">
        <f>IF(J1259&lt;&gt;1,"",IF(I1259="SBJ","CB","?"))</f>
        <v> </v>
      </c>
      <c r="I1259" s="25" t="str">
        <f>IF(OR(E1259="",E1259="!!!",F1259="NEW"),"",INDEX(B1258:B$2,-1+SUMPRODUCT(MAX(ROW(E1258:E$2)*(E1259=E1258:E$2)))))</f>
        <v> </v>
      </c>
      <c r="J1259" s="25" t="str">
        <f>IF(OR(E1259="",E1259="!!!",F1259="NEW"),"",COUNTBLANK(OFFSET(A$1,,,SUMPRODUCT(MAX(ROW(E$2:E1259)*(E1259=E$2:E1259)))))-COUNTBLANK(OFFSET(A$1,,,SUMPRODUCT(MAX(ROW(E$1:E1258)*(E2=E$1:E1258))))))</f>
        <v> </v>
      </c>
      <c r="K1259" s="25" t="str">
        <f>IF(OR(E1259="",E1259="!!!",F1259="NEW"),"",INDEX(J$1:J1258,SUMPRODUCT(MAX(ROW(E$1:E1258)*(E1259=E$1:E1258)))))</f>
        <v> </v>
      </c>
      <c r="L1259" s="26"/>
    </row>
    <row r="1260" spans="1:12">
      <c r="A1260" s="20" t="s">
        <v>380</v>
      </c>
      <c r="E1260" s="21">
        <f>IF(D1260="?OLD","!!!","")</f>
        <v/>
      </c>
      <c r="F1260" s="22" t="str">
        <f>IF(OR(E1260="",E1260="!!!"),"",IF(NOT(ISNA(VLOOKUP(E1260,E$1:E1259,1,FALSE()))),"OLD",IF(AND(E1260&lt;&gt;"",E1260&lt;&gt;"!!!"),"NEW","")))</f>
        <v> </v>
      </c>
      <c r="G1260" s="23" t="str">
        <f>IF(OR(E1260="",E1260="!!!"),"",IF(OR(J1260=0,AND(J1260=1,K1260=1),AND(J1260=1,I1260="SBJ"),AND(J1260=1,I1260=0)),"?IN_FOCUS",IF(J1260&lt;=2,"?ACTIVATED",IF(J1260&lt;&gt;"","?FAMILIAR",IF(F1260="NEW",IF(ISNA(VLOOKUP(E1260,#REF!,1,FALSE())),"?TYPE_IDENTIFIABLE","?REFERENTIAL"),"_")))))</f>
        <v> </v>
      </c>
      <c r="H1260" s="24" t="str">
        <f>IF(J1260&lt;&gt;1,"",IF(I1260="SBJ","CB","?"))</f>
        <v> </v>
      </c>
      <c r="I1260" s="25" t="str">
        <f>IF(OR(E1260="",E1260="!!!",F1260="NEW"),"",INDEX(B1259:B$2,-1+SUMPRODUCT(MAX(ROW(E1259:E$2)*(E1260=E1259:E$2)))))</f>
        <v> </v>
      </c>
      <c r="J1260" s="25" t="str">
        <f>IF(OR(E1260="",E1260="!!!",F1260="NEW"),"",COUNTBLANK(OFFSET(A$1,,,SUMPRODUCT(MAX(ROW(E$2:E1260)*(E1260=E$2:E1260)))))-COUNTBLANK(OFFSET(A$1,,,SUMPRODUCT(MAX(ROW(E$1:E1259)*(E2=E$1:E1259))))))</f>
        <v> </v>
      </c>
      <c r="K1260" s="25" t="str">
        <f>IF(OR(E1260="",E1260="!!!",F1260="NEW"),"",INDEX(J$1:J1259,SUMPRODUCT(MAX(ROW(E$1:E1259)*(E1260=E$1:E1259)))))</f>
        <v> </v>
      </c>
      <c r="L1260" s="26"/>
    </row>
    <row r="1261" spans="1:12">
      <c r="A1261" s="20" t="s">
        <v>586</v>
      </c>
      <c r="B1261" s="27" t="s">
        <v>490</v>
      </c>
      <c r="C1261" s="27" t="s">
        <v>498</v>
      </c>
      <c r="E1261" s="21">
        <f>IF(D1261="?OLD","!!!","")</f>
        <v/>
      </c>
      <c r="F1261" s="22" t="str">
        <f>IF(OR(E1261="",E1261="!!!"),"",IF(NOT(ISNA(VLOOKUP(E1261,E$1:E1260,1,FALSE()))),"OLD",IF(AND(E1261&lt;&gt;"",E1261&lt;&gt;"!!!"),"NEW","")))</f>
        <v> </v>
      </c>
      <c r="G1261" s="23" t="str">
        <f>IF(OR(E1261="",E1261="!!!"),"",IF(OR(J1261=0,AND(J1261=1,K1261=1),AND(J1261=1,I1261="SBJ"),AND(J1261=1,I1261=0)),"?IN_FOCUS",IF(J1261&lt;=2,"?ACTIVATED",IF(J1261&lt;&gt;"","?FAMILIAR",IF(F1261="NEW",IF(ISNA(VLOOKUP(E1261,#REF!,1,FALSE())),"?TYPE_IDENTIFIABLE","?REFERENTIAL"),"_")))))</f>
        <v> </v>
      </c>
      <c r="H1261" s="24" t="str">
        <f>IF(J1261&lt;&gt;1,"",IF(I1261="SBJ","CB","?"))</f>
        <v> </v>
      </c>
      <c r="I1261" s="25" t="str">
        <f>IF(OR(E1261="",E1261="!!!",F1261="NEW"),"",INDEX(B1260:B$2,-1+SUMPRODUCT(MAX(ROW(E1260:E$2)*(E1261=E1260:E$2)))))</f>
        <v> </v>
      </c>
      <c r="J1261" s="25" t="str">
        <f>IF(OR(E1261="",E1261="!!!",F1261="NEW"),"",COUNTBLANK(OFFSET(A$1,,,SUMPRODUCT(MAX(ROW(E$2:E1261)*(E1261=E$2:E1261)))))-COUNTBLANK(OFFSET(A$1,,,SUMPRODUCT(MAX(ROW(E$1:E1260)*(E2=E$1:E1260))))))</f>
        <v> </v>
      </c>
      <c r="K1261" s="25" t="str">
        <f>IF(OR(E1261="",E1261="!!!",F1261="NEW"),"",INDEX(J$1:J1260,SUMPRODUCT(MAX(ROW(E$1:E1260)*(E1261=E$1:E1260)))))</f>
        <v> </v>
      </c>
      <c r="L1261" s="26"/>
    </row>
    <row r="1262" spans="1:12">
      <c r="A1262" s="20" t="s">
        <v>934</v>
      </c>
      <c r="E1262" s="21">
        <f>IF(D1262="?OLD","!!!","")</f>
        <v/>
      </c>
      <c r="F1262" s="22" t="str">
        <f>IF(OR(E1262="",E1262="!!!"),"",IF(NOT(ISNA(VLOOKUP(E1262,E$1:E1261,1,FALSE()))),"OLD",IF(AND(E1262&lt;&gt;"",E1262&lt;&gt;"!!!"),"NEW","")))</f>
        <v> </v>
      </c>
      <c r="G1262" s="23" t="str">
        <f>IF(OR(E1262="",E1262="!!!"),"",IF(OR(J1262=0,AND(J1262=1,K1262=1),AND(J1262=1,I1262="SBJ"),AND(J1262=1,I1262=0)),"?IN_FOCUS",IF(J1262&lt;=2,"?ACTIVATED",IF(J1262&lt;&gt;"","?FAMILIAR",IF(F1262="NEW",IF(ISNA(VLOOKUP(E1262,#REF!,1,FALSE())),"?TYPE_IDENTIFIABLE","?REFERENTIAL"),"_")))))</f>
        <v> </v>
      </c>
      <c r="H1262" s="24" t="str">
        <f>IF(J1262&lt;&gt;1,"",IF(I1262="SBJ","CB","?"))</f>
        <v> </v>
      </c>
      <c r="I1262" s="25" t="str">
        <f>IF(OR(E1262="",E1262="!!!",F1262="NEW"),"",INDEX(B1261:B$2,-1+SUMPRODUCT(MAX(ROW(E1261:E$2)*(E1262=E1261:E$2)))))</f>
        <v> </v>
      </c>
      <c r="J1262" s="25" t="str">
        <f>IF(OR(E1262="",E1262="!!!",F1262="NEW"),"",COUNTBLANK(OFFSET(A$1,,,SUMPRODUCT(MAX(ROW(E$2:E1262)*(E1262=E$2:E1262)))))-COUNTBLANK(OFFSET(A$1,,,SUMPRODUCT(MAX(ROW(E$1:E1261)*(E2=E$1:E1261))))))</f>
        <v> </v>
      </c>
      <c r="K1262" s="25" t="str">
        <f>IF(OR(E1262="",E1262="!!!",F1262="NEW"),"",INDEX(J$1:J1261,SUMPRODUCT(MAX(ROW(E$1:E1261)*(E1262=E$1:E1261)))))</f>
        <v> </v>
      </c>
      <c r="L1262" s="26"/>
    </row>
    <row r="1263" spans="1:12">
      <c r="A1263" s="20" t="s">
        <v>592</v>
      </c>
      <c r="E1263" s="21">
        <f>IF(D1263="?OLD","!!!","")</f>
        <v/>
      </c>
      <c r="F1263" s="22" t="str">
        <f>IF(OR(E1263="",E1263="!!!"),"",IF(NOT(ISNA(VLOOKUP(E1263,E$1:E1262,1,FALSE()))),"OLD",IF(AND(E1263&lt;&gt;"",E1263&lt;&gt;"!!!"),"NEW","")))</f>
        <v> </v>
      </c>
      <c r="G1263" s="23" t="str">
        <f>IF(OR(E1263="",E1263="!!!"),"",IF(OR(J1263=0,AND(J1263=1,K1263=1),AND(J1263=1,I1263="SBJ"),AND(J1263=1,I1263=0)),"?IN_FOCUS",IF(J1263&lt;=2,"?ACTIVATED",IF(J1263&lt;&gt;"","?FAMILIAR",IF(F1263="NEW",IF(ISNA(VLOOKUP(E1263,#REF!,1,FALSE())),"?TYPE_IDENTIFIABLE","?REFERENTIAL"),"_")))))</f>
        <v> </v>
      </c>
      <c r="H1263" s="24" t="str">
        <f>IF(J1263&lt;&gt;1,"",IF(I1263="SBJ","CB","?"))</f>
        <v> </v>
      </c>
      <c r="I1263" s="25" t="str">
        <f>IF(OR(E1263="",E1263="!!!",F1263="NEW"),"",INDEX(B1262:B$2,-1+SUMPRODUCT(MAX(ROW(E1262:E$2)*(E1263=E1262:E$2)))))</f>
        <v> </v>
      </c>
      <c r="J1263" s="25" t="str">
        <f>IF(OR(E1263="",E1263="!!!",F1263="NEW"),"",COUNTBLANK(OFFSET(A$1,,,SUMPRODUCT(MAX(ROW(E$2:E1263)*(E1263=E$2:E1263)))))-COUNTBLANK(OFFSET(A$1,,,SUMPRODUCT(MAX(ROW(E$1:E1262)*(E2=E$1:E1262))))))</f>
        <v> </v>
      </c>
      <c r="K1263" s="25" t="str">
        <f>IF(OR(E1263="",E1263="!!!",F1263="NEW"),"",INDEX(J$1:J1262,SUMPRODUCT(MAX(ROW(E$1:E1262)*(E1263=E$1:E1262)))))</f>
        <v> </v>
      </c>
      <c r="L1263" s="26"/>
    </row>
    <row r="1264" spans="1:12">
      <c r="A1264" s="20" t="s">
        <v>618</v>
      </c>
      <c r="E1264" s="21">
        <f>IF(D1264="?OLD","!!!","")</f>
        <v/>
      </c>
      <c r="F1264" s="22" t="str">
        <f>IF(OR(E1264="",E1264="!!!"),"",IF(NOT(ISNA(VLOOKUP(E1264,E$1:E1263,1,FALSE()))),"OLD",IF(AND(E1264&lt;&gt;"",E1264&lt;&gt;"!!!"),"NEW","")))</f>
        <v> </v>
      </c>
      <c r="G1264" s="23" t="str">
        <f>IF(OR(E1264="",E1264="!!!"),"",IF(OR(J1264=0,AND(J1264=1,K1264=1),AND(J1264=1,I1264="SBJ"),AND(J1264=1,I1264=0)),"?IN_FOCUS",IF(J1264&lt;=2,"?ACTIVATED",IF(J1264&lt;&gt;"","?FAMILIAR",IF(F1264="NEW",IF(ISNA(VLOOKUP(E1264,#REF!,1,FALSE())),"?TYPE_IDENTIFIABLE","?REFERENTIAL"),"_")))))</f>
        <v> </v>
      </c>
      <c r="H1264" s="24" t="str">
        <f>IF(J1264&lt;&gt;1,"",IF(I1264="SBJ","CB","?"))</f>
        <v> </v>
      </c>
      <c r="I1264" s="25" t="str">
        <f>IF(OR(E1264="",E1264="!!!",F1264="NEW"),"",INDEX(B1263:B$2,-1+SUMPRODUCT(MAX(ROW(E1263:E$2)*(E1264=E1263:E$2)))))</f>
        <v> </v>
      </c>
      <c r="J1264" s="25" t="str">
        <f>IF(OR(E1264="",E1264="!!!",F1264="NEW"),"",COUNTBLANK(OFFSET(A$1,,,SUMPRODUCT(MAX(ROW(E$2:E1264)*(E1264=E$2:E1264)))))-COUNTBLANK(OFFSET(A$1,,,SUMPRODUCT(MAX(ROW(E$1:E1263)*(E2=E$1:E1263))))))</f>
        <v> </v>
      </c>
      <c r="K1264" s="25" t="str">
        <f>IF(OR(E1264="",E1264="!!!",F1264="NEW"),"",INDEX(J$1:J1263,SUMPRODUCT(MAX(ROW(E$1:E1263)*(E1264=E$1:E1263)))))</f>
        <v> </v>
      </c>
      <c r="L1264" s="26"/>
    </row>
    <row r="1265" spans="1:12">
      <c r="A1265" s="20" t="s">
        <v>679</v>
      </c>
      <c r="B1265" s="27" t="s">
        <v>578</v>
      </c>
      <c r="C1265" s="27" t="s">
        <v>482</v>
      </c>
      <c r="D1265" s="27" t="s">
        <v>483</v>
      </c>
      <c r="E1265" s="21">
        <f>IF(D1265="?OLD","!!!","")</f>
        <v/>
      </c>
      <c r="F1265" s="22" t="str">
        <f>IF(OR(E1265="",E1265="!!!"),"",IF(NOT(ISNA(VLOOKUP(E1265,E$1:E1264,1,FALSE()))),"OLD",IF(AND(E1265&lt;&gt;"",E1265&lt;&gt;"!!!"),"NEW","")))</f>
        <v> </v>
      </c>
      <c r="G1265" s="23" t="str">
        <f>IF(OR(E1265="",E1265="!!!"),"",IF(OR(J1265=0,AND(J1265=1,K1265=1),AND(J1265=1,I1265="SBJ"),AND(J1265=1,I1265=0)),"?IN_FOCUS",IF(J1265&lt;=2,"?ACTIVATED",IF(J1265&lt;&gt;"","?FAMILIAR",IF(F1265="NEW",IF(ISNA(VLOOKUP(E1265,#REF!,1,FALSE())),"?TYPE_IDENTIFIABLE","?REFERENTIAL"),"_")))))</f>
        <v> </v>
      </c>
      <c r="H1265" s="24" t="str">
        <f>IF(J1265&lt;&gt;1,"",IF(I1265="SBJ","CB","?"))</f>
        <v> </v>
      </c>
      <c r="I1265" s="25" t="str">
        <f>IF(OR(E1265="",E1265="!!!",F1265="NEW"),"",INDEX(B1264:B$2,-1+SUMPRODUCT(MAX(ROW(E1264:E$2)*(E1265=E1264:E$2)))))</f>
        <v> </v>
      </c>
      <c r="J1265" s="25" t="str">
        <f>IF(OR(E1265="",E1265="!!!",F1265="NEW"),"",COUNTBLANK(OFFSET(A$1,,,SUMPRODUCT(MAX(ROW(E$2:E1265)*(E1265=E$2:E1265)))))-COUNTBLANK(OFFSET(A$1,,,SUMPRODUCT(MAX(ROW(E$1:E1264)*(E2=E$1:E1264))))))</f>
        <v> </v>
      </c>
      <c r="K1265" s="25" t="str">
        <f>IF(OR(E1265="",E1265="!!!",F1265="NEW"),"",INDEX(J$1:J1264,SUMPRODUCT(MAX(ROW(E$1:E1264)*(E1265=E$1:E1264)))))</f>
        <v> </v>
      </c>
      <c r="L1265" s="26"/>
    </row>
    <row r="1266" spans="1:12">
      <c r="A1266" s="20" t="s">
        <v>391</v>
      </c>
      <c r="E1266" s="21">
        <f>IF(D1266="?OLD","!!!","")</f>
        <v/>
      </c>
      <c r="F1266" s="22" t="str">
        <f>IF(OR(E1266="",E1266="!!!"),"",IF(NOT(ISNA(VLOOKUP(E1266,E$1:E1265,1,FALSE()))),"OLD",IF(AND(E1266&lt;&gt;"",E1266&lt;&gt;"!!!"),"NEW","")))</f>
        <v> </v>
      </c>
      <c r="G1266" s="23" t="str">
        <f>IF(OR(E1266="",E1266="!!!"),"",IF(OR(J1266=0,AND(J1266=1,K1266=1),AND(J1266=1,I1266="SBJ"),AND(J1266=1,I1266=0)),"?IN_FOCUS",IF(J1266&lt;=2,"?ACTIVATED",IF(J1266&lt;&gt;"","?FAMILIAR",IF(F1266="NEW",IF(ISNA(VLOOKUP(E1266,#REF!,1,FALSE())),"?TYPE_IDENTIFIABLE","?REFERENTIAL"),"_")))))</f>
        <v> </v>
      </c>
      <c r="H1266" s="24" t="str">
        <f>IF(J1266&lt;&gt;1,"",IF(I1266="SBJ","CB","?"))</f>
        <v> </v>
      </c>
      <c r="I1266" s="25" t="str">
        <f>IF(OR(E1266="",E1266="!!!",F1266="NEW"),"",INDEX(B1265:B$2,-1+SUMPRODUCT(MAX(ROW(E1265:E$2)*(E1266=E1265:E$2)))))</f>
        <v> </v>
      </c>
      <c r="J1266" s="25" t="str">
        <f>IF(OR(E1266="",E1266="!!!",F1266="NEW"),"",COUNTBLANK(OFFSET(A$1,,,SUMPRODUCT(MAX(ROW(E$2:E1266)*(E1266=E$2:E1266)))))-COUNTBLANK(OFFSET(A$1,,,SUMPRODUCT(MAX(ROW(E$1:E1265)*(E2=E$1:E1265))))))</f>
        <v> </v>
      </c>
      <c r="K1266" s="25" t="str">
        <f>IF(OR(E1266="",E1266="!!!",F1266="NEW"),"",INDEX(J$1:J1265,SUMPRODUCT(MAX(ROW(E$1:E1265)*(E1266=E$1:E1265)))))</f>
        <v> </v>
      </c>
      <c r="L1266" s="26"/>
    </row>
    <row r="1267" spans="1:12">
      <c r="A1267" s="20" t="s">
        <v>530</v>
      </c>
      <c r="E1267" s="21">
        <f>IF(D1267="?OLD","!!!","")</f>
        <v/>
      </c>
      <c r="F1267" s="22" t="str">
        <f>IF(OR(E1267="",E1267="!!!"),"",IF(NOT(ISNA(VLOOKUP(E1267,E$1:E1266,1,FALSE()))),"OLD",IF(AND(E1267&lt;&gt;"",E1267&lt;&gt;"!!!"),"NEW","")))</f>
        <v> </v>
      </c>
      <c r="G1267" s="23" t="str">
        <f>IF(OR(E1267="",E1267="!!!"),"",IF(OR(J1267=0,AND(J1267=1,K1267=1),AND(J1267=1,I1267="SBJ"),AND(J1267=1,I1267=0)),"?IN_FOCUS",IF(J1267&lt;=2,"?ACTIVATED",IF(J1267&lt;&gt;"","?FAMILIAR",IF(F1267="NEW",IF(ISNA(VLOOKUP(E1267,#REF!,1,FALSE())),"?TYPE_IDENTIFIABLE","?REFERENTIAL"),"_")))))</f>
        <v> </v>
      </c>
      <c r="H1267" s="24" t="str">
        <f>IF(J1267&lt;&gt;1,"",IF(I1267="SBJ","CB","?"))</f>
        <v> </v>
      </c>
      <c r="I1267" s="25" t="str">
        <f>IF(OR(E1267="",E1267="!!!",F1267="NEW"),"",INDEX(B1266:B$2,-1+SUMPRODUCT(MAX(ROW(E1266:E$2)*(E1267=E1266:E$2)))))</f>
        <v> </v>
      </c>
      <c r="J1267" s="25" t="str">
        <f>IF(OR(E1267="",E1267="!!!",F1267="NEW"),"",COUNTBLANK(OFFSET(A$1,,,SUMPRODUCT(MAX(ROW(E$2:E1267)*(E1267=E$2:E1267)))))-COUNTBLANK(OFFSET(A$1,,,SUMPRODUCT(MAX(ROW(E$1:E1266)*(E2=E$1:E1266))))))</f>
        <v> </v>
      </c>
      <c r="K1267" s="25" t="str">
        <f>IF(OR(E1267="",E1267="!!!",F1267="NEW"),"",INDEX(J$1:J1266,SUMPRODUCT(MAX(ROW(E$1:E1266)*(E1267=E$1:E1266)))))</f>
        <v> </v>
      </c>
      <c r="L1267" s="26"/>
    </row>
    <row r="1268" spans="1:12">
      <c r="A1268" s="20" t="s">
        <v>531</v>
      </c>
      <c r="E1268" s="21">
        <f>IF(D1268="?OLD","!!!","")</f>
        <v/>
      </c>
      <c r="F1268" s="22" t="str">
        <f>IF(OR(E1268="",E1268="!!!"),"",IF(NOT(ISNA(VLOOKUP(E1268,E$1:E1267,1,FALSE()))),"OLD",IF(AND(E1268&lt;&gt;"",E1268&lt;&gt;"!!!"),"NEW","")))</f>
        <v> </v>
      </c>
      <c r="G1268" s="23" t="str">
        <f>IF(OR(E1268="",E1268="!!!"),"",IF(OR(J1268=0,AND(J1268=1,K1268=1),AND(J1268=1,I1268="SBJ"),AND(J1268=1,I1268=0)),"?IN_FOCUS",IF(J1268&lt;=2,"?ACTIVATED",IF(J1268&lt;&gt;"","?FAMILIAR",IF(F1268="NEW",IF(ISNA(VLOOKUP(E1268,#REF!,1,FALSE())),"?TYPE_IDENTIFIABLE","?REFERENTIAL"),"_")))))</f>
        <v> </v>
      </c>
      <c r="H1268" s="24" t="str">
        <f>IF(J1268&lt;&gt;1,"",IF(I1268="SBJ","CB","?"))</f>
        <v> </v>
      </c>
      <c r="I1268" s="25" t="str">
        <f>IF(OR(E1268="",E1268="!!!",F1268="NEW"),"",INDEX(B1267:B$2,-1+SUMPRODUCT(MAX(ROW(E1267:E$2)*(E1268=E1267:E$2)))))</f>
        <v> </v>
      </c>
      <c r="J1268" s="25" t="str">
        <f>IF(OR(E1268="",E1268="!!!",F1268="NEW"),"",COUNTBLANK(OFFSET(A$1,,,SUMPRODUCT(MAX(ROW(E$2:E1268)*(E1268=E$2:E1268)))))-COUNTBLANK(OFFSET(A$1,,,SUMPRODUCT(MAX(ROW(E$1:E1267)*(E2=E$1:E1267))))))</f>
        <v> </v>
      </c>
      <c r="K1268" s="25" t="str">
        <f>IF(OR(E1268="",E1268="!!!",F1268="NEW"),"",INDEX(J$1:J1267,SUMPRODUCT(MAX(ROW(E$1:E1267)*(E1268=E$1:E1267)))))</f>
        <v> </v>
      </c>
      <c r="L1268" s="26"/>
    </row>
    <row r="1269" spans="1:12">
      <c r="A1269" s="20"/>
    </row>
    <row r="1270" spans="1:12">
      <c r="A1270" s="20" t="s">
        <v>935</v>
      </c>
    </row>
    <row r="1271" spans="1:12">
      <c r="A1271" s="20" t="s">
        <v>936</v>
      </c>
      <c r="E1271" s="21">
        <f>IF(D1271="?OLD","!!!","")</f>
        <v/>
      </c>
      <c r="F1271" s="22" t="str">
        <f>IF(OR(E1271="",E1271="!!!"),"",IF(NOT(ISNA(VLOOKUP(E1271,E$1:E1270,1,FALSE()))),"OLD",IF(AND(E1271&lt;&gt;"",E1271&lt;&gt;"!!!"),"NEW","")))</f>
        <v> </v>
      </c>
      <c r="G1271" s="23" t="str">
        <f>IF(OR(E1271="",E1271="!!!"),"",IF(OR(J1271=0,AND(J1271=1,K1271=1),AND(J1271=1,I1271="SBJ"),AND(J1271=1,I1271=0)),"?IN_FOCUS",IF(J1271&lt;=2,"?ACTIVATED",IF(J1271&lt;&gt;"","?FAMILIAR",IF(F1271="NEW",IF(ISNA(VLOOKUP(E1271,#REF!,1,FALSE())),"?TYPE_IDENTIFIABLE","?REFERENTIAL"),"_")))))</f>
        <v> </v>
      </c>
      <c r="H1271" s="24" t="str">
        <f>IF(J1271&lt;&gt;1,"",IF(I1271="SBJ","CB","?"))</f>
        <v> </v>
      </c>
      <c r="I1271" s="25" t="str">
        <f>IF(OR(E1271="",E1271="!!!",F1271="NEW"),"",INDEX(B1270:B$2,-1+SUMPRODUCT(MAX(ROW(E1270:E$2)*(E1271=E1270:E$2)))))</f>
        <v> </v>
      </c>
      <c r="J1271" s="25" t="str">
        <f>IF(OR(E1271="",E1271="!!!",F1271="NEW"),"",COUNTBLANK(OFFSET(A$1,,,SUMPRODUCT(MAX(ROW(E$2:E1271)*(E1271=E$2:E1271)))))-COUNTBLANK(OFFSET(A$1,,,SUMPRODUCT(MAX(ROW(E$1:E1270)*(E2=E$1:E1270))))))</f>
        <v> </v>
      </c>
      <c r="K1271" s="25" t="str">
        <f>IF(OR(E1271="",E1271="!!!",F1271="NEW"),"",INDEX(J$1:J1270,SUMPRODUCT(MAX(ROW(E$1:E1270)*(E1271=E$1:E1270)))))</f>
        <v> </v>
      </c>
      <c r="L1271" s="26"/>
    </row>
    <row r="1272" spans="1:12">
      <c r="A1272" s="20" t="s">
        <v>489</v>
      </c>
      <c r="E1272" s="21">
        <f>IF(D1272="?OLD","!!!","")</f>
        <v/>
      </c>
      <c r="F1272" s="22" t="str">
        <f>IF(OR(E1272="",E1272="!!!"),"",IF(NOT(ISNA(VLOOKUP(E1272,E$1:E1271,1,FALSE()))),"OLD",IF(AND(E1272&lt;&gt;"",E1272&lt;&gt;"!!!"),"NEW","")))</f>
        <v> </v>
      </c>
      <c r="G1272" s="23" t="str">
        <f>IF(OR(E1272="",E1272="!!!"),"",IF(OR(J1272=0,AND(J1272=1,K1272=1),AND(J1272=1,I1272="SBJ"),AND(J1272=1,I1272=0)),"?IN_FOCUS",IF(J1272&lt;=2,"?ACTIVATED",IF(J1272&lt;&gt;"","?FAMILIAR",IF(F1272="NEW",IF(ISNA(VLOOKUP(E1272,#REF!,1,FALSE())),"?TYPE_IDENTIFIABLE","?REFERENTIAL"),"_")))))</f>
        <v> </v>
      </c>
      <c r="H1272" s="24" t="str">
        <f>IF(J1272&lt;&gt;1,"",IF(I1272="SBJ","CB","?"))</f>
        <v> </v>
      </c>
      <c r="I1272" s="25" t="str">
        <f>IF(OR(E1272="",E1272="!!!",F1272="NEW"),"",INDEX(B1271:B$2,-1+SUMPRODUCT(MAX(ROW(E1271:E$2)*(E1272=E1271:E$2)))))</f>
        <v> </v>
      </c>
      <c r="J1272" s="25" t="str">
        <f>IF(OR(E1272="",E1272="!!!",F1272="NEW"),"",COUNTBLANK(OFFSET(A$1,,,SUMPRODUCT(MAX(ROW(E$2:E1272)*(E1272=E$2:E1272)))))-COUNTBLANK(OFFSET(A$1,,,SUMPRODUCT(MAX(ROW(E$1:E1271)*(E2=E$1:E1271))))))</f>
        <v> </v>
      </c>
      <c r="K1272" s="25" t="str">
        <f>IF(OR(E1272="",E1272="!!!",F1272="NEW"),"",INDEX(J$1:J1271,SUMPRODUCT(MAX(ROW(E$1:E1271)*(E1272=E$1:E1271)))))</f>
        <v> </v>
      </c>
      <c r="L1272" s="26"/>
    </row>
    <row r="1273" spans="1:12">
      <c r="A1273" s="20" t="s">
        <v>503</v>
      </c>
      <c r="E1273" s="21">
        <f>IF(D1273="?OLD","!!!","")</f>
        <v/>
      </c>
      <c r="F1273" s="22" t="str">
        <f>IF(OR(E1273="",E1273="!!!"),"",IF(NOT(ISNA(VLOOKUP(E1273,E$1:E1272,1,FALSE()))),"OLD",IF(AND(E1273&lt;&gt;"",E1273&lt;&gt;"!!!"),"NEW","")))</f>
        <v> </v>
      </c>
      <c r="G1273" s="23" t="str">
        <f>IF(OR(E1273="",E1273="!!!"),"",IF(OR(J1273=0,AND(J1273=1,K1273=1),AND(J1273=1,I1273="SBJ"),AND(J1273=1,I1273=0)),"?IN_FOCUS",IF(J1273&lt;=2,"?ACTIVATED",IF(J1273&lt;&gt;"","?FAMILIAR",IF(F1273="NEW",IF(ISNA(VLOOKUP(E1273,#REF!,1,FALSE())),"?TYPE_IDENTIFIABLE","?REFERENTIAL"),"_")))))</f>
        <v> </v>
      </c>
      <c r="H1273" s="24" t="str">
        <f>IF(J1273&lt;&gt;1,"",IF(I1273="SBJ","CB","?"))</f>
        <v> </v>
      </c>
      <c r="I1273" s="25" t="str">
        <f>IF(OR(E1273="",E1273="!!!",F1273="NEW"),"",INDEX(B1272:B$2,-1+SUMPRODUCT(MAX(ROW(E1272:E$2)*(E1273=E1272:E$2)))))</f>
        <v> </v>
      </c>
      <c r="J1273" s="25" t="str">
        <f>IF(OR(E1273="",E1273="!!!",F1273="NEW"),"",COUNTBLANK(OFFSET(A$1,,,SUMPRODUCT(MAX(ROW(E$2:E1273)*(E1273=E$2:E1273)))))-COUNTBLANK(OFFSET(A$1,,,SUMPRODUCT(MAX(ROW(E$1:E1272)*(E2=E$1:E1272))))))</f>
        <v> </v>
      </c>
      <c r="K1273" s="25" t="str">
        <f>IF(OR(E1273="",E1273="!!!",F1273="NEW"),"",INDEX(J$1:J1272,SUMPRODUCT(MAX(ROW(E$1:E1272)*(E1273=E$1:E1272)))))</f>
        <v> </v>
      </c>
      <c r="L1273" s="26"/>
    </row>
    <row r="1274" spans="1:12">
      <c r="A1274" s="20" t="s">
        <v>937</v>
      </c>
      <c r="E1274" s="21">
        <f>IF(D1274="?OLD","!!!","")</f>
        <v/>
      </c>
      <c r="F1274" s="22" t="str">
        <f>IF(OR(E1274="",E1274="!!!"),"",IF(NOT(ISNA(VLOOKUP(E1274,E$1:E1273,1,FALSE()))),"OLD",IF(AND(E1274&lt;&gt;"",E1274&lt;&gt;"!!!"),"NEW","")))</f>
        <v> </v>
      </c>
      <c r="G1274" s="23" t="str">
        <f>IF(OR(E1274="",E1274="!!!"),"",IF(OR(J1274=0,AND(J1274=1,K1274=1),AND(J1274=1,I1274="SBJ"),AND(J1274=1,I1274=0)),"?IN_FOCUS",IF(J1274&lt;=2,"?ACTIVATED",IF(J1274&lt;&gt;"","?FAMILIAR",IF(F1274="NEW",IF(ISNA(VLOOKUP(E1274,#REF!,1,FALSE())),"?TYPE_IDENTIFIABLE","?REFERENTIAL"),"_")))))</f>
        <v> </v>
      </c>
      <c r="H1274" s="24" t="str">
        <f>IF(J1274&lt;&gt;1,"",IF(I1274="SBJ","CB","?"))</f>
        <v> </v>
      </c>
      <c r="I1274" s="25" t="str">
        <f>IF(OR(E1274="",E1274="!!!",F1274="NEW"),"",INDEX(B1273:B$2,-1+SUMPRODUCT(MAX(ROW(E1273:E$2)*(E1274=E1273:E$2)))))</f>
        <v> </v>
      </c>
      <c r="J1274" s="25" t="str">
        <f>IF(OR(E1274="",E1274="!!!",F1274="NEW"),"",COUNTBLANK(OFFSET(A$1,,,SUMPRODUCT(MAX(ROW(E$2:E1274)*(E1274=E$2:E1274)))))-COUNTBLANK(OFFSET(A$1,,,SUMPRODUCT(MAX(ROW(E$1:E1273)*(E2=E$1:E1273))))))</f>
        <v> </v>
      </c>
      <c r="K1274" s="25" t="str">
        <f>IF(OR(E1274="",E1274="!!!",F1274="NEW"),"",INDEX(J$1:J1273,SUMPRODUCT(MAX(ROW(E$1:E1273)*(E1274=E$1:E1273)))))</f>
        <v> </v>
      </c>
      <c r="L1274" s="26"/>
    </row>
    <row r="1275" spans="1:12">
      <c r="A1275" s="20" t="s">
        <v>528</v>
      </c>
      <c r="E1275" s="21">
        <f>IF(D1275="?OLD","!!!","")</f>
        <v/>
      </c>
      <c r="F1275" s="22" t="str">
        <f>IF(OR(E1275="",E1275="!!!"),"",IF(NOT(ISNA(VLOOKUP(E1275,E$1:E1274,1,FALSE()))),"OLD",IF(AND(E1275&lt;&gt;"",E1275&lt;&gt;"!!!"),"NEW","")))</f>
        <v> </v>
      </c>
      <c r="G1275" s="23" t="str">
        <f>IF(OR(E1275="",E1275="!!!"),"",IF(OR(J1275=0,AND(J1275=1,K1275=1),AND(J1275=1,I1275="SBJ"),AND(J1275=1,I1275=0)),"?IN_FOCUS",IF(J1275&lt;=2,"?ACTIVATED",IF(J1275&lt;&gt;"","?FAMILIAR",IF(F1275="NEW",IF(ISNA(VLOOKUP(E1275,#REF!,1,FALSE())),"?TYPE_IDENTIFIABLE","?REFERENTIAL"),"_")))))</f>
        <v> </v>
      </c>
      <c r="H1275" s="24" t="str">
        <f>IF(J1275&lt;&gt;1,"",IF(I1275="SBJ","CB","?"))</f>
        <v> </v>
      </c>
      <c r="I1275" s="25" t="str">
        <f>IF(OR(E1275="",E1275="!!!",F1275="NEW"),"",INDEX(B1274:B$2,-1+SUMPRODUCT(MAX(ROW(E1274:E$2)*(E1275=E1274:E$2)))))</f>
        <v> </v>
      </c>
      <c r="J1275" s="25" t="str">
        <f>IF(OR(E1275="",E1275="!!!",F1275="NEW"),"",COUNTBLANK(OFFSET(A$1,,,SUMPRODUCT(MAX(ROW(E$2:E1275)*(E1275=E$2:E1275)))))-COUNTBLANK(OFFSET(A$1,,,SUMPRODUCT(MAX(ROW(E$1:E1274)*(E2=E$1:E1274))))))</f>
        <v> </v>
      </c>
      <c r="K1275" s="25" t="str">
        <f>IF(OR(E1275="",E1275="!!!",F1275="NEW"),"",INDEX(J$1:J1274,SUMPRODUCT(MAX(ROW(E$1:E1274)*(E1275=E$1:E1274)))))</f>
        <v> </v>
      </c>
      <c r="L1275" s="26"/>
    </row>
    <row r="1276" spans="1:12">
      <c r="A1276" s="20" t="s">
        <v>720</v>
      </c>
      <c r="E1276" s="21">
        <f>IF(D1276="?OLD","!!!","")</f>
        <v/>
      </c>
      <c r="F1276" s="22" t="str">
        <f>IF(OR(E1276="",E1276="!!!"),"",IF(NOT(ISNA(VLOOKUP(E1276,E$1:E1275,1,FALSE()))),"OLD",IF(AND(E1276&lt;&gt;"",E1276&lt;&gt;"!!!"),"NEW","")))</f>
        <v> </v>
      </c>
      <c r="G1276" s="23" t="str">
        <f>IF(OR(E1276="",E1276="!!!"),"",IF(OR(J1276=0,AND(J1276=1,K1276=1),AND(J1276=1,I1276="SBJ"),AND(J1276=1,I1276=0)),"?IN_FOCUS",IF(J1276&lt;=2,"?ACTIVATED",IF(J1276&lt;&gt;"","?FAMILIAR",IF(F1276="NEW",IF(ISNA(VLOOKUP(E1276,#REF!,1,FALSE())),"?TYPE_IDENTIFIABLE","?REFERENTIAL"),"_")))))</f>
        <v> </v>
      </c>
      <c r="H1276" s="24" t="str">
        <f>IF(J1276&lt;&gt;1,"",IF(I1276="SBJ","CB","?"))</f>
        <v> </v>
      </c>
      <c r="I1276" s="25" t="str">
        <f>IF(OR(E1276="",E1276="!!!",F1276="NEW"),"",INDEX(B1275:B$2,-1+SUMPRODUCT(MAX(ROW(E1275:E$2)*(E1276=E1275:E$2)))))</f>
        <v> </v>
      </c>
      <c r="J1276" s="25" t="str">
        <f>IF(OR(E1276="",E1276="!!!",F1276="NEW"),"",COUNTBLANK(OFFSET(A$1,,,SUMPRODUCT(MAX(ROW(E$2:E1276)*(E1276=E$2:E1276)))))-COUNTBLANK(OFFSET(A$1,,,SUMPRODUCT(MAX(ROW(E$1:E1275)*(E2=E$1:E1275))))))</f>
        <v> </v>
      </c>
      <c r="K1276" s="25" t="str">
        <f>IF(OR(E1276="",E1276="!!!",F1276="NEW"),"",INDEX(J$1:J1275,SUMPRODUCT(MAX(ROW(E$1:E1275)*(E1276=E$1:E1275)))))</f>
        <v> </v>
      </c>
      <c r="L1276" s="26"/>
    </row>
    <row r="1277" spans="1:12">
      <c r="A1277" s="20" t="s">
        <v>808</v>
      </c>
      <c r="B1277" s="27" t="s">
        <v>490</v>
      </c>
      <c r="C1277" s="27" t="s">
        <v>598</v>
      </c>
      <c r="D1277" s="27" t="s">
        <v>483</v>
      </c>
      <c r="E1277" s="21">
        <f>IF(D1277="?OLD","!!!","")</f>
        <v/>
      </c>
      <c r="F1277" s="22" t="str">
        <f>IF(OR(E1277="",E1277="!!!"),"",IF(NOT(ISNA(VLOOKUP(E1277,E$1:E1276,1,FALSE()))),"OLD",IF(AND(E1277&lt;&gt;"",E1277&lt;&gt;"!!!"),"NEW","")))</f>
        <v> </v>
      </c>
      <c r="G1277" s="23" t="str">
        <f>IF(OR(E1277="",E1277="!!!"),"",IF(OR(J1277=0,AND(J1277=1,K1277=1),AND(J1277=1,I1277="SBJ"),AND(J1277=1,I1277=0)),"?IN_FOCUS",IF(J1277&lt;=2,"?ACTIVATED",IF(J1277&lt;&gt;"","?FAMILIAR",IF(F1277="NEW",IF(ISNA(VLOOKUP(E1277,#REF!,1,FALSE())),"?TYPE_IDENTIFIABLE","?REFERENTIAL"),"_")))))</f>
        <v> </v>
      </c>
      <c r="H1277" s="24" t="str">
        <f>IF(J1277&lt;&gt;1,"",IF(I1277="SBJ","CB","?"))</f>
        <v> </v>
      </c>
      <c r="I1277" s="25" t="str">
        <f>IF(OR(E1277="",E1277="!!!",F1277="NEW"),"",INDEX(B1276:B$2,-1+SUMPRODUCT(MAX(ROW(E1276:E$2)*(E1277=E1276:E$2)))))</f>
        <v> </v>
      </c>
      <c r="J1277" s="25" t="str">
        <f>IF(OR(E1277="",E1277="!!!",F1277="NEW"),"",COUNTBLANK(OFFSET(A$1,,,SUMPRODUCT(MAX(ROW(E$2:E1277)*(E1277=E$2:E1277)))))-COUNTBLANK(OFFSET(A$1,,,SUMPRODUCT(MAX(ROW(E$1:E1276)*(E2=E$1:E1276))))))</f>
        <v> </v>
      </c>
      <c r="K1277" s="25" t="str">
        <f>IF(OR(E1277="",E1277="!!!",F1277="NEW"),"",INDEX(J$1:J1276,SUMPRODUCT(MAX(ROW(E$1:E1276)*(E1277=E$1:E1276)))))</f>
        <v> </v>
      </c>
      <c r="L1277" s="26"/>
    </row>
    <row r="1278" spans="1:12">
      <c r="A1278" s="20" t="s">
        <v>489</v>
      </c>
      <c r="E1278" s="21">
        <f>IF(D1278="?OLD","!!!","")</f>
        <v/>
      </c>
      <c r="F1278" s="22" t="str">
        <f>IF(OR(E1278="",E1278="!!!"),"",IF(NOT(ISNA(VLOOKUP(E1278,E$1:E1277,1,FALSE()))),"OLD",IF(AND(E1278&lt;&gt;"",E1278&lt;&gt;"!!!"),"NEW","")))</f>
        <v> </v>
      </c>
      <c r="G1278" s="23" t="str">
        <f>IF(OR(E1278="",E1278="!!!"),"",IF(OR(J1278=0,AND(J1278=1,K1278=1),AND(J1278=1,I1278="SBJ"),AND(J1278=1,I1278=0)),"?IN_FOCUS",IF(J1278&lt;=2,"?ACTIVATED",IF(J1278&lt;&gt;"","?FAMILIAR",IF(F1278="NEW",IF(ISNA(VLOOKUP(E1278,#REF!,1,FALSE())),"?TYPE_IDENTIFIABLE","?REFERENTIAL"),"_")))))</f>
        <v> </v>
      </c>
      <c r="H1278" s="24" t="str">
        <f>IF(J1278&lt;&gt;1,"",IF(I1278="SBJ","CB","?"))</f>
        <v> </v>
      </c>
      <c r="I1278" s="25" t="str">
        <f>IF(OR(E1278="",E1278="!!!",F1278="NEW"),"",INDEX(B1277:B$2,-1+SUMPRODUCT(MAX(ROW(E1277:E$2)*(E1278=E1277:E$2)))))</f>
        <v> </v>
      </c>
      <c r="J1278" s="25" t="str">
        <f>IF(OR(E1278="",E1278="!!!",F1278="NEW"),"",COUNTBLANK(OFFSET(A$1,,,SUMPRODUCT(MAX(ROW(E$2:E1278)*(E1278=E$2:E1278)))))-COUNTBLANK(OFFSET(A$1,,,SUMPRODUCT(MAX(ROW(E$1:E1277)*(E2=E$1:E1277))))))</f>
        <v> </v>
      </c>
      <c r="K1278" s="25" t="str">
        <f>IF(OR(E1278="",E1278="!!!",F1278="NEW"),"",INDEX(J$1:J1277,SUMPRODUCT(MAX(ROW(E$1:E1277)*(E1278=E$1:E1277)))))</f>
        <v> </v>
      </c>
      <c r="L1278" s="26"/>
    </row>
    <row r="1279" spans="1:12">
      <c r="A1279" s="20" t="s">
        <v>492</v>
      </c>
      <c r="B1279" s="27" t="s">
        <v>654</v>
      </c>
      <c r="E1279" s="21">
        <f>IF(D1279="?OLD","!!!","")</f>
        <v/>
      </c>
      <c r="F1279" s="22" t="str">
        <f>IF(OR(E1279="",E1279="!!!"),"",IF(NOT(ISNA(VLOOKUP(E1279,E$1:E1278,1,FALSE()))),"OLD",IF(AND(E1279&lt;&gt;"",E1279&lt;&gt;"!!!"),"NEW","")))</f>
        <v> </v>
      </c>
      <c r="G1279" s="23" t="str">
        <f>IF(OR(E1279="",E1279="!!!"),"",IF(OR(J1279=0,AND(J1279=1,K1279=1),AND(J1279=1,I1279="SBJ"),AND(J1279=1,I1279=0)),"?IN_FOCUS",IF(J1279&lt;=2,"?ACTIVATED",IF(J1279&lt;&gt;"","?FAMILIAR",IF(F1279="NEW",IF(ISNA(VLOOKUP(E1279,#REF!,1,FALSE())),"?TYPE_IDENTIFIABLE","?REFERENTIAL"),"_")))))</f>
        <v> </v>
      </c>
      <c r="H1279" s="24" t="str">
        <f>IF(J1279&lt;&gt;1,"",IF(I1279="SBJ","CB","?"))</f>
        <v> </v>
      </c>
      <c r="I1279" s="25" t="str">
        <f>IF(OR(E1279="",E1279="!!!",F1279="NEW"),"",INDEX(B1278:B$2,-1+SUMPRODUCT(MAX(ROW(E1278:E$2)*(E1279=E1278:E$2)))))</f>
        <v> </v>
      </c>
      <c r="J1279" s="25" t="str">
        <f>IF(OR(E1279="",E1279="!!!",F1279="NEW"),"",COUNTBLANK(OFFSET(A$1,,,SUMPRODUCT(MAX(ROW(E$2:E1279)*(E1279=E$2:E1279)))))-COUNTBLANK(OFFSET(A$1,,,SUMPRODUCT(MAX(ROW(E$1:E1278)*(E2=E$1:E1278))))))</f>
        <v> </v>
      </c>
      <c r="K1279" s="25" t="str">
        <f>IF(OR(E1279="",E1279="!!!",F1279="NEW"),"",INDEX(J$1:J1278,SUMPRODUCT(MAX(ROW(E$1:E1278)*(E1279=E$1:E1278)))))</f>
        <v> </v>
      </c>
      <c r="L1279" s="26"/>
    </row>
    <row r="1280" spans="1:12">
      <c r="A1280" s="20" t="s">
        <v>489</v>
      </c>
      <c r="E1280" s="21">
        <f>IF(D1280="?OLD","!!!","")</f>
        <v/>
      </c>
      <c r="F1280" s="22" t="str">
        <f>IF(OR(E1280="",E1280="!!!"),"",IF(NOT(ISNA(VLOOKUP(E1280,E$1:E1279,1,FALSE()))),"OLD",IF(AND(E1280&lt;&gt;"",E1280&lt;&gt;"!!!"),"NEW","")))</f>
        <v> </v>
      </c>
      <c r="G1280" s="23" t="str">
        <f>IF(OR(E1280="",E1280="!!!"),"",IF(OR(J1280=0,AND(J1280=1,K1280=1),AND(J1280=1,I1280="SBJ"),AND(J1280=1,I1280=0)),"?IN_FOCUS",IF(J1280&lt;=2,"?ACTIVATED",IF(J1280&lt;&gt;"","?FAMILIAR",IF(F1280="NEW",IF(ISNA(VLOOKUP(E1280,#REF!,1,FALSE())),"?TYPE_IDENTIFIABLE","?REFERENTIAL"),"_")))))</f>
        <v> </v>
      </c>
      <c r="H1280" s="24" t="str">
        <f>IF(J1280&lt;&gt;1,"",IF(I1280="SBJ","CB","?"))</f>
        <v> </v>
      </c>
      <c r="I1280" s="25" t="str">
        <f>IF(OR(E1280="",E1280="!!!",F1280="NEW"),"",INDEX(B1279:B$2,-1+SUMPRODUCT(MAX(ROW(E1279:E$2)*(E1280=E1279:E$2)))))</f>
        <v> </v>
      </c>
      <c r="J1280" s="25" t="str">
        <f>IF(OR(E1280="",E1280="!!!",F1280="NEW"),"",COUNTBLANK(OFFSET(A$1,,,SUMPRODUCT(MAX(ROW(E$2:E1280)*(E1280=E$2:E1280)))))-COUNTBLANK(OFFSET(A$1,,,SUMPRODUCT(MAX(ROW(E$1:E1279)*(E2=E$1:E1279))))))</f>
        <v> </v>
      </c>
      <c r="K1280" s="25" t="str">
        <f>IF(OR(E1280="",E1280="!!!",F1280="NEW"),"",INDEX(J$1:J1279,SUMPRODUCT(MAX(ROW(E$1:E1279)*(E1280=E$1:E1279)))))</f>
        <v> </v>
      </c>
      <c r="L1280" s="26"/>
    </row>
    <row r="1281" spans="1:12">
      <c r="A1281" s="20" t="s">
        <v>752</v>
      </c>
      <c r="E1281" s="21">
        <f>IF(D1281="?OLD","!!!","")</f>
        <v/>
      </c>
      <c r="F1281" s="22" t="str">
        <f>IF(OR(E1281="",E1281="!!!"),"",IF(NOT(ISNA(VLOOKUP(E1281,E$1:E1280,1,FALSE()))),"OLD",IF(AND(E1281&lt;&gt;"",E1281&lt;&gt;"!!!"),"NEW","")))</f>
        <v> </v>
      </c>
      <c r="G1281" s="23" t="str">
        <f>IF(OR(E1281="",E1281="!!!"),"",IF(OR(J1281=0,AND(J1281=1,K1281=1),AND(J1281=1,I1281="SBJ"),AND(J1281=1,I1281=0)),"?IN_FOCUS",IF(J1281&lt;=2,"?ACTIVATED",IF(J1281&lt;&gt;"","?FAMILIAR",IF(F1281="NEW",IF(ISNA(VLOOKUP(E1281,#REF!,1,FALSE())),"?TYPE_IDENTIFIABLE","?REFERENTIAL"),"_")))))</f>
        <v> </v>
      </c>
      <c r="H1281" s="24" t="str">
        <f>IF(J1281&lt;&gt;1,"",IF(I1281="SBJ","CB","?"))</f>
        <v> </v>
      </c>
      <c r="I1281" s="25" t="str">
        <f>IF(OR(E1281="",E1281="!!!",F1281="NEW"),"",INDEX(B1280:B$2,-1+SUMPRODUCT(MAX(ROW(E1280:E$2)*(E1281=E1280:E$2)))))</f>
        <v> </v>
      </c>
      <c r="J1281" s="25" t="str">
        <f>IF(OR(E1281="",E1281="!!!",F1281="NEW"),"",COUNTBLANK(OFFSET(A$1,,,SUMPRODUCT(MAX(ROW(E$2:E1281)*(E1281=E$2:E1281)))))-COUNTBLANK(OFFSET(A$1,,,SUMPRODUCT(MAX(ROW(E$1:E1280)*(E2=E$1:E1280))))))</f>
        <v> </v>
      </c>
      <c r="K1281" s="25" t="str">
        <f>IF(OR(E1281="",E1281="!!!",F1281="NEW"),"",INDEX(J$1:J1280,SUMPRODUCT(MAX(ROW(E$1:E1280)*(E1281=E$1:E1280)))))</f>
        <v> </v>
      </c>
      <c r="L1281" s="26"/>
    </row>
    <row r="1282" spans="1:12">
      <c r="A1282" s="20" t="s">
        <v>938</v>
      </c>
      <c r="E1282" s="21">
        <f>IF(D1282="?OLD","!!!","")</f>
        <v/>
      </c>
      <c r="F1282" s="22" t="str">
        <f>IF(OR(E1282="",E1282="!!!"),"",IF(NOT(ISNA(VLOOKUP(E1282,E$1:E1281,1,FALSE()))),"OLD",IF(AND(E1282&lt;&gt;"",E1282&lt;&gt;"!!!"),"NEW","")))</f>
        <v> </v>
      </c>
      <c r="G1282" s="23" t="str">
        <f>IF(OR(E1282="",E1282="!!!"),"",IF(OR(J1282=0,AND(J1282=1,K1282=1),AND(J1282=1,I1282="SBJ"),AND(J1282=1,I1282=0)),"?IN_FOCUS",IF(J1282&lt;=2,"?ACTIVATED",IF(J1282&lt;&gt;"","?FAMILIAR",IF(F1282="NEW",IF(ISNA(VLOOKUP(E1282,#REF!,1,FALSE())),"?TYPE_IDENTIFIABLE","?REFERENTIAL"),"_")))))</f>
        <v> </v>
      </c>
      <c r="H1282" s="24" t="str">
        <f>IF(J1282&lt;&gt;1,"",IF(I1282="SBJ","CB","?"))</f>
        <v> </v>
      </c>
      <c r="I1282" s="25" t="str">
        <f>IF(OR(E1282="",E1282="!!!",F1282="NEW"),"",INDEX(B1281:B$2,-1+SUMPRODUCT(MAX(ROW(E1281:E$2)*(E1282=E1281:E$2)))))</f>
        <v> </v>
      </c>
      <c r="J1282" s="25" t="str">
        <f>IF(OR(E1282="",E1282="!!!",F1282="NEW"),"",COUNTBLANK(OFFSET(A$1,,,SUMPRODUCT(MAX(ROW(E$2:E1282)*(E1282=E$2:E1282)))))-COUNTBLANK(OFFSET(A$1,,,SUMPRODUCT(MAX(ROW(E$1:E1281)*(E2=E$1:E1281))))))</f>
        <v> </v>
      </c>
      <c r="K1282" s="25" t="str">
        <f>IF(OR(E1282="",E1282="!!!",F1282="NEW"),"",INDEX(J$1:J1281,SUMPRODUCT(MAX(ROW(E$1:E1281)*(E1282=E$1:E1281)))))</f>
        <v> </v>
      </c>
      <c r="L1282" s="26"/>
    </row>
    <row r="1283" spans="1:12">
      <c r="A1283" s="20" t="s">
        <v>939</v>
      </c>
      <c r="B1283" s="27" t="s">
        <v>497</v>
      </c>
      <c r="C1283" s="27" t="s">
        <v>516</v>
      </c>
      <c r="E1283" s="21">
        <f>IF(D1283="?OLD","!!!","")</f>
        <v/>
      </c>
      <c r="F1283" s="22" t="str">
        <f>IF(OR(E1283="",E1283="!!!"),"",IF(NOT(ISNA(VLOOKUP(E1283,E$1:E1282,1,FALSE()))),"OLD",IF(AND(E1283&lt;&gt;"",E1283&lt;&gt;"!!!"),"NEW","")))</f>
        <v> </v>
      </c>
      <c r="G1283" s="23" t="str">
        <f>IF(OR(E1283="",E1283="!!!"),"",IF(OR(J1283=0,AND(J1283=1,K1283=1),AND(J1283=1,I1283="SBJ"),AND(J1283=1,I1283=0)),"?IN_FOCUS",IF(J1283&lt;=2,"?ACTIVATED",IF(J1283&lt;&gt;"","?FAMILIAR",IF(F1283="NEW",IF(ISNA(VLOOKUP(E1283,#REF!,1,FALSE())),"?TYPE_IDENTIFIABLE","?REFERENTIAL"),"_")))))</f>
        <v> </v>
      </c>
      <c r="H1283" s="24" t="str">
        <f>IF(J1283&lt;&gt;1,"",IF(I1283="SBJ","CB","?"))</f>
        <v> </v>
      </c>
      <c r="I1283" s="25" t="str">
        <f>IF(OR(E1283="",E1283="!!!",F1283="NEW"),"",INDEX(B1282:B$2,-1+SUMPRODUCT(MAX(ROW(E1282:E$2)*(E1283=E1282:E$2)))))</f>
        <v> </v>
      </c>
      <c r="J1283" s="25" t="str">
        <f>IF(OR(E1283="",E1283="!!!",F1283="NEW"),"",COUNTBLANK(OFFSET(A$1,,,SUMPRODUCT(MAX(ROW(E$2:E1283)*(E1283=E$2:E1283)))))-COUNTBLANK(OFFSET(A$1,,,SUMPRODUCT(MAX(ROW(E$1:E1282)*(E2=E$1:E1282))))))</f>
        <v> </v>
      </c>
      <c r="K1283" s="25" t="str">
        <f>IF(OR(E1283="",E1283="!!!",F1283="NEW"),"",INDEX(J$1:J1282,SUMPRODUCT(MAX(ROW(E$1:E1282)*(E1283=E$1:E1282)))))</f>
        <v> </v>
      </c>
      <c r="L1283" s="26"/>
    </row>
    <row r="1284" spans="1:12">
      <c r="A1284" s="20" t="s">
        <v>489</v>
      </c>
      <c r="E1284" s="21">
        <f>IF(D1284="?OLD","!!!","")</f>
        <v/>
      </c>
      <c r="F1284" s="22" t="str">
        <f>IF(OR(E1284="",E1284="!!!"),"",IF(NOT(ISNA(VLOOKUP(E1284,E$1:E1283,1,FALSE()))),"OLD",IF(AND(E1284&lt;&gt;"",E1284&lt;&gt;"!!!"),"NEW","")))</f>
        <v> </v>
      </c>
      <c r="G1284" s="23" t="str">
        <f>IF(OR(E1284="",E1284="!!!"),"",IF(OR(J1284=0,AND(J1284=1,K1284=1),AND(J1284=1,I1284="SBJ"),AND(J1284=1,I1284=0)),"?IN_FOCUS",IF(J1284&lt;=2,"?ACTIVATED",IF(J1284&lt;&gt;"","?FAMILIAR",IF(F1284="NEW",IF(ISNA(VLOOKUP(E1284,#REF!,1,FALSE())),"?TYPE_IDENTIFIABLE","?REFERENTIAL"),"_")))))</f>
        <v> </v>
      </c>
      <c r="H1284" s="24" t="str">
        <f>IF(J1284&lt;&gt;1,"",IF(I1284="SBJ","CB","?"))</f>
        <v> </v>
      </c>
      <c r="I1284" s="25" t="str">
        <f>IF(OR(E1284="",E1284="!!!",F1284="NEW"),"",INDEX(B1283:B$2,-1+SUMPRODUCT(MAX(ROW(E1283:E$2)*(E1284=E1283:E$2)))))</f>
        <v> </v>
      </c>
      <c r="J1284" s="25" t="str">
        <f>IF(OR(E1284="",E1284="!!!",F1284="NEW"),"",COUNTBLANK(OFFSET(A$1,,,SUMPRODUCT(MAX(ROW(E$2:E1284)*(E1284=E$2:E1284)))))-COUNTBLANK(OFFSET(A$1,,,SUMPRODUCT(MAX(ROW(E$1:E1283)*(E2=E$1:E1283))))))</f>
        <v> </v>
      </c>
      <c r="K1284" s="25" t="str">
        <f>IF(OR(E1284="",E1284="!!!",F1284="NEW"),"",INDEX(J$1:J1283,SUMPRODUCT(MAX(ROW(E$1:E1283)*(E1284=E$1:E1283)))))</f>
        <v> </v>
      </c>
      <c r="L1284" s="26"/>
    </row>
    <row r="1285" spans="1:12">
      <c r="A1285" s="20" t="s">
        <v>940</v>
      </c>
      <c r="E1285" s="21">
        <f>IF(D1285="?OLD","!!!","")</f>
        <v/>
      </c>
      <c r="F1285" s="22" t="str">
        <f>IF(OR(E1285="",E1285="!!!"),"",IF(NOT(ISNA(VLOOKUP(E1285,E$1:E1284,1,FALSE()))),"OLD",IF(AND(E1285&lt;&gt;"",E1285&lt;&gt;"!!!"),"NEW","")))</f>
        <v> </v>
      </c>
      <c r="G1285" s="23" t="str">
        <f>IF(OR(E1285="",E1285="!!!"),"",IF(OR(J1285=0,AND(J1285=1,K1285=1),AND(J1285=1,I1285="SBJ"),AND(J1285=1,I1285=0)),"?IN_FOCUS",IF(J1285&lt;=2,"?ACTIVATED",IF(J1285&lt;&gt;"","?FAMILIAR",IF(F1285="NEW",IF(ISNA(VLOOKUP(E1285,#REF!,1,FALSE())),"?TYPE_IDENTIFIABLE","?REFERENTIAL"),"_")))))</f>
        <v> </v>
      </c>
      <c r="H1285" s="24" t="str">
        <f>IF(J1285&lt;&gt;1,"",IF(I1285="SBJ","CB","?"))</f>
        <v> </v>
      </c>
      <c r="I1285" s="25" t="str">
        <f>IF(OR(E1285="",E1285="!!!",F1285="NEW"),"",INDEX(B1284:B$2,-1+SUMPRODUCT(MAX(ROW(E1284:E$2)*(E1285=E1284:E$2)))))</f>
        <v> </v>
      </c>
      <c r="J1285" s="25" t="str">
        <f>IF(OR(E1285="",E1285="!!!",F1285="NEW"),"",COUNTBLANK(OFFSET(A$1,,,SUMPRODUCT(MAX(ROW(E$2:E1285)*(E1285=E$2:E1285)))))-COUNTBLANK(OFFSET(A$1,,,SUMPRODUCT(MAX(ROW(E$1:E1284)*(E2=E$1:E1284))))))</f>
        <v> </v>
      </c>
      <c r="K1285" s="25" t="str">
        <f>IF(OR(E1285="",E1285="!!!",F1285="NEW"),"",INDEX(J$1:J1284,SUMPRODUCT(MAX(ROW(E$1:E1284)*(E1285=E$1:E1284)))))</f>
        <v> </v>
      </c>
      <c r="L1285" s="26"/>
    </row>
    <row r="1286" spans="1:12">
      <c r="A1286" s="20" t="s">
        <v>507</v>
      </c>
      <c r="E1286" s="21">
        <f>IF(D1286="?OLD","!!!","")</f>
        <v/>
      </c>
      <c r="F1286" s="22" t="str">
        <f>IF(OR(E1286="",E1286="!!!"),"",IF(NOT(ISNA(VLOOKUP(E1286,E$1:E1285,1,FALSE()))),"OLD",IF(AND(E1286&lt;&gt;"",E1286&lt;&gt;"!!!"),"NEW","")))</f>
        <v> </v>
      </c>
      <c r="G1286" s="23" t="str">
        <f>IF(OR(E1286="",E1286="!!!"),"",IF(OR(J1286=0,AND(J1286=1,K1286=1),AND(J1286=1,I1286="SBJ"),AND(J1286=1,I1286=0)),"?IN_FOCUS",IF(J1286&lt;=2,"?ACTIVATED",IF(J1286&lt;&gt;"","?FAMILIAR",IF(F1286="NEW",IF(ISNA(VLOOKUP(E1286,#REF!,1,FALSE())),"?TYPE_IDENTIFIABLE","?REFERENTIAL"),"_")))))</f>
        <v> </v>
      </c>
      <c r="H1286" s="24" t="str">
        <f>IF(J1286&lt;&gt;1,"",IF(I1286="SBJ","CB","?"))</f>
        <v> </v>
      </c>
      <c r="I1286" s="25" t="str">
        <f>IF(OR(E1286="",E1286="!!!",F1286="NEW"),"",INDEX(B1285:B$2,-1+SUMPRODUCT(MAX(ROW(E1285:E$2)*(E1286=E1285:E$2)))))</f>
        <v> </v>
      </c>
      <c r="J1286" s="25" t="str">
        <f>IF(OR(E1286="",E1286="!!!",F1286="NEW"),"",COUNTBLANK(OFFSET(A$1,,,SUMPRODUCT(MAX(ROW(E$2:E1286)*(E1286=E$2:E1286)))))-COUNTBLANK(OFFSET(A$1,,,SUMPRODUCT(MAX(ROW(E$1:E1285)*(E2=E$1:E1285))))))</f>
        <v> </v>
      </c>
      <c r="K1286" s="25" t="str">
        <f>IF(OR(E1286="",E1286="!!!",F1286="NEW"),"",INDEX(J$1:J1285,SUMPRODUCT(MAX(ROW(E$1:E1285)*(E1286=E$1:E1285)))))</f>
        <v> </v>
      </c>
      <c r="L1286" s="26"/>
    </row>
    <row r="1287" spans="1:12">
      <c r="A1287" s="20" t="s">
        <v>503</v>
      </c>
      <c r="E1287" s="21">
        <f>IF(D1287="?OLD","!!!","")</f>
        <v/>
      </c>
      <c r="F1287" s="22" t="str">
        <f>IF(OR(E1287="",E1287="!!!"),"",IF(NOT(ISNA(VLOOKUP(E1287,E$1:E1286,1,FALSE()))),"OLD",IF(AND(E1287&lt;&gt;"",E1287&lt;&gt;"!!!"),"NEW","")))</f>
        <v> </v>
      </c>
      <c r="G1287" s="23" t="str">
        <f>IF(OR(E1287="",E1287="!!!"),"",IF(OR(J1287=0,AND(J1287=1,K1287=1),AND(J1287=1,I1287="SBJ"),AND(J1287=1,I1287=0)),"?IN_FOCUS",IF(J1287&lt;=2,"?ACTIVATED",IF(J1287&lt;&gt;"","?FAMILIAR",IF(F1287="NEW",IF(ISNA(VLOOKUP(E1287,#REF!,1,FALSE())),"?TYPE_IDENTIFIABLE","?REFERENTIAL"),"_")))))</f>
        <v> </v>
      </c>
      <c r="H1287" s="24" t="str">
        <f>IF(J1287&lt;&gt;1,"",IF(I1287="SBJ","CB","?"))</f>
        <v> </v>
      </c>
      <c r="I1287" s="25" t="str">
        <f>IF(OR(E1287="",E1287="!!!",F1287="NEW"),"",INDEX(B1286:B$2,-1+SUMPRODUCT(MAX(ROW(E1286:E$2)*(E1287=E1286:E$2)))))</f>
        <v> </v>
      </c>
      <c r="J1287" s="25" t="str">
        <f>IF(OR(E1287="",E1287="!!!",F1287="NEW"),"",COUNTBLANK(OFFSET(A$1,,,SUMPRODUCT(MAX(ROW(E$2:E1287)*(E1287=E$2:E1287)))))-COUNTBLANK(OFFSET(A$1,,,SUMPRODUCT(MAX(ROW(E$1:E1286)*(E2=E$1:E1286))))))</f>
        <v> </v>
      </c>
      <c r="K1287" s="25" t="str">
        <f>IF(OR(E1287="",E1287="!!!",F1287="NEW"),"",INDEX(J$1:J1286,SUMPRODUCT(MAX(ROW(E$1:E1286)*(E1287=E$1:E1286)))))</f>
        <v> </v>
      </c>
      <c r="L1287" s="26"/>
    </row>
    <row r="1288" spans="1:12">
      <c r="A1288" s="20" t="s">
        <v>895</v>
      </c>
      <c r="B1288" s="27" t="s">
        <v>547</v>
      </c>
      <c r="C1288" s="27" t="s">
        <v>487</v>
      </c>
      <c r="D1288" s="27" t="s">
        <v>483</v>
      </c>
      <c r="E1288" s="21">
        <f>IF(D1288="?OLD","!!!","")</f>
        <v/>
      </c>
      <c r="F1288" s="22" t="str">
        <f>IF(OR(E1288="",E1288="!!!"),"",IF(NOT(ISNA(VLOOKUP(E1288,E$1:E1287,1,FALSE()))),"OLD",IF(AND(E1288&lt;&gt;"",E1288&lt;&gt;"!!!"),"NEW","")))</f>
        <v> </v>
      </c>
      <c r="G1288" s="23" t="str">
        <f>IF(OR(E1288="",E1288="!!!"),"",IF(OR(J1288=0,AND(J1288=1,K1288=1),AND(J1288=1,I1288="SBJ"),AND(J1288=1,I1288=0)),"?IN_FOCUS",IF(J1288&lt;=2,"?ACTIVATED",IF(J1288&lt;&gt;"","?FAMILIAR",IF(F1288="NEW",IF(ISNA(VLOOKUP(E1288,#REF!,1,FALSE())),"?TYPE_IDENTIFIABLE","?REFERENTIAL"),"_")))))</f>
        <v> </v>
      </c>
      <c r="H1288" s="24" t="str">
        <f>IF(J1288&lt;&gt;1,"",IF(I1288="SBJ","CB","?"))</f>
        <v> </v>
      </c>
      <c r="I1288" s="25" t="str">
        <f>IF(OR(E1288="",E1288="!!!",F1288="NEW"),"",INDEX(B1287:B$2,-1+SUMPRODUCT(MAX(ROW(E1287:E$2)*(E1288=E1287:E$2)))))</f>
        <v> </v>
      </c>
      <c r="J1288" s="25" t="str">
        <f>IF(OR(E1288="",E1288="!!!",F1288="NEW"),"",COUNTBLANK(OFFSET(A$1,,,SUMPRODUCT(MAX(ROW(E$2:E1288)*(E1288=E$2:E1288)))))-COUNTBLANK(OFFSET(A$1,,,SUMPRODUCT(MAX(ROW(E$1:E1287)*(E2=E$1:E1287))))))</f>
        <v> </v>
      </c>
      <c r="K1288" s="25" t="str">
        <f>IF(OR(E1288="",E1288="!!!",F1288="NEW"),"",INDEX(J$1:J1287,SUMPRODUCT(MAX(ROW(E$1:E1287)*(E1288=E$1:E1287)))))</f>
        <v> </v>
      </c>
      <c r="L1288" s="26"/>
    </row>
    <row r="1289" spans="1:12">
      <c r="A1289" s="20" t="s">
        <v>531</v>
      </c>
      <c r="E1289" s="21">
        <f>IF(D1289="?OLD","!!!","")</f>
        <v/>
      </c>
      <c r="F1289" s="22" t="str">
        <f>IF(OR(E1289="",E1289="!!!"),"",IF(NOT(ISNA(VLOOKUP(E1289,E$1:E1288,1,FALSE()))),"OLD",IF(AND(E1289&lt;&gt;"",E1289&lt;&gt;"!!!"),"NEW","")))</f>
        <v> </v>
      </c>
      <c r="G1289" s="23" t="str">
        <f>IF(OR(E1289="",E1289="!!!"),"",IF(OR(J1289=0,AND(J1289=1,K1289=1),AND(J1289=1,I1289="SBJ"),AND(J1289=1,I1289=0)),"?IN_FOCUS",IF(J1289&lt;=2,"?ACTIVATED",IF(J1289&lt;&gt;"","?FAMILIAR",IF(F1289="NEW",IF(ISNA(VLOOKUP(E1289,#REF!,1,FALSE())),"?TYPE_IDENTIFIABLE","?REFERENTIAL"),"_")))))</f>
        <v> </v>
      </c>
      <c r="H1289" s="24" t="str">
        <f>IF(J1289&lt;&gt;1,"",IF(I1289="SBJ","CB","?"))</f>
        <v> </v>
      </c>
      <c r="I1289" s="25" t="str">
        <f>IF(OR(E1289="",E1289="!!!",F1289="NEW"),"",INDEX(B1288:B$2,-1+SUMPRODUCT(MAX(ROW(E1288:E$2)*(E1289=E1288:E$2)))))</f>
        <v> </v>
      </c>
      <c r="J1289" s="25" t="str">
        <f>IF(OR(E1289="",E1289="!!!",F1289="NEW"),"",COUNTBLANK(OFFSET(A$1,,,SUMPRODUCT(MAX(ROW(E$2:E1289)*(E1289=E$2:E1289)))))-COUNTBLANK(OFFSET(A$1,,,SUMPRODUCT(MAX(ROW(E$1:E1288)*(E2=E$1:E1288))))))</f>
        <v> </v>
      </c>
      <c r="K1289" s="25" t="str">
        <f>IF(OR(E1289="",E1289="!!!",F1289="NEW"),"",INDEX(J$1:J1288,SUMPRODUCT(MAX(ROW(E$1:E1288)*(E1289=E$1:E1288)))))</f>
        <v> </v>
      </c>
      <c r="L1289" s="26"/>
    </row>
    <row r="1290" spans="1:12">
      <c r="A1290" s="20"/>
    </row>
    <row r="1291" spans="1:12">
      <c r="A1291" s="20" t="s">
        <v>941</v>
      </c>
    </row>
    <row r="1292" spans="1:12">
      <c r="A1292" s="20" t="s">
        <v>942</v>
      </c>
      <c r="B1292" s="27" t="s">
        <v>549</v>
      </c>
      <c r="C1292" s="27" t="s">
        <v>491</v>
      </c>
      <c r="D1292" s="27" t="s">
        <v>483</v>
      </c>
      <c r="E1292" s="21">
        <f>IF(D1292="?OLD","!!!","")</f>
        <v/>
      </c>
      <c r="F1292" s="22" t="str">
        <f>IF(OR(E1292="",E1292="!!!"),"",IF(NOT(ISNA(VLOOKUP(E1292,E$1:E1291,1,FALSE()))),"OLD",IF(AND(E1292&lt;&gt;"",E1292&lt;&gt;"!!!"),"NEW","")))</f>
        <v> </v>
      </c>
      <c r="G1292" s="23" t="str">
        <f>IF(OR(E1292="",E1292="!!!"),"",IF(OR(J1292=0,AND(J1292=1,K1292=1),AND(J1292=1,I1292="SBJ"),AND(J1292=1,I1292=0)),"?IN_FOCUS",IF(J1292&lt;=2,"?ACTIVATED",IF(J1292&lt;&gt;"","?FAMILIAR",IF(F1292="NEW",IF(ISNA(VLOOKUP(E1292,#REF!,1,FALSE())),"?TYPE_IDENTIFIABLE","?REFERENTIAL"),"_")))))</f>
        <v> </v>
      </c>
      <c r="H1292" s="24" t="str">
        <f>IF(J1292&lt;&gt;1,"",IF(I1292="SBJ","CB","?"))</f>
        <v> </v>
      </c>
      <c r="I1292" s="25" t="str">
        <f>IF(OR(E1292="",E1292="!!!",F1292="NEW"),"",INDEX(B1291:B$2,-1+SUMPRODUCT(MAX(ROW(E1291:E$2)*(E1292=E1291:E$2)))))</f>
        <v> </v>
      </c>
      <c r="J1292" s="25" t="str">
        <f>IF(OR(E1292="",E1292="!!!",F1292="NEW"),"",COUNTBLANK(OFFSET(A$1,,,SUMPRODUCT(MAX(ROW(E$2:E1292)*(E1292=E$2:E1292)))))-COUNTBLANK(OFFSET(A$1,,,SUMPRODUCT(MAX(ROW(E$1:E1291)*(E2=E$1:E1291))))))</f>
        <v> </v>
      </c>
      <c r="K1292" s="25" t="str">
        <f>IF(OR(E1292="",E1292="!!!",F1292="NEW"),"",INDEX(J$1:J1291,SUMPRODUCT(MAX(ROW(E$1:E1291)*(E1292=E$1:E1291)))))</f>
        <v> </v>
      </c>
      <c r="L1292" s="26"/>
    </row>
    <row r="1293" spans="1:12">
      <c r="A1293" s="20" t="s">
        <v>558</v>
      </c>
      <c r="E1293" s="21">
        <f>IF(D1293="?OLD","!!!","")</f>
        <v/>
      </c>
      <c r="F1293" s="22" t="str">
        <f>IF(OR(E1293="",E1293="!!!"),"",IF(NOT(ISNA(VLOOKUP(E1293,E$1:E1292,1,FALSE()))),"OLD",IF(AND(E1293&lt;&gt;"",E1293&lt;&gt;"!!!"),"NEW","")))</f>
        <v> </v>
      </c>
      <c r="G1293" s="23" t="str">
        <f>IF(OR(E1293="",E1293="!!!"),"",IF(OR(J1293=0,AND(J1293=1,K1293=1),AND(J1293=1,I1293="SBJ"),AND(J1293=1,I1293=0)),"?IN_FOCUS",IF(J1293&lt;=2,"?ACTIVATED",IF(J1293&lt;&gt;"","?FAMILIAR",IF(F1293="NEW",IF(ISNA(VLOOKUP(E1293,#REF!,1,FALSE())),"?TYPE_IDENTIFIABLE","?REFERENTIAL"),"_")))))</f>
        <v> </v>
      </c>
      <c r="H1293" s="24" t="str">
        <f>IF(J1293&lt;&gt;1,"",IF(I1293="SBJ","CB","?"))</f>
        <v> </v>
      </c>
      <c r="I1293" s="25" t="str">
        <f>IF(OR(E1293="",E1293="!!!",F1293="NEW"),"",INDEX(B1292:B$2,-1+SUMPRODUCT(MAX(ROW(E1292:E$2)*(E1293=E1292:E$2)))))</f>
        <v> </v>
      </c>
      <c r="J1293" s="25" t="str">
        <f>IF(OR(E1293="",E1293="!!!",F1293="NEW"),"",COUNTBLANK(OFFSET(A$1,,,SUMPRODUCT(MAX(ROW(E$2:E1293)*(E1293=E$2:E1293)))))-COUNTBLANK(OFFSET(A$1,,,SUMPRODUCT(MAX(ROW(E$1:E1292)*(E2=E$1:E1292))))))</f>
        <v> </v>
      </c>
      <c r="K1293" s="25" t="str">
        <f>IF(OR(E1293="",E1293="!!!",F1293="NEW"),"",INDEX(J$1:J1292,SUMPRODUCT(MAX(ROW(E$1:E1292)*(E1293=E$1:E1292)))))</f>
        <v> </v>
      </c>
      <c r="L1293" s="26"/>
    </row>
    <row r="1294" spans="1:12">
      <c r="A1294" s="20" t="s">
        <v>380</v>
      </c>
      <c r="E1294" s="21">
        <f>IF(D1294="?OLD","!!!","")</f>
        <v/>
      </c>
      <c r="F1294" s="22" t="str">
        <f>IF(OR(E1294="",E1294="!!!"),"",IF(NOT(ISNA(VLOOKUP(E1294,E$1:E1293,1,FALSE()))),"OLD",IF(AND(E1294&lt;&gt;"",E1294&lt;&gt;"!!!"),"NEW","")))</f>
        <v> </v>
      </c>
      <c r="G1294" s="23" t="str">
        <f>IF(OR(E1294="",E1294="!!!"),"",IF(OR(J1294=0,AND(J1294=1,K1294=1),AND(J1294=1,I1294="SBJ"),AND(J1294=1,I1294=0)),"?IN_FOCUS",IF(J1294&lt;=2,"?ACTIVATED",IF(J1294&lt;&gt;"","?FAMILIAR",IF(F1294="NEW",IF(ISNA(VLOOKUP(E1294,#REF!,1,FALSE())),"?TYPE_IDENTIFIABLE","?REFERENTIAL"),"_")))))</f>
        <v> </v>
      </c>
      <c r="H1294" s="24" t="str">
        <f>IF(J1294&lt;&gt;1,"",IF(I1294="SBJ","CB","?"))</f>
        <v> </v>
      </c>
      <c r="I1294" s="25" t="str">
        <f>IF(OR(E1294="",E1294="!!!",F1294="NEW"),"",INDEX(B1293:B$2,-1+SUMPRODUCT(MAX(ROW(E1293:E$2)*(E1294=E1293:E$2)))))</f>
        <v> </v>
      </c>
      <c r="J1294" s="25" t="str">
        <f>IF(OR(E1294="",E1294="!!!",F1294="NEW"),"",COUNTBLANK(OFFSET(A$1,,,SUMPRODUCT(MAX(ROW(E$2:E1294)*(E1294=E$2:E1294)))))-COUNTBLANK(OFFSET(A$1,,,SUMPRODUCT(MAX(ROW(E$1:E1293)*(E2=E$1:E1293))))))</f>
        <v> </v>
      </c>
      <c r="K1294" s="25" t="str">
        <f>IF(OR(E1294="",E1294="!!!",F1294="NEW"),"",INDEX(J$1:J1293,SUMPRODUCT(MAX(ROW(E$1:E1293)*(E1294=E$1:E1293)))))</f>
        <v> </v>
      </c>
      <c r="L1294" s="26"/>
    </row>
    <row r="1295" spans="1:12">
      <c r="A1295" s="20" t="s">
        <v>943</v>
      </c>
      <c r="B1295" s="27" t="s">
        <v>477</v>
      </c>
      <c r="C1295" s="27" t="s">
        <v>538</v>
      </c>
      <c r="D1295" s="27" t="s">
        <v>483</v>
      </c>
      <c r="E1295" s="21">
        <f>IF(D1295="?OLD","!!!","")</f>
        <v/>
      </c>
      <c r="F1295" s="22" t="str">
        <f>IF(OR(E1295="",E1295="!!!"),"",IF(NOT(ISNA(VLOOKUP(E1295,E$1:E1294,1,FALSE()))),"OLD",IF(AND(E1295&lt;&gt;"",E1295&lt;&gt;"!!!"),"NEW","")))</f>
        <v> </v>
      </c>
      <c r="G1295" s="23" t="str">
        <f>IF(OR(E1295="",E1295="!!!"),"",IF(OR(J1295=0,AND(J1295=1,K1295=1),AND(J1295=1,I1295="SBJ"),AND(J1295=1,I1295=0)),"?IN_FOCUS",IF(J1295&lt;=2,"?ACTIVATED",IF(J1295&lt;&gt;"","?FAMILIAR",IF(F1295="NEW",IF(ISNA(VLOOKUP(E1295,#REF!,1,FALSE())),"?TYPE_IDENTIFIABLE","?REFERENTIAL"),"_")))))</f>
        <v> </v>
      </c>
      <c r="H1295" s="24" t="str">
        <f>IF(J1295&lt;&gt;1,"",IF(I1295="SBJ","CB","?"))</f>
        <v> </v>
      </c>
      <c r="I1295" s="25" t="str">
        <f>IF(OR(E1295="",E1295="!!!",F1295="NEW"),"",INDEX(B1294:B$2,-1+SUMPRODUCT(MAX(ROW(E1294:E$2)*(E1295=E1294:E$2)))))</f>
        <v> </v>
      </c>
      <c r="J1295" s="25" t="str">
        <f>IF(OR(E1295="",E1295="!!!",F1295="NEW"),"",COUNTBLANK(OFFSET(A$1,,,SUMPRODUCT(MAX(ROW(E$2:E1295)*(E1295=E$2:E1295)))))-COUNTBLANK(OFFSET(A$1,,,SUMPRODUCT(MAX(ROW(E$1:E1294)*(E2=E$1:E1294))))))</f>
        <v> </v>
      </c>
      <c r="K1295" s="25" t="str">
        <f>IF(OR(E1295="",E1295="!!!",F1295="NEW"),"",INDEX(J$1:J1294,SUMPRODUCT(MAX(ROW(E$1:E1294)*(E1295=E$1:E1294)))))</f>
        <v> </v>
      </c>
      <c r="L1295" s="26"/>
    </row>
    <row r="1296" spans="1:12">
      <c r="A1296" s="20" t="s">
        <v>528</v>
      </c>
      <c r="E1296" s="21">
        <f>IF(D1296="?OLD","!!!","")</f>
        <v/>
      </c>
      <c r="F1296" s="22" t="str">
        <f>IF(OR(E1296="",E1296="!!!"),"",IF(NOT(ISNA(VLOOKUP(E1296,E$1:E1295,1,FALSE()))),"OLD",IF(AND(E1296&lt;&gt;"",E1296&lt;&gt;"!!!"),"NEW","")))</f>
        <v> </v>
      </c>
      <c r="G1296" s="23" t="str">
        <f>IF(OR(E1296="",E1296="!!!"),"",IF(OR(J1296=0,AND(J1296=1,K1296=1),AND(J1296=1,I1296="SBJ"),AND(J1296=1,I1296=0)),"?IN_FOCUS",IF(J1296&lt;=2,"?ACTIVATED",IF(J1296&lt;&gt;"","?FAMILIAR",IF(F1296="NEW",IF(ISNA(VLOOKUP(E1296,#REF!,1,FALSE())),"?TYPE_IDENTIFIABLE","?REFERENTIAL"),"_")))))</f>
        <v> </v>
      </c>
      <c r="H1296" s="24" t="str">
        <f>IF(J1296&lt;&gt;1,"",IF(I1296="SBJ","CB","?"))</f>
        <v> </v>
      </c>
      <c r="I1296" s="25" t="str">
        <f>IF(OR(E1296="",E1296="!!!",F1296="NEW"),"",INDEX(B1295:B$2,-1+SUMPRODUCT(MAX(ROW(E1295:E$2)*(E1296=E1295:E$2)))))</f>
        <v> </v>
      </c>
      <c r="J1296" s="25" t="str">
        <f>IF(OR(E1296="",E1296="!!!",F1296="NEW"),"",COUNTBLANK(OFFSET(A$1,,,SUMPRODUCT(MAX(ROW(E$2:E1296)*(E1296=E$2:E1296)))))-COUNTBLANK(OFFSET(A$1,,,SUMPRODUCT(MAX(ROW(E$1:E1295)*(E2=E$1:E1295))))))</f>
        <v> </v>
      </c>
      <c r="K1296" s="25" t="str">
        <f>IF(OR(E1296="",E1296="!!!",F1296="NEW"),"",INDEX(J$1:J1295,SUMPRODUCT(MAX(ROW(E$1:E1295)*(E1296=E$1:E1295)))))</f>
        <v> </v>
      </c>
      <c r="L1296" s="26"/>
    </row>
    <row r="1297" spans="1:12">
      <c r="A1297" s="20" t="s">
        <v>75</v>
      </c>
      <c r="E1297" s="21">
        <f>IF(D1297="?OLD","!!!","")</f>
        <v/>
      </c>
      <c r="F1297" s="22" t="str">
        <f>IF(OR(E1297="",E1297="!!!"),"",IF(NOT(ISNA(VLOOKUP(E1297,E$1:E1296,1,FALSE()))),"OLD",IF(AND(E1297&lt;&gt;"",E1297&lt;&gt;"!!!"),"NEW","")))</f>
        <v> </v>
      </c>
      <c r="G1297" s="23" t="str">
        <f>IF(OR(E1297="",E1297="!!!"),"",IF(OR(J1297=0,AND(J1297=1,K1297=1),AND(J1297=1,I1297="SBJ"),AND(J1297=1,I1297=0)),"?IN_FOCUS",IF(J1297&lt;=2,"?ACTIVATED",IF(J1297&lt;&gt;"","?FAMILIAR",IF(F1297="NEW",IF(ISNA(VLOOKUP(E1297,#REF!,1,FALSE())),"?TYPE_IDENTIFIABLE","?REFERENTIAL"),"_")))))</f>
        <v> </v>
      </c>
      <c r="H1297" s="24" t="str">
        <f>IF(J1297&lt;&gt;1,"",IF(I1297="SBJ","CB","?"))</f>
        <v> </v>
      </c>
      <c r="I1297" s="25" t="str">
        <f>IF(OR(E1297="",E1297="!!!",F1297="NEW"),"",INDEX(B1296:B$2,-1+SUMPRODUCT(MAX(ROW(E1296:E$2)*(E1297=E1296:E$2)))))</f>
        <v> </v>
      </c>
      <c r="J1297" s="25" t="str">
        <f>IF(OR(E1297="",E1297="!!!",F1297="NEW"),"",COUNTBLANK(OFFSET(A$1,,,SUMPRODUCT(MAX(ROW(E$2:E1297)*(E1297=E$2:E1297)))))-COUNTBLANK(OFFSET(A$1,,,SUMPRODUCT(MAX(ROW(E$1:E1296)*(E2=E$1:E1296))))))</f>
        <v> </v>
      </c>
      <c r="K1297" s="25" t="str">
        <f>IF(OR(E1297="",E1297="!!!",F1297="NEW"),"",INDEX(J$1:J1296,SUMPRODUCT(MAX(ROW(E$1:E1296)*(E1297=E$1:E1296)))))</f>
        <v> </v>
      </c>
      <c r="L1297" s="26"/>
    </row>
    <row r="1298" spans="1:12">
      <c r="A1298" s="20" t="s">
        <v>899</v>
      </c>
      <c r="B1298" s="27" t="s">
        <v>477</v>
      </c>
      <c r="C1298" s="27" t="s">
        <v>764</v>
      </c>
      <c r="E1298" s="21">
        <f>IF(D1298="?OLD","!!!","")</f>
        <v/>
      </c>
      <c r="F1298" s="22" t="str">
        <f>IF(OR(E1298="",E1298="!!!"),"",IF(NOT(ISNA(VLOOKUP(E1298,E$1:E1297,1,FALSE()))),"OLD",IF(AND(E1298&lt;&gt;"",E1298&lt;&gt;"!!!"),"NEW","")))</f>
        <v> </v>
      </c>
      <c r="G1298" s="23" t="str">
        <f>IF(OR(E1298="",E1298="!!!"),"",IF(OR(J1298=0,AND(J1298=1,K1298=1),AND(J1298=1,I1298="SBJ"),AND(J1298=1,I1298=0)),"?IN_FOCUS",IF(J1298&lt;=2,"?ACTIVATED",IF(J1298&lt;&gt;"","?FAMILIAR",IF(F1298="NEW",IF(ISNA(VLOOKUP(E1298,#REF!,1,FALSE())),"?TYPE_IDENTIFIABLE","?REFERENTIAL"),"_")))))</f>
        <v> </v>
      </c>
      <c r="H1298" s="24" t="str">
        <f>IF(J1298&lt;&gt;1,"",IF(I1298="SBJ","CB","?"))</f>
        <v> </v>
      </c>
      <c r="I1298" s="25" t="str">
        <f>IF(OR(E1298="",E1298="!!!",F1298="NEW"),"",INDEX(B1297:B$2,-1+SUMPRODUCT(MAX(ROW(E1297:E$2)*(E1298=E1297:E$2)))))</f>
        <v> </v>
      </c>
      <c r="J1298" s="25" t="str">
        <f>IF(OR(E1298="",E1298="!!!",F1298="NEW"),"",COUNTBLANK(OFFSET(A$1,,,SUMPRODUCT(MAX(ROW(E$2:E1298)*(E1298=E$2:E1298)))))-COUNTBLANK(OFFSET(A$1,,,SUMPRODUCT(MAX(ROW(E$1:E1297)*(E2=E$1:E1297))))))</f>
        <v> </v>
      </c>
      <c r="K1298" s="25" t="str">
        <f>IF(OR(E1298="",E1298="!!!",F1298="NEW"),"",INDEX(J$1:J1297,SUMPRODUCT(MAX(ROW(E$1:E1297)*(E1298=E$1:E1297)))))</f>
        <v> </v>
      </c>
      <c r="L1298" s="26"/>
    </row>
    <row r="1299" spans="1:12">
      <c r="A1299" s="20" t="s">
        <v>531</v>
      </c>
      <c r="E1299" s="21">
        <f>IF(D1299="?OLD","!!!","")</f>
        <v/>
      </c>
      <c r="F1299" s="22" t="str">
        <f>IF(OR(E1299="",E1299="!!!"),"",IF(NOT(ISNA(VLOOKUP(E1299,E$1:E1298,1,FALSE()))),"OLD",IF(AND(E1299&lt;&gt;"",E1299&lt;&gt;"!!!"),"NEW","")))</f>
        <v> </v>
      </c>
      <c r="G1299" s="23" t="str">
        <f>IF(OR(E1299="",E1299="!!!"),"",IF(OR(J1299=0,AND(J1299=1,K1299=1),AND(J1299=1,I1299="SBJ"),AND(J1299=1,I1299=0)),"?IN_FOCUS",IF(J1299&lt;=2,"?ACTIVATED",IF(J1299&lt;&gt;"","?FAMILIAR",IF(F1299="NEW",IF(ISNA(VLOOKUP(E1299,#REF!,1,FALSE())),"?TYPE_IDENTIFIABLE","?REFERENTIAL"),"_")))))</f>
        <v> </v>
      </c>
      <c r="H1299" s="24" t="str">
        <f>IF(J1299&lt;&gt;1,"",IF(I1299="SBJ","CB","?"))</f>
        <v> </v>
      </c>
      <c r="I1299" s="25" t="str">
        <f>IF(OR(E1299="",E1299="!!!",F1299="NEW"),"",INDEX(B1298:B$2,-1+SUMPRODUCT(MAX(ROW(E1298:E$2)*(E1299=E1298:E$2)))))</f>
        <v> </v>
      </c>
      <c r="J1299" s="25" t="str">
        <f>IF(OR(E1299="",E1299="!!!",F1299="NEW"),"",COUNTBLANK(OFFSET(A$1,,,SUMPRODUCT(MAX(ROW(E$2:E1299)*(E1299=E$2:E1299)))))-COUNTBLANK(OFFSET(A$1,,,SUMPRODUCT(MAX(ROW(E$1:E1298)*(E2=E$1:E1298))))))</f>
        <v> </v>
      </c>
      <c r="K1299" s="25" t="str">
        <f>IF(OR(E1299="",E1299="!!!",F1299="NEW"),"",INDEX(J$1:J1298,SUMPRODUCT(MAX(ROW(E$1:E1298)*(E1299=E$1:E1298)))))</f>
        <v> </v>
      </c>
      <c r="L1299" s="26"/>
    </row>
    <row r="1300" spans="1:12">
      <c r="A1300" s="20"/>
    </row>
    <row r="1301" spans="1:12">
      <c r="A1301" s="20" t="s">
        <v>944</v>
      </c>
    </row>
    <row r="1302" spans="1:12">
      <c r="A1302" s="20" t="s">
        <v>909</v>
      </c>
      <c r="E1302" s="21">
        <f>IF(D1302="?OLD","!!!","")</f>
        <v/>
      </c>
      <c r="F1302" s="22" t="str">
        <f>IF(OR(E1302="",E1302="!!!"),"",IF(NOT(ISNA(VLOOKUP(E1302,E$1:E1301,1,FALSE()))),"OLD",IF(AND(E1302&lt;&gt;"",E1302&lt;&gt;"!!!"),"NEW","")))</f>
        <v> </v>
      </c>
      <c r="G1302" s="23" t="str">
        <f>IF(OR(E1302="",E1302="!!!"),"",IF(OR(J1302=0,AND(J1302=1,K1302=1),AND(J1302=1,I1302="SBJ"),AND(J1302=1,I1302=0)),"?IN_FOCUS",IF(J1302&lt;=2,"?ACTIVATED",IF(J1302&lt;&gt;"","?FAMILIAR",IF(F1302="NEW",IF(ISNA(VLOOKUP(E1302,#REF!,1,FALSE())),"?TYPE_IDENTIFIABLE","?REFERENTIAL"),"_")))))</f>
        <v> </v>
      </c>
      <c r="H1302" s="24" t="str">
        <f>IF(J1302&lt;&gt;1,"",IF(I1302="SBJ","CB","?"))</f>
        <v> </v>
      </c>
      <c r="I1302" s="25" t="str">
        <f>IF(OR(E1302="",E1302="!!!",F1302="NEW"),"",INDEX(B1301:B$2,-1+SUMPRODUCT(MAX(ROW(E1301:E$2)*(E1302=E1301:E$2)))))</f>
        <v> </v>
      </c>
      <c r="J1302" s="25" t="str">
        <f>IF(OR(E1302="",E1302="!!!",F1302="NEW"),"",COUNTBLANK(OFFSET(A$1,,,SUMPRODUCT(MAX(ROW(E$2:E1302)*(E1302=E$2:E1302)))))-COUNTBLANK(OFFSET(A$1,,,SUMPRODUCT(MAX(ROW(E$1:E1301)*(E2=E$1:E1301))))))</f>
        <v> </v>
      </c>
      <c r="K1302" s="25" t="str">
        <f>IF(OR(E1302="",E1302="!!!",F1302="NEW"),"",INDEX(J$1:J1301,SUMPRODUCT(MAX(ROW(E$1:E1301)*(E1302=E$1:E1301)))))</f>
        <v> </v>
      </c>
      <c r="L1302" s="26"/>
    </row>
    <row r="1303" spans="1:12">
      <c r="A1303" s="20" t="s">
        <v>590</v>
      </c>
      <c r="E1303" s="21">
        <f>IF(D1303="?OLD","!!!","")</f>
        <v/>
      </c>
      <c r="F1303" s="22" t="str">
        <f>IF(OR(E1303="",E1303="!!!"),"",IF(NOT(ISNA(VLOOKUP(E1303,E$1:E1302,1,FALSE()))),"OLD",IF(AND(E1303&lt;&gt;"",E1303&lt;&gt;"!!!"),"NEW","")))</f>
        <v> </v>
      </c>
      <c r="G1303" s="23" t="str">
        <f>IF(OR(E1303="",E1303="!!!"),"",IF(OR(J1303=0,AND(J1303=1,K1303=1),AND(J1303=1,I1303="SBJ"),AND(J1303=1,I1303=0)),"?IN_FOCUS",IF(J1303&lt;=2,"?ACTIVATED",IF(J1303&lt;&gt;"","?FAMILIAR",IF(F1303="NEW",IF(ISNA(VLOOKUP(E1303,#REF!,1,FALSE())),"?TYPE_IDENTIFIABLE","?REFERENTIAL"),"_")))))</f>
        <v> </v>
      </c>
      <c r="H1303" s="24" t="str">
        <f>IF(J1303&lt;&gt;1,"",IF(I1303="SBJ","CB","?"))</f>
        <v> </v>
      </c>
      <c r="I1303" s="25" t="str">
        <f>IF(OR(E1303="",E1303="!!!",F1303="NEW"),"",INDEX(B1302:B$2,-1+SUMPRODUCT(MAX(ROW(E1302:E$2)*(E1303=E1302:E$2)))))</f>
        <v> </v>
      </c>
      <c r="J1303" s="25" t="str">
        <f>IF(OR(E1303="",E1303="!!!",F1303="NEW"),"",COUNTBLANK(OFFSET(A$1,,,SUMPRODUCT(MAX(ROW(E$2:E1303)*(E1303=E$2:E1303)))))-COUNTBLANK(OFFSET(A$1,,,SUMPRODUCT(MAX(ROW(E$1:E1302)*(E2=E$1:E1302))))))</f>
        <v> </v>
      </c>
      <c r="K1303" s="25" t="str">
        <f>IF(OR(E1303="",E1303="!!!",F1303="NEW"),"",INDEX(J$1:J1302,SUMPRODUCT(MAX(ROW(E$1:E1302)*(E1303=E$1:E1302)))))</f>
        <v> </v>
      </c>
      <c r="L1303" s="26"/>
    </row>
    <row r="1304" spans="1:12">
      <c r="A1304" s="20" t="s">
        <v>945</v>
      </c>
      <c r="E1304" s="21">
        <f>IF(D1304="?OLD","!!!","")</f>
        <v/>
      </c>
      <c r="F1304" s="22" t="str">
        <f>IF(OR(E1304="",E1304="!!!"),"",IF(NOT(ISNA(VLOOKUP(E1304,E$1:E1303,1,FALSE()))),"OLD",IF(AND(E1304&lt;&gt;"",E1304&lt;&gt;"!!!"),"NEW","")))</f>
        <v> </v>
      </c>
      <c r="G1304" s="23" t="str">
        <f>IF(OR(E1304="",E1304="!!!"),"",IF(OR(J1304=0,AND(J1304=1,K1304=1),AND(J1304=1,I1304="SBJ"),AND(J1304=1,I1304=0)),"?IN_FOCUS",IF(J1304&lt;=2,"?ACTIVATED",IF(J1304&lt;&gt;"","?FAMILIAR",IF(F1304="NEW",IF(ISNA(VLOOKUP(E1304,#REF!,1,FALSE())),"?TYPE_IDENTIFIABLE","?REFERENTIAL"),"_")))))</f>
        <v> </v>
      </c>
      <c r="H1304" s="24" t="str">
        <f>IF(J1304&lt;&gt;1,"",IF(I1304="SBJ","CB","?"))</f>
        <v> </v>
      </c>
      <c r="I1304" s="25" t="str">
        <f>IF(OR(E1304="",E1304="!!!",F1304="NEW"),"",INDEX(B1303:B$2,-1+SUMPRODUCT(MAX(ROW(E1303:E$2)*(E1304=E1303:E$2)))))</f>
        <v> </v>
      </c>
      <c r="J1304" s="25" t="str">
        <f>IF(OR(E1304="",E1304="!!!",F1304="NEW"),"",COUNTBLANK(OFFSET(A$1,,,SUMPRODUCT(MAX(ROW(E$2:E1304)*(E1304=E$2:E1304)))))-COUNTBLANK(OFFSET(A$1,,,SUMPRODUCT(MAX(ROW(E$1:E1303)*(E2=E$1:E1303))))))</f>
        <v> </v>
      </c>
      <c r="K1304" s="25" t="str">
        <f>IF(OR(E1304="",E1304="!!!",F1304="NEW"),"",INDEX(J$1:J1303,SUMPRODUCT(MAX(ROW(E$1:E1303)*(E1304=E$1:E1303)))))</f>
        <v> </v>
      </c>
      <c r="L1304" s="26"/>
    </row>
    <row r="1305" spans="1:12">
      <c r="A1305" s="20" t="s">
        <v>531</v>
      </c>
      <c r="E1305" s="21">
        <f>IF(D1305="?OLD","!!!","")</f>
        <v/>
      </c>
      <c r="F1305" s="22" t="str">
        <f>IF(OR(E1305="",E1305="!!!"),"",IF(NOT(ISNA(VLOOKUP(E1305,E$1:E1304,1,FALSE()))),"OLD",IF(AND(E1305&lt;&gt;"",E1305&lt;&gt;"!!!"),"NEW","")))</f>
        <v> </v>
      </c>
      <c r="G1305" s="23" t="str">
        <f>IF(OR(E1305="",E1305="!!!"),"",IF(OR(J1305=0,AND(J1305=1,K1305=1),AND(J1305=1,I1305="SBJ"),AND(J1305=1,I1305=0)),"?IN_FOCUS",IF(J1305&lt;=2,"?ACTIVATED",IF(J1305&lt;&gt;"","?FAMILIAR",IF(F1305="NEW",IF(ISNA(VLOOKUP(E1305,#REF!,1,FALSE())),"?TYPE_IDENTIFIABLE","?REFERENTIAL"),"_")))))</f>
        <v> </v>
      </c>
      <c r="H1305" s="24" t="str">
        <f>IF(J1305&lt;&gt;1,"",IF(I1305="SBJ","CB","?"))</f>
        <v> </v>
      </c>
      <c r="I1305" s="25" t="str">
        <f>IF(OR(E1305="",E1305="!!!",F1305="NEW"),"",INDEX(B1304:B$2,-1+SUMPRODUCT(MAX(ROW(E1304:E$2)*(E1305=E1304:E$2)))))</f>
        <v> </v>
      </c>
      <c r="J1305" s="25" t="str">
        <f>IF(OR(E1305="",E1305="!!!",F1305="NEW"),"",COUNTBLANK(OFFSET(A$1,,,SUMPRODUCT(MAX(ROW(E$2:E1305)*(E1305=E$2:E1305)))))-COUNTBLANK(OFFSET(A$1,,,SUMPRODUCT(MAX(ROW(E$1:E1304)*(E2=E$1:E1304))))))</f>
        <v> </v>
      </c>
      <c r="K1305" s="25" t="str">
        <f>IF(OR(E1305="",E1305="!!!",F1305="NEW"),"",INDEX(J$1:J1304,SUMPRODUCT(MAX(ROW(E$1:E1304)*(E1305=E$1:E1304)))))</f>
        <v> </v>
      </c>
      <c r="L1305" s="26"/>
    </row>
    <row r="1306" spans="1:12">
      <c r="A1306" s="20"/>
    </row>
    <row r="1307" spans="1:12">
      <c r="A1307" s="20" t="s">
        <v>946</v>
      </c>
    </row>
    <row r="1308" spans="1:12">
      <c r="A1308" s="20" t="s">
        <v>617</v>
      </c>
      <c r="E1308" s="21">
        <f>IF(D1308="?OLD","!!!","")</f>
        <v/>
      </c>
      <c r="F1308" s="22" t="str">
        <f>IF(OR(E1308="",E1308="!!!"),"",IF(NOT(ISNA(VLOOKUP(E1308,E$1:E1307,1,FALSE()))),"OLD",IF(AND(E1308&lt;&gt;"",E1308&lt;&gt;"!!!"),"NEW","")))</f>
        <v> </v>
      </c>
      <c r="G1308" s="23" t="str">
        <f>IF(OR(E1308="",E1308="!!!"),"",IF(OR(J1308=0,AND(J1308=1,K1308=1),AND(J1308=1,I1308="SBJ"),AND(J1308=1,I1308=0)),"?IN_FOCUS",IF(J1308&lt;=2,"?ACTIVATED",IF(J1308&lt;&gt;"","?FAMILIAR",IF(F1308="NEW",IF(ISNA(VLOOKUP(E1308,#REF!,1,FALSE())),"?TYPE_IDENTIFIABLE","?REFERENTIAL"),"_")))))</f>
        <v> </v>
      </c>
      <c r="H1308" s="24" t="str">
        <f>IF(J1308&lt;&gt;1,"",IF(I1308="SBJ","CB","?"))</f>
        <v> </v>
      </c>
      <c r="I1308" s="25" t="str">
        <f>IF(OR(E1308="",E1308="!!!",F1308="NEW"),"",INDEX(B1307:B$2,-1+SUMPRODUCT(MAX(ROW(E1307:E$2)*(E1308=E1307:E$2)))))</f>
        <v> </v>
      </c>
      <c r="J1308" s="25" t="str">
        <f>IF(OR(E1308="",E1308="!!!",F1308="NEW"),"",COUNTBLANK(OFFSET(A$1,,,SUMPRODUCT(MAX(ROW(E$2:E1308)*(E1308=E$2:E1308)))))-COUNTBLANK(OFFSET(A$1,,,SUMPRODUCT(MAX(ROW(E$1:E1307)*(E2=E$1:E1307))))))</f>
        <v> </v>
      </c>
      <c r="K1308" s="25" t="str">
        <f>IF(OR(E1308="",E1308="!!!",F1308="NEW"),"",INDEX(J$1:J1307,SUMPRODUCT(MAX(ROW(E$1:E1307)*(E1308=E$1:E1307)))))</f>
        <v> </v>
      </c>
      <c r="L1308" s="26"/>
    </row>
    <row r="1309" spans="1:12">
      <c r="A1309" s="20" t="s">
        <v>947</v>
      </c>
      <c r="E1309" s="21">
        <f>IF(D1309="?OLD","!!!","")</f>
        <v/>
      </c>
      <c r="F1309" s="22" t="str">
        <f>IF(OR(E1309="",E1309="!!!"),"",IF(NOT(ISNA(VLOOKUP(E1309,E$1:E1308,1,FALSE()))),"OLD",IF(AND(E1309&lt;&gt;"",E1309&lt;&gt;"!!!"),"NEW","")))</f>
        <v> </v>
      </c>
      <c r="G1309" s="23" t="str">
        <f>IF(OR(E1309="",E1309="!!!"),"",IF(OR(J1309=0,AND(J1309=1,K1309=1),AND(J1309=1,I1309="SBJ"),AND(J1309=1,I1309=0)),"?IN_FOCUS",IF(J1309&lt;=2,"?ACTIVATED",IF(J1309&lt;&gt;"","?FAMILIAR",IF(F1309="NEW",IF(ISNA(VLOOKUP(E1309,#REF!,1,FALSE())),"?TYPE_IDENTIFIABLE","?REFERENTIAL"),"_")))))</f>
        <v> </v>
      </c>
      <c r="H1309" s="24" t="str">
        <f>IF(J1309&lt;&gt;1,"",IF(I1309="SBJ","CB","?"))</f>
        <v> </v>
      </c>
      <c r="I1309" s="25" t="str">
        <f>IF(OR(E1309="",E1309="!!!",F1309="NEW"),"",INDEX(B1308:B$2,-1+SUMPRODUCT(MAX(ROW(E1308:E$2)*(E1309=E1308:E$2)))))</f>
        <v> </v>
      </c>
      <c r="J1309" s="25" t="str">
        <f>IF(OR(E1309="",E1309="!!!",F1309="NEW"),"",COUNTBLANK(OFFSET(A$1,,,SUMPRODUCT(MAX(ROW(E$2:E1309)*(E1309=E$2:E1309)))))-COUNTBLANK(OFFSET(A$1,,,SUMPRODUCT(MAX(ROW(E$1:E1308)*(E2=E$1:E1308))))))</f>
        <v> </v>
      </c>
      <c r="K1309" s="25" t="str">
        <f>IF(OR(E1309="",E1309="!!!",F1309="NEW"),"",INDEX(J$1:J1308,SUMPRODUCT(MAX(ROW(E$1:E1308)*(E1309=E$1:E1308)))))</f>
        <v> </v>
      </c>
      <c r="L1309" s="26"/>
    </row>
    <row r="1310" spans="1:12">
      <c r="A1310" s="20" t="s">
        <v>619</v>
      </c>
      <c r="B1310" s="27" t="s">
        <v>542</v>
      </c>
      <c r="C1310" s="27" t="s">
        <v>482</v>
      </c>
      <c r="D1310" s="27" t="s">
        <v>483</v>
      </c>
      <c r="E1310" s="21">
        <f>IF(D1310="?OLD","!!!","")</f>
        <v/>
      </c>
      <c r="F1310" s="22" t="str">
        <f>IF(OR(E1310="",E1310="!!!"),"",IF(NOT(ISNA(VLOOKUP(E1310,E$1:E1309,1,FALSE()))),"OLD",IF(AND(E1310&lt;&gt;"",E1310&lt;&gt;"!!!"),"NEW","")))</f>
        <v> </v>
      </c>
      <c r="G1310" s="23" t="str">
        <f>IF(OR(E1310="",E1310="!!!"),"",IF(OR(J1310=0,AND(J1310=1,K1310=1),AND(J1310=1,I1310="SBJ"),AND(J1310=1,I1310=0)),"?IN_FOCUS",IF(J1310&lt;=2,"?ACTIVATED",IF(J1310&lt;&gt;"","?FAMILIAR",IF(F1310="NEW",IF(ISNA(VLOOKUP(E1310,#REF!,1,FALSE())),"?TYPE_IDENTIFIABLE","?REFERENTIAL"),"_")))))</f>
        <v> </v>
      </c>
      <c r="H1310" s="24" t="str">
        <f>IF(J1310&lt;&gt;1,"",IF(I1310="SBJ","CB","?"))</f>
        <v> </v>
      </c>
      <c r="I1310" s="25" t="str">
        <f>IF(OR(E1310="",E1310="!!!",F1310="NEW"),"",INDEX(B1309:B$2,-1+SUMPRODUCT(MAX(ROW(E1309:E$2)*(E1310=E1309:E$2)))))</f>
        <v> </v>
      </c>
      <c r="J1310" s="25" t="str">
        <f>IF(OR(E1310="",E1310="!!!",F1310="NEW"),"",COUNTBLANK(OFFSET(A$1,,,SUMPRODUCT(MAX(ROW(E$2:E1310)*(E1310=E$2:E1310)))))-COUNTBLANK(OFFSET(A$1,,,SUMPRODUCT(MAX(ROW(E$1:E1309)*(E2=E$1:E1309))))))</f>
        <v> </v>
      </c>
      <c r="K1310" s="25" t="str">
        <f>IF(OR(E1310="",E1310="!!!",F1310="NEW"),"",INDEX(J$1:J1309,SUMPRODUCT(MAX(ROW(E$1:E1309)*(E1310=E$1:E1309)))))</f>
        <v> </v>
      </c>
      <c r="L1310" s="26"/>
    </row>
    <row r="1311" spans="1:12">
      <c r="A1311" s="20" t="s">
        <v>380</v>
      </c>
      <c r="E1311" s="21">
        <f>IF(D1311="?OLD","!!!","")</f>
        <v/>
      </c>
      <c r="F1311" s="22" t="str">
        <f>IF(OR(E1311="",E1311="!!!"),"",IF(NOT(ISNA(VLOOKUP(E1311,E$1:E1310,1,FALSE()))),"OLD",IF(AND(E1311&lt;&gt;"",E1311&lt;&gt;"!!!"),"NEW","")))</f>
        <v> </v>
      </c>
      <c r="G1311" s="23" t="str">
        <f>IF(OR(E1311="",E1311="!!!"),"",IF(OR(J1311=0,AND(J1311=1,K1311=1),AND(J1311=1,I1311="SBJ"),AND(J1311=1,I1311=0)),"?IN_FOCUS",IF(J1311&lt;=2,"?ACTIVATED",IF(J1311&lt;&gt;"","?FAMILIAR",IF(F1311="NEW",IF(ISNA(VLOOKUP(E1311,#REF!,1,FALSE())),"?TYPE_IDENTIFIABLE","?REFERENTIAL"),"_")))))</f>
        <v> </v>
      </c>
      <c r="H1311" s="24" t="str">
        <f>IF(J1311&lt;&gt;1,"",IF(I1311="SBJ","CB","?"))</f>
        <v> </v>
      </c>
      <c r="I1311" s="25" t="str">
        <f>IF(OR(E1311="",E1311="!!!",F1311="NEW"),"",INDEX(B1310:B$2,-1+SUMPRODUCT(MAX(ROW(E1310:E$2)*(E1311=E1310:E$2)))))</f>
        <v> </v>
      </c>
      <c r="J1311" s="25" t="str">
        <f>IF(OR(E1311="",E1311="!!!",F1311="NEW"),"",COUNTBLANK(OFFSET(A$1,,,SUMPRODUCT(MAX(ROW(E$2:E1311)*(E1311=E$2:E1311)))))-COUNTBLANK(OFFSET(A$1,,,SUMPRODUCT(MAX(ROW(E$1:E1310)*(E2=E$1:E1310))))))</f>
        <v> </v>
      </c>
      <c r="K1311" s="25" t="str">
        <f>IF(OR(E1311="",E1311="!!!",F1311="NEW"),"",INDEX(J$1:J1310,SUMPRODUCT(MAX(ROW(E$1:E1310)*(E1311=E$1:E1310)))))</f>
        <v> </v>
      </c>
      <c r="L1311" s="26"/>
    </row>
    <row r="1312" spans="1:12">
      <c r="A1312" s="20" t="s">
        <v>948</v>
      </c>
      <c r="B1312" s="27" t="s">
        <v>490</v>
      </c>
      <c r="C1312" s="27" t="s">
        <v>498</v>
      </c>
      <c r="E1312" s="21">
        <f>IF(D1312="?OLD","!!!","")</f>
        <v/>
      </c>
      <c r="F1312" s="22" t="str">
        <f>IF(OR(E1312="",E1312="!!!"),"",IF(NOT(ISNA(VLOOKUP(E1312,E$1:E1311,1,FALSE()))),"OLD",IF(AND(E1312&lt;&gt;"",E1312&lt;&gt;"!!!"),"NEW","")))</f>
        <v> </v>
      </c>
      <c r="G1312" s="23" t="str">
        <f>IF(OR(E1312="",E1312="!!!"),"",IF(OR(J1312=0,AND(J1312=1,K1312=1),AND(J1312=1,I1312="SBJ"),AND(J1312=1,I1312=0)),"?IN_FOCUS",IF(J1312&lt;=2,"?ACTIVATED",IF(J1312&lt;&gt;"","?FAMILIAR",IF(F1312="NEW",IF(ISNA(VLOOKUP(E1312,#REF!,1,FALSE())),"?TYPE_IDENTIFIABLE","?REFERENTIAL"),"_")))))</f>
        <v> </v>
      </c>
      <c r="H1312" s="24" t="str">
        <f>IF(J1312&lt;&gt;1,"",IF(I1312="SBJ","CB","?"))</f>
        <v> </v>
      </c>
      <c r="I1312" s="25" t="str">
        <f>IF(OR(E1312="",E1312="!!!",F1312="NEW"),"",INDEX(B1311:B$2,-1+SUMPRODUCT(MAX(ROW(E1311:E$2)*(E1312=E1311:E$2)))))</f>
        <v> </v>
      </c>
      <c r="J1312" s="25" t="str">
        <f>IF(OR(E1312="",E1312="!!!",F1312="NEW"),"",COUNTBLANK(OFFSET(A$1,,,SUMPRODUCT(MAX(ROW(E$2:E1312)*(E1312=E$2:E1312)))))-COUNTBLANK(OFFSET(A$1,,,SUMPRODUCT(MAX(ROW(E$1:E1311)*(E2=E$1:E1311))))))</f>
        <v> </v>
      </c>
      <c r="K1312" s="25" t="str">
        <f>IF(OR(E1312="",E1312="!!!",F1312="NEW"),"",INDEX(J$1:J1311,SUMPRODUCT(MAX(ROW(E$1:E1311)*(E1312=E$1:E1311)))))</f>
        <v> </v>
      </c>
      <c r="L1312" s="26"/>
    </row>
    <row r="1313" spans="1:12">
      <c r="A1313" s="20" t="s">
        <v>531</v>
      </c>
      <c r="E1313" s="21">
        <f>IF(D1313="?OLD","!!!","")</f>
        <v/>
      </c>
      <c r="F1313" s="22" t="str">
        <f>IF(OR(E1313="",E1313="!!!"),"",IF(NOT(ISNA(VLOOKUP(E1313,E$1:E1312,1,FALSE()))),"OLD",IF(AND(E1313&lt;&gt;"",E1313&lt;&gt;"!!!"),"NEW","")))</f>
        <v> </v>
      </c>
      <c r="G1313" s="23" t="str">
        <f>IF(OR(E1313="",E1313="!!!"),"",IF(OR(J1313=0,AND(J1313=1,K1313=1),AND(J1313=1,I1313="SBJ"),AND(J1313=1,I1313=0)),"?IN_FOCUS",IF(J1313&lt;=2,"?ACTIVATED",IF(J1313&lt;&gt;"","?FAMILIAR",IF(F1313="NEW",IF(ISNA(VLOOKUP(E1313,#REF!,1,FALSE())),"?TYPE_IDENTIFIABLE","?REFERENTIAL"),"_")))))</f>
        <v> </v>
      </c>
      <c r="H1313" s="24" t="str">
        <f>IF(J1313&lt;&gt;1,"",IF(I1313="SBJ","CB","?"))</f>
        <v> </v>
      </c>
      <c r="I1313" s="25" t="str">
        <f>IF(OR(E1313="",E1313="!!!",F1313="NEW"),"",INDEX(B1312:B$2,-1+SUMPRODUCT(MAX(ROW(E1312:E$2)*(E1313=E1312:E$2)))))</f>
        <v> </v>
      </c>
      <c r="J1313" s="25" t="str">
        <f>IF(OR(E1313="",E1313="!!!",F1313="NEW"),"",COUNTBLANK(OFFSET(A$1,,,SUMPRODUCT(MAX(ROW(E$2:E1313)*(E1313=E$2:E1313)))))-COUNTBLANK(OFFSET(A$1,,,SUMPRODUCT(MAX(ROW(E$1:E1312)*(E2=E$1:E1312))))))</f>
        <v> </v>
      </c>
      <c r="K1313" s="25" t="str">
        <f>IF(OR(E1313="",E1313="!!!",F1313="NEW"),"",INDEX(J$1:J1312,SUMPRODUCT(MAX(ROW(E$1:E1312)*(E1313=E$1:E1312)))))</f>
        <v> </v>
      </c>
      <c r="L1313" s="26"/>
    </row>
    <row r="1314" spans="1:12">
      <c r="A1314" s="20"/>
    </row>
    <row r="1315" spans="1:12">
      <c r="A1315" s="20" t="s">
        <v>949</v>
      </c>
    </row>
    <row r="1316" spans="1:12">
      <c r="A1316" s="20" t="s">
        <v>942</v>
      </c>
      <c r="B1316" s="27" t="s">
        <v>549</v>
      </c>
      <c r="C1316" s="27" t="s">
        <v>491</v>
      </c>
      <c r="D1316" s="27" t="s">
        <v>483</v>
      </c>
      <c r="E1316" s="21">
        <f>IF(D1316="?OLD","!!!","")</f>
        <v/>
      </c>
      <c r="F1316" s="22" t="str">
        <f>IF(OR(E1316="",E1316="!!!"),"",IF(NOT(ISNA(VLOOKUP(E1316,E$1:E1315,1,FALSE()))),"OLD",IF(AND(E1316&lt;&gt;"",E1316&lt;&gt;"!!!"),"NEW","")))</f>
        <v> </v>
      </c>
      <c r="G1316" s="23" t="str">
        <f>IF(OR(E1316="",E1316="!!!"),"",IF(OR(J1316=0,AND(J1316=1,K1316=1),AND(J1316=1,I1316="SBJ"),AND(J1316=1,I1316=0)),"?IN_FOCUS",IF(J1316&lt;=2,"?ACTIVATED",IF(J1316&lt;&gt;"","?FAMILIAR",IF(F1316="NEW",IF(ISNA(VLOOKUP(E1316,#REF!,1,FALSE())),"?TYPE_IDENTIFIABLE","?REFERENTIAL"),"_")))))</f>
        <v> </v>
      </c>
      <c r="H1316" s="24" t="str">
        <f>IF(J1316&lt;&gt;1,"",IF(I1316="SBJ","CB","?"))</f>
        <v> </v>
      </c>
      <c r="I1316" s="25" t="str">
        <f>IF(OR(E1316="",E1316="!!!",F1316="NEW"),"",INDEX(B1315:B$2,-1+SUMPRODUCT(MAX(ROW(E1315:E$2)*(E1316=E1315:E$2)))))</f>
        <v> </v>
      </c>
      <c r="J1316" s="25" t="str">
        <f>IF(OR(E1316="",E1316="!!!",F1316="NEW"),"",COUNTBLANK(OFFSET(A$1,,,SUMPRODUCT(MAX(ROW(E$2:E1316)*(E1316=E$2:E1316)))))-COUNTBLANK(OFFSET(A$1,,,SUMPRODUCT(MAX(ROW(E$1:E1315)*(E2=E$1:E1315))))))</f>
        <v> </v>
      </c>
      <c r="K1316" s="25" t="str">
        <f>IF(OR(E1316="",E1316="!!!",F1316="NEW"),"",INDEX(J$1:J1315,SUMPRODUCT(MAX(ROW(E$1:E1315)*(E1316=E$1:E1315)))))</f>
        <v> </v>
      </c>
      <c r="L1316" s="26"/>
    </row>
    <row r="1317" spans="1:12">
      <c r="A1317" s="20" t="s">
        <v>558</v>
      </c>
      <c r="E1317" s="21">
        <f>IF(D1317="?OLD","!!!","")</f>
        <v/>
      </c>
      <c r="F1317" s="22" t="str">
        <f>IF(OR(E1317="",E1317="!!!"),"",IF(NOT(ISNA(VLOOKUP(E1317,E$1:E1316,1,FALSE()))),"OLD",IF(AND(E1317&lt;&gt;"",E1317&lt;&gt;"!!!"),"NEW","")))</f>
        <v> </v>
      </c>
      <c r="G1317" s="23" t="str">
        <f>IF(OR(E1317="",E1317="!!!"),"",IF(OR(J1317=0,AND(J1317=1,K1317=1),AND(J1317=1,I1317="SBJ"),AND(J1317=1,I1317=0)),"?IN_FOCUS",IF(J1317&lt;=2,"?ACTIVATED",IF(J1317&lt;&gt;"","?FAMILIAR",IF(F1317="NEW",IF(ISNA(VLOOKUP(E1317,#REF!,1,FALSE())),"?TYPE_IDENTIFIABLE","?REFERENTIAL"),"_")))))</f>
        <v> </v>
      </c>
      <c r="H1317" s="24" t="str">
        <f>IF(J1317&lt;&gt;1,"",IF(I1317="SBJ","CB","?"))</f>
        <v> </v>
      </c>
      <c r="I1317" s="25" t="str">
        <f>IF(OR(E1317="",E1317="!!!",F1317="NEW"),"",INDEX(B1316:B$2,-1+SUMPRODUCT(MAX(ROW(E1316:E$2)*(E1317=E1316:E$2)))))</f>
        <v> </v>
      </c>
      <c r="J1317" s="25" t="str">
        <f>IF(OR(E1317="",E1317="!!!",F1317="NEW"),"",COUNTBLANK(OFFSET(A$1,,,SUMPRODUCT(MAX(ROW(E$2:E1317)*(E1317=E$2:E1317)))))-COUNTBLANK(OFFSET(A$1,,,SUMPRODUCT(MAX(ROW(E$1:E1316)*(E2=E$1:E1316))))))</f>
        <v> </v>
      </c>
      <c r="K1317" s="25" t="str">
        <f>IF(OR(E1317="",E1317="!!!",F1317="NEW"),"",INDEX(J$1:J1316,SUMPRODUCT(MAX(ROW(E$1:E1316)*(E1317=E$1:E1316)))))</f>
        <v> </v>
      </c>
      <c r="L1317" s="26"/>
    </row>
    <row r="1318" spans="1:12">
      <c r="A1318" s="20" t="s">
        <v>568</v>
      </c>
      <c r="E1318" s="21">
        <f>IF(D1318="?OLD","!!!","")</f>
        <v/>
      </c>
      <c r="F1318" s="22" t="str">
        <f>IF(OR(E1318="",E1318="!!!"),"",IF(NOT(ISNA(VLOOKUP(E1318,E$1:E1317,1,FALSE()))),"OLD",IF(AND(E1318&lt;&gt;"",E1318&lt;&gt;"!!!"),"NEW","")))</f>
        <v> </v>
      </c>
      <c r="G1318" s="23" t="str">
        <f>IF(OR(E1318="",E1318="!!!"),"",IF(OR(J1318=0,AND(J1318=1,K1318=1),AND(J1318=1,I1318="SBJ"),AND(J1318=1,I1318=0)),"?IN_FOCUS",IF(J1318&lt;=2,"?ACTIVATED",IF(J1318&lt;&gt;"","?FAMILIAR",IF(F1318="NEW",IF(ISNA(VLOOKUP(E1318,#REF!,1,FALSE())),"?TYPE_IDENTIFIABLE","?REFERENTIAL"),"_")))))</f>
        <v> </v>
      </c>
      <c r="H1318" s="24" t="str">
        <f>IF(J1318&lt;&gt;1,"",IF(I1318="SBJ","CB","?"))</f>
        <v> </v>
      </c>
      <c r="I1318" s="25" t="str">
        <f>IF(OR(E1318="",E1318="!!!",F1318="NEW"),"",INDEX(B1317:B$2,-1+SUMPRODUCT(MAX(ROW(E1317:E$2)*(E1318=E1317:E$2)))))</f>
        <v> </v>
      </c>
      <c r="J1318" s="25" t="str">
        <f>IF(OR(E1318="",E1318="!!!",F1318="NEW"),"",COUNTBLANK(OFFSET(A$1,,,SUMPRODUCT(MAX(ROW(E$2:E1318)*(E1318=E$2:E1318)))))-COUNTBLANK(OFFSET(A$1,,,SUMPRODUCT(MAX(ROW(E$1:E1317)*(E2=E$1:E1317))))))</f>
        <v> </v>
      </c>
      <c r="K1318" s="25" t="str">
        <f>IF(OR(E1318="",E1318="!!!",F1318="NEW"),"",INDEX(J$1:J1317,SUMPRODUCT(MAX(ROW(E$1:E1317)*(E1318=E$1:E1317)))))</f>
        <v> </v>
      </c>
      <c r="L1318" s="26"/>
    </row>
    <row r="1319" spans="1:12">
      <c r="A1319" s="20" t="s">
        <v>503</v>
      </c>
      <c r="E1319" s="21">
        <f>IF(D1319="?OLD","!!!","")</f>
        <v/>
      </c>
      <c r="F1319" s="22" t="str">
        <f>IF(OR(E1319="",E1319="!!!"),"",IF(NOT(ISNA(VLOOKUP(E1319,E$1:E1318,1,FALSE()))),"OLD",IF(AND(E1319&lt;&gt;"",E1319&lt;&gt;"!!!"),"NEW","")))</f>
        <v> </v>
      </c>
      <c r="G1319" s="23" t="str">
        <f>IF(OR(E1319="",E1319="!!!"),"",IF(OR(J1319=0,AND(J1319=1,K1319=1),AND(J1319=1,I1319="SBJ"),AND(J1319=1,I1319=0)),"?IN_FOCUS",IF(J1319&lt;=2,"?ACTIVATED",IF(J1319&lt;&gt;"","?FAMILIAR",IF(F1319="NEW",IF(ISNA(VLOOKUP(E1319,#REF!,1,FALSE())),"?TYPE_IDENTIFIABLE","?REFERENTIAL"),"_")))))</f>
        <v> </v>
      </c>
      <c r="H1319" s="24" t="str">
        <f>IF(J1319&lt;&gt;1,"",IF(I1319="SBJ","CB","?"))</f>
        <v> </v>
      </c>
      <c r="I1319" s="25" t="str">
        <f>IF(OR(E1319="",E1319="!!!",F1319="NEW"),"",INDEX(B1318:B$2,-1+SUMPRODUCT(MAX(ROW(E1318:E$2)*(E1319=E1318:E$2)))))</f>
        <v> </v>
      </c>
      <c r="J1319" s="25" t="str">
        <f>IF(OR(E1319="",E1319="!!!",F1319="NEW"),"",COUNTBLANK(OFFSET(A$1,,,SUMPRODUCT(MAX(ROW(E$2:E1319)*(E1319=E$2:E1319)))))-COUNTBLANK(OFFSET(A$1,,,SUMPRODUCT(MAX(ROW(E$1:E1318)*(E2=E$1:E1318))))))</f>
        <v> </v>
      </c>
      <c r="K1319" s="25" t="str">
        <f>IF(OR(E1319="",E1319="!!!",F1319="NEW"),"",INDEX(J$1:J1318,SUMPRODUCT(MAX(ROW(E$1:E1318)*(E1319=E$1:E1318)))))</f>
        <v> </v>
      </c>
      <c r="L1319" s="26"/>
    </row>
    <row r="1320" spans="1:12">
      <c r="A1320" s="20" t="s">
        <v>634</v>
      </c>
      <c r="B1320" s="27" t="s">
        <v>490</v>
      </c>
      <c r="C1320" s="27" t="s">
        <v>635</v>
      </c>
      <c r="D1320" s="27" t="s">
        <v>483</v>
      </c>
      <c r="E1320" s="21">
        <f>IF(D1320="?OLD","!!!","")</f>
        <v/>
      </c>
      <c r="F1320" s="22" t="str">
        <f>IF(OR(E1320="",E1320="!!!"),"",IF(NOT(ISNA(VLOOKUP(E1320,E$1:E1319,1,FALSE()))),"OLD",IF(AND(E1320&lt;&gt;"",E1320&lt;&gt;"!!!"),"NEW","")))</f>
        <v> </v>
      </c>
      <c r="G1320" s="23" t="str">
        <f>IF(OR(E1320="",E1320="!!!"),"",IF(OR(J1320=0,AND(J1320=1,K1320=1),AND(J1320=1,I1320="SBJ"),AND(J1320=1,I1320=0)),"?IN_FOCUS",IF(J1320&lt;=2,"?ACTIVATED",IF(J1320&lt;&gt;"","?FAMILIAR",IF(F1320="NEW",IF(ISNA(VLOOKUP(E1320,#REF!,1,FALSE())),"?TYPE_IDENTIFIABLE","?REFERENTIAL"),"_")))))</f>
        <v> </v>
      </c>
      <c r="H1320" s="24" t="str">
        <f>IF(J1320&lt;&gt;1,"",IF(I1320="SBJ","CB","?"))</f>
        <v> </v>
      </c>
      <c r="I1320" s="25" t="str">
        <f>IF(OR(E1320="",E1320="!!!",F1320="NEW"),"",INDEX(B1319:B$2,-1+SUMPRODUCT(MAX(ROW(E1319:E$2)*(E1320=E1319:E$2)))))</f>
        <v> </v>
      </c>
      <c r="J1320" s="25" t="str">
        <f>IF(OR(E1320="",E1320="!!!",F1320="NEW"),"",COUNTBLANK(OFFSET(A$1,,,SUMPRODUCT(MAX(ROW(E$2:E1320)*(E1320=E$2:E1320)))))-COUNTBLANK(OFFSET(A$1,,,SUMPRODUCT(MAX(ROW(E$1:E1319)*(E2=E$1:E1319))))))</f>
        <v> </v>
      </c>
      <c r="K1320" s="25" t="str">
        <f>IF(OR(E1320="",E1320="!!!",F1320="NEW"),"",INDEX(J$1:J1319,SUMPRODUCT(MAX(ROW(E$1:E1319)*(E1320=E$1:E1319)))))</f>
        <v> </v>
      </c>
      <c r="L1320" s="26"/>
    </row>
    <row r="1321" spans="1:12">
      <c r="A1321" s="20" t="s">
        <v>950</v>
      </c>
      <c r="B1321" s="27" t="s">
        <v>481</v>
      </c>
      <c r="C1321" s="27" t="s">
        <v>487</v>
      </c>
      <c r="D1321" s="27" t="s">
        <v>483</v>
      </c>
      <c r="E1321" s="21">
        <f>IF(D1321="?OLD","!!!","")</f>
        <v/>
      </c>
      <c r="F1321" s="22" t="str">
        <f>IF(OR(E1321="",E1321="!!!"),"",IF(NOT(ISNA(VLOOKUP(E1321,E$1:E1320,1,FALSE()))),"OLD",IF(AND(E1321&lt;&gt;"",E1321&lt;&gt;"!!!"),"NEW","")))</f>
        <v> </v>
      </c>
      <c r="G1321" s="23" t="str">
        <f>IF(OR(E1321="",E1321="!!!"),"",IF(OR(J1321=0,AND(J1321=1,K1321=1),AND(J1321=1,I1321="SBJ"),AND(J1321=1,I1321=0)),"?IN_FOCUS",IF(J1321&lt;=2,"?ACTIVATED",IF(J1321&lt;&gt;"","?FAMILIAR",IF(F1321="NEW",IF(ISNA(VLOOKUP(E1321,#REF!,1,FALSE())),"?TYPE_IDENTIFIABLE","?REFERENTIAL"),"_")))))</f>
        <v> </v>
      </c>
      <c r="H1321" s="24" t="str">
        <f>IF(J1321&lt;&gt;1,"",IF(I1321="SBJ","CB","?"))</f>
        <v> </v>
      </c>
      <c r="I1321" s="25" t="str">
        <f>IF(OR(E1321="",E1321="!!!",F1321="NEW"),"",INDEX(B1320:B$2,-1+SUMPRODUCT(MAX(ROW(E1320:E$2)*(E1321=E1320:E$2)))))</f>
        <v> </v>
      </c>
      <c r="J1321" s="25" t="str">
        <f>IF(OR(E1321="",E1321="!!!",F1321="NEW"),"",COUNTBLANK(OFFSET(A$1,,,SUMPRODUCT(MAX(ROW(E$2:E1321)*(E1321=E$2:E1321)))))-COUNTBLANK(OFFSET(A$1,,,SUMPRODUCT(MAX(ROW(E$1:E1320)*(E2=E$1:E1320))))))</f>
        <v> </v>
      </c>
      <c r="K1321" s="25" t="str">
        <f>IF(OR(E1321="",E1321="!!!",F1321="NEW"),"",INDEX(J$1:J1320,SUMPRODUCT(MAX(ROW(E$1:E1320)*(E1321=E$1:E1320)))))</f>
        <v> </v>
      </c>
      <c r="L1321" s="26"/>
    </row>
    <row r="1322" spans="1:12">
      <c r="A1322" s="20" t="s">
        <v>531</v>
      </c>
      <c r="E1322" s="21">
        <f>IF(D1322="?OLD","!!!","")</f>
        <v/>
      </c>
      <c r="F1322" s="22" t="str">
        <f>IF(OR(E1322="",E1322="!!!"),"",IF(NOT(ISNA(VLOOKUP(E1322,E$1:E1321,1,FALSE()))),"OLD",IF(AND(E1322&lt;&gt;"",E1322&lt;&gt;"!!!"),"NEW","")))</f>
        <v> </v>
      </c>
      <c r="G1322" s="23" t="str">
        <f>IF(OR(E1322="",E1322="!!!"),"",IF(OR(J1322=0,AND(J1322=1,K1322=1),AND(J1322=1,I1322="SBJ"),AND(J1322=1,I1322=0)),"?IN_FOCUS",IF(J1322&lt;=2,"?ACTIVATED",IF(J1322&lt;&gt;"","?FAMILIAR",IF(F1322="NEW",IF(ISNA(VLOOKUP(E1322,#REF!,1,FALSE())),"?TYPE_IDENTIFIABLE","?REFERENTIAL"),"_")))))</f>
        <v> </v>
      </c>
      <c r="H1322" s="24" t="str">
        <f>IF(J1322&lt;&gt;1,"",IF(I1322="SBJ","CB","?"))</f>
        <v> </v>
      </c>
      <c r="I1322" s="25" t="str">
        <f>IF(OR(E1322="",E1322="!!!",F1322="NEW"),"",INDEX(B1321:B$2,-1+SUMPRODUCT(MAX(ROW(E1321:E$2)*(E1322=E1321:E$2)))))</f>
        <v> </v>
      </c>
      <c r="J1322" s="25" t="str">
        <f>IF(OR(E1322="",E1322="!!!",F1322="NEW"),"",COUNTBLANK(OFFSET(A$1,,,SUMPRODUCT(MAX(ROW(E$2:E1322)*(E1322=E$2:E1322)))))-COUNTBLANK(OFFSET(A$1,,,SUMPRODUCT(MAX(ROW(E$1:E1321)*(E2=E$1:E1321))))))</f>
        <v> </v>
      </c>
      <c r="K1322" s="25" t="str">
        <f>IF(OR(E1322="",E1322="!!!",F1322="NEW"),"",INDEX(J$1:J1321,SUMPRODUCT(MAX(ROW(E$1:E1321)*(E1322=E$1:E1321)))))</f>
        <v> </v>
      </c>
      <c r="L1322" s="26"/>
    </row>
    <row r="1323" spans="1:12">
      <c r="A1323" s="20"/>
    </row>
    <row r="1324" spans="1:12">
      <c r="A1324" s="20" t="s">
        <v>951</v>
      </c>
    </row>
    <row r="1325" spans="1:12">
      <c r="A1325" s="20" t="s">
        <v>813</v>
      </c>
      <c r="E1325" s="21">
        <f>IF(D1325="?OLD","!!!","")</f>
        <v/>
      </c>
      <c r="F1325" s="22" t="str">
        <f>IF(OR(E1325="",E1325="!!!"),"",IF(NOT(ISNA(VLOOKUP(E1325,E$1:E1324,1,FALSE()))),"OLD",IF(AND(E1325&lt;&gt;"",E1325&lt;&gt;"!!!"),"NEW","")))</f>
        <v> </v>
      </c>
      <c r="G1325" s="23" t="str">
        <f>IF(OR(E1325="",E1325="!!!"),"",IF(OR(J1325=0,AND(J1325=1,K1325=1),AND(J1325=1,I1325="SBJ"),AND(J1325=1,I1325=0)),"?IN_FOCUS",IF(J1325&lt;=2,"?ACTIVATED",IF(J1325&lt;&gt;"","?FAMILIAR",IF(F1325="NEW",IF(ISNA(VLOOKUP(E1325,#REF!,1,FALSE())),"?TYPE_IDENTIFIABLE","?REFERENTIAL"),"_")))))</f>
        <v> </v>
      </c>
      <c r="H1325" s="24" t="str">
        <f>IF(J1325&lt;&gt;1,"",IF(I1325="SBJ","CB","?"))</f>
        <v> </v>
      </c>
      <c r="I1325" s="25" t="str">
        <f>IF(OR(E1325="",E1325="!!!",F1325="NEW"),"",INDEX(B1324:B$2,-1+SUMPRODUCT(MAX(ROW(E1324:E$2)*(E1325=E1324:E$2)))))</f>
        <v> </v>
      </c>
      <c r="J1325" s="25" t="str">
        <f>IF(OR(E1325="",E1325="!!!",F1325="NEW"),"",COUNTBLANK(OFFSET(A$1,,,SUMPRODUCT(MAX(ROW(E$2:E1325)*(E1325=E$2:E1325)))))-COUNTBLANK(OFFSET(A$1,,,SUMPRODUCT(MAX(ROW(E$1:E1324)*(E2=E$1:E1324))))))</f>
        <v> </v>
      </c>
      <c r="K1325" s="25" t="str">
        <f>IF(OR(E1325="",E1325="!!!",F1325="NEW"),"",INDEX(J$1:J1324,SUMPRODUCT(MAX(ROW(E$1:E1324)*(E1325=E$1:E1324)))))</f>
        <v> </v>
      </c>
      <c r="L1325" s="26"/>
    </row>
    <row r="1326" spans="1:12">
      <c r="A1326" s="20" t="s">
        <v>558</v>
      </c>
      <c r="E1326" s="21">
        <f>IF(D1326="?OLD","!!!","")</f>
        <v/>
      </c>
      <c r="F1326" s="22" t="str">
        <f>IF(OR(E1326="",E1326="!!!"),"",IF(NOT(ISNA(VLOOKUP(E1326,E$1:E1325,1,FALSE()))),"OLD",IF(AND(E1326&lt;&gt;"",E1326&lt;&gt;"!!!"),"NEW","")))</f>
        <v> </v>
      </c>
      <c r="G1326" s="23" t="str">
        <f>IF(OR(E1326="",E1326="!!!"),"",IF(OR(J1326=0,AND(J1326=1,K1326=1),AND(J1326=1,I1326="SBJ"),AND(J1326=1,I1326=0)),"?IN_FOCUS",IF(J1326&lt;=2,"?ACTIVATED",IF(J1326&lt;&gt;"","?FAMILIAR",IF(F1326="NEW",IF(ISNA(VLOOKUP(E1326,#REF!,1,FALSE())),"?TYPE_IDENTIFIABLE","?REFERENTIAL"),"_")))))</f>
        <v> </v>
      </c>
      <c r="H1326" s="24" t="str">
        <f>IF(J1326&lt;&gt;1,"",IF(I1326="SBJ","CB","?"))</f>
        <v> </v>
      </c>
      <c r="I1326" s="25" t="str">
        <f>IF(OR(E1326="",E1326="!!!",F1326="NEW"),"",INDEX(B1325:B$2,-1+SUMPRODUCT(MAX(ROW(E1325:E$2)*(E1326=E1325:E$2)))))</f>
        <v> </v>
      </c>
      <c r="J1326" s="25" t="str">
        <f>IF(OR(E1326="",E1326="!!!",F1326="NEW"),"",COUNTBLANK(OFFSET(A$1,,,SUMPRODUCT(MAX(ROW(E$2:E1326)*(E1326=E$2:E1326)))))-COUNTBLANK(OFFSET(A$1,,,SUMPRODUCT(MAX(ROW(E$1:E1325)*(E2=E$1:E1325))))))</f>
        <v> </v>
      </c>
      <c r="K1326" s="25" t="str">
        <f>IF(OR(E1326="",E1326="!!!",F1326="NEW"),"",INDEX(J$1:J1325,SUMPRODUCT(MAX(ROW(E$1:E1325)*(E1326=E$1:E1325)))))</f>
        <v> </v>
      </c>
      <c r="L1326" s="26"/>
    </row>
    <row r="1327" spans="1:12">
      <c r="A1327" s="20" t="s">
        <v>503</v>
      </c>
      <c r="E1327" s="21">
        <f>IF(D1327="?OLD","!!!","")</f>
        <v/>
      </c>
      <c r="F1327" s="22" t="str">
        <f>IF(OR(E1327="",E1327="!!!"),"",IF(NOT(ISNA(VLOOKUP(E1327,E$1:E1326,1,FALSE()))),"OLD",IF(AND(E1327&lt;&gt;"",E1327&lt;&gt;"!!!"),"NEW","")))</f>
        <v> </v>
      </c>
      <c r="G1327" s="23" t="str">
        <f>IF(OR(E1327="",E1327="!!!"),"",IF(OR(J1327=0,AND(J1327=1,K1327=1),AND(J1327=1,I1327="SBJ"),AND(J1327=1,I1327=0)),"?IN_FOCUS",IF(J1327&lt;=2,"?ACTIVATED",IF(J1327&lt;&gt;"","?FAMILIAR",IF(F1327="NEW",IF(ISNA(VLOOKUP(E1327,#REF!,1,FALSE())),"?TYPE_IDENTIFIABLE","?REFERENTIAL"),"_")))))</f>
        <v> </v>
      </c>
      <c r="H1327" s="24" t="str">
        <f>IF(J1327&lt;&gt;1,"",IF(I1327="SBJ","CB","?"))</f>
        <v> </v>
      </c>
      <c r="I1327" s="25" t="str">
        <f>IF(OR(E1327="",E1327="!!!",F1327="NEW"),"",INDEX(B1326:B$2,-1+SUMPRODUCT(MAX(ROW(E1326:E$2)*(E1327=E1326:E$2)))))</f>
        <v> </v>
      </c>
      <c r="J1327" s="25" t="str">
        <f>IF(OR(E1327="",E1327="!!!",F1327="NEW"),"",COUNTBLANK(OFFSET(A$1,,,SUMPRODUCT(MAX(ROW(E$2:E1327)*(E1327=E$2:E1327)))))-COUNTBLANK(OFFSET(A$1,,,SUMPRODUCT(MAX(ROW(E$1:E1326)*(E2=E$1:E1326))))))</f>
        <v> </v>
      </c>
      <c r="K1327" s="25" t="str">
        <f>IF(OR(E1327="",E1327="!!!",F1327="NEW"),"",INDEX(J$1:J1326,SUMPRODUCT(MAX(ROW(E$1:E1326)*(E1327=E$1:E1326)))))</f>
        <v> </v>
      </c>
      <c r="L1327" s="26"/>
    </row>
    <row r="1328" spans="1:12">
      <c r="A1328" s="20" t="s">
        <v>950</v>
      </c>
      <c r="B1328" s="27" t="s">
        <v>477</v>
      </c>
      <c r="C1328" s="27" t="s">
        <v>538</v>
      </c>
      <c r="D1328" s="27" t="s">
        <v>483</v>
      </c>
      <c r="E1328" s="21">
        <f>IF(D1328="?OLD","!!!","")</f>
        <v/>
      </c>
      <c r="F1328" s="22" t="str">
        <f>IF(OR(E1328="",E1328="!!!"),"",IF(NOT(ISNA(VLOOKUP(E1328,E$1:E1327,1,FALSE()))),"OLD",IF(AND(E1328&lt;&gt;"",E1328&lt;&gt;"!!!"),"NEW","")))</f>
        <v> </v>
      </c>
      <c r="G1328" s="23" t="str">
        <f>IF(OR(E1328="",E1328="!!!"),"",IF(OR(J1328=0,AND(J1328=1,K1328=1),AND(J1328=1,I1328="SBJ"),AND(J1328=1,I1328=0)),"?IN_FOCUS",IF(J1328&lt;=2,"?ACTIVATED",IF(J1328&lt;&gt;"","?FAMILIAR",IF(F1328="NEW",IF(ISNA(VLOOKUP(E1328,#REF!,1,FALSE())),"?TYPE_IDENTIFIABLE","?REFERENTIAL"),"_")))))</f>
        <v> </v>
      </c>
      <c r="H1328" s="24" t="str">
        <f>IF(J1328&lt;&gt;1,"",IF(I1328="SBJ","CB","?"))</f>
        <v> </v>
      </c>
      <c r="I1328" s="25" t="str">
        <f>IF(OR(E1328="",E1328="!!!",F1328="NEW"),"",INDEX(B1327:B$2,-1+SUMPRODUCT(MAX(ROW(E1327:E$2)*(E1328=E1327:E$2)))))</f>
        <v> </v>
      </c>
      <c r="J1328" s="25" t="str">
        <f>IF(OR(E1328="",E1328="!!!",F1328="NEW"),"",COUNTBLANK(OFFSET(A$1,,,SUMPRODUCT(MAX(ROW(E$2:E1328)*(E1328=E$2:E1328)))))-COUNTBLANK(OFFSET(A$1,,,SUMPRODUCT(MAX(ROW(E$1:E1327)*(E2=E$1:E1327))))))</f>
        <v> </v>
      </c>
      <c r="K1328" s="25" t="str">
        <f>IF(OR(E1328="",E1328="!!!",F1328="NEW"),"",INDEX(J$1:J1327,SUMPRODUCT(MAX(ROW(E$1:E1327)*(E1328=E$1:E1327)))))</f>
        <v> </v>
      </c>
      <c r="L1328" s="26"/>
    </row>
    <row r="1329" spans="1:12">
      <c r="A1329" s="20" t="s">
        <v>952</v>
      </c>
      <c r="E1329" s="21">
        <f>IF(D1329="?OLD","!!!","")</f>
        <v/>
      </c>
      <c r="F1329" s="22" t="str">
        <f>IF(OR(E1329="",E1329="!!!"),"",IF(NOT(ISNA(VLOOKUP(E1329,E$1:E1328,1,FALSE()))),"OLD",IF(AND(E1329&lt;&gt;"",E1329&lt;&gt;"!!!"),"NEW","")))</f>
        <v> </v>
      </c>
      <c r="G1329" s="23" t="str">
        <f>IF(OR(E1329="",E1329="!!!"),"",IF(OR(J1329=0,AND(J1329=1,K1329=1),AND(J1329=1,I1329="SBJ"),AND(J1329=1,I1329=0)),"?IN_FOCUS",IF(J1329&lt;=2,"?ACTIVATED",IF(J1329&lt;&gt;"","?FAMILIAR",IF(F1329="NEW",IF(ISNA(VLOOKUP(E1329,#REF!,1,FALSE())),"?TYPE_IDENTIFIABLE","?REFERENTIAL"),"_")))))</f>
        <v> </v>
      </c>
      <c r="H1329" s="24" t="str">
        <f>IF(J1329&lt;&gt;1,"",IF(I1329="SBJ","CB","?"))</f>
        <v> </v>
      </c>
      <c r="I1329" s="25" t="str">
        <f>IF(OR(E1329="",E1329="!!!",F1329="NEW"),"",INDEX(B1328:B$2,-1+SUMPRODUCT(MAX(ROW(E1328:E$2)*(E1329=E1328:E$2)))))</f>
        <v> </v>
      </c>
      <c r="J1329" s="25" t="str">
        <f>IF(OR(E1329="",E1329="!!!",F1329="NEW"),"",COUNTBLANK(OFFSET(A$1,,,SUMPRODUCT(MAX(ROW(E$2:E1329)*(E1329=E$2:E1329)))))-COUNTBLANK(OFFSET(A$1,,,SUMPRODUCT(MAX(ROW(E$1:E1328)*(E2=E$1:E1328))))))</f>
        <v> </v>
      </c>
      <c r="K1329" s="25" t="str">
        <f>IF(OR(E1329="",E1329="!!!",F1329="NEW"),"",INDEX(J$1:J1328,SUMPRODUCT(MAX(ROW(E$1:E1328)*(E1329=E$1:E1328)))))</f>
        <v> </v>
      </c>
      <c r="L1329" s="26"/>
    </row>
    <row r="1330" spans="1:12">
      <c r="A1330" s="20" t="s">
        <v>528</v>
      </c>
      <c r="E1330" s="21">
        <f>IF(D1330="?OLD","!!!","")</f>
        <v/>
      </c>
      <c r="F1330" s="22" t="str">
        <f>IF(OR(E1330="",E1330="!!!"),"",IF(NOT(ISNA(VLOOKUP(E1330,E$1:E1329,1,FALSE()))),"OLD",IF(AND(E1330&lt;&gt;"",E1330&lt;&gt;"!!!"),"NEW","")))</f>
        <v> </v>
      </c>
      <c r="G1330" s="23" t="str">
        <f>IF(OR(E1330="",E1330="!!!"),"",IF(OR(J1330=0,AND(J1330=1,K1330=1),AND(J1330=1,I1330="SBJ"),AND(J1330=1,I1330=0)),"?IN_FOCUS",IF(J1330&lt;=2,"?ACTIVATED",IF(J1330&lt;&gt;"","?FAMILIAR",IF(F1330="NEW",IF(ISNA(VLOOKUP(E1330,#REF!,1,FALSE())),"?TYPE_IDENTIFIABLE","?REFERENTIAL"),"_")))))</f>
        <v> </v>
      </c>
      <c r="H1330" s="24" t="str">
        <f>IF(J1330&lt;&gt;1,"",IF(I1330="SBJ","CB","?"))</f>
        <v> </v>
      </c>
      <c r="I1330" s="25" t="str">
        <f>IF(OR(E1330="",E1330="!!!",F1330="NEW"),"",INDEX(B1329:B$2,-1+SUMPRODUCT(MAX(ROW(E1329:E$2)*(E1330=E1329:E$2)))))</f>
        <v> </v>
      </c>
      <c r="J1330" s="25" t="str">
        <f>IF(OR(E1330="",E1330="!!!",F1330="NEW"),"",COUNTBLANK(OFFSET(A$1,,,SUMPRODUCT(MAX(ROW(E$2:E1330)*(E1330=E$2:E1330)))))-COUNTBLANK(OFFSET(A$1,,,SUMPRODUCT(MAX(ROW(E$1:E1329)*(E2=E$1:E1329))))))</f>
        <v> </v>
      </c>
      <c r="K1330" s="25" t="str">
        <f>IF(OR(E1330="",E1330="!!!",F1330="NEW"),"",INDEX(J$1:J1329,SUMPRODUCT(MAX(ROW(E$1:E1329)*(E1330=E$1:E1329)))))</f>
        <v> </v>
      </c>
      <c r="L1330" s="26"/>
    </row>
    <row r="1331" spans="1:12">
      <c r="A1331" s="20" t="s">
        <v>485</v>
      </c>
      <c r="E1331" s="21">
        <f>IF(D1331="?OLD","!!!","")</f>
        <v/>
      </c>
      <c r="F1331" s="22" t="str">
        <f>IF(OR(E1331="",E1331="!!!"),"",IF(NOT(ISNA(VLOOKUP(E1331,E$1:E1330,1,FALSE()))),"OLD",IF(AND(E1331&lt;&gt;"",E1331&lt;&gt;"!!!"),"NEW","")))</f>
        <v> </v>
      </c>
      <c r="G1331" s="23" t="str">
        <f>IF(OR(E1331="",E1331="!!!"),"",IF(OR(J1331=0,AND(J1331=1,K1331=1),AND(J1331=1,I1331="SBJ"),AND(J1331=1,I1331=0)),"?IN_FOCUS",IF(J1331&lt;=2,"?ACTIVATED",IF(J1331&lt;&gt;"","?FAMILIAR",IF(F1331="NEW",IF(ISNA(VLOOKUP(E1331,#REF!,1,FALSE())),"?TYPE_IDENTIFIABLE","?REFERENTIAL"),"_")))))</f>
        <v> </v>
      </c>
      <c r="H1331" s="24" t="str">
        <f>IF(J1331&lt;&gt;1,"",IF(I1331="SBJ","CB","?"))</f>
        <v> </v>
      </c>
      <c r="I1331" s="25" t="str">
        <f>IF(OR(E1331="",E1331="!!!",F1331="NEW"),"",INDEX(B1330:B$2,-1+SUMPRODUCT(MAX(ROW(E1330:E$2)*(E1331=E1330:E$2)))))</f>
        <v> </v>
      </c>
      <c r="J1331" s="25" t="str">
        <f>IF(OR(E1331="",E1331="!!!",F1331="NEW"),"",COUNTBLANK(OFFSET(A$1,,,SUMPRODUCT(MAX(ROW(E$2:E1331)*(E1331=E$2:E1331)))))-COUNTBLANK(OFFSET(A$1,,,SUMPRODUCT(MAX(ROW(E$1:E1330)*(E2=E$1:E1330))))))</f>
        <v> </v>
      </c>
      <c r="K1331" s="25" t="str">
        <f>IF(OR(E1331="",E1331="!!!",F1331="NEW"),"",INDEX(J$1:J1330,SUMPRODUCT(MAX(ROW(E$1:E1330)*(E1331=E$1:E1330)))))</f>
        <v> </v>
      </c>
      <c r="L1331" s="26"/>
    </row>
    <row r="1332" spans="1:12">
      <c r="A1332" s="20" t="s">
        <v>953</v>
      </c>
      <c r="B1332" s="27" t="s">
        <v>477</v>
      </c>
      <c r="C1332" s="27" t="s">
        <v>612</v>
      </c>
      <c r="D1332" s="27" t="s">
        <v>483</v>
      </c>
      <c r="E1332" s="21">
        <f>IF(D1332="?OLD","!!!","")</f>
        <v/>
      </c>
      <c r="F1332" s="22" t="str">
        <f>IF(OR(E1332="",E1332="!!!"),"",IF(NOT(ISNA(VLOOKUP(E1332,E$1:E1331,1,FALSE()))),"OLD",IF(AND(E1332&lt;&gt;"",E1332&lt;&gt;"!!!"),"NEW","")))</f>
        <v> </v>
      </c>
      <c r="G1332" s="23" t="str">
        <f>IF(OR(E1332="",E1332="!!!"),"",IF(OR(J1332=0,AND(J1332=1,K1332=1),AND(J1332=1,I1332="SBJ"),AND(J1332=1,I1332=0)),"?IN_FOCUS",IF(J1332&lt;=2,"?ACTIVATED",IF(J1332&lt;&gt;"","?FAMILIAR",IF(F1332="NEW",IF(ISNA(VLOOKUP(E1332,#REF!,1,FALSE())),"?TYPE_IDENTIFIABLE","?REFERENTIAL"),"_")))))</f>
        <v> </v>
      </c>
      <c r="H1332" s="24" t="str">
        <f>IF(J1332&lt;&gt;1,"",IF(I1332="SBJ","CB","?"))</f>
        <v> </v>
      </c>
      <c r="I1332" s="25" t="str">
        <f>IF(OR(E1332="",E1332="!!!",F1332="NEW"),"",INDEX(B1331:B$2,-1+SUMPRODUCT(MAX(ROW(E1331:E$2)*(E1332=E1331:E$2)))))</f>
        <v> </v>
      </c>
      <c r="J1332" s="25" t="str">
        <f>IF(OR(E1332="",E1332="!!!",F1332="NEW"),"",COUNTBLANK(OFFSET(A$1,,,SUMPRODUCT(MAX(ROW(E$2:E1332)*(E1332=E$2:E1332)))))-COUNTBLANK(OFFSET(A$1,,,SUMPRODUCT(MAX(ROW(E$1:E1331)*(E2=E$1:E1331))))))</f>
        <v> </v>
      </c>
      <c r="K1332" s="25" t="str">
        <f>IF(OR(E1332="",E1332="!!!",F1332="NEW"),"",INDEX(J$1:J1331,SUMPRODUCT(MAX(ROW(E$1:E1331)*(E1332=E$1:E1331)))))</f>
        <v> </v>
      </c>
      <c r="L1332" s="26"/>
    </row>
    <row r="1333" spans="1:12">
      <c r="A1333" s="20" t="s">
        <v>531</v>
      </c>
      <c r="E1333" s="21">
        <f>IF(D1333="?OLD","!!!","")</f>
        <v/>
      </c>
      <c r="F1333" s="22" t="str">
        <f>IF(OR(E1333="",E1333="!!!"),"",IF(NOT(ISNA(VLOOKUP(E1333,E$1:E1332,1,FALSE()))),"OLD",IF(AND(E1333&lt;&gt;"",E1333&lt;&gt;"!!!"),"NEW","")))</f>
        <v> </v>
      </c>
      <c r="G1333" s="23" t="str">
        <f>IF(OR(E1333="",E1333="!!!"),"",IF(OR(J1333=0,AND(J1333=1,K1333=1),AND(J1333=1,I1333="SBJ"),AND(J1333=1,I1333=0)),"?IN_FOCUS",IF(J1333&lt;=2,"?ACTIVATED",IF(J1333&lt;&gt;"","?FAMILIAR",IF(F1333="NEW",IF(ISNA(VLOOKUP(E1333,#REF!,1,FALSE())),"?TYPE_IDENTIFIABLE","?REFERENTIAL"),"_")))))</f>
        <v> </v>
      </c>
      <c r="H1333" s="24" t="str">
        <f>IF(J1333&lt;&gt;1,"",IF(I1333="SBJ","CB","?"))</f>
        <v> </v>
      </c>
      <c r="I1333" s="25" t="str">
        <f>IF(OR(E1333="",E1333="!!!",F1333="NEW"),"",INDEX(B1332:B$2,-1+SUMPRODUCT(MAX(ROW(E1332:E$2)*(E1333=E1332:E$2)))))</f>
        <v> </v>
      </c>
      <c r="J1333" s="25" t="str">
        <f>IF(OR(E1333="",E1333="!!!",F1333="NEW"),"",COUNTBLANK(OFFSET(A$1,,,SUMPRODUCT(MAX(ROW(E$2:E1333)*(E1333=E$2:E1333)))))-COUNTBLANK(OFFSET(A$1,,,SUMPRODUCT(MAX(ROW(E$1:E1332)*(E2=E$1:E1332))))))</f>
        <v> </v>
      </c>
      <c r="K1333" s="25" t="str">
        <f>IF(OR(E1333="",E1333="!!!",F1333="NEW"),"",INDEX(J$1:J1332,SUMPRODUCT(MAX(ROW(E$1:E1332)*(E1333=E$1:E1332)))))</f>
        <v> </v>
      </c>
      <c r="L1333" s="26"/>
    </row>
    <row r="1334" spans="1:12">
      <c r="A1334" s="20"/>
    </row>
    <row r="1335" spans="1:12">
      <c r="A1335" s="20" t="s">
        <v>954</v>
      </c>
    </row>
    <row r="1336" spans="1:12">
      <c r="A1336" s="20" t="s">
        <v>942</v>
      </c>
      <c r="B1336" s="27" t="s">
        <v>549</v>
      </c>
      <c r="C1336" s="27" t="s">
        <v>491</v>
      </c>
      <c r="D1336" s="27" t="s">
        <v>483</v>
      </c>
      <c r="E1336" s="21">
        <f>IF(D1336="?OLD","!!!","")</f>
        <v/>
      </c>
      <c r="F1336" s="22" t="str">
        <f>IF(OR(E1336="",E1336="!!!"),"",IF(NOT(ISNA(VLOOKUP(E1336,E$1:E1335,1,FALSE()))),"OLD",IF(AND(E1336&lt;&gt;"",E1336&lt;&gt;"!!!"),"NEW","")))</f>
        <v> </v>
      </c>
      <c r="G1336" s="23" t="str">
        <f>IF(OR(E1336="",E1336="!!!"),"",IF(OR(J1336=0,AND(J1336=1,K1336=1),AND(J1336=1,I1336="SBJ"),AND(J1336=1,I1336=0)),"?IN_FOCUS",IF(J1336&lt;=2,"?ACTIVATED",IF(J1336&lt;&gt;"","?FAMILIAR",IF(F1336="NEW",IF(ISNA(VLOOKUP(E1336,#REF!,1,FALSE())),"?TYPE_IDENTIFIABLE","?REFERENTIAL"),"_")))))</f>
        <v> </v>
      </c>
      <c r="H1336" s="24" t="str">
        <f>IF(J1336&lt;&gt;1,"",IF(I1336="SBJ","CB","?"))</f>
        <v> </v>
      </c>
      <c r="I1336" s="25" t="str">
        <f>IF(OR(E1336="",E1336="!!!",F1336="NEW"),"",INDEX(B1335:B$2,-1+SUMPRODUCT(MAX(ROW(E1335:E$2)*(E1336=E1335:E$2)))))</f>
        <v> </v>
      </c>
      <c r="J1336" s="25" t="str">
        <f>IF(OR(E1336="",E1336="!!!",F1336="NEW"),"",COUNTBLANK(OFFSET(A$1,,,SUMPRODUCT(MAX(ROW(E$2:E1336)*(E1336=E$2:E1336)))))-COUNTBLANK(OFFSET(A$1,,,SUMPRODUCT(MAX(ROW(E$1:E1335)*(E2=E$1:E1335))))))</f>
        <v> </v>
      </c>
      <c r="K1336" s="25" t="str">
        <f>IF(OR(E1336="",E1336="!!!",F1336="NEW"),"",INDEX(J$1:J1335,SUMPRODUCT(MAX(ROW(E$1:E1335)*(E1336=E$1:E1335)))))</f>
        <v> </v>
      </c>
      <c r="L1336" s="26"/>
    </row>
    <row r="1337" spans="1:12">
      <c r="A1337" s="20" t="s">
        <v>558</v>
      </c>
      <c r="E1337" s="21">
        <f>IF(D1337="?OLD","!!!","")</f>
        <v/>
      </c>
      <c r="F1337" s="22" t="str">
        <f>IF(OR(E1337="",E1337="!!!"),"",IF(NOT(ISNA(VLOOKUP(E1337,E$1:E1336,1,FALSE()))),"OLD",IF(AND(E1337&lt;&gt;"",E1337&lt;&gt;"!!!"),"NEW","")))</f>
        <v> </v>
      </c>
      <c r="G1337" s="23" t="str">
        <f>IF(OR(E1337="",E1337="!!!"),"",IF(OR(J1337=0,AND(J1337=1,K1337=1),AND(J1337=1,I1337="SBJ"),AND(J1337=1,I1337=0)),"?IN_FOCUS",IF(J1337&lt;=2,"?ACTIVATED",IF(J1337&lt;&gt;"","?FAMILIAR",IF(F1337="NEW",IF(ISNA(VLOOKUP(E1337,#REF!,1,FALSE())),"?TYPE_IDENTIFIABLE","?REFERENTIAL"),"_")))))</f>
        <v> </v>
      </c>
      <c r="H1337" s="24" t="str">
        <f>IF(J1337&lt;&gt;1,"",IF(I1337="SBJ","CB","?"))</f>
        <v> </v>
      </c>
      <c r="I1337" s="25" t="str">
        <f>IF(OR(E1337="",E1337="!!!",F1337="NEW"),"",INDEX(B1336:B$2,-1+SUMPRODUCT(MAX(ROW(E1336:E$2)*(E1337=E1336:E$2)))))</f>
        <v> </v>
      </c>
      <c r="J1337" s="25" t="str">
        <f>IF(OR(E1337="",E1337="!!!",F1337="NEW"),"",COUNTBLANK(OFFSET(A$1,,,SUMPRODUCT(MAX(ROW(E$2:E1337)*(E1337=E$2:E1337)))))-COUNTBLANK(OFFSET(A$1,,,SUMPRODUCT(MAX(ROW(E$1:E1336)*(E2=E$1:E1336))))))</f>
        <v> </v>
      </c>
      <c r="K1337" s="25" t="str">
        <f>IF(OR(E1337="",E1337="!!!",F1337="NEW"),"",INDEX(J$1:J1336,SUMPRODUCT(MAX(ROW(E$1:E1336)*(E1337=E$1:E1336)))))</f>
        <v> </v>
      </c>
      <c r="L1337" s="26"/>
    </row>
    <row r="1338" spans="1:12">
      <c r="A1338" s="20" t="s">
        <v>503</v>
      </c>
      <c r="E1338" s="21">
        <f>IF(D1338="?OLD","!!!","")</f>
        <v/>
      </c>
      <c r="F1338" s="22" t="str">
        <f>IF(OR(E1338="",E1338="!!!"),"",IF(NOT(ISNA(VLOOKUP(E1338,E$1:E1337,1,FALSE()))),"OLD",IF(AND(E1338&lt;&gt;"",E1338&lt;&gt;"!!!"),"NEW","")))</f>
        <v> </v>
      </c>
      <c r="G1338" s="23" t="str">
        <f>IF(OR(E1338="",E1338="!!!"),"",IF(OR(J1338=0,AND(J1338=1,K1338=1),AND(J1338=1,I1338="SBJ"),AND(J1338=1,I1338=0)),"?IN_FOCUS",IF(J1338&lt;=2,"?ACTIVATED",IF(J1338&lt;&gt;"","?FAMILIAR",IF(F1338="NEW",IF(ISNA(VLOOKUP(E1338,#REF!,1,FALSE())),"?TYPE_IDENTIFIABLE","?REFERENTIAL"),"_")))))</f>
        <v> </v>
      </c>
      <c r="H1338" s="24" t="str">
        <f>IF(J1338&lt;&gt;1,"",IF(I1338="SBJ","CB","?"))</f>
        <v> </v>
      </c>
      <c r="I1338" s="25" t="str">
        <f>IF(OR(E1338="",E1338="!!!",F1338="NEW"),"",INDEX(B1337:B$2,-1+SUMPRODUCT(MAX(ROW(E1337:E$2)*(E1338=E1337:E$2)))))</f>
        <v> </v>
      </c>
      <c r="J1338" s="25" t="str">
        <f>IF(OR(E1338="",E1338="!!!",F1338="NEW"),"",COUNTBLANK(OFFSET(A$1,,,SUMPRODUCT(MAX(ROW(E$2:E1338)*(E1338=E$2:E1338)))))-COUNTBLANK(OFFSET(A$1,,,SUMPRODUCT(MAX(ROW(E$1:E1337)*(E2=E$1:E1337))))))</f>
        <v> </v>
      </c>
      <c r="K1338" s="25" t="str">
        <f>IF(OR(E1338="",E1338="!!!",F1338="NEW"),"",INDEX(J$1:J1337,SUMPRODUCT(MAX(ROW(E$1:E1337)*(E1338=E$1:E1337)))))</f>
        <v> </v>
      </c>
      <c r="L1338" s="26"/>
    </row>
    <row r="1339" spans="1:12">
      <c r="A1339" s="20" t="s">
        <v>634</v>
      </c>
      <c r="B1339" s="27" t="s">
        <v>490</v>
      </c>
      <c r="C1339" s="27" t="s">
        <v>635</v>
      </c>
      <c r="D1339" s="27" t="s">
        <v>483</v>
      </c>
      <c r="E1339" s="21">
        <f>IF(D1339="?OLD","!!!","")</f>
        <v/>
      </c>
      <c r="F1339" s="22" t="str">
        <f>IF(OR(E1339="",E1339="!!!"),"",IF(NOT(ISNA(VLOOKUP(E1339,E$1:E1338,1,FALSE()))),"OLD",IF(AND(E1339&lt;&gt;"",E1339&lt;&gt;"!!!"),"NEW","")))</f>
        <v> </v>
      </c>
      <c r="G1339" s="23" t="str">
        <f>IF(OR(E1339="",E1339="!!!"),"",IF(OR(J1339=0,AND(J1339=1,K1339=1),AND(J1339=1,I1339="SBJ"),AND(J1339=1,I1339=0)),"?IN_FOCUS",IF(J1339&lt;=2,"?ACTIVATED",IF(J1339&lt;&gt;"","?FAMILIAR",IF(F1339="NEW",IF(ISNA(VLOOKUP(E1339,#REF!,1,FALSE())),"?TYPE_IDENTIFIABLE","?REFERENTIAL"),"_")))))</f>
        <v> </v>
      </c>
      <c r="H1339" s="24" t="str">
        <f>IF(J1339&lt;&gt;1,"",IF(I1339="SBJ","CB","?"))</f>
        <v> </v>
      </c>
      <c r="I1339" s="25" t="str">
        <f>IF(OR(E1339="",E1339="!!!",F1339="NEW"),"",INDEX(B1338:B$2,-1+SUMPRODUCT(MAX(ROW(E1338:E$2)*(E1339=E1338:E$2)))))</f>
        <v> </v>
      </c>
      <c r="J1339" s="25" t="str">
        <f>IF(OR(E1339="",E1339="!!!",F1339="NEW"),"",COUNTBLANK(OFFSET(A$1,,,SUMPRODUCT(MAX(ROW(E$2:E1339)*(E1339=E$2:E1339)))))-COUNTBLANK(OFFSET(A$1,,,SUMPRODUCT(MAX(ROW(E$1:E1338)*(E2=E$1:E1338))))))</f>
        <v> </v>
      </c>
      <c r="K1339" s="25" t="str">
        <f>IF(OR(E1339="",E1339="!!!",F1339="NEW"),"",INDEX(J$1:J1338,SUMPRODUCT(MAX(ROW(E$1:E1338)*(E1339=E$1:E1338)))))</f>
        <v> </v>
      </c>
      <c r="L1339" s="26"/>
    </row>
    <row r="1340" spans="1:12">
      <c r="A1340" s="20" t="s">
        <v>955</v>
      </c>
      <c r="B1340" s="27" t="s">
        <v>481</v>
      </c>
      <c r="C1340" s="27" t="s">
        <v>487</v>
      </c>
      <c r="D1340" s="27" t="s">
        <v>483</v>
      </c>
      <c r="E1340" s="21">
        <f>IF(D1340="?OLD","!!!","")</f>
        <v/>
      </c>
      <c r="F1340" s="22" t="str">
        <f>IF(OR(E1340="",E1340="!!!"),"",IF(NOT(ISNA(VLOOKUP(E1340,E$1:E1339,1,FALSE()))),"OLD",IF(AND(E1340&lt;&gt;"",E1340&lt;&gt;"!!!"),"NEW","")))</f>
        <v> </v>
      </c>
      <c r="G1340" s="23" t="str">
        <f>IF(OR(E1340="",E1340="!!!"),"",IF(OR(J1340=0,AND(J1340=1,K1340=1),AND(J1340=1,I1340="SBJ"),AND(J1340=1,I1340=0)),"?IN_FOCUS",IF(J1340&lt;=2,"?ACTIVATED",IF(J1340&lt;&gt;"","?FAMILIAR",IF(F1340="NEW",IF(ISNA(VLOOKUP(E1340,#REF!,1,FALSE())),"?TYPE_IDENTIFIABLE","?REFERENTIAL"),"_")))))</f>
        <v> </v>
      </c>
      <c r="H1340" s="24" t="str">
        <f>IF(J1340&lt;&gt;1,"",IF(I1340="SBJ","CB","?"))</f>
        <v> </v>
      </c>
      <c r="I1340" s="25" t="str">
        <f>IF(OR(E1340="",E1340="!!!",F1340="NEW"),"",INDEX(B1339:B$2,-1+SUMPRODUCT(MAX(ROW(E1339:E$2)*(E1340=E1339:E$2)))))</f>
        <v> </v>
      </c>
      <c r="J1340" s="25" t="str">
        <f>IF(OR(E1340="",E1340="!!!",F1340="NEW"),"",COUNTBLANK(OFFSET(A$1,,,SUMPRODUCT(MAX(ROW(E$2:E1340)*(E1340=E$2:E1340)))))-COUNTBLANK(OFFSET(A$1,,,SUMPRODUCT(MAX(ROW(E$1:E1339)*(E2=E$1:E1339))))))</f>
        <v> </v>
      </c>
      <c r="K1340" s="25" t="str">
        <f>IF(OR(E1340="",E1340="!!!",F1340="NEW"),"",INDEX(J$1:J1339,SUMPRODUCT(MAX(ROW(E$1:E1339)*(E1340=E$1:E1339)))))</f>
        <v> </v>
      </c>
      <c r="L1340" s="26"/>
    </row>
    <row r="1341" spans="1:12">
      <c r="A1341" s="20" t="s">
        <v>531</v>
      </c>
      <c r="E1341" s="21">
        <f>IF(D1341="?OLD","!!!","")</f>
        <v/>
      </c>
      <c r="F1341" s="22" t="str">
        <f>IF(OR(E1341="",E1341="!!!"),"",IF(NOT(ISNA(VLOOKUP(E1341,E$1:E1340,1,FALSE()))),"OLD",IF(AND(E1341&lt;&gt;"",E1341&lt;&gt;"!!!"),"NEW","")))</f>
        <v> </v>
      </c>
      <c r="G1341" s="23" t="str">
        <f>IF(OR(E1341="",E1341="!!!"),"",IF(OR(J1341=0,AND(J1341=1,K1341=1),AND(J1341=1,I1341="SBJ"),AND(J1341=1,I1341=0)),"?IN_FOCUS",IF(J1341&lt;=2,"?ACTIVATED",IF(J1341&lt;&gt;"","?FAMILIAR",IF(F1341="NEW",IF(ISNA(VLOOKUP(E1341,#REF!,1,FALSE())),"?TYPE_IDENTIFIABLE","?REFERENTIAL"),"_")))))</f>
        <v> </v>
      </c>
      <c r="H1341" s="24" t="str">
        <f>IF(J1341&lt;&gt;1,"",IF(I1341="SBJ","CB","?"))</f>
        <v> </v>
      </c>
      <c r="I1341" s="25" t="str">
        <f>IF(OR(E1341="",E1341="!!!",F1341="NEW"),"",INDEX(B1340:B$2,-1+SUMPRODUCT(MAX(ROW(E1340:E$2)*(E1341=E1340:E$2)))))</f>
        <v> </v>
      </c>
      <c r="J1341" s="25" t="str">
        <f>IF(OR(E1341="",E1341="!!!",F1341="NEW"),"",COUNTBLANK(OFFSET(A$1,,,SUMPRODUCT(MAX(ROW(E$2:E1341)*(E1341=E$2:E1341)))))-COUNTBLANK(OFFSET(A$1,,,SUMPRODUCT(MAX(ROW(E$1:E1340)*(E2=E$1:E1340))))))</f>
        <v> </v>
      </c>
      <c r="K1341" s="25" t="str">
        <f>IF(OR(E1341="",E1341="!!!",F1341="NEW"),"",INDEX(J$1:J1340,SUMPRODUCT(MAX(ROW(E$1:E1340)*(E1341=E$1:E1340)))))</f>
        <v> </v>
      </c>
      <c r="L1341" s="26"/>
    </row>
    <row r="1342" spans="1:12">
      <c r="A1342" s="20"/>
    </row>
    <row r="1343" spans="1:12">
      <c r="A1343" s="20" t="s">
        <v>956</v>
      </c>
    </row>
    <row r="1344" spans="1:12">
      <c r="A1344" s="20" t="s">
        <v>813</v>
      </c>
      <c r="E1344" s="21">
        <f>IF(D1344="?OLD","!!!","")</f>
        <v/>
      </c>
      <c r="F1344" s="22" t="str">
        <f>IF(OR(E1344="",E1344="!!!"),"",IF(NOT(ISNA(VLOOKUP(E1344,E$1:E1343,1,FALSE()))),"OLD",IF(AND(E1344&lt;&gt;"",E1344&lt;&gt;"!!!"),"NEW","")))</f>
        <v> </v>
      </c>
      <c r="G1344" s="23" t="str">
        <f>IF(OR(E1344="",E1344="!!!"),"",IF(OR(J1344=0,AND(J1344=1,K1344=1),AND(J1344=1,I1344="SBJ"),AND(J1344=1,I1344=0)),"?IN_FOCUS",IF(J1344&lt;=2,"?ACTIVATED",IF(J1344&lt;&gt;"","?FAMILIAR",IF(F1344="NEW",IF(ISNA(VLOOKUP(E1344,#REF!,1,FALSE())),"?TYPE_IDENTIFIABLE","?REFERENTIAL"),"_")))))</f>
        <v> </v>
      </c>
      <c r="H1344" s="24" t="str">
        <f>IF(J1344&lt;&gt;1,"",IF(I1344="SBJ","CB","?"))</f>
        <v> </v>
      </c>
      <c r="I1344" s="25" t="str">
        <f>IF(OR(E1344="",E1344="!!!",F1344="NEW"),"",INDEX(B1343:B$2,-1+SUMPRODUCT(MAX(ROW(E1343:E$2)*(E1344=E1343:E$2)))))</f>
        <v> </v>
      </c>
      <c r="J1344" s="25" t="str">
        <f>IF(OR(E1344="",E1344="!!!",F1344="NEW"),"",COUNTBLANK(OFFSET(A$1,,,SUMPRODUCT(MAX(ROW(E$2:E1344)*(E1344=E$2:E1344)))))-COUNTBLANK(OFFSET(A$1,,,SUMPRODUCT(MAX(ROW(E$1:E1343)*(E2=E$1:E1343))))))</f>
        <v> </v>
      </c>
      <c r="K1344" s="25" t="str">
        <f>IF(OR(E1344="",E1344="!!!",F1344="NEW"),"",INDEX(J$1:J1343,SUMPRODUCT(MAX(ROW(E$1:E1343)*(E1344=E$1:E1343)))))</f>
        <v> </v>
      </c>
      <c r="L1344" s="26"/>
    </row>
    <row r="1345" spans="1:12">
      <c r="A1345" s="20" t="s">
        <v>558</v>
      </c>
      <c r="E1345" s="21">
        <f>IF(D1345="?OLD","!!!","")</f>
        <v/>
      </c>
      <c r="F1345" s="22" t="str">
        <f>IF(OR(E1345="",E1345="!!!"),"",IF(NOT(ISNA(VLOOKUP(E1345,E$1:E1344,1,FALSE()))),"OLD",IF(AND(E1345&lt;&gt;"",E1345&lt;&gt;"!!!"),"NEW","")))</f>
        <v> </v>
      </c>
      <c r="G1345" s="23" t="str">
        <f>IF(OR(E1345="",E1345="!!!"),"",IF(OR(J1345=0,AND(J1345=1,K1345=1),AND(J1345=1,I1345="SBJ"),AND(J1345=1,I1345=0)),"?IN_FOCUS",IF(J1345&lt;=2,"?ACTIVATED",IF(J1345&lt;&gt;"","?FAMILIAR",IF(F1345="NEW",IF(ISNA(VLOOKUP(E1345,#REF!,1,FALSE())),"?TYPE_IDENTIFIABLE","?REFERENTIAL"),"_")))))</f>
        <v> </v>
      </c>
      <c r="H1345" s="24" t="str">
        <f>IF(J1345&lt;&gt;1,"",IF(I1345="SBJ","CB","?"))</f>
        <v> </v>
      </c>
      <c r="I1345" s="25" t="str">
        <f>IF(OR(E1345="",E1345="!!!",F1345="NEW"),"",INDEX(B1344:B$2,-1+SUMPRODUCT(MAX(ROW(E1344:E$2)*(E1345=E1344:E$2)))))</f>
        <v> </v>
      </c>
      <c r="J1345" s="25" t="str">
        <f>IF(OR(E1345="",E1345="!!!",F1345="NEW"),"",COUNTBLANK(OFFSET(A$1,,,SUMPRODUCT(MAX(ROW(E$2:E1345)*(E1345=E$2:E1345)))))-COUNTBLANK(OFFSET(A$1,,,SUMPRODUCT(MAX(ROW(E$1:E1344)*(E2=E$1:E1344))))))</f>
        <v> </v>
      </c>
      <c r="K1345" s="25" t="str">
        <f>IF(OR(E1345="",E1345="!!!",F1345="NEW"),"",INDEX(J$1:J1344,SUMPRODUCT(MAX(ROW(E$1:E1344)*(E1345=E$1:E1344)))))</f>
        <v> </v>
      </c>
      <c r="L1345" s="26"/>
    </row>
    <row r="1346" spans="1:12">
      <c r="A1346" s="20" t="s">
        <v>380</v>
      </c>
      <c r="E1346" s="21">
        <f>IF(D1346="?OLD","!!!","")</f>
        <v/>
      </c>
      <c r="F1346" s="22" t="str">
        <f>IF(OR(E1346="",E1346="!!!"),"",IF(NOT(ISNA(VLOOKUP(E1346,E$1:E1345,1,FALSE()))),"OLD",IF(AND(E1346&lt;&gt;"",E1346&lt;&gt;"!!!"),"NEW","")))</f>
        <v> </v>
      </c>
      <c r="G1346" s="23" t="str">
        <f>IF(OR(E1346="",E1346="!!!"),"",IF(OR(J1346=0,AND(J1346=1,K1346=1),AND(J1346=1,I1346="SBJ"),AND(J1346=1,I1346=0)),"?IN_FOCUS",IF(J1346&lt;=2,"?ACTIVATED",IF(J1346&lt;&gt;"","?FAMILIAR",IF(F1346="NEW",IF(ISNA(VLOOKUP(E1346,#REF!,1,FALSE())),"?TYPE_IDENTIFIABLE","?REFERENTIAL"),"_")))))</f>
        <v> </v>
      </c>
      <c r="H1346" s="24" t="str">
        <f>IF(J1346&lt;&gt;1,"",IF(I1346="SBJ","CB","?"))</f>
        <v> </v>
      </c>
      <c r="I1346" s="25" t="str">
        <f>IF(OR(E1346="",E1346="!!!",F1346="NEW"),"",INDEX(B1345:B$2,-1+SUMPRODUCT(MAX(ROW(E1345:E$2)*(E1346=E1345:E$2)))))</f>
        <v> </v>
      </c>
      <c r="J1346" s="25" t="str">
        <f>IF(OR(E1346="",E1346="!!!",F1346="NEW"),"",COUNTBLANK(OFFSET(A$1,,,SUMPRODUCT(MAX(ROW(E$2:E1346)*(E1346=E$2:E1346)))))-COUNTBLANK(OFFSET(A$1,,,SUMPRODUCT(MAX(ROW(E$1:E1345)*(E2=E$1:E1345))))))</f>
        <v> </v>
      </c>
      <c r="K1346" s="25" t="str">
        <f>IF(OR(E1346="",E1346="!!!",F1346="NEW"),"",INDEX(J$1:J1345,SUMPRODUCT(MAX(ROW(E$1:E1345)*(E1346=E$1:E1345)))))</f>
        <v> </v>
      </c>
      <c r="L1346" s="26"/>
    </row>
    <row r="1347" spans="1:12">
      <c r="A1347" s="20" t="s">
        <v>486</v>
      </c>
      <c r="B1347" s="27" t="s">
        <v>477</v>
      </c>
      <c r="C1347" s="27" t="s">
        <v>538</v>
      </c>
      <c r="D1347" s="27" t="s">
        <v>483</v>
      </c>
      <c r="E1347" s="21">
        <f>IF(D1347="?OLD","!!!","")</f>
        <v/>
      </c>
      <c r="F1347" s="22" t="str">
        <f>IF(OR(E1347="",E1347="!!!"),"",IF(NOT(ISNA(VLOOKUP(E1347,E$1:E1346,1,FALSE()))),"OLD",IF(AND(E1347&lt;&gt;"",E1347&lt;&gt;"!!!"),"NEW","")))</f>
        <v> </v>
      </c>
      <c r="G1347" s="23" t="str">
        <f>IF(OR(E1347="",E1347="!!!"),"",IF(OR(J1347=0,AND(J1347=1,K1347=1),AND(J1347=1,I1347="SBJ"),AND(J1347=1,I1347=0)),"?IN_FOCUS",IF(J1347&lt;=2,"?ACTIVATED",IF(J1347&lt;&gt;"","?FAMILIAR",IF(F1347="NEW",IF(ISNA(VLOOKUP(E1347,#REF!,1,FALSE())),"?TYPE_IDENTIFIABLE","?REFERENTIAL"),"_")))))</f>
        <v> </v>
      </c>
      <c r="H1347" s="24" t="str">
        <f>IF(J1347&lt;&gt;1,"",IF(I1347="SBJ","CB","?"))</f>
        <v> </v>
      </c>
      <c r="I1347" s="25" t="str">
        <f>IF(OR(E1347="",E1347="!!!",F1347="NEW"),"",INDEX(B1346:B$2,-1+SUMPRODUCT(MAX(ROW(E1346:E$2)*(E1347=E1346:E$2)))))</f>
        <v> </v>
      </c>
      <c r="J1347" s="25" t="str">
        <f>IF(OR(E1347="",E1347="!!!",F1347="NEW"),"",COUNTBLANK(OFFSET(A$1,,,SUMPRODUCT(MAX(ROW(E$2:E1347)*(E1347=E$2:E1347)))))-COUNTBLANK(OFFSET(A$1,,,SUMPRODUCT(MAX(ROW(E$1:E1346)*(E2=E$1:E1346))))))</f>
        <v> </v>
      </c>
      <c r="K1347" s="25" t="str">
        <f>IF(OR(E1347="",E1347="!!!",F1347="NEW"),"",INDEX(J$1:J1346,SUMPRODUCT(MAX(ROW(E$1:E1346)*(E1347=E$1:E1346)))))</f>
        <v> </v>
      </c>
      <c r="L1347" s="26"/>
    </row>
    <row r="1348" spans="1:12">
      <c r="A1348" s="20" t="s">
        <v>952</v>
      </c>
      <c r="E1348" s="21">
        <f>IF(D1348="?OLD","!!!","")</f>
        <v/>
      </c>
      <c r="F1348" s="22" t="str">
        <f>IF(OR(E1348="",E1348="!!!"),"",IF(NOT(ISNA(VLOOKUP(E1348,E$1:E1347,1,FALSE()))),"OLD",IF(AND(E1348&lt;&gt;"",E1348&lt;&gt;"!!!"),"NEW","")))</f>
        <v> </v>
      </c>
      <c r="G1348" s="23" t="str">
        <f>IF(OR(E1348="",E1348="!!!"),"",IF(OR(J1348=0,AND(J1348=1,K1348=1),AND(J1348=1,I1348="SBJ"),AND(J1348=1,I1348=0)),"?IN_FOCUS",IF(J1348&lt;=2,"?ACTIVATED",IF(J1348&lt;&gt;"","?FAMILIAR",IF(F1348="NEW",IF(ISNA(VLOOKUP(E1348,#REF!,1,FALSE())),"?TYPE_IDENTIFIABLE","?REFERENTIAL"),"_")))))</f>
        <v> </v>
      </c>
      <c r="H1348" s="24" t="str">
        <f>IF(J1348&lt;&gt;1,"",IF(I1348="SBJ","CB","?"))</f>
        <v> </v>
      </c>
      <c r="I1348" s="25" t="str">
        <f>IF(OR(E1348="",E1348="!!!",F1348="NEW"),"",INDEX(B1347:B$2,-1+SUMPRODUCT(MAX(ROW(E1347:E$2)*(E1348=E1347:E$2)))))</f>
        <v> </v>
      </c>
      <c r="J1348" s="25" t="str">
        <f>IF(OR(E1348="",E1348="!!!",F1348="NEW"),"",COUNTBLANK(OFFSET(A$1,,,SUMPRODUCT(MAX(ROW(E$2:E1348)*(E1348=E$2:E1348)))))-COUNTBLANK(OFFSET(A$1,,,SUMPRODUCT(MAX(ROW(E$1:E1347)*(E2=E$1:E1347))))))</f>
        <v> </v>
      </c>
      <c r="K1348" s="25" t="str">
        <f>IF(OR(E1348="",E1348="!!!",F1348="NEW"),"",INDEX(J$1:J1347,SUMPRODUCT(MAX(ROW(E$1:E1347)*(E1348=E$1:E1347)))))</f>
        <v> </v>
      </c>
      <c r="L1348" s="26"/>
    </row>
    <row r="1349" spans="1:12">
      <c r="A1349" s="20" t="s">
        <v>528</v>
      </c>
      <c r="E1349" s="21">
        <f>IF(D1349="?OLD","!!!","")</f>
        <v/>
      </c>
      <c r="F1349" s="22" t="str">
        <f>IF(OR(E1349="",E1349="!!!"),"",IF(NOT(ISNA(VLOOKUP(E1349,E$1:E1348,1,FALSE()))),"OLD",IF(AND(E1349&lt;&gt;"",E1349&lt;&gt;"!!!"),"NEW","")))</f>
        <v> </v>
      </c>
      <c r="G1349" s="23" t="str">
        <f>IF(OR(E1349="",E1349="!!!"),"",IF(OR(J1349=0,AND(J1349=1,K1349=1),AND(J1349=1,I1349="SBJ"),AND(J1349=1,I1349=0)),"?IN_FOCUS",IF(J1349&lt;=2,"?ACTIVATED",IF(J1349&lt;&gt;"","?FAMILIAR",IF(F1349="NEW",IF(ISNA(VLOOKUP(E1349,#REF!,1,FALSE())),"?TYPE_IDENTIFIABLE","?REFERENTIAL"),"_")))))</f>
        <v> </v>
      </c>
      <c r="H1349" s="24" t="str">
        <f>IF(J1349&lt;&gt;1,"",IF(I1349="SBJ","CB","?"))</f>
        <v> </v>
      </c>
      <c r="I1349" s="25" t="str">
        <f>IF(OR(E1349="",E1349="!!!",F1349="NEW"),"",INDEX(B1348:B$2,-1+SUMPRODUCT(MAX(ROW(E1348:E$2)*(E1349=E1348:E$2)))))</f>
        <v> </v>
      </c>
      <c r="J1349" s="25" t="str">
        <f>IF(OR(E1349="",E1349="!!!",F1349="NEW"),"",COUNTBLANK(OFFSET(A$1,,,SUMPRODUCT(MAX(ROW(E$2:E1349)*(E1349=E$2:E1349)))))-COUNTBLANK(OFFSET(A$1,,,SUMPRODUCT(MAX(ROW(E$1:E1348)*(E2=E$1:E1348))))))</f>
        <v> </v>
      </c>
      <c r="K1349" s="25" t="str">
        <f>IF(OR(E1349="",E1349="!!!",F1349="NEW"),"",INDEX(J$1:J1348,SUMPRODUCT(MAX(ROW(E$1:E1348)*(E1349=E$1:E1348)))))</f>
        <v> </v>
      </c>
      <c r="L1349" s="26"/>
    </row>
    <row r="1350" spans="1:12">
      <c r="A1350" s="20" t="s">
        <v>957</v>
      </c>
      <c r="B1350" s="27" t="s">
        <v>477</v>
      </c>
      <c r="C1350" s="27" t="s">
        <v>612</v>
      </c>
      <c r="D1350" s="27" t="s">
        <v>483</v>
      </c>
      <c r="E1350" s="21">
        <f>IF(D1350="?OLD","!!!","")</f>
        <v/>
      </c>
      <c r="F1350" s="22" t="str">
        <f>IF(OR(E1350="",E1350="!!!"),"",IF(NOT(ISNA(VLOOKUP(E1350,E$1:E1349,1,FALSE()))),"OLD",IF(AND(E1350&lt;&gt;"",E1350&lt;&gt;"!!!"),"NEW","")))</f>
        <v> </v>
      </c>
      <c r="G1350" s="23" t="str">
        <f>IF(OR(E1350="",E1350="!!!"),"",IF(OR(J1350=0,AND(J1350=1,K1350=1),AND(J1350=1,I1350="SBJ"),AND(J1350=1,I1350=0)),"?IN_FOCUS",IF(J1350&lt;=2,"?ACTIVATED",IF(J1350&lt;&gt;"","?FAMILIAR",IF(F1350="NEW",IF(ISNA(VLOOKUP(E1350,#REF!,1,FALSE())),"?TYPE_IDENTIFIABLE","?REFERENTIAL"),"_")))))</f>
        <v> </v>
      </c>
      <c r="H1350" s="24" t="str">
        <f>IF(J1350&lt;&gt;1,"",IF(I1350="SBJ","CB","?"))</f>
        <v> </v>
      </c>
      <c r="I1350" s="25" t="str">
        <f>IF(OR(E1350="",E1350="!!!",F1350="NEW"),"",INDEX(B1349:B$2,-1+SUMPRODUCT(MAX(ROW(E1349:E$2)*(E1350=E1349:E$2)))))</f>
        <v> </v>
      </c>
      <c r="J1350" s="25" t="str">
        <f>IF(OR(E1350="",E1350="!!!",F1350="NEW"),"",COUNTBLANK(OFFSET(A$1,,,SUMPRODUCT(MAX(ROW(E$2:E1350)*(E1350=E$2:E1350)))))-COUNTBLANK(OFFSET(A$1,,,SUMPRODUCT(MAX(ROW(E$1:E1349)*(E2=E$1:E1349))))))</f>
        <v> </v>
      </c>
      <c r="K1350" s="25" t="str">
        <f>IF(OR(E1350="",E1350="!!!",F1350="NEW"),"",INDEX(J$1:J1349,SUMPRODUCT(MAX(ROW(E$1:E1349)*(E1350=E$1:E1349)))))</f>
        <v> </v>
      </c>
      <c r="L1350" s="26"/>
    </row>
    <row r="1351" spans="1:12">
      <c r="A1351" s="20" t="s">
        <v>531</v>
      </c>
      <c r="E1351" s="21">
        <f>IF(D1351="?OLD","!!!","")</f>
        <v/>
      </c>
      <c r="F1351" s="22" t="str">
        <f>IF(OR(E1351="",E1351="!!!"),"",IF(NOT(ISNA(VLOOKUP(E1351,E$1:E1350,1,FALSE()))),"OLD",IF(AND(E1351&lt;&gt;"",E1351&lt;&gt;"!!!"),"NEW","")))</f>
        <v> </v>
      </c>
      <c r="G1351" s="23" t="str">
        <f>IF(OR(E1351="",E1351="!!!"),"",IF(OR(J1351=0,AND(J1351=1,K1351=1),AND(J1351=1,I1351="SBJ"),AND(J1351=1,I1351=0)),"?IN_FOCUS",IF(J1351&lt;=2,"?ACTIVATED",IF(J1351&lt;&gt;"","?FAMILIAR",IF(F1351="NEW",IF(ISNA(VLOOKUP(E1351,#REF!,1,FALSE())),"?TYPE_IDENTIFIABLE","?REFERENTIAL"),"_")))))</f>
        <v> </v>
      </c>
      <c r="H1351" s="24" t="str">
        <f>IF(J1351&lt;&gt;1,"",IF(I1351="SBJ","CB","?"))</f>
        <v> </v>
      </c>
      <c r="I1351" s="25" t="str">
        <f>IF(OR(E1351="",E1351="!!!",F1351="NEW"),"",INDEX(B1350:B$2,-1+SUMPRODUCT(MAX(ROW(E1350:E$2)*(E1351=E1350:E$2)))))</f>
        <v> </v>
      </c>
      <c r="J1351" s="25" t="str">
        <f>IF(OR(E1351="",E1351="!!!",F1351="NEW"),"",COUNTBLANK(OFFSET(A$1,,,SUMPRODUCT(MAX(ROW(E$2:E1351)*(E1351=E$2:E1351)))))-COUNTBLANK(OFFSET(A$1,,,SUMPRODUCT(MAX(ROW(E$1:E1350)*(E2=E$1:E1350))))))</f>
        <v> </v>
      </c>
      <c r="K1351" s="25" t="str">
        <f>IF(OR(E1351="",E1351="!!!",F1351="NEW"),"",INDEX(J$1:J1350,SUMPRODUCT(MAX(ROW(E$1:E1350)*(E1351=E$1:E1350)))))</f>
        <v> </v>
      </c>
      <c r="L1351" s="26"/>
    </row>
    <row r="1352" spans="1:12">
      <c r="A1352" s="20"/>
    </row>
    <row r="1353" spans="1:12">
      <c r="A1353" s="20" t="s">
        <v>958</v>
      </c>
    </row>
    <row r="1354" spans="1:12">
      <c r="A1354" s="20" t="s">
        <v>617</v>
      </c>
      <c r="E1354" s="21">
        <f>IF(D1354="?OLD","!!!","")</f>
        <v/>
      </c>
      <c r="F1354" s="22" t="str">
        <f>IF(OR(E1354="",E1354="!!!"),"",IF(NOT(ISNA(VLOOKUP(E1354,E$1:E1353,1,FALSE()))),"OLD",IF(AND(E1354&lt;&gt;"",E1354&lt;&gt;"!!!"),"NEW","")))</f>
        <v> </v>
      </c>
      <c r="G1354" s="23" t="str">
        <f>IF(OR(E1354="",E1354="!!!"),"",IF(OR(J1354=0,AND(J1354=1,K1354=1),AND(J1354=1,I1354="SBJ"),AND(J1354=1,I1354=0)),"?IN_FOCUS",IF(J1354&lt;=2,"?ACTIVATED",IF(J1354&lt;&gt;"","?FAMILIAR",IF(F1354="NEW",IF(ISNA(VLOOKUP(E1354,#REF!,1,FALSE())),"?TYPE_IDENTIFIABLE","?REFERENTIAL"),"_")))))</f>
        <v> </v>
      </c>
      <c r="H1354" s="24" t="str">
        <f>IF(J1354&lt;&gt;1,"",IF(I1354="SBJ","CB","?"))</f>
        <v> </v>
      </c>
      <c r="I1354" s="25" t="str">
        <f>IF(OR(E1354="",E1354="!!!",F1354="NEW"),"",INDEX(B1353:B$2,-1+SUMPRODUCT(MAX(ROW(E1353:E$2)*(E1354=E1353:E$2)))))</f>
        <v> </v>
      </c>
      <c r="J1354" s="25" t="str">
        <f>IF(OR(E1354="",E1354="!!!",F1354="NEW"),"",COUNTBLANK(OFFSET(A$1,,,SUMPRODUCT(MAX(ROW(E$2:E1354)*(E1354=E$2:E1354)))))-COUNTBLANK(OFFSET(A$1,,,SUMPRODUCT(MAX(ROW(E$1:E1353)*(E2=E$1:E1353))))))</f>
        <v> </v>
      </c>
      <c r="K1354" s="25" t="str">
        <f>IF(OR(E1354="",E1354="!!!",F1354="NEW"),"",INDEX(J$1:J1353,SUMPRODUCT(MAX(ROW(E$1:E1353)*(E1354=E$1:E1353)))))</f>
        <v> </v>
      </c>
      <c r="L1354" s="26"/>
    </row>
    <row r="1355" spans="1:12">
      <c r="A1355" s="20" t="s">
        <v>959</v>
      </c>
      <c r="E1355" s="21">
        <f>IF(D1355="?OLD","!!!","")</f>
        <v/>
      </c>
      <c r="F1355" s="22" t="str">
        <f>IF(OR(E1355="",E1355="!!!"),"",IF(NOT(ISNA(VLOOKUP(E1355,E$1:E1354,1,FALSE()))),"OLD",IF(AND(E1355&lt;&gt;"",E1355&lt;&gt;"!!!"),"NEW","")))</f>
        <v> </v>
      </c>
      <c r="G1355" s="23" t="str">
        <f>IF(OR(E1355="",E1355="!!!"),"",IF(OR(J1355=0,AND(J1355=1,K1355=1),AND(J1355=1,I1355="SBJ"),AND(J1355=1,I1355=0)),"?IN_FOCUS",IF(J1355&lt;=2,"?ACTIVATED",IF(J1355&lt;&gt;"","?FAMILIAR",IF(F1355="NEW",IF(ISNA(VLOOKUP(E1355,#REF!,1,FALSE())),"?TYPE_IDENTIFIABLE","?REFERENTIAL"),"_")))))</f>
        <v> </v>
      </c>
      <c r="H1355" s="24" t="str">
        <f>IF(J1355&lt;&gt;1,"",IF(I1355="SBJ","CB","?"))</f>
        <v> </v>
      </c>
      <c r="I1355" s="25" t="str">
        <f>IF(OR(E1355="",E1355="!!!",F1355="NEW"),"",INDEX(B1354:B$2,-1+SUMPRODUCT(MAX(ROW(E1354:E$2)*(E1355=E1354:E$2)))))</f>
        <v> </v>
      </c>
      <c r="J1355" s="25" t="str">
        <f>IF(OR(E1355="",E1355="!!!",F1355="NEW"),"",COUNTBLANK(OFFSET(A$1,,,SUMPRODUCT(MAX(ROW(E$2:E1355)*(E1355=E$2:E1355)))))-COUNTBLANK(OFFSET(A$1,,,SUMPRODUCT(MAX(ROW(E$1:E1354)*(E2=E$1:E1354))))))</f>
        <v> </v>
      </c>
      <c r="K1355" s="25" t="str">
        <f>IF(OR(E1355="",E1355="!!!",F1355="NEW"),"",INDEX(J$1:J1354,SUMPRODUCT(MAX(ROW(E$1:E1354)*(E1355=E$1:E1354)))))</f>
        <v> </v>
      </c>
      <c r="L1355" s="26"/>
    </row>
    <row r="1356" spans="1:12">
      <c r="A1356" s="20" t="s">
        <v>503</v>
      </c>
      <c r="E1356" s="21">
        <f>IF(D1356="?OLD","!!!","")</f>
        <v/>
      </c>
      <c r="F1356" s="22" t="str">
        <f>IF(OR(E1356="",E1356="!!!"),"",IF(NOT(ISNA(VLOOKUP(E1356,E$1:E1355,1,FALSE()))),"OLD",IF(AND(E1356&lt;&gt;"",E1356&lt;&gt;"!!!"),"NEW","")))</f>
        <v> </v>
      </c>
      <c r="G1356" s="23" t="str">
        <f>IF(OR(E1356="",E1356="!!!"),"",IF(OR(J1356=0,AND(J1356=1,K1356=1),AND(J1356=1,I1356="SBJ"),AND(J1356=1,I1356=0)),"?IN_FOCUS",IF(J1356&lt;=2,"?ACTIVATED",IF(J1356&lt;&gt;"","?FAMILIAR",IF(F1356="NEW",IF(ISNA(VLOOKUP(E1356,#REF!,1,FALSE())),"?TYPE_IDENTIFIABLE","?REFERENTIAL"),"_")))))</f>
        <v> </v>
      </c>
      <c r="H1356" s="24" t="str">
        <f>IF(J1356&lt;&gt;1,"",IF(I1356="SBJ","CB","?"))</f>
        <v> </v>
      </c>
      <c r="I1356" s="25" t="str">
        <f>IF(OR(E1356="",E1356="!!!",F1356="NEW"),"",INDEX(B1355:B$2,-1+SUMPRODUCT(MAX(ROW(E1355:E$2)*(E1356=E1355:E$2)))))</f>
        <v> </v>
      </c>
      <c r="J1356" s="25" t="str">
        <f>IF(OR(E1356="",E1356="!!!",F1356="NEW"),"",COUNTBLANK(OFFSET(A$1,,,SUMPRODUCT(MAX(ROW(E$2:E1356)*(E1356=E$2:E1356)))))-COUNTBLANK(OFFSET(A$1,,,SUMPRODUCT(MAX(ROW(E$1:E1355)*(E2=E$1:E1355))))))</f>
        <v> </v>
      </c>
      <c r="K1356" s="25" t="str">
        <f>IF(OR(E1356="",E1356="!!!",F1356="NEW"),"",INDEX(J$1:J1355,SUMPRODUCT(MAX(ROW(E$1:E1355)*(E1356=E$1:E1355)))))</f>
        <v> </v>
      </c>
      <c r="L1356" s="26"/>
    </row>
    <row r="1357" spans="1:12">
      <c r="A1357" s="20" t="s">
        <v>634</v>
      </c>
      <c r="B1357" s="27" t="s">
        <v>540</v>
      </c>
      <c r="C1357" s="27" t="s">
        <v>635</v>
      </c>
      <c r="D1357" s="27" t="s">
        <v>483</v>
      </c>
      <c r="E1357" s="21">
        <f>IF(D1357="?OLD","!!!","")</f>
        <v/>
      </c>
      <c r="F1357" s="22" t="str">
        <f>IF(OR(E1357="",E1357="!!!"),"",IF(NOT(ISNA(VLOOKUP(E1357,E$1:E1356,1,FALSE()))),"OLD",IF(AND(E1357&lt;&gt;"",E1357&lt;&gt;"!!!"),"NEW","")))</f>
        <v> </v>
      </c>
      <c r="G1357" s="23" t="str">
        <f>IF(OR(E1357="",E1357="!!!"),"",IF(OR(J1357=0,AND(J1357=1,K1357=1),AND(J1357=1,I1357="SBJ"),AND(J1357=1,I1357=0)),"?IN_FOCUS",IF(J1357&lt;=2,"?ACTIVATED",IF(J1357&lt;&gt;"","?FAMILIAR",IF(F1357="NEW",IF(ISNA(VLOOKUP(E1357,#REF!,1,FALSE())),"?TYPE_IDENTIFIABLE","?REFERENTIAL"),"_")))))</f>
        <v> </v>
      </c>
      <c r="H1357" s="24" t="str">
        <f>IF(J1357&lt;&gt;1,"",IF(I1357="SBJ","CB","?"))</f>
        <v> </v>
      </c>
      <c r="I1357" s="25" t="str">
        <f>IF(OR(E1357="",E1357="!!!",F1357="NEW"),"",INDEX(B1356:B$2,-1+SUMPRODUCT(MAX(ROW(E1356:E$2)*(E1357=E1356:E$2)))))</f>
        <v> </v>
      </c>
      <c r="J1357" s="25" t="str">
        <f>IF(OR(E1357="",E1357="!!!",F1357="NEW"),"",COUNTBLANK(OFFSET(A$1,,,SUMPRODUCT(MAX(ROW(E$2:E1357)*(E1357=E$2:E1357)))))-COUNTBLANK(OFFSET(A$1,,,SUMPRODUCT(MAX(ROW(E$1:E1356)*(E2=E$1:E1356))))))</f>
        <v> </v>
      </c>
      <c r="K1357" s="25" t="str">
        <f>IF(OR(E1357="",E1357="!!!",F1357="NEW"),"",INDEX(J$1:J1356,SUMPRODUCT(MAX(ROW(E$1:E1356)*(E1357=E$1:E1356)))))</f>
        <v> </v>
      </c>
      <c r="L1357" s="26"/>
    </row>
    <row r="1358" spans="1:12">
      <c r="A1358" s="20" t="s">
        <v>955</v>
      </c>
      <c r="B1358" s="27" t="s">
        <v>542</v>
      </c>
      <c r="C1358" s="27" t="s">
        <v>487</v>
      </c>
      <c r="D1358" s="27" t="s">
        <v>483</v>
      </c>
      <c r="E1358" s="21">
        <f>IF(D1358="?OLD","!!!","")</f>
        <v/>
      </c>
      <c r="F1358" s="22" t="str">
        <f>IF(OR(E1358="",E1358="!!!"),"",IF(NOT(ISNA(VLOOKUP(E1358,E$1:E1357,1,FALSE()))),"OLD",IF(AND(E1358&lt;&gt;"",E1358&lt;&gt;"!!!"),"NEW","")))</f>
        <v> </v>
      </c>
      <c r="G1358" s="23" t="str">
        <f>IF(OR(E1358="",E1358="!!!"),"",IF(OR(J1358=0,AND(J1358=1,K1358=1),AND(J1358=1,I1358="SBJ"),AND(J1358=1,I1358=0)),"?IN_FOCUS",IF(J1358&lt;=2,"?ACTIVATED",IF(J1358&lt;&gt;"","?FAMILIAR",IF(F1358="NEW",IF(ISNA(VLOOKUP(E1358,#REF!,1,FALSE())),"?TYPE_IDENTIFIABLE","?REFERENTIAL"),"_")))))</f>
        <v> </v>
      </c>
      <c r="H1358" s="24" t="str">
        <f>IF(J1358&lt;&gt;1,"",IF(I1358="SBJ","CB","?"))</f>
        <v> </v>
      </c>
      <c r="I1358" s="25" t="str">
        <f>IF(OR(E1358="",E1358="!!!",F1358="NEW"),"",INDEX(B1357:B$2,-1+SUMPRODUCT(MAX(ROW(E1357:E$2)*(E1358=E1357:E$2)))))</f>
        <v> </v>
      </c>
      <c r="J1358" s="25" t="str">
        <f>IF(OR(E1358="",E1358="!!!",F1358="NEW"),"",COUNTBLANK(OFFSET(A$1,,,SUMPRODUCT(MAX(ROW(E$2:E1358)*(E1358=E$2:E1358)))))-COUNTBLANK(OFFSET(A$1,,,SUMPRODUCT(MAX(ROW(E$1:E1357)*(E2=E$1:E1357))))))</f>
        <v> </v>
      </c>
      <c r="K1358" s="25" t="str">
        <f>IF(OR(E1358="",E1358="!!!",F1358="NEW"),"",INDEX(J$1:J1357,SUMPRODUCT(MAX(ROW(E$1:E1357)*(E1358=E$1:E1357)))))</f>
        <v> </v>
      </c>
      <c r="L1358" s="26"/>
    </row>
    <row r="1359" spans="1:12">
      <c r="A1359" s="20" t="s">
        <v>592</v>
      </c>
      <c r="E1359" s="21">
        <f>IF(D1359="?OLD","!!!","")</f>
        <v/>
      </c>
      <c r="F1359" s="22" t="str">
        <f>IF(OR(E1359="",E1359="!!!"),"",IF(NOT(ISNA(VLOOKUP(E1359,E$1:E1358,1,FALSE()))),"OLD",IF(AND(E1359&lt;&gt;"",E1359&lt;&gt;"!!!"),"NEW","")))</f>
        <v> </v>
      </c>
      <c r="G1359" s="23" t="str">
        <f>IF(OR(E1359="",E1359="!!!"),"",IF(OR(J1359=0,AND(J1359=1,K1359=1),AND(J1359=1,I1359="SBJ"),AND(J1359=1,I1359=0)),"?IN_FOCUS",IF(J1359&lt;=2,"?ACTIVATED",IF(J1359&lt;&gt;"","?FAMILIAR",IF(F1359="NEW",IF(ISNA(VLOOKUP(E1359,#REF!,1,FALSE())),"?TYPE_IDENTIFIABLE","?REFERENTIAL"),"_")))))</f>
        <v> </v>
      </c>
      <c r="H1359" s="24" t="str">
        <f>IF(J1359&lt;&gt;1,"",IF(I1359="SBJ","CB","?"))</f>
        <v> </v>
      </c>
      <c r="I1359" s="25" t="str">
        <f>IF(OR(E1359="",E1359="!!!",F1359="NEW"),"",INDEX(B1358:B$2,-1+SUMPRODUCT(MAX(ROW(E1358:E$2)*(E1359=E1358:E$2)))))</f>
        <v> </v>
      </c>
      <c r="J1359" s="25" t="str">
        <f>IF(OR(E1359="",E1359="!!!",F1359="NEW"),"",COUNTBLANK(OFFSET(A$1,,,SUMPRODUCT(MAX(ROW(E$2:E1359)*(E1359=E$2:E1359)))))-COUNTBLANK(OFFSET(A$1,,,SUMPRODUCT(MAX(ROW(E$1:E1358)*(E2=E$1:E1358))))))</f>
        <v> </v>
      </c>
      <c r="K1359" s="25" t="str">
        <f>IF(OR(E1359="",E1359="!!!",F1359="NEW"),"",INDEX(J$1:J1358,SUMPRODUCT(MAX(ROW(E$1:E1358)*(E1359=E$1:E1358)))))</f>
        <v> </v>
      </c>
      <c r="L1359" s="26"/>
    </row>
    <row r="1360" spans="1:12">
      <c r="A1360" s="20" t="s">
        <v>960</v>
      </c>
      <c r="E1360" s="21">
        <f>IF(D1360="?OLD","!!!","")</f>
        <v/>
      </c>
      <c r="F1360" s="22" t="str">
        <f>IF(OR(E1360="",E1360="!!!"),"",IF(NOT(ISNA(VLOOKUP(E1360,E$1:E1359,1,FALSE()))),"OLD",IF(AND(E1360&lt;&gt;"",E1360&lt;&gt;"!!!"),"NEW","")))</f>
        <v> </v>
      </c>
      <c r="G1360" s="23" t="str">
        <f>IF(OR(E1360="",E1360="!!!"),"",IF(OR(J1360=0,AND(J1360=1,K1360=1),AND(J1360=1,I1360="SBJ"),AND(J1360=1,I1360=0)),"?IN_FOCUS",IF(J1360&lt;=2,"?ACTIVATED",IF(J1360&lt;&gt;"","?FAMILIAR",IF(F1360="NEW",IF(ISNA(VLOOKUP(E1360,#REF!,1,FALSE())),"?TYPE_IDENTIFIABLE","?REFERENTIAL"),"_")))))</f>
        <v> </v>
      </c>
      <c r="H1360" s="24" t="str">
        <f>IF(J1360&lt;&gt;1,"",IF(I1360="SBJ","CB","?"))</f>
        <v> </v>
      </c>
      <c r="I1360" s="25" t="str">
        <f>IF(OR(E1360="",E1360="!!!",F1360="NEW"),"",INDEX(B1359:B$2,-1+SUMPRODUCT(MAX(ROW(E1359:E$2)*(E1360=E1359:E$2)))))</f>
        <v> </v>
      </c>
      <c r="J1360" s="25" t="str">
        <f>IF(OR(E1360="",E1360="!!!",F1360="NEW"),"",COUNTBLANK(OFFSET(A$1,,,SUMPRODUCT(MAX(ROW(E$2:E1360)*(E1360=E$2:E1360)))))-COUNTBLANK(OFFSET(A$1,,,SUMPRODUCT(MAX(ROW(E$1:E1359)*(E2=E$1:E1359))))))</f>
        <v> </v>
      </c>
      <c r="K1360" s="25" t="str">
        <f>IF(OR(E1360="",E1360="!!!",F1360="NEW"),"",INDEX(J$1:J1359,SUMPRODUCT(MAX(ROW(E$1:E1359)*(E1360=E$1:E1359)))))</f>
        <v> </v>
      </c>
      <c r="L1360" s="26"/>
    </row>
    <row r="1361" spans="1:12">
      <c r="A1361" s="20" t="s">
        <v>769</v>
      </c>
      <c r="E1361" s="21">
        <f>IF(D1361="?OLD","!!!","")</f>
        <v/>
      </c>
      <c r="F1361" s="22" t="str">
        <f>IF(OR(E1361="",E1361="!!!"),"",IF(NOT(ISNA(VLOOKUP(E1361,E$1:E1360,1,FALSE()))),"OLD",IF(AND(E1361&lt;&gt;"",E1361&lt;&gt;"!!!"),"NEW","")))</f>
        <v> </v>
      </c>
      <c r="G1361" s="23" t="str">
        <f>IF(OR(E1361="",E1361="!!!"),"",IF(OR(J1361=0,AND(J1361=1,K1361=1),AND(J1361=1,I1361="SBJ"),AND(J1361=1,I1361=0)),"?IN_FOCUS",IF(J1361&lt;=2,"?ACTIVATED",IF(J1361&lt;&gt;"","?FAMILIAR",IF(F1361="NEW",IF(ISNA(VLOOKUP(E1361,#REF!,1,FALSE())),"?TYPE_IDENTIFIABLE","?REFERENTIAL"),"_")))))</f>
        <v> </v>
      </c>
      <c r="H1361" s="24" t="str">
        <f>IF(J1361&lt;&gt;1,"",IF(I1361="SBJ","CB","?"))</f>
        <v> </v>
      </c>
      <c r="I1361" s="25" t="str">
        <f>IF(OR(E1361="",E1361="!!!",F1361="NEW"),"",INDEX(B1360:B$2,-1+SUMPRODUCT(MAX(ROW(E1360:E$2)*(E1361=E1360:E$2)))))</f>
        <v> </v>
      </c>
      <c r="J1361" s="25" t="str">
        <f>IF(OR(E1361="",E1361="!!!",F1361="NEW"),"",COUNTBLANK(OFFSET(A$1,,,SUMPRODUCT(MAX(ROW(E$2:E1361)*(E1361=E$2:E1361)))))-COUNTBLANK(OFFSET(A$1,,,SUMPRODUCT(MAX(ROW(E$1:E1360)*(E2=E$1:E1360))))))</f>
        <v> </v>
      </c>
      <c r="K1361" s="25" t="str">
        <f>IF(OR(E1361="",E1361="!!!",F1361="NEW"),"",INDEX(J$1:J1360,SUMPRODUCT(MAX(ROW(E$1:E1360)*(E1361=E$1:E1360)))))</f>
        <v> </v>
      </c>
      <c r="L1361" s="26"/>
    </row>
    <row r="1362" spans="1:12">
      <c r="A1362" s="20" t="s">
        <v>895</v>
      </c>
      <c r="B1362" s="27" t="s">
        <v>578</v>
      </c>
      <c r="C1362" s="27" t="s">
        <v>598</v>
      </c>
      <c r="D1362" s="27" t="s">
        <v>483</v>
      </c>
      <c r="E1362" s="21">
        <f>IF(D1362="?OLD","!!!","")</f>
        <v/>
      </c>
      <c r="F1362" s="22" t="str">
        <f>IF(OR(E1362="",E1362="!!!"),"",IF(NOT(ISNA(VLOOKUP(E1362,E$1:E1361,1,FALSE()))),"OLD",IF(AND(E1362&lt;&gt;"",E1362&lt;&gt;"!!!"),"NEW","")))</f>
        <v> </v>
      </c>
      <c r="G1362" s="23" t="str">
        <f>IF(OR(E1362="",E1362="!!!"),"",IF(OR(J1362=0,AND(J1362=1,K1362=1),AND(J1362=1,I1362="SBJ"),AND(J1362=1,I1362=0)),"?IN_FOCUS",IF(J1362&lt;=2,"?ACTIVATED",IF(J1362&lt;&gt;"","?FAMILIAR",IF(F1362="NEW",IF(ISNA(VLOOKUP(E1362,#REF!,1,FALSE())),"?TYPE_IDENTIFIABLE","?REFERENTIAL"),"_")))))</f>
        <v> </v>
      </c>
      <c r="H1362" s="24" t="str">
        <f>IF(J1362&lt;&gt;1,"",IF(I1362="SBJ","CB","?"))</f>
        <v> </v>
      </c>
      <c r="I1362" s="25" t="str">
        <f>IF(OR(E1362="",E1362="!!!",F1362="NEW"),"",INDEX(B1361:B$2,-1+SUMPRODUCT(MAX(ROW(E1361:E$2)*(E1362=E1361:E$2)))))</f>
        <v> </v>
      </c>
      <c r="J1362" s="25" t="str">
        <f>IF(OR(E1362="",E1362="!!!",F1362="NEW"),"",COUNTBLANK(OFFSET(A$1,,,SUMPRODUCT(MAX(ROW(E$2:E1362)*(E1362=E$2:E1362)))))-COUNTBLANK(OFFSET(A$1,,,SUMPRODUCT(MAX(ROW(E$1:E1361)*(E2=E$1:E1361))))))</f>
        <v> </v>
      </c>
      <c r="K1362" s="25" t="str">
        <f>IF(OR(E1362="",E1362="!!!",F1362="NEW"),"",INDEX(J$1:J1361,SUMPRODUCT(MAX(ROW(E$1:E1361)*(E1362=E$1:E1361)))))</f>
        <v> </v>
      </c>
      <c r="L1362" s="26"/>
    </row>
    <row r="1363" spans="1:12">
      <c r="A1363" s="20" t="s">
        <v>961</v>
      </c>
      <c r="E1363" s="21">
        <f>IF(D1363="?OLD","!!!","")</f>
        <v/>
      </c>
      <c r="F1363" s="22" t="str">
        <f>IF(OR(E1363="",E1363="!!!"),"",IF(NOT(ISNA(VLOOKUP(E1363,E$1:E1362,1,FALSE()))),"OLD",IF(AND(E1363&lt;&gt;"",E1363&lt;&gt;"!!!"),"NEW","")))</f>
        <v> </v>
      </c>
      <c r="G1363" s="23" t="str">
        <f>IF(OR(E1363="",E1363="!!!"),"",IF(OR(J1363=0,AND(J1363=1,K1363=1),AND(J1363=1,I1363="SBJ"),AND(J1363=1,I1363=0)),"?IN_FOCUS",IF(J1363&lt;=2,"?ACTIVATED",IF(J1363&lt;&gt;"","?FAMILIAR",IF(F1363="NEW",IF(ISNA(VLOOKUP(E1363,#REF!,1,FALSE())),"?TYPE_IDENTIFIABLE","?REFERENTIAL"),"_")))))</f>
        <v> </v>
      </c>
      <c r="H1363" s="24" t="str">
        <f>IF(J1363&lt;&gt;1,"",IF(I1363="SBJ","CB","?"))</f>
        <v> </v>
      </c>
      <c r="I1363" s="25" t="str">
        <f>IF(OR(E1363="",E1363="!!!",F1363="NEW"),"",INDEX(B1362:B$2,-1+SUMPRODUCT(MAX(ROW(E1362:E$2)*(E1363=E1362:E$2)))))</f>
        <v> </v>
      </c>
      <c r="J1363" s="25" t="str">
        <f>IF(OR(E1363="",E1363="!!!",F1363="NEW"),"",COUNTBLANK(OFFSET(A$1,,,SUMPRODUCT(MAX(ROW(E$2:E1363)*(E1363=E$2:E1363)))))-COUNTBLANK(OFFSET(A$1,,,SUMPRODUCT(MAX(ROW(E$1:E1362)*(E2=E$1:E1362))))))</f>
        <v> </v>
      </c>
      <c r="K1363" s="25" t="str">
        <f>IF(OR(E1363="",E1363="!!!",F1363="NEW"),"",INDEX(J$1:J1362,SUMPRODUCT(MAX(ROW(E$1:E1362)*(E1363=E$1:E1362)))))</f>
        <v> </v>
      </c>
      <c r="L1363" s="26"/>
    </row>
    <row r="1364" spans="1:12">
      <c r="A1364" s="20" t="s">
        <v>503</v>
      </c>
      <c r="E1364" s="21">
        <f>IF(D1364="?OLD","!!!","")</f>
        <v/>
      </c>
      <c r="F1364" s="22" t="str">
        <f>IF(OR(E1364="",E1364="!!!"),"",IF(NOT(ISNA(VLOOKUP(E1364,E$1:E1363,1,FALSE()))),"OLD",IF(AND(E1364&lt;&gt;"",E1364&lt;&gt;"!!!"),"NEW","")))</f>
        <v> </v>
      </c>
      <c r="G1364" s="23" t="str">
        <f>IF(OR(E1364="",E1364="!!!"),"",IF(OR(J1364=0,AND(J1364=1,K1364=1),AND(J1364=1,I1364="SBJ"),AND(J1364=1,I1364=0)),"?IN_FOCUS",IF(J1364&lt;=2,"?ACTIVATED",IF(J1364&lt;&gt;"","?FAMILIAR",IF(F1364="NEW",IF(ISNA(VLOOKUP(E1364,#REF!,1,FALSE())),"?TYPE_IDENTIFIABLE","?REFERENTIAL"),"_")))))</f>
        <v> </v>
      </c>
      <c r="H1364" s="24" t="str">
        <f>IF(J1364&lt;&gt;1,"",IF(I1364="SBJ","CB","?"))</f>
        <v> </v>
      </c>
      <c r="I1364" s="25" t="str">
        <f>IF(OR(E1364="",E1364="!!!",F1364="NEW"),"",INDEX(B1363:B$2,-1+SUMPRODUCT(MAX(ROW(E1363:E$2)*(E1364=E1363:E$2)))))</f>
        <v> </v>
      </c>
      <c r="J1364" s="25" t="str">
        <f>IF(OR(E1364="",E1364="!!!",F1364="NEW"),"",COUNTBLANK(OFFSET(A$1,,,SUMPRODUCT(MAX(ROW(E$2:E1364)*(E1364=E$2:E1364)))))-COUNTBLANK(OFFSET(A$1,,,SUMPRODUCT(MAX(ROW(E$1:E1363)*(E2=E$1:E1363))))))</f>
        <v> </v>
      </c>
      <c r="K1364" s="25" t="str">
        <f>IF(OR(E1364="",E1364="!!!",F1364="NEW"),"",INDEX(J$1:J1363,SUMPRODUCT(MAX(ROW(E$1:E1363)*(E1364=E$1:E1363)))))</f>
        <v> </v>
      </c>
      <c r="L1364" s="26"/>
    </row>
    <row r="1365" spans="1:12">
      <c r="A1365" s="20" t="s">
        <v>485</v>
      </c>
      <c r="E1365" s="21">
        <f>IF(D1365="?OLD","!!!","")</f>
        <v/>
      </c>
      <c r="F1365" s="22" t="str">
        <f>IF(OR(E1365="",E1365="!!!"),"",IF(NOT(ISNA(VLOOKUP(E1365,E$1:E1364,1,FALSE()))),"OLD",IF(AND(E1365&lt;&gt;"",E1365&lt;&gt;"!!!"),"NEW","")))</f>
        <v> </v>
      </c>
      <c r="G1365" s="23" t="str">
        <f>IF(OR(E1365="",E1365="!!!"),"",IF(OR(J1365=0,AND(J1365=1,K1365=1),AND(J1365=1,I1365="SBJ"),AND(J1365=1,I1365=0)),"?IN_FOCUS",IF(J1365&lt;=2,"?ACTIVATED",IF(J1365&lt;&gt;"","?FAMILIAR",IF(F1365="NEW",IF(ISNA(VLOOKUP(E1365,#REF!,1,FALSE())),"?TYPE_IDENTIFIABLE","?REFERENTIAL"),"_")))))</f>
        <v> </v>
      </c>
      <c r="H1365" s="24" t="str">
        <f>IF(J1365&lt;&gt;1,"",IF(I1365="SBJ","CB","?"))</f>
        <v> </v>
      </c>
      <c r="I1365" s="25" t="str">
        <f>IF(OR(E1365="",E1365="!!!",F1365="NEW"),"",INDEX(B1364:B$2,-1+SUMPRODUCT(MAX(ROW(E1364:E$2)*(E1365=E1364:E$2)))))</f>
        <v> </v>
      </c>
      <c r="J1365" s="25" t="str">
        <f>IF(OR(E1365="",E1365="!!!",F1365="NEW"),"",COUNTBLANK(OFFSET(A$1,,,SUMPRODUCT(MAX(ROW(E$2:E1365)*(E1365=E$2:E1365)))))-COUNTBLANK(OFFSET(A$1,,,SUMPRODUCT(MAX(ROW(E$1:E1364)*(E2=E$1:E1364))))))</f>
        <v> </v>
      </c>
      <c r="K1365" s="25" t="str">
        <f>IF(OR(E1365="",E1365="!!!",F1365="NEW"),"",INDEX(J$1:J1364,SUMPRODUCT(MAX(ROW(E$1:E1364)*(E1365=E$1:E1364)))))</f>
        <v> </v>
      </c>
      <c r="L1365" s="26"/>
    </row>
    <row r="1366" spans="1:12">
      <c r="A1366" s="20" t="s">
        <v>962</v>
      </c>
      <c r="E1366" s="21">
        <f>IF(D1366="?OLD","!!!","")</f>
        <v/>
      </c>
      <c r="F1366" s="22" t="str">
        <f>IF(OR(E1366="",E1366="!!!"),"",IF(NOT(ISNA(VLOOKUP(E1366,E$1:E1365,1,FALSE()))),"OLD",IF(AND(E1366&lt;&gt;"",E1366&lt;&gt;"!!!"),"NEW","")))</f>
        <v> </v>
      </c>
      <c r="G1366" s="23" t="str">
        <f>IF(OR(E1366="",E1366="!!!"),"",IF(OR(J1366=0,AND(J1366=1,K1366=1),AND(J1366=1,I1366="SBJ"),AND(J1366=1,I1366=0)),"?IN_FOCUS",IF(J1366&lt;=2,"?ACTIVATED",IF(J1366&lt;&gt;"","?FAMILIAR",IF(F1366="NEW",IF(ISNA(VLOOKUP(E1366,#REF!,1,FALSE())),"?TYPE_IDENTIFIABLE","?REFERENTIAL"),"_")))))</f>
        <v> </v>
      </c>
      <c r="H1366" s="24" t="str">
        <f>IF(J1366&lt;&gt;1,"",IF(I1366="SBJ","CB","?"))</f>
        <v> </v>
      </c>
      <c r="I1366" s="25" t="str">
        <f>IF(OR(E1366="",E1366="!!!",F1366="NEW"),"",INDEX(B1365:B$2,-1+SUMPRODUCT(MAX(ROW(E1365:E$2)*(E1366=E1365:E$2)))))</f>
        <v> </v>
      </c>
      <c r="J1366" s="25" t="str">
        <f>IF(OR(E1366="",E1366="!!!",F1366="NEW"),"",COUNTBLANK(OFFSET(A$1,,,SUMPRODUCT(MAX(ROW(E$2:E1366)*(E1366=E$2:E1366)))))-COUNTBLANK(OFFSET(A$1,,,SUMPRODUCT(MAX(ROW(E$1:E1365)*(E2=E$1:E1365))))))</f>
        <v> </v>
      </c>
      <c r="K1366" s="25" t="str">
        <f>IF(OR(E1366="",E1366="!!!",F1366="NEW"),"",INDEX(J$1:J1365,SUMPRODUCT(MAX(ROW(E$1:E1365)*(E1366=E$1:E1365)))))</f>
        <v> </v>
      </c>
      <c r="L1366" s="26"/>
    </row>
    <row r="1367" spans="1:12">
      <c r="A1367" s="20" t="s">
        <v>963</v>
      </c>
      <c r="B1367" s="27" t="s">
        <v>540</v>
      </c>
      <c r="C1367" s="27" t="s">
        <v>487</v>
      </c>
      <c r="D1367" s="27" t="s">
        <v>483</v>
      </c>
      <c r="E1367" s="21">
        <f>IF(D1367="?OLD","!!!","")</f>
        <v/>
      </c>
      <c r="F1367" s="22" t="str">
        <f>IF(OR(E1367="",E1367="!!!"),"",IF(NOT(ISNA(VLOOKUP(E1367,E$1:E1366,1,FALSE()))),"OLD",IF(AND(E1367&lt;&gt;"",E1367&lt;&gt;"!!!"),"NEW","")))</f>
        <v> </v>
      </c>
      <c r="G1367" s="23" t="str">
        <f>IF(OR(E1367="",E1367="!!!"),"",IF(OR(J1367=0,AND(J1367=1,K1367=1),AND(J1367=1,I1367="SBJ"),AND(J1367=1,I1367=0)),"?IN_FOCUS",IF(J1367&lt;=2,"?ACTIVATED",IF(J1367&lt;&gt;"","?FAMILIAR",IF(F1367="NEW",IF(ISNA(VLOOKUP(E1367,#REF!,1,FALSE())),"?TYPE_IDENTIFIABLE","?REFERENTIAL"),"_")))))</f>
        <v> </v>
      </c>
      <c r="H1367" s="24" t="str">
        <f>IF(J1367&lt;&gt;1,"",IF(I1367="SBJ","CB","?"))</f>
        <v> </v>
      </c>
      <c r="I1367" s="25" t="str">
        <f>IF(OR(E1367="",E1367="!!!",F1367="NEW"),"",INDEX(B1366:B$2,-1+SUMPRODUCT(MAX(ROW(E1366:E$2)*(E1367=E1366:E$2)))))</f>
        <v> </v>
      </c>
      <c r="J1367" s="25" t="str">
        <f>IF(OR(E1367="",E1367="!!!",F1367="NEW"),"",COUNTBLANK(OFFSET(A$1,,,SUMPRODUCT(MAX(ROW(E$2:E1367)*(E1367=E$2:E1367)))))-COUNTBLANK(OFFSET(A$1,,,SUMPRODUCT(MAX(ROW(E$1:E1366)*(E2=E$1:E1366))))))</f>
        <v> </v>
      </c>
      <c r="K1367" s="25" t="str">
        <f>IF(OR(E1367="",E1367="!!!",F1367="NEW"),"",INDEX(J$1:J1366,SUMPRODUCT(MAX(ROW(E$1:E1366)*(E1367=E$1:E1366)))))</f>
        <v> </v>
      </c>
      <c r="L1367" s="26"/>
    </row>
    <row r="1368" spans="1:12">
      <c r="A1368" s="20" t="s">
        <v>531</v>
      </c>
      <c r="E1368" s="21">
        <f>IF(D1368="?OLD","!!!","")</f>
        <v/>
      </c>
      <c r="F1368" s="22" t="str">
        <f>IF(OR(E1368="",E1368="!!!"),"",IF(NOT(ISNA(VLOOKUP(E1368,E$1:E1367,1,FALSE()))),"OLD",IF(AND(E1368&lt;&gt;"",E1368&lt;&gt;"!!!"),"NEW","")))</f>
        <v> </v>
      </c>
      <c r="G1368" s="23" t="str">
        <f>IF(OR(E1368="",E1368="!!!"),"",IF(OR(J1368=0,AND(J1368=1,K1368=1),AND(J1368=1,I1368="SBJ"),AND(J1368=1,I1368=0)),"?IN_FOCUS",IF(J1368&lt;=2,"?ACTIVATED",IF(J1368&lt;&gt;"","?FAMILIAR",IF(F1368="NEW",IF(ISNA(VLOOKUP(E1368,#REF!,1,FALSE())),"?TYPE_IDENTIFIABLE","?REFERENTIAL"),"_")))))</f>
        <v> </v>
      </c>
      <c r="H1368" s="24" t="str">
        <f>IF(J1368&lt;&gt;1,"",IF(I1368="SBJ","CB","?"))</f>
        <v> </v>
      </c>
      <c r="I1368" s="25" t="str">
        <f>IF(OR(E1368="",E1368="!!!",F1368="NEW"),"",INDEX(B1367:B$2,-1+SUMPRODUCT(MAX(ROW(E1367:E$2)*(E1368=E1367:E$2)))))</f>
        <v> </v>
      </c>
      <c r="J1368" s="25" t="str">
        <f>IF(OR(E1368="",E1368="!!!",F1368="NEW"),"",COUNTBLANK(OFFSET(A$1,,,SUMPRODUCT(MAX(ROW(E$2:E1368)*(E1368=E$2:E1368)))))-COUNTBLANK(OFFSET(A$1,,,SUMPRODUCT(MAX(ROW(E$1:E1367)*(E2=E$1:E1367))))))</f>
        <v> </v>
      </c>
      <c r="K1368" s="25" t="str">
        <f>IF(OR(E1368="",E1368="!!!",F1368="NEW"),"",INDEX(J$1:J1367,SUMPRODUCT(MAX(ROW(E$1:E1367)*(E1368=E$1:E1367)))))</f>
        <v> </v>
      </c>
      <c r="L1368" s="26"/>
    </row>
    <row r="1369" spans="1:12">
      <c r="A1369" s="20"/>
    </row>
    <row r="1370" spans="1:12">
      <c r="A1370" s="20" t="s">
        <v>964</v>
      </c>
    </row>
    <row r="1371" spans="1:12">
      <c r="A1371" s="20" t="s">
        <v>566</v>
      </c>
      <c r="E1371" s="21">
        <f>IF(D1371="?OLD","!!!","")</f>
        <v/>
      </c>
      <c r="F1371" s="22" t="str">
        <f>IF(OR(E1371="",E1371="!!!"),"",IF(NOT(ISNA(VLOOKUP(E1371,E$1:E1370,1,FALSE()))),"OLD",IF(AND(E1371&lt;&gt;"",E1371&lt;&gt;"!!!"),"NEW","")))</f>
        <v> </v>
      </c>
      <c r="G1371" s="23" t="str">
        <f>IF(OR(E1371="",E1371="!!!"),"",IF(OR(J1371=0,AND(J1371=1,K1371=1),AND(J1371=1,I1371="SBJ"),AND(J1371=1,I1371=0)),"?IN_FOCUS",IF(J1371&lt;=2,"?ACTIVATED",IF(J1371&lt;&gt;"","?FAMILIAR",IF(F1371="NEW",IF(ISNA(VLOOKUP(E1371,#REF!,1,FALSE())),"?TYPE_IDENTIFIABLE","?REFERENTIAL"),"_")))))</f>
        <v> </v>
      </c>
      <c r="H1371" s="24" t="str">
        <f>IF(J1371&lt;&gt;1,"",IF(I1371="SBJ","CB","?"))</f>
        <v> </v>
      </c>
      <c r="I1371" s="25" t="str">
        <f>IF(OR(E1371="",E1371="!!!",F1371="NEW"),"",INDEX(B1370:B$2,-1+SUMPRODUCT(MAX(ROW(E1370:E$2)*(E1371=E1370:E$2)))))</f>
        <v> </v>
      </c>
      <c r="J1371" s="25" t="str">
        <f>IF(OR(E1371="",E1371="!!!",F1371="NEW"),"",COUNTBLANK(OFFSET(A$1,,,SUMPRODUCT(MAX(ROW(E$2:E1371)*(E1371=E$2:E1371)))))-COUNTBLANK(OFFSET(A$1,,,SUMPRODUCT(MAX(ROW(E$1:E1370)*(E2=E$1:E1370))))))</f>
        <v> </v>
      </c>
      <c r="K1371" s="25" t="str">
        <f>IF(OR(E1371="",E1371="!!!",F1371="NEW"),"",INDEX(J$1:J1370,SUMPRODUCT(MAX(ROW(E$1:E1370)*(E1371=E$1:E1370)))))</f>
        <v> </v>
      </c>
      <c r="L1371" s="26"/>
    </row>
    <row r="1372" spans="1:12">
      <c r="A1372" s="20" t="s">
        <v>860</v>
      </c>
      <c r="E1372" s="21">
        <f>IF(D1372="?OLD","!!!","")</f>
        <v/>
      </c>
      <c r="F1372" s="22" t="str">
        <f>IF(OR(E1372="",E1372="!!!"),"",IF(NOT(ISNA(VLOOKUP(E1372,E$1:E1371,1,FALSE()))),"OLD",IF(AND(E1372&lt;&gt;"",E1372&lt;&gt;"!!!"),"NEW","")))</f>
        <v> </v>
      </c>
      <c r="G1372" s="23" t="str">
        <f>IF(OR(E1372="",E1372="!!!"),"",IF(OR(J1372=0,AND(J1372=1,K1372=1),AND(J1372=1,I1372="SBJ"),AND(J1372=1,I1372=0)),"?IN_FOCUS",IF(J1372&lt;=2,"?ACTIVATED",IF(J1372&lt;&gt;"","?FAMILIAR",IF(F1372="NEW",IF(ISNA(VLOOKUP(E1372,#REF!,1,FALSE())),"?TYPE_IDENTIFIABLE","?REFERENTIAL"),"_")))))</f>
        <v> </v>
      </c>
      <c r="H1372" s="24" t="str">
        <f>IF(J1372&lt;&gt;1,"",IF(I1372="SBJ","CB","?"))</f>
        <v> </v>
      </c>
      <c r="I1372" s="25" t="str">
        <f>IF(OR(E1372="",E1372="!!!",F1372="NEW"),"",INDEX(B1371:B$2,-1+SUMPRODUCT(MAX(ROW(E1371:E$2)*(E1372=E1371:E$2)))))</f>
        <v> </v>
      </c>
      <c r="J1372" s="25" t="str">
        <f>IF(OR(E1372="",E1372="!!!",F1372="NEW"),"",COUNTBLANK(OFFSET(A$1,,,SUMPRODUCT(MAX(ROW(E$2:E1372)*(E1372=E$2:E1372)))))-COUNTBLANK(OFFSET(A$1,,,SUMPRODUCT(MAX(ROW(E$1:E1371)*(E2=E$1:E1371))))))</f>
        <v> </v>
      </c>
      <c r="K1372" s="25" t="str">
        <f>IF(OR(E1372="",E1372="!!!",F1372="NEW"),"",INDEX(J$1:J1371,SUMPRODUCT(MAX(ROW(E$1:E1371)*(E1372=E$1:E1371)))))</f>
        <v> </v>
      </c>
      <c r="L1372" s="26"/>
    </row>
    <row r="1373" spans="1:12">
      <c r="A1373" s="20" t="s">
        <v>965</v>
      </c>
      <c r="E1373" s="21">
        <f>IF(D1373="?OLD","!!!","")</f>
        <v/>
      </c>
      <c r="F1373" s="22" t="str">
        <f>IF(OR(E1373="",E1373="!!!"),"",IF(NOT(ISNA(VLOOKUP(E1373,E$1:E1372,1,FALSE()))),"OLD",IF(AND(E1373&lt;&gt;"",E1373&lt;&gt;"!!!"),"NEW","")))</f>
        <v> </v>
      </c>
      <c r="G1373" s="23" t="str">
        <f>IF(OR(E1373="",E1373="!!!"),"",IF(OR(J1373=0,AND(J1373=1,K1373=1),AND(J1373=1,I1373="SBJ"),AND(J1373=1,I1373=0)),"?IN_FOCUS",IF(J1373&lt;=2,"?ACTIVATED",IF(J1373&lt;&gt;"","?FAMILIAR",IF(F1373="NEW",IF(ISNA(VLOOKUP(E1373,#REF!,1,FALSE())),"?TYPE_IDENTIFIABLE","?REFERENTIAL"),"_")))))</f>
        <v> </v>
      </c>
      <c r="H1373" s="24" t="str">
        <f>IF(J1373&lt;&gt;1,"",IF(I1373="SBJ","CB","?"))</f>
        <v> </v>
      </c>
      <c r="I1373" s="25" t="str">
        <f>IF(OR(E1373="",E1373="!!!",F1373="NEW"),"",INDEX(B1372:B$2,-1+SUMPRODUCT(MAX(ROW(E1372:E$2)*(E1373=E1372:E$2)))))</f>
        <v> </v>
      </c>
      <c r="J1373" s="25" t="str">
        <f>IF(OR(E1373="",E1373="!!!",F1373="NEW"),"",COUNTBLANK(OFFSET(A$1,,,SUMPRODUCT(MAX(ROW(E$2:E1373)*(E1373=E$2:E1373)))))-COUNTBLANK(OFFSET(A$1,,,SUMPRODUCT(MAX(ROW(E$1:E1372)*(E2=E$1:E1372))))))</f>
        <v> </v>
      </c>
      <c r="K1373" s="25" t="str">
        <f>IF(OR(E1373="",E1373="!!!",F1373="NEW"),"",INDEX(J$1:J1372,SUMPRODUCT(MAX(ROW(E$1:E1372)*(E1373=E$1:E1372)))))</f>
        <v> </v>
      </c>
      <c r="L1373" s="26"/>
    </row>
    <row r="1374" spans="1:12">
      <c r="A1374" s="20" t="s">
        <v>517</v>
      </c>
      <c r="E1374" s="21">
        <f>IF(D1374="?OLD","!!!","")</f>
        <v/>
      </c>
      <c r="F1374" s="22" t="str">
        <f>IF(OR(E1374="",E1374="!!!"),"",IF(NOT(ISNA(VLOOKUP(E1374,E$1:E1373,1,FALSE()))),"OLD",IF(AND(E1374&lt;&gt;"",E1374&lt;&gt;"!!!"),"NEW","")))</f>
        <v> </v>
      </c>
      <c r="G1374" s="23" t="str">
        <f>IF(OR(E1374="",E1374="!!!"),"",IF(OR(J1374=0,AND(J1374=1,K1374=1),AND(J1374=1,I1374="SBJ"),AND(J1374=1,I1374=0)),"?IN_FOCUS",IF(J1374&lt;=2,"?ACTIVATED",IF(J1374&lt;&gt;"","?FAMILIAR",IF(F1374="NEW",IF(ISNA(VLOOKUP(E1374,#REF!,1,FALSE())),"?TYPE_IDENTIFIABLE","?REFERENTIAL"),"_")))))</f>
        <v> </v>
      </c>
      <c r="H1374" s="24" t="str">
        <f>IF(J1374&lt;&gt;1,"",IF(I1374="SBJ","CB","?"))</f>
        <v> </v>
      </c>
      <c r="I1374" s="25" t="str">
        <f>IF(OR(E1374="",E1374="!!!",F1374="NEW"),"",INDEX(B1373:B$2,-1+SUMPRODUCT(MAX(ROW(E1373:E$2)*(E1374=E1373:E$2)))))</f>
        <v> </v>
      </c>
      <c r="J1374" s="25" t="str">
        <f>IF(OR(E1374="",E1374="!!!",F1374="NEW"),"",COUNTBLANK(OFFSET(A$1,,,SUMPRODUCT(MAX(ROW(E$2:E1374)*(E1374=E$2:E1374)))))-COUNTBLANK(OFFSET(A$1,,,SUMPRODUCT(MAX(ROW(E$1:E1373)*(E2=E$1:E1373))))))</f>
        <v> </v>
      </c>
      <c r="K1374" s="25" t="str">
        <f>IF(OR(E1374="",E1374="!!!",F1374="NEW"),"",INDEX(J$1:J1373,SUMPRODUCT(MAX(ROW(E$1:E1373)*(E1374=E$1:E1373)))))</f>
        <v> </v>
      </c>
      <c r="L1374" s="26"/>
    </row>
    <row r="1375" spans="1:12">
      <c r="A1375" s="20" t="s">
        <v>966</v>
      </c>
      <c r="E1375" s="21">
        <f>IF(D1375="?OLD","!!!","")</f>
        <v/>
      </c>
      <c r="F1375" s="22" t="str">
        <f>IF(OR(E1375="",E1375="!!!"),"",IF(NOT(ISNA(VLOOKUP(E1375,E$1:E1374,1,FALSE()))),"OLD",IF(AND(E1375&lt;&gt;"",E1375&lt;&gt;"!!!"),"NEW","")))</f>
        <v> </v>
      </c>
      <c r="G1375" s="23" t="str">
        <f>IF(OR(E1375="",E1375="!!!"),"",IF(OR(J1375=0,AND(J1375=1,K1375=1),AND(J1375=1,I1375="SBJ"),AND(J1375=1,I1375=0)),"?IN_FOCUS",IF(J1375&lt;=2,"?ACTIVATED",IF(J1375&lt;&gt;"","?FAMILIAR",IF(F1375="NEW",IF(ISNA(VLOOKUP(E1375,#REF!,1,FALSE())),"?TYPE_IDENTIFIABLE","?REFERENTIAL"),"_")))))</f>
        <v> </v>
      </c>
      <c r="H1375" s="24" t="str">
        <f>IF(J1375&lt;&gt;1,"",IF(I1375="SBJ","CB","?"))</f>
        <v> </v>
      </c>
      <c r="I1375" s="25" t="str">
        <f>IF(OR(E1375="",E1375="!!!",F1375="NEW"),"",INDEX(B1374:B$2,-1+SUMPRODUCT(MAX(ROW(E1374:E$2)*(E1375=E1374:E$2)))))</f>
        <v> </v>
      </c>
      <c r="J1375" s="25" t="str">
        <f>IF(OR(E1375="",E1375="!!!",F1375="NEW"),"",COUNTBLANK(OFFSET(A$1,,,SUMPRODUCT(MAX(ROW(E$2:E1375)*(E1375=E$2:E1375)))))-COUNTBLANK(OFFSET(A$1,,,SUMPRODUCT(MAX(ROW(E$1:E1374)*(E2=E$1:E1374))))))</f>
        <v> </v>
      </c>
      <c r="K1375" s="25" t="str">
        <f>IF(OR(E1375="",E1375="!!!",F1375="NEW"),"",INDEX(J$1:J1374,SUMPRODUCT(MAX(ROW(E$1:E1374)*(E1375=E$1:E1374)))))</f>
        <v> </v>
      </c>
      <c r="L1375" s="26"/>
    </row>
    <row r="1376" spans="1:12">
      <c r="A1376" s="20" t="s">
        <v>967</v>
      </c>
      <c r="E1376" s="21">
        <f>IF(D1376="?OLD","!!!","")</f>
        <v/>
      </c>
      <c r="F1376" s="22" t="str">
        <f>IF(OR(E1376="",E1376="!!!"),"",IF(NOT(ISNA(VLOOKUP(E1376,E$1:E1375,1,FALSE()))),"OLD",IF(AND(E1376&lt;&gt;"",E1376&lt;&gt;"!!!"),"NEW","")))</f>
        <v> </v>
      </c>
      <c r="G1376" s="23" t="str">
        <f>IF(OR(E1376="",E1376="!!!"),"",IF(OR(J1376=0,AND(J1376=1,K1376=1),AND(J1376=1,I1376="SBJ"),AND(J1376=1,I1376=0)),"?IN_FOCUS",IF(J1376&lt;=2,"?ACTIVATED",IF(J1376&lt;&gt;"","?FAMILIAR",IF(F1376="NEW",IF(ISNA(VLOOKUP(E1376,#REF!,1,FALSE())),"?TYPE_IDENTIFIABLE","?REFERENTIAL"),"_")))))</f>
        <v> </v>
      </c>
      <c r="H1376" s="24" t="str">
        <f>IF(J1376&lt;&gt;1,"",IF(I1376="SBJ","CB","?"))</f>
        <v> </v>
      </c>
      <c r="I1376" s="25" t="str">
        <f>IF(OR(E1376="",E1376="!!!",F1376="NEW"),"",INDEX(B1375:B$2,-1+SUMPRODUCT(MAX(ROW(E1375:E$2)*(E1376=E1375:E$2)))))</f>
        <v> </v>
      </c>
      <c r="J1376" s="25" t="str">
        <f>IF(OR(E1376="",E1376="!!!",F1376="NEW"),"",COUNTBLANK(OFFSET(A$1,,,SUMPRODUCT(MAX(ROW(E$2:E1376)*(E1376=E$2:E1376)))))-COUNTBLANK(OFFSET(A$1,,,SUMPRODUCT(MAX(ROW(E$1:E1375)*(E2=E$1:E1375))))))</f>
        <v> </v>
      </c>
      <c r="K1376" s="25" t="str">
        <f>IF(OR(E1376="",E1376="!!!",F1376="NEW"),"",INDEX(J$1:J1375,SUMPRODUCT(MAX(ROW(E$1:E1375)*(E1376=E$1:E1375)))))</f>
        <v> </v>
      </c>
      <c r="L1376" s="26"/>
    </row>
    <row r="1377" spans="1:12">
      <c r="A1377" s="20" t="s">
        <v>561</v>
      </c>
      <c r="E1377" s="21">
        <f>IF(D1377="?OLD","!!!","")</f>
        <v/>
      </c>
      <c r="F1377" s="22" t="str">
        <f>IF(OR(E1377="",E1377="!!!"),"",IF(NOT(ISNA(VLOOKUP(E1377,E$1:E1376,1,FALSE()))),"OLD",IF(AND(E1377&lt;&gt;"",E1377&lt;&gt;"!!!"),"NEW","")))</f>
        <v> </v>
      </c>
      <c r="G1377" s="23" t="str">
        <f>IF(OR(E1377="",E1377="!!!"),"",IF(OR(J1377=0,AND(J1377=1,K1377=1),AND(J1377=1,I1377="SBJ"),AND(J1377=1,I1377=0)),"?IN_FOCUS",IF(J1377&lt;=2,"?ACTIVATED",IF(J1377&lt;&gt;"","?FAMILIAR",IF(F1377="NEW",IF(ISNA(VLOOKUP(E1377,#REF!,1,FALSE())),"?TYPE_IDENTIFIABLE","?REFERENTIAL"),"_")))))</f>
        <v> </v>
      </c>
      <c r="H1377" s="24" t="str">
        <f>IF(J1377&lt;&gt;1,"",IF(I1377="SBJ","CB","?"))</f>
        <v> </v>
      </c>
      <c r="I1377" s="25" t="str">
        <f>IF(OR(E1377="",E1377="!!!",F1377="NEW"),"",INDEX(B1376:B$2,-1+SUMPRODUCT(MAX(ROW(E1376:E$2)*(E1377=E1376:E$2)))))</f>
        <v> </v>
      </c>
      <c r="J1377" s="25" t="str">
        <f>IF(OR(E1377="",E1377="!!!",F1377="NEW"),"",COUNTBLANK(OFFSET(A$1,,,SUMPRODUCT(MAX(ROW(E$2:E1377)*(E1377=E$2:E1377)))))-COUNTBLANK(OFFSET(A$1,,,SUMPRODUCT(MAX(ROW(E$1:E1376)*(E2=E$1:E1376))))))</f>
        <v> </v>
      </c>
      <c r="K1377" s="25" t="str">
        <f>IF(OR(E1377="",E1377="!!!",F1377="NEW"),"",INDEX(J$1:J1376,SUMPRODUCT(MAX(ROW(E$1:E1376)*(E1377=E$1:E1376)))))</f>
        <v> </v>
      </c>
      <c r="L1377" s="26"/>
    </row>
    <row r="1378" spans="1:12">
      <c r="A1378" s="20"/>
    </row>
    <row r="1379" spans="1:12">
      <c r="A1379" s="20" t="s">
        <v>968</v>
      </c>
    </row>
    <row r="1380" spans="1:12">
      <c r="A1380" s="20" t="s">
        <v>608</v>
      </c>
      <c r="B1380" s="27" t="s">
        <v>549</v>
      </c>
      <c r="C1380" s="27" t="s">
        <v>482</v>
      </c>
      <c r="D1380" s="27" t="s">
        <v>483</v>
      </c>
      <c r="E1380" s="21">
        <f>IF(D1380="?OLD","!!!","")</f>
        <v/>
      </c>
      <c r="F1380" s="22" t="str">
        <f>IF(OR(E1380="",E1380="!!!"),"",IF(NOT(ISNA(VLOOKUP(E1380,E$1:E1379,1,FALSE()))),"OLD",IF(AND(E1380&lt;&gt;"",E1380&lt;&gt;"!!!"),"NEW","")))</f>
        <v> </v>
      </c>
      <c r="G1380" s="23" t="str">
        <f>IF(OR(E1380="",E1380="!!!"),"",IF(OR(J1380=0,AND(J1380=1,K1380=1),AND(J1380=1,I1380="SBJ"),AND(J1380=1,I1380=0)),"?IN_FOCUS",IF(J1380&lt;=2,"?ACTIVATED",IF(J1380&lt;&gt;"","?FAMILIAR",IF(F1380="NEW",IF(ISNA(VLOOKUP(E1380,#REF!,1,FALSE())),"?TYPE_IDENTIFIABLE","?REFERENTIAL"),"_")))))</f>
        <v> </v>
      </c>
      <c r="H1380" s="24" t="str">
        <f>IF(J1380&lt;&gt;1,"",IF(I1380="SBJ","CB","?"))</f>
        <v> </v>
      </c>
      <c r="I1380" s="25" t="str">
        <f>IF(OR(E1380="",E1380="!!!",F1380="NEW"),"",INDEX(B1379:B$2,-1+SUMPRODUCT(MAX(ROW(E1379:E$2)*(E1380=E1379:E$2)))))</f>
        <v> </v>
      </c>
      <c r="J1380" s="25" t="str">
        <f>IF(OR(E1380="",E1380="!!!",F1380="NEW"),"",COUNTBLANK(OFFSET(A$1,,,SUMPRODUCT(MAX(ROW(E$2:E1380)*(E1380=E$2:E1380)))))-COUNTBLANK(OFFSET(A$1,,,SUMPRODUCT(MAX(ROW(E$1:E1379)*(E2=E$1:E1379))))))</f>
        <v> </v>
      </c>
      <c r="K1380" s="25" t="str">
        <f>IF(OR(E1380="",E1380="!!!",F1380="NEW"),"",INDEX(J$1:J1379,SUMPRODUCT(MAX(ROW(E$1:E1379)*(E1380=E$1:E1379)))))</f>
        <v> </v>
      </c>
      <c r="L1380" s="26"/>
    </row>
    <row r="1381" spans="1:12">
      <c r="A1381" s="20" t="s">
        <v>969</v>
      </c>
      <c r="E1381" s="21">
        <f>IF(D1381="?OLD","!!!","")</f>
        <v/>
      </c>
      <c r="F1381" s="22" t="str">
        <f>IF(OR(E1381="",E1381="!!!"),"",IF(NOT(ISNA(VLOOKUP(E1381,E$1:E1380,1,FALSE()))),"OLD",IF(AND(E1381&lt;&gt;"",E1381&lt;&gt;"!!!"),"NEW","")))</f>
        <v> </v>
      </c>
      <c r="G1381" s="23" t="str">
        <f>IF(OR(E1381="",E1381="!!!"),"",IF(OR(J1381=0,AND(J1381=1,K1381=1),AND(J1381=1,I1381="SBJ"),AND(J1381=1,I1381=0)),"?IN_FOCUS",IF(J1381&lt;=2,"?ACTIVATED",IF(J1381&lt;&gt;"","?FAMILIAR",IF(F1381="NEW",IF(ISNA(VLOOKUP(E1381,#REF!,1,FALSE())),"?TYPE_IDENTIFIABLE","?REFERENTIAL"),"_")))))</f>
        <v> </v>
      </c>
      <c r="H1381" s="24" t="str">
        <f>IF(J1381&lt;&gt;1,"",IF(I1381="SBJ","CB","?"))</f>
        <v> </v>
      </c>
      <c r="I1381" s="25" t="str">
        <f>IF(OR(E1381="",E1381="!!!",F1381="NEW"),"",INDEX(B1380:B$2,-1+SUMPRODUCT(MAX(ROW(E1380:E$2)*(E1381=E1380:E$2)))))</f>
        <v> </v>
      </c>
      <c r="J1381" s="25" t="str">
        <f>IF(OR(E1381="",E1381="!!!",F1381="NEW"),"",COUNTBLANK(OFFSET(A$1,,,SUMPRODUCT(MAX(ROW(E$2:E1381)*(E1381=E$2:E1381)))))-COUNTBLANK(OFFSET(A$1,,,SUMPRODUCT(MAX(ROW(E$1:E1380)*(E2=E$1:E1380))))))</f>
        <v> </v>
      </c>
      <c r="K1381" s="25" t="str">
        <f>IF(OR(E1381="",E1381="!!!",F1381="NEW"),"",INDEX(J$1:J1380,SUMPRODUCT(MAX(ROW(E$1:E1380)*(E1381=E$1:E1380)))))</f>
        <v> </v>
      </c>
      <c r="L1381" s="26"/>
    </row>
    <row r="1382" spans="1:12">
      <c r="A1382" s="20" t="s">
        <v>662</v>
      </c>
      <c r="B1382" s="27" t="s">
        <v>481</v>
      </c>
      <c r="C1382" s="27" t="s">
        <v>491</v>
      </c>
      <c r="D1382" s="27" t="s">
        <v>483</v>
      </c>
      <c r="E1382" s="21">
        <f>IF(D1382="?OLD","!!!","")</f>
        <v/>
      </c>
      <c r="F1382" s="22" t="str">
        <f>IF(OR(E1382="",E1382="!!!"),"",IF(NOT(ISNA(VLOOKUP(E1382,E$1:E1381,1,FALSE()))),"OLD",IF(AND(E1382&lt;&gt;"",E1382&lt;&gt;"!!!"),"NEW","")))</f>
        <v> </v>
      </c>
      <c r="G1382" s="23" t="str">
        <f>IF(OR(E1382="",E1382="!!!"),"",IF(OR(J1382=0,AND(J1382=1,K1382=1),AND(J1382=1,I1382="SBJ"),AND(J1382=1,I1382=0)),"?IN_FOCUS",IF(J1382&lt;=2,"?ACTIVATED",IF(J1382&lt;&gt;"","?FAMILIAR",IF(F1382="NEW",IF(ISNA(VLOOKUP(E1382,#REF!,1,FALSE())),"?TYPE_IDENTIFIABLE","?REFERENTIAL"),"_")))))</f>
        <v> </v>
      </c>
      <c r="H1382" s="24" t="str">
        <f>IF(J1382&lt;&gt;1,"",IF(I1382="SBJ","CB","?"))</f>
        <v> </v>
      </c>
      <c r="I1382" s="25" t="str">
        <f>IF(OR(E1382="",E1382="!!!",F1382="NEW"),"",INDEX(B1381:B$2,-1+SUMPRODUCT(MAX(ROW(E1381:E$2)*(E1382=E1381:E$2)))))</f>
        <v> </v>
      </c>
      <c r="J1382" s="25" t="str">
        <f>IF(OR(E1382="",E1382="!!!",F1382="NEW"),"",COUNTBLANK(OFFSET(A$1,,,SUMPRODUCT(MAX(ROW(E$2:E1382)*(E1382=E$2:E1382)))))-COUNTBLANK(OFFSET(A$1,,,SUMPRODUCT(MAX(ROW(E$1:E1381)*(E2=E$1:E1381))))))</f>
        <v> </v>
      </c>
      <c r="K1382" s="25" t="str">
        <f>IF(OR(E1382="",E1382="!!!",F1382="NEW"),"",INDEX(J$1:J1381,SUMPRODUCT(MAX(ROW(E$1:E1381)*(E1382=E$1:E1381)))))</f>
        <v> </v>
      </c>
      <c r="L1382" s="26"/>
    </row>
    <row r="1383" spans="1:12">
      <c r="A1383" s="20" t="s">
        <v>507</v>
      </c>
      <c r="E1383" s="21">
        <f>IF(D1383="?OLD","!!!","")</f>
        <v/>
      </c>
      <c r="F1383" s="22" t="str">
        <f>IF(OR(E1383="",E1383="!!!"),"",IF(NOT(ISNA(VLOOKUP(E1383,E$1:E1382,1,FALSE()))),"OLD",IF(AND(E1383&lt;&gt;"",E1383&lt;&gt;"!!!"),"NEW","")))</f>
        <v> </v>
      </c>
      <c r="G1383" s="23" t="str">
        <f>IF(OR(E1383="",E1383="!!!"),"",IF(OR(J1383=0,AND(J1383=1,K1383=1),AND(J1383=1,I1383="SBJ"),AND(J1383=1,I1383=0)),"?IN_FOCUS",IF(J1383&lt;=2,"?ACTIVATED",IF(J1383&lt;&gt;"","?FAMILIAR",IF(F1383="NEW",IF(ISNA(VLOOKUP(E1383,#REF!,1,FALSE())),"?TYPE_IDENTIFIABLE","?REFERENTIAL"),"_")))))</f>
        <v> </v>
      </c>
      <c r="H1383" s="24" t="str">
        <f>IF(J1383&lt;&gt;1,"",IF(I1383="SBJ","CB","?"))</f>
        <v> </v>
      </c>
      <c r="I1383" s="25" t="str">
        <f>IF(OR(E1383="",E1383="!!!",F1383="NEW"),"",INDEX(B1382:B$2,-1+SUMPRODUCT(MAX(ROW(E1382:E$2)*(E1383=E1382:E$2)))))</f>
        <v> </v>
      </c>
      <c r="J1383" s="25" t="str">
        <f>IF(OR(E1383="",E1383="!!!",F1383="NEW"),"",COUNTBLANK(OFFSET(A$1,,,SUMPRODUCT(MAX(ROW(E$2:E1383)*(E1383=E$2:E1383)))))-COUNTBLANK(OFFSET(A$1,,,SUMPRODUCT(MAX(ROW(E$1:E1382)*(E2=E$1:E1382))))))</f>
        <v> </v>
      </c>
      <c r="K1383" s="25" t="str">
        <f>IF(OR(E1383="",E1383="!!!",F1383="NEW"),"",INDEX(J$1:J1382,SUMPRODUCT(MAX(ROW(E$1:E1382)*(E1383=E$1:E1382)))))</f>
        <v> </v>
      </c>
      <c r="L1383" s="26"/>
    </row>
    <row r="1384" spans="1:12">
      <c r="A1384" s="20" t="s">
        <v>485</v>
      </c>
      <c r="E1384" s="21">
        <f>IF(D1384="?OLD","!!!","")</f>
        <v/>
      </c>
      <c r="F1384" s="22" t="str">
        <f>IF(OR(E1384="",E1384="!!!"),"",IF(NOT(ISNA(VLOOKUP(E1384,E$1:E1383,1,FALSE()))),"OLD",IF(AND(E1384&lt;&gt;"",E1384&lt;&gt;"!!!"),"NEW","")))</f>
        <v> </v>
      </c>
      <c r="G1384" s="23" t="str">
        <f>IF(OR(E1384="",E1384="!!!"),"",IF(OR(J1384=0,AND(J1384=1,K1384=1),AND(J1384=1,I1384="SBJ"),AND(J1384=1,I1384=0)),"?IN_FOCUS",IF(J1384&lt;=2,"?ACTIVATED",IF(J1384&lt;&gt;"","?FAMILIAR",IF(F1384="NEW",IF(ISNA(VLOOKUP(E1384,#REF!,1,FALSE())),"?TYPE_IDENTIFIABLE","?REFERENTIAL"),"_")))))</f>
        <v> </v>
      </c>
      <c r="H1384" s="24" t="str">
        <f>IF(J1384&lt;&gt;1,"",IF(I1384="SBJ","CB","?"))</f>
        <v> </v>
      </c>
      <c r="I1384" s="25" t="str">
        <f>IF(OR(E1384="",E1384="!!!",F1384="NEW"),"",INDEX(B1383:B$2,-1+SUMPRODUCT(MAX(ROW(E1383:E$2)*(E1384=E1383:E$2)))))</f>
        <v> </v>
      </c>
      <c r="J1384" s="25" t="str">
        <f>IF(OR(E1384="",E1384="!!!",F1384="NEW"),"",COUNTBLANK(OFFSET(A$1,,,SUMPRODUCT(MAX(ROW(E$2:E1384)*(E1384=E$2:E1384)))))-COUNTBLANK(OFFSET(A$1,,,SUMPRODUCT(MAX(ROW(E$1:E1383)*(E2=E$1:E1383))))))</f>
        <v> </v>
      </c>
      <c r="K1384" s="25" t="str">
        <f>IF(OR(E1384="",E1384="!!!",F1384="NEW"),"",INDEX(J$1:J1383,SUMPRODUCT(MAX(ROW(E$1:E1383)*(E1384=E$1:E1383)))))</f>
        <v> </v>
      </c>
      <c r="L1384" s="26"/>
    </row>
    <row r="1385" spans="1:12">
      <c r="A1385" s="20" t="s">
        <v>970</v>
      </c>
      <c r="B1385" s="27" t="s">
        <v>477</v>
      </c>
      <c r="C1385" s="27" t="s">
        <v>538</v>
      </c>
      <c r="D1385" s="27" t="s">
        <v>483</v>
      </c>
      <c r="E1385" s="21">
        <f>IF(D1385="?OLD","!!!","")</f>
        <v/>
      </c>
      <c r="F1385" s="22" t="str">
        <f>IF(OR(E1385="",E1385="!!!"),"",IF(NOT(ISNA(VLOOKUP(E1385,E$1:E1384,1,FALSE()))),"OLD",IF(AND(E1385&lt;&gt;"",E1385&lt;&gt;"!!!"),"NEW","")))</f>
        <v> </v>
      </c>
      <c r="G1385" s="23" t="str">
        <f>IF(OR(E1385="",E1385="!!!"),"",IF(OR(J1385=0,AND(J1385=1,K1385=1),AND(J1385=1,I1385="SBJ"),AND(J1385=1,I1385=0)),"?IN_FOCUS",IF(J1385&lt;=2,"?ACTIVATED",IF(J1385&lt;&gt;"","?FAMILIAR",IF(F1385="NEW",IF(ISNA(VLOOKUP(E1385,#REF!,1,FALSE())),"?TYPE_IDENTIFIABLE","?REFERENTIAL"),"_")))))</f>
        <v> </v>
      </c>
      <c r="H1385" s="24" t="str">
        <f>IF(J1385&lt;&gt;1,"",IF(I1385="SBJ","CB","?"))</f>
        <v> </v>
      </c>
      <c r="I1385" s="25" t="str">
        <f>IF(OR(E1385="",E1385="!!!",F1385="NEW"),"",INDEX(B1384:B$2,-1+SUMPRODUCT(MAX(ROW(E1384:E$2)*(E1385=E1384:E$2)))))</f>
        <v> </v>
      </c>
      <c r="J1385" s="25" t="str">
        <f>IF(OR(E1385="",E1385="!!!",F1385="NEW"),"",COUNTBLANK(OFFSET(A$1,,,SUMPRODUCT(MAX(ROW(E$2:E1385)*(E1385=E$2:E1385)))))-COUNTBLANK(OFFSET(A$1,,,SUMPRODUCT(MAX(ROW(E$1:E1384)*(E2=E$1:E1384))))))</f>
        <v> </v>
      </c>
      <c r="K1385" s="25" t="str">
        <f>IF(OR(E1385="",E1385="!!!",F1385="NEW"),"",INDEX(J$1:J1384,SUMPRODUCT(MAX(ROW(E$1:E1384)*(E1385=E$1:E1384)))))</f>
        <v> </v>
      </c>
      <c r="L1385" s="26"/>
    </row>
    <row r="1386" spans="1:12">
      <c r="A1386" s="20" t="s">
        <v>528</v>
      </c>
      <c r="E1386" s="21">
        <f>IF(D1386="?OLD","!!!","")</f>
        <v/>
      </c>
      <c r="F1386" s="22" t="str">
        <f>IF(OR(E1386="",E1386="!!!"),"",IF(NOT(ISNA(VLOOKUP(E1386,E$1:E1385,1,FALSE()))),"OLD",IF(AND(E1386&lt;&gt;"",E1386&lt;&gt;"!!!"),"NEW","")))</f>
        <v> </v>
      </c>
      <c r="G1386" s="23" t="str">
        <f>IF(OR(E1386="",E1386="!!!"),"",IF(OR(J1386=0,AND(J1386=1,K1386=1),AND(J1386=1,I1386="SBJ"),AND(J1386=1,I1386=0)),"?IN_FOCUS",IF(J1386&lt;=2,"?ACTIVATED",IF(J1386&lt;&gt;"","?FAMILIAR",IF(F1386="NEW",IF(ISNA(VLOOKUP(E1386,#REF!,1,FALSE())),"?TYPE_IDENTIFIABLE","?REFERENTIAL"),"_")))))</f>
        <v> </v>
      </c>
      <c r="H1386" s="24" t="str">
        <f>IF(J1386&lt;&gt;1,"",IF(I1386="SBJ","CB","?"))</f>
        <v> </v>
      </c>
      <c r="I1386" s="25" t="str">
        <f>IF(OR(E1386="",E1386="!!!",F1386="NEW"),"",INDEX(B1385:B$2,-1+SUMPRODUCT(MAX(ROW(E1385:E$2)*(E1386=E1385:E$2)))))</f>
        <v> </v>
      </c>
      <c r="J1386" s="25" t="str">
        <f>IF(OR(E1386="",E1386="!!!",F1386="NEW"),"",COUNTBLANK(OFFSET(A$1,,,SUMPRODUCT(MAX(ROW(E$2:E1386)*(E1386=E$2:E1386)))))-COUNTBLANK(OFFSET(A$1,,,SUMPRODUCT(MAX(ROW(E$1:E1385)*(E2=E$1:E1385))))))</f>
        <v> </v>
      </c>
      <c r="K1386" s="25" t="str">
        <f>IF(OR(E1386="",E1386="!!!",F1386="NEW"),"",INDEX(J$1:J1385,SUMPRODUCT(MAX(ROW(E$1:E1385)*(E1386=E$1:E1385)))))</f>
        <v> </v>
      </c>
      <c r="L1386" s="26"/>
    </row>
    <row r="1387" spans="1:12">
      <c r="A1387" s="20" t="s">
        <v>485</v>
      </c>
      <c r="E1387" s="21">
        <f>IF(D1387="?OLD","!!!","")</f>
        <v/>
      </c>
      <c r="F1387" s="22" t="str">
        <f>IF(OR(E1387="",E1387="!!!"),"",IF(NOT(ISNA(VLOOKUP(E1387,E$1:E1386,1,FALSE()))),"OLD",IF(AND(E1387&lt;&gt;"",E1387&lt;&gt;"!!!"),"NEW","")))</f>
        <v> </v>
      </c>
      <c r="G1387" s="23" t="str">
        <f>IF(OR(E1387="",E1387="!!!"),"",IF(OR(J1387=0,AND(J1387=1,K1387=1),AND(J1387=1,I1387="SBJ"),AND(J1387=1,I1387=0)),"?IN_FOCUS",IF(J1387&lt;=2,"?ACTIVATED",IF(J1387&lt;&gt;"","?FAMILIAR",IF(F1387="NEW",IF(ISNA(VLOOKUP(E1387,#REF!,1,FALSE())),"?TYPE_IDENTIFIABLE","?REFERENTIAL"),"_")))))</f>
        <v> </v>
      </c>
      <c r="H1387" s="24" t="str">
        <f>IF(J1387&lt;&gt;1,"",IF(I1387="SBJ","CB","?"))</f>
        <v> </v>
      </c>
      <c r="I1387" s="25" t="str">
        <f>IF(OR(E1387="",E1387="!!!",F1387="NEW"),"",INDEX(B1386:B$2,-1+SUMPRODUCT(MAX(ROW(E1386:E$2)*(E1387=E1386:E$2)))))</f>
        <v> </v>
      </c>
      <c r="J1387" s="25" t="str">
        <f>IF(OR(E1387="",E1387="!!!",F1387="NEW"),"",COUNTBLANK(OFFSET(A$1,,,SUMPRODUCT(MAX(ROW(E$2:E1387)*(E1387=E$2:E1387)))))-COUNTBLANK(OFFSET(A$1,,,SUMPRODUCT(MAX(ROW(E$1:E1386)*(E2=E$1:E1386))))))</f>
        <v> </v>
      </c>
      <c r="K1387" s="25" t="str">
        <f>IF(OR(E1387="",E1387="!!!",F1387="NEW"),"",INDEX(J$1:J1386,SUMPRODUCT(MAX(ROW(E$1:E1386)*(E1387=E$1:E1386)))))</f>
        <v> </v>
      </c>
      <c r="L1387" s="26"/>
    </row>
    <row r="1388" spans="1:12">
      <c r="A1388" s="20" t="s">
        <v>971</v>
      </c>
      <c r="B1388" s="27" t="s">
        <v>490</v>
      </c>
      <c r="C1388" s="27" t="s">
        <v>487</v>
      </c>
      <c r="D1388" s="27" t="s">
        <v>483</v>
      </c>
      <c r="E1388" s="21">
        <f>IF(D1388="?OLD","!!!","")</f>
        <v/>
      </c>
      <c r="F1388" s="22" t="str">
        <f>IF(OR(E1388="",E1388="!!!"),"",IF(NOT(ISNA(VLOOKUP(E1388,E$1:E1387,1,FALSE()))),"OLD",IF(AND(E1388&lt;&gt;"",E1388&lt;&gt;"!!!"),"NEW","")))</f>
        <v> </v>
      </c>
      <c r="G1388" s="23" t="str">
        <f>IF(OR(E1388="",E1388="!!!"),"",IF(OR(J1388=0,AND(J1388=1,K1388=1),AND(J1388=1,I1388="SBJ"),AND(J1388=1,I1388=0)),"?IN_FOCUS",IF(J1388&lt;=2,"?ACTIVATED",IF(J1388&lt;&gt;"","?FAMILIAR",IF(F1388="NEW",IF(ISNA(VLOOKUP(E1388,#REF!,1,FALSE())),"?TYPE_IDENTIFIABLE","?REFERENTIAL"),"_")))))</f>
        <v> </v>
      </c>
      <c r="H1388" s="24" t="str">
        <f>IF(J1388&lt;&gt;1,"",IF(I1388="SBJ","CB","?"))</f>
        <v> </v>
      </c>
      <c r="I1388" s="25" t="str">
        <f>IF(OR(E1388="",E1388="!!!",F1388="NEW"),"",INDEX(B1387:B$2,-1+SUMPRODUCT(MAX(ROW(E1387:E$2)*(E1388=E1387:E$2)))))</f>
        <v> </v>
      </c>
      <c r="J1388" s="25" t="str">
        <f>IF(OR(E1388="",E1388="!!!",F1388="NEW"),"",COUNTBLANK(OFFSET(A$1,,,SUMPRODUCT(MAX(ROW(E$2:E1388)*(E1388=E$2:E1388)))))-COUNTBLANK(OFFSET(A$1,,,SUMPRODUCT(MAX(ROW(E$1:E1387)*(E2=E$1:E1387))))))</f>
        <v> </v>
      </c>
      <c r="K1388" s="25" t="str">
        <f>IF(OR(E1388="",E1388="!!!",F1388="NEW"),"",INDEX(J$1:J1387,SUMPRODUCT(MAX(ROW(E$1:E1387)*(E1388=E$1:E1387)))))</f>
        <v> </v>
      </c>
      <c r="L1388" s="26"/>
    </row>
    <row r="1389" spans="1:12">
      <c r="A1389" s="20" t="s">
        <v>489</v>
      </c>
      <c r="E1389" s="21">
        <f>IF(D1389="?OLD","!!!","")</f>
        <v/>
      </c>
      <c r="F1389" s="22" t="str">
        <f>IF(OR(E1389="",E1389="!!!"),"",IF(NOT(ISNA(VLOOKUP(E1389,E$1:E1388,1,FALSE()))),"OLD",IF(AND(E1389&lt;&gt;"",E1389&lt;&gt;"!!!"),"NEW","")))</f>
        <v> </v>
      </c>
      <c r="G1389" s="23" t="str">
        <f>IF(OR(E1389="",E1389="!!!"),"",IF(OR(J1389=0,AND(J1389=1,K1389=1),AND(J1389=1,I1389="SBJ"),AND(J1389=1,I1389=0)),"?IN_FOCUS",IF(J1389&lt;=2,"?ACTIVATED",IF(J1389&lt;&gt;"","?FAMILIAR",IF(F1389="NEW",IF(ISNA(VLOOKUP(E1389,#REF!,1,FALSE())),"?TYPE_IDENTIFIABLE","?REFERENTIAL"),"_")))))</f>
        <v> </v>
      </c>
      <c r="H1389" s="24" t="str">
        <f>IF(J1389&lt;&gt;1,"",IF(I1389="SBJ","CB","?"))</f>
        <v> </v>
      </c>
      <c r="I1389" s="25" t="str">
        <f>IF(OR(E1389="",E1389="!!!",F1389="NEW"),"",INDEX(B1388:B$2,-1+SUMPRODUCT(MAX(ROW(E1388:E$2)*(E1389=E1388:E$2)))))</f>
        <v> </v>
      </c>
      <c r="J1389" s="25" t="str">
        <f>IF(OR(E1389="",E1389="!!!",F1389="NEW"),"",COUNTBLANK(OFFSET(A$1,,,SUMPRODUCT(MAX(ROW(E$2:E1389)*(E1389=E$2:E1389)))))-COUNTBLANK(OFFSET(A$1,,,SUMPRODUCT(MAX(ROW(E$1:E1388)*(E2=E$1:E1388))))))</f>
        <v> </v>
      </c>
      <c r="K1389" s="25" t="str">
        <f>IF(OR(E1389="",E1389="!!!",F1389="NEW"),"",INDEX(J$1:J1388,SUMPRODUCT(MAX(ROW(E$1:E1388)*(E1389=E$1:E1388)))))</f>
        <v> </v>
      </c>
      <c r="L1389" s="26"/>
    </row>
    <row r="1390" spans="1:12">
      <c r="A1390" s="20" t="s">
        <v>500</v>
      </c>
      <c r="E1390" s="21">
        <f>IF(D1390="?OLD","!!!","")</f>
        <v/>
      </c>
      <c r="F1390" s="22" t="str">
        <f>IF(OR(E1390="",E1390="!!!"),"",IF(NOT(ISNA(VLOOKUP(E1390,E$1:E1389,1,FALSE()))),"OLD",IF(AND(E1390&lt;&gt;"",E1390&lt;&gt;"!!!"),"NEW","")))</f>
        <v> </v>
      </c>
      <c r="G1390" s="23" t="str">
        <f>IF(OR(E1390="",E1390="!!!"),"",IF(OR(J1390=0,AND(J1390=1,K1390=1),AND(J1390=1,I1390="SBJ"),AND(J1390=1,I1390=0)),"?IN_FOCUS",IF(J1390&lt;=2,"?ACTIVATED",IF(J1390&lt;&gt;"","?FAMILIAR",IF(F1390="NEW",IF(ISNA(VLOOKUP(E1390,#REF!,1,FALSE())),"?TYPE_IDENTIFIABLE","?REFERENTIAL"),"_")))))</f>
        <v> </v>
      </c>
      <c r="H1390" s="24" t="str">
        <f>IF(J1390&lt;&gt;1,"",IF(I1390="SBJ","CB","?"))</f>
        <v> </v>
      </c>
      <c r="I1390" s="25" t="str">
        <f>IF(OR(E1390="",E1390="!!!",F1390="NEW"),"",INDEX(B1389:B$2,-1+SUMPRODUCT(MAX(ROW(E1389:E$2)*(E1390=E1389:E$2)))))</f>
        <v> </v>
      </c>
      <c r="J1390" s="25" t="str">
        <f>IF(OR(E1390="",E1390="!!!",F1390="NEW"),"",COUNTBLANK(OFFSET(A$1,,,SUMPRODUCT(MAX(ROW(E$2:E1390)*(E1390=E$2:E1390)))))-COUNTBLANK(OFFSET(A$1,,,SUMPRODUCT(MAX(ROW(E$1:E1389)*(E2=E$1:E1389))))))</f>
        <v> </v>
      </c>
      <c r="K1390" s="25" t="str">
        <f>IF(OR(E1390="",E1390="!!!",F1390="NEW"),"",INDEX(J$1:J1389,SUMPRODUCT(MAX(ROW(E$1:E1389)*(E1390=E$1:E1389)))))</f>
        <v> </v>
      </c>
      <c r="L1390" s="26"/>
    </row>
    <row r="1391" spans="1:12">
      <c r="A1391" s="20" t="s">
        <v>972</v>
      </c>
      <c r="E1391" s="21">
        <f>IF(D1391="?OLD","!!!","")</f>
        <v/>
      </c>
      <c r="F1391" s="22" t="str">
        <f>IF(OR(E1391="",E1391="!!!"),"",IF(NOT(ISNA(VLOOKUP(E1391,E$1:E1390,1,FALSE()))),"OLD",IF(AND(E1391&lt;&gt;"",E1391&lt;&gt;"!!!"),"NEW","")))</f>
        <v> </v>
      </c>
      <c r="G1391" s="23" t="str">
        <f>IF(OR(E1391="",E1391="!!!"),"",IF(OR(J1391=0,AND(J1391=1,K1391=1),AND(J1391=1,I1391="SBJ"),AND(J1391=1,I1391=0)),"?IN_FOCUS",IF(J1391&lt;=2,"?ACTIVATED",IF(J1391&lt;&gt;"","?FAMILIAR",IF(F1391="NEW",IF(ISNA(VLOOKUP(E1391,#REF!,1,FALSE())),"?TYPE_IDENTIFIABLE","?REFERENTIAL"),"_")))))</f>
        <v> </v>
      </c>
      <c r="H1391" s="24" t="str">
        <f>IF(J1391&lt;&gt;1,"",IF(I1391="SBJ","CB","?"))</f>
        <v> </v>
      </c>
      <c r="I1391" s="25" t="str">
        <f>IF(OR(E1391="",E1391="!!!",F1391="NEW"),"",INDEX(B1390:B$2,-1+SUMPRODUCT(MAX(ROW(E1390:E$2)*(E1391=E1390:E$2)))))</f>
        <v> </v>
      </c>
      <c r="J1391" s="25" t="str">
        <f>IF(OR(E1391="",E1391="!!!",F1391="NEW"),"",COUNTBLANK(OFFSET(A$1,,,SUMPRODUCT(MAX(ROW(E$2:E1391)*(E1391=E$2:E1391)))))-COUNTBLANK(OFFSET(A$1,,,SUMPRODUCT(MAX(ROW(E$1:E1390)*(E2=E$1:E1390))))))</f>
        <v> </v>
      </c>
      <c r="K1391" s="25" t="str">
        <f>IF(OR(E1391="",E1391="!!!",F1391="NEW"),"",INDEX(J$1:J1390,SUMPRODUCT(MAX(ROW(E$1:E1390)*(E1391=E$1:E1390)))))</f>
        <v> </v>
      </c>
      <c r="L1391" s="26"/>
    </row>
    <row r="1392" spans="1:12">
      <c r="A1392" s="20" t="s">
        <v>800</v>
      </c>
      <c r="B1392" s="27" t="s">
        <v>540</v>
      </c>
      <c r="C1392" s="27" t="s">
        <v>478</v>
      </c>
      <c r="E1392" s="21">
        <f>IF(D1392="?OLD","!!!","")</f>
        <v/>
      </c>
      <c r="F1392" s="22" t="str">
        <f>IF(OR(E1392="",E1392="!!!"),"",IF(NOT(ISNA(VLOOKUP(E1392,E$1:E1391,1,FALSE()))),"OLD",IF(AND(E1392&lt;&gt;"",E1392&lt;&gt;"!!!"),"NEW","")))</f>
        <v> </v>
      </c>
      <c r="G1392" s="23" t="str">
        <f>IF(OR(E1392="",E1392="!!!"),"",IF(OR(J1392=0,AND(J1392=1,K1392=1),AND(J1392=1,I1392="SBJ"),AND(J1392=1,I1392=0)),"?IN_FOCUS",IF(J1392&lt;=2,"?ACTIVATED",IF(J1392&lt;&gt;"","?FAMILIAR",IF(F1392="NEW",IF(ISNA(VLOOKUP(E1392,#REF!,1,FALSE())),"?TYPE_IDENTIFIABLE","?REFERENTIAL"),"_")))))</f>
        <v> </v>
      </c>
      <c r="H1392" s="24" t="str">
        <f>IF(J1392&lt;&gt;1,"",IF(I1392="SBJ","CB","?"))</f>
        <v> </v>
      </c>
      <c r="I1392" s="25" t="str">
        <f>IF(OR(E1392="",E1392="!!!",F1392="NEW"),"",INDEX(B1391:B$2,-1+SUMPRODUCT(MAX(ROW(E1391:E$2)*(E1392=E1391:E$2)))))</f>
        <v> </v>
      </c>
      <c r="J1392" s="25" t="str">
        <f>IF(OR(E1392="",E1392="!!!",F1392="NEW"),"",COUNTBLANK(OFFSET(A$1,,,SUMPRODUCT(MAX(ROW(E$2:E1392)*(E1392=E$2:E1392)))))-COUNTBLANK(OFFSET(A$1,,,SUMPRODUCT(MAX(ROW(E$1:E1391)*(E2=E$1:E1391))))))</f>
        <v> </v>
      </c>
      <c r="K1392" s="25" t="str">
        <f>IF(OR(E1392="",E1392="!!!",F1392="NEW"),"",INDEX(J$1:J1391,SUMPRODUCT(MAX(ROW(E$1:E1391)*(E1392=E$1:E1391)))))</f>
        <v> </v>
      </c>
      <c r="L1392" s="26"/>
    </row>
    <row r="1393" spans="1:12">
      <c r="A1393" s="20" t="s">
        <v>592</v>
      </c>
      <c r="E1393" s="21">
        <f>IF(D1393="?OLD","!!!","")</f>
        <v/>
      </c>
      <c r="F1393" s="22" t="str">
        <f>IF(OR(E1393="",E1393="!!!"),"",IF(NOT(ISNA(VLOOKUP(E1393,E$1:E1392,1,FALSE()))),"OLD",IF(AND(E1393&lt;&gt;"",E1393&lt;&gt;"!!!"),"NEW","")))</f>
        <v> </v>
      </c>
      <c r="G1393" s="23" t="str">
        <f>IF(OR(E1393="",E1393="!!!"),"",IF(OR(J1393=0,AND(J1393=1,K1393=1),AND(J1393=1,I1393="SBJ"),AND(J1393=1,I1393=0)),"?IN_FOCUS",IF(J1393&lt;=2,"?ACTIVATED",IF(J1393&lt;&gt;"","?FAMILIAR",IF(F1393="NEW",IF(ISNA(VLOOKUP(E1393,#REF!,1,FALSE())),"?TYPE_IDENTIFIABLE","?REFERENTIAL"),"_")))))</f>
        <v> </v>
      </c>
      <c r="H1393" s="24" t="str">
        <f>IF(J1393&lt;&gt;1,"",IF(I1393="SBJ","CB","?"))</f>
        <v> </v>
      </c>
      <c r="I1393" s="25" t="str">
        <f>IF(OR(E1393="",E1393="!!!",F1393="NEW"),"",INDEX(B1392:B$2,-1+SUMPRODUCT(MAX(ROW(E1392:E$2)*(E1393=E1392:E$2)))))</f>
        <v> </v>
      </c>
      <c r="J1393" s="25" t="str">
        <f>IF(OR(E1393="",E1393="!!!",F1393="NEW"),"",COUNTBLANK(OFFSET(A$1,,,SUMPRODUCT(MAX(ROW(E$2:E1393)*(E1393=E$2:E1393)))))-COUNTBLANK(OFFSET(A$1,,,SUMPRODUCT(MAX(ROW(E$1:E1392)*(E2=E$1:E1392))))))</f>
        <v> </v>
      </c>
      <c r="K1393" s="25" t="str">
        <f>IF(OR(E1393="",E1393="!!!",F1393="NEW"),"",INDEX(J$1:J1392,SUMPRODUCT(MAX(ROW(E$1:E1392)*(E1393=E$1:E1392)))))</f>
        <v> </v>
      </c>
      <c r="L1393" s="26"/>
    </row>
    <row r="1394" spans="1:12">
      <c r="A1394" s="20" t="s">
        <v>500</v>
      </c>
      <c r="E1394" s="21">
        <f>IF(D1394="?OLD","!!!","")</f>
        <v/>
      </c>
      <c r="F1394" s="22" t="str">
        <f>IF(OR(E1394="",E1394="!!!"),"",IF(NOT(ISNA(VLOOKUP(E1394,E$1:E1393,1,FALSE()))),"OLD",IF(AND(E1394&lt;&gt;"",E1394&lt;&gt;"!!!"),"NEW","")))</f>
        <v> </v>
      </c>
      <c r="G1394" s="23" t="str">
        <f>IF(OR(E1394="",E1394="!!!"),"",IF(OR(J1394=0,AND(J1394=1,K1394=1),AND(J1394=1,I1394="SBJ"),AND(J1394=1,I1394=0)),"?IN_FOCUS",IF(J1394&lt;=2,"?ACTIVATED",IF(J1394&lt;&gt;"","?FAMILIAR",IF(F1394="NEW",IF(ISNA(VLOOKUP(E1394,#REF!,1,FALSE())),"?TYPE_IDENTIFIABLE","?REFERENTIAL"),"_")))))</f>
        <v> </v>
      </c>
      <c r="H1394" s="24" t="str">
        <f>IF(J1394&lt;&gt;1,"",IF(I1394="SBJ","CB","?"))</f>
        <v> </v>
      </c>
      <c r="I1394" s="25" t="str">
        <f>IF(OR(E1394="",E1394="!!!",F1394="NEW"),"",INDEX(B1393:B$2,-1+SUMPRODUCT(MAX(ROW(E1393:E$2)*(E1394=E1393:E$2)))))</f>
        <v> </v>
      </c>
      <c r="J1394" s="25" t="str">
        <f>IF(OR(E1394="",E1394="!!!",F1394="NEW"),"",COUNTBLANK(OFFSET(A$1,,,SUMPRODUCT(MAX(ROW(E$2:E1394)*(E1394=E$2:E1394)))))-COUNTBLANK(OFFSET(A$1,,,SUMPRODUCT(MAX(ROW(E$1:E1393)*(E2=E$1:E1393))))))</f>
        <v> </v>
      </c>
      <c r="K1394" s="25" t="str">
        <f>IF(OR(E1394="",E1394="!!!",F1394="NEW"),"",INDEX(J$1:J1393,SUMPRODUCT(MAX(ROW(E$1:E1393)*(E1394=E$1:E1393)))))</f>
        <v> </v>
      </c>
      <c r="L1394" s="26"/>
    </row>
    <row r="1395" spans="1:12">
      <c r="A1395" s="20" t="s">
        <v>973</v>
      </c>
      <c r="E1395" s="21">
        <f>IF(D1395="?OLD","!!!","")</f>
        <v/>
      </c>
      <c r="F1395" s="22" t="str">
        <f>IF(OR(E1395="",E1395="!!!"),"",IF(NOT(ISNA(VLOOKUP(E1395,E$1:E1394,1,FALSE()))),"OLD",IF(AND(E1395&lt;&gt;"",E1395&lt;&gt;"!!!"),"NEW","")))</f>
        <v> </v>
      </c>
      <c r="G1395" s="23" t="str">
        <f>IF(OR(E1395="",E1395="!!!"),"",IF(OR(J1395=0,AND(J1395=1,K1395=1),AND(J1395=1,I1395="SBJ"),AND(J1395=1,I1395=0)),"?IN_FOCUS",IF(J1395&lt;=2,"?ACTIVATED",IF(J1395&lt;&gt;"","?FAMILIAR",IF(F1395="NEW",IF(ISNA(VLOOKUP(E1395,#REF!,1,FALSE())),"?TYPE_IDENTIFIABLE","?REFERENTIAL"),"_")))))</f>
        <v> </v>
      </c>
      <c r="H1395" s="24" t="str">
        <f>IF(J1395&lt;&gt;1,"",IF(I1395="SBJ","CB","?"))</f>
        <v> </v>
      </c>
      <c r="I1395" s="25" t="str">
        <f>IF(OR(E1395="",E1395="!!!",F1395="NEW"),"",INDEX(B1394:B$2,-1+SUMPRODUCT(MAX(ROW(E1394:E$2)*(E1395=E1394:E$2)))))</f>
        <v> </v>
      </c>
      <c r="J1395" s="25" t="str">
        <f>IF(OR(E1395="",E1395="!!!",F1395="NEW"),"",COUNTBLANK(OFFSET(A$1,,,SUMPRODUCT(MAX(ROW(E$2:E1395)*(E1395=E$2:E1395)))))-COUNTBLANK(OFFSET(A$1,,,SUMPRODUCT(MAX(ROW(E$1:E1394)*(E2=E$1:E1394))))))</f>
        <v> </v>
      </c>
      <c r="K1395" s="25" t="str">
        <f>IF(OR(E1395="",E1395="!!!",F1395="NEW"),"",INDEX(J$1:J1394,SUMPRODUCT(MAX(ROW(E$1:E1394)*(E1395=E$1:E1394)))))</f>
        <v> </v>
      </c>
      <c r="L1395" s="26"/>
    </row>
    <row r="1396" spans="1:12">
      <c r="A1396" s="20" t="s">
        <v>974</v>
      </c>
      <c r="B1396" s="27" t="s">
        <v>540</v>
      </c>
      <c r="C1396" s="27" t="s">
        <v>478</v>
      </c>
      <c r="E1396" s="21">
        <f>IF(D1396="?OLD","!!!","")</f>
        <v/>
      </c>
      <c r="F1396" s="22" t="str">
        <f>IF(OR(E1396="",E1396="!!!"),"",IF(NOT(ISNA(VLOOKUP(E1396,E$1:E1395,1,FALSE()))),"OLD",IF(AND(E1396&lt;&gt;"",E1396&lt;&gt;"!!!"),"NEW","")))</f>
        <v> </v>
      </c>
      <c r="G1396" s="23" t="str">
        <f>IF(OR(E1396="",E1396="!!!"),"",IF(OR(J1396=0,AND(J1396=1,K1396=1),AND(J1396=1,I1396="SBJ"),AND(J1396=1,I1396=0)),"?IN_FOCUS",IF(J1396&lt;=2,"?ACTIVATED",IF(J1396&lt;&gt;"","?FAMILIAR",IF(F1396="NEW",IF(ISNA(VLOOKUP(E1396,#REF!,1,FALSE())),"?TYPE_IDENTIFIABLE","?REFERENTIAL"),"_")))))</f>
        <v> </v>
      </c>
      <c r="H1396" s="24" t="str">
        <f>IF(J1396&lt;&gt;1,"",IF(I1396="SBJ","CB","?"))</f>
        <v> </v>
      </c>
      <c r="I1396" s="25" t="str">
        <f>IF(OR(E1396="",E1396="!!!",F1396="NEW"),"",INDEX(B1395:B$2,-1+SUMPRODUCT(MAX(ROW(E1395:E$2)*(E1396=E1395:E$2)))))</f>
        <v> </v>
      </c>
      <c r="J1396" s="25" t="str">
        <f>IF(OR(E1396="",E1396="!!!",F1396="NEW"),"",COUNTBLANK(OFFSET(A$1,,,SUMPRODUCT(MAX(ROW(E$2:E1396)*(E1396=E$2:E1396)))))-COUNTBLANK(OFFSET(A$1,,,SUMPRODUCT(MAX(ROW(E$1:E1395)*(E2=E$1:E1395))))))</f>
        <v> </v>
      </c>
      <c r="K1396" s="25" t="str">
        <f>IF(OR(E1396="",E1396="!!!",F1396="NEW"),"",INDEX(J$1:J1395,SUMPRODUCT(MAX(ROW(E$1:E1395)*(E1396=E$1:E1395)))))</f>
        <v> </v>
      </c>
      <c r="L1396" s="26"/>
    </row>
    <row r="1397" spans="1:12">
      <c r="A1397" s="20" t="s">
        <v>492</v>
      </c>
      <c r="E1397" s="21">
        <f>IF(D1397="?OLD","!!!","")</f>
        <v/>
      </c>
      <c r="F1397" s="22" t="str">
        <f>IF(OR(E1397="",E1397="!!!"),"",IF(NOT(ISNA(VLOOKUP(E1397,E$1:E1396,1,FALSE()))),"OLD",IF(AND(E1397&lt;&gt;"",E1397&lt;&gt;"!!!"),"NEW","")))</f>
        <v> </v>
      </c>
      <c r="G1397" s="23" t="str">
        <f>IF(OR(E1397="",E1397="!!!"),"",IF(OR(J1397=0,AND(J1397=1,K1397=1),AND(J1397=1,I1397="SBJ"),AND(J1397=1,I1397=0)),"?IN_FOCUS",IF(J1397&lt;=2,"?ACTIVATED",IF(J1397&lt;&gt;"","?FAMILIAR",IF(F1397="NEW",IF(ISNA(VLOOKUP(E1397,#REF!,1,FALSE())),"?TYPE_IDENTIFIABLE","?REFERENTIAL"),"_")))))</f>
        <v> </v>
      </c>
      <c r="H1397" s="24" t="str">
        <f>IF(J1397&lt;&gt;1,"",IF(I1397="SBJ","CB","?"))</f>
        <v> </v>
      </c>
      <c r="I1397" s="25" t="str">
        <f>IF(OR(E1397="",E1397="!!!",F1397="NEW"),"",INDEX(B1396:B$2,-1+SUMPRODUCT(MAX(ROW(E1396:E$2)*(E1397=E1396:E$2)))))</f>
        <v> </v>
      </c>
      <c r="J1397" s="25" t="str">
        <f>IF(OR(E1397="",E1397="!!!",F1397="NEW"),"",COUNTBLANK(OFFSET(A$1,,,SUMPRODUCT(MAX(ROW(E$2:E1397)*(E1397=E$2:E1397)))))-COUNTBLANK(OFFSET(A$1,,,SUMPRODUCT(MAX(ROW(E$1:E1396)*(E2=E$1:E1396))))))</f>
        <v> </v>
      </c>
      <c r="K1397" s="25" t="str">
        <f>IF(OR(E1397="",E1397="!!!",F1397="NEW"),"",INDEX(J$1:J1396,SUMPRODUCT(MAX(ROW(E$1:E1396)*(E1397=E$1:E1396)))))</f>
        <v> </v>
      </c>
      <c r="L1397" s="26"/>
    </row>
    <row r="1398" spans="1:12">
      <c r="A1398" s="20" t="s">
        <v>512</v>
      </c>
      <c r="B1398" s="27" t="s">
        <v>537</v>
      </c>
      <c r="C1398" s="27" t="s">
        <v>482</v>
      </c>
      <c r="D1398" s="27" t="s">
        <v>483</v>
      </c>
      <c r="E1398" s="21">
        <f>IF(D1398="?OLD","!!!","")</f>
        <v/>
      </c>
      <c r="F1398" s="22" t="str">
        <f>IF(OR(E1398="",E1398="!!!"),"",IF(NOT(ISNA(VLOOKUP(E1398,E$1:E1397,1,FALSE()))),"OLD",IF(AND(E1398&lt;&gt;"",E1398&lt;&gt;"!!!"),"NEW","")))</f>
        <v> </v>
      </c>
      <c r="G1398" s="23" t="str">
        <f>IF(OR(E1398="",E1398="!!!"),"",IF(OR(J1398=0,AND(J1398=1,K1398=1),AND(J1398=1,I1398="SBJ"),AND(J1398=1,I1398=0)),"?IN_FOCUS",IF(J1398&lt;=2,"?ACTIVATED",IF(J1398&lt;&gt;"","?FAMILIAR",IF(F1398="NEW",IF(ISNA(VLOOKUP(E1398,#REF!,1,FALSE())),"?TYPE_IDENTIFIABLE","?REFERENTIAL"),"_")))))</f>
        <v> </v>
      </c>
      <c r="H1398" s="24" t="str">
        <f>IF(J1398&lt;&gt;1,"",IF(I1398="SBJ","CB","?"))</f>
        <v> </v>
      </c>
      <c r="I1398" s="25" t="str">
        <f>IF(OR(E1398="",E1398="!!!",F1398="NEW"),"",INDEX(B1397:B$2,-1+SUMPRODUCT(MAX(ROW(E1397:E$2)*(E1398=E1397:E$2)))))</f>
        <v> </v>
      </c>
      <c r="J1398" s="25" t="str">
        <f>IF(OR(E1398="",E1398="!!!",F1398="NEW"),"",COUNTBLANK(OFFSET(A$1,,,SUMPRODUCT(MAX(ROW(E$2:E1398)*(E1398=E$2:E1398)))))-COUNTBLANK(OFFSET(A$1,,,SUMPRODUCT(MAX(ROW(E$1:E1397)*(E2=E$1:E1397))))))</f>
        <v> </v>
      </c>
      <c r="K1398" s="25" t="str">
        <f>IF(OR(E1398="",E1398="!!!",F1398="NEW"),"",INDEX(J$1:J1397,SUMPRODUCT(MAX(ROW(E$1:E1397)*(E1398=E$1:E1397)))))</f>
        <v> </v>
      </c>
      <c r="L1398" s="26"/>
    </row>
    <row r="1399" spans="1:12">
      <c r="A1399" s="20" t="s">
        <v>680</v>
      </c>
      <c r="E1399" s="21">
        <f>IF(D1399="?OLD","!!!","")</f>
        <v/>
      </c>
      <c r="F1399" s="22" t="str">
        <f>IF(OR(E1399="",E1399="!!!"),"",IF(NOT(ISNA(VLOOKUP(E1399,E$1:E1398,1,FALSE()))),"OLD",IF(AND(E1399&lt;&gt;"",E1399&lt;&gt;"!!!"),"NEW","")))</f>
        <v> </v>
      </c>
      <c r="G1399" s="23" t="str">
        <f>IF(OR(E1399="",E1399="!!!"),"",IF(OR(J1399=0,AND(J1399=1,K1399=1),AND(J1399=1,I1399="SBJ"),AND(J1399=1,I1399=0)),"?IN_FOCUS",IF(J1399&lt;=2,"?ACTIVATED",IF(J1399&lt;&gt;"","?FAMILIAR",IF(F1399="NEW",IF(ISNA(VLOOKUP(E1399,#REF!,1,FALSE())),"?TYPE_IDENTIFIABLE","?REFERENTIAL"),"_")))))</f>
        <v> </v>
      </c>
      <c r="H1399" s="24" t="str">
        <f>IF(J1399&lt;&gt;1,"",IF(I1399="SBJ","CB","?"))</f>
        <v> </v>
      </c>
      <c r="I1399" s="25" t="str">
        <f>IF(OR(E1399="",E1399="!!!",F1399="NEW"),"",INDEX(B1398:B$2,-1+SUMPRODUCT(MAX(ROW(E1398:E$2)*(E1399=E1398:E$2)))))</f>
        <v> </v>
      </c>
      <c r="J1399" s="25" t="str">
        <f>IF(OR(E1399="",E1399="!!!",F1399="NEW"),"",COUNTBLANK(OFFSET(A$1,,,SUMPRODUCT(MAX(ROW(E$2:E1399)*(E1399=E$2:E1399)))))-COUNTBLANK(OFFSET(A$1,,,SUMPRODUCT(MAX(ROW(E$1:E1398)*(E2=E$1:E1398))))))</f>
        <v> </v>
      </c>
      <c r="K1399" s="25" t="str">
        <f>IF(OR(E1399="",E1399="!!!",F1399="NEW"),"",INDEX(J$1:J1398,SUMPRODUCT(MAX(ROW(E$1:E1398)*(E1399=E$1:E1398)))))</f>
        <v> </v>
      </c>
      <c r="L1399" s="26"/>
    </row>
    <row r="1400" spans="1:12">
      <c r="A1400" s="20" t="s">
        <v>975</v>
      </c>
      <c r="E1400" s="21">
        <f>IF(D1400="?OLD","!!!","")</f>
        <v/>
      </c>
      <c r="F1400" s="22" t="str">
        <f>IF(OR(E1400="",E1400="!!!"),"",IF(NOT(ISNA(VLOOKUP(E1400,E$1:E1399,1,FALSE()))),"OLD",IF(AND(E1400&lt;&gt;"",E1400&lt;&gt;"!!!"),"NEW","")))</f>
        <v> </v>
      </c>
      <c r="G1400" s="23" t="str">
        <f>IF(OR(E1400="",E1400="!!!"),"",IF(OR(J1400=0,AND(J1400=1,K1400=1),AND(J1400=1,I1400="SBJ"),AND(J1400=1,I1400=0)),"?IN_FOCUS",IF(J1400&lt;=2,"?ACTIVATED",IF(J1400&lt;&gt;"","?FAMILIAR",IF(F1400="NEW",IF(ISNA(VLOOKUP(E1400,#REF!,1,FALSE())),"?TYPE_IDENTIFIABLE","?REFERENTIAL"),"_")))))</f>
        <v> </v>
      </c>
      <c r="H1400" s="24" t="str">
        <f>IF(J1400&lt;&gt;1,"",IF(I1400="SBJ","CB","?"))</f>
        <v> </v>
      </c>
      <c r="I1400" s="25" t="str">
        <f>IF(OR(E1400="",E1400="!!!",F1400="NEW"),"",INDEX(B1399:B$2,-1+SUMPRODUCT(MAX(ROW(E1399:E$2)*(E1400=E1399:E$2)))))</f>
        <v> </v>
      </c>
      <c r="J1400" s="25" t="str">
        <f>IF(OR(E1400="",E1400="!!!",F1400="NEW"),"",COUNTBLANK(OFFSET(A$1,,,SUMPRODUCT(MAX(ROW(E$2:E1400)*(E1400=E$2:E1400)))))-COUNTBLANK(OFFSET(A$1,,,SUMPRODUCT(MAX(ROW(E$1:E1399)*(E2=E$1:E1399))))))</f>
        <v> </v>
      </c>
      <c r="K1400" s="25" t="str">
        <f>IF(OR(E1400="",E1400="!!!",F1400="NEW"),"",INDEX(J$1:J1399,SUMPRODUCT(MAX(ROW(E$1:E1399)*(E1400=E$1:E1399)))))</f>
        <v> </v>
      </c>
      <c r="L1400" s="26"/>
    </row>
    <row r="1401" spans="1:12">
      <c r="A1401" s="20" t="s">
        <v>489</v>
      </c>
      <c r="E1401" s="21">
        <f>IF(D1401="?OLD","!!!","")</f>
        <v/>
      </c>
      <c r="F1401" s="22" t="str">
        <f>IF(OR(E1401="",E1401="!!!"),"",IF(NOT(ISNA(VLOOKUP(E1401,E$1:E1400,1,FALSE()))),"OLD",IF(AND(E1401&lt;&gt;"",E1401&lt;&gt;"!!!"),"NEW","")))</f>
        <v> </v>
      </c>
      <c r="G1401" s="23" t="str">
        <f>IF(OR(E1401="",E1401="!!!"),"",IF(OR(J1401=0,AND(J1401=1,K1401=1),AND(J1401=1,I1401="SBJ"),AND(J1401=1,I1401=0)),"?IN_FOCUS",IF(J1401&lt;=2,"?ACTIVATED",IF(J1401&lt;&gt;"","?FAMILIAR",IF(F1401="NEW",IF(ISNA(VLOOKUP(E1401,#REF!,1,FALSE())),"?TYPE_IDENTIFIABLE","?REFERENTIAL"),"_")))))</f>
        <v> </v>
      </c>
      <c r="H1401" s="24" t="str">
        <f>IF(J1401&lt;&gt;1,"",IF(I1401="SBJ","CB","?"))</f>
        <v> </v>
      </c>
      <c r="I1401" s="25" t="str">
        <f>IF(OR(E1401="",E1401="!!!",F1401="NEW"),"",INDEX(B1400:B$2,-1+SUMPRODUCT(MAX(ROW(E1400:E$2)*(E1401=E1400:E$2)))))</f>
        <v> </v>
      </c>
      <c r="J1401" s="25" t="str">
        <f>IF(OR(E1401="",E1401="!!!",F1401="NEW"),"",COUNTBLANK(OFFSET(A$1,,,SUMPRODUCT(MAX(ROW(E$2:E1401)*(E1401=E$2:E1401)))))-COUNTBLANK(OFFSET(A$1,,,SUMPRODUCT(MAX(ROW(E$1:E1400)*(E2=E$1:E1400))))))</f>
        <v> </v>
      </c>
      <c r="K1401" s="25" t="str">
        <f>IF(OR(E1401="",E1401="!!!",F1401="NEW"),"",INDEX(J$1:J1400,SUMPRODUCT(MAX(ROW(E$1:E1400)*(E1401=E$1:E1400)))))</f>
        <v> </v>
      </c>
      <c r="L1401" s="26"/>
    </row>
    <row r="1402" spans="1:12">
      <c r="A1402" s="20" t="s">
        <v>592</v>
      </c>
      <c r="E1402" s="21">
        <f>IF(D1402="?OLD","!!!","")</f>
        <v/>
      </c>
      <c r="F1402" s="22" t="str">
        <f>IF(OR(E1402="",E1402="!!!"),"",IF(NOT(ISNA(VLOOKUP(E1402,E$1:E1401,1,FALSE()))),"OLD",IF(AND(E1402&lt;&gt;"",E1402&lt;&gt;"!!!"),"NEW","")))</f>
        <v> </v>
      </c>
      <c r="G1402" s="23" t="str">
        <f>IF(OR(E1402="",E1402="!!!"),"",IF(OR(J1402=0,AND(J1402=1,K1402=1),AND(J1402=1,I1402="SBJ"),AND(J1402=1,I1402=0)),"?IN_FOCUS",IF(J1402&lt;=2,"?ACTIVATED",IF(J1402&lt;&gt;"","?FAMILIAR",IF(F1402="NEW",IF(ISNA(VLOOKUP(E1402,#REF!,1,FALSE())),"?TYPE_IDENTIFIABLE","?REFERENTIAL"),"_")))))</f>
        <v> </v>
      </c>
      <c r="H1402" s="24" t="str">
        <f>IF(J1402&lt;&gt;1,"",IF(I1402="SBJ","CB","?"))</f>
        <v> </v>
      </c>
      <c r="I1402" s="25" t="str">
        <f>IF(OR(E1402="",E1402="!!!",F1402="NEW"),"",INDEX(B1401:B$2,-1+SUMPRODUCT(MAX(ROW(E1401:E$2)*(E1402=E1401:E$2)))))</f>
        <v> </v>
      </c>
      <c r="J1402" s="25" t="str">
        <f>IF(OR(E1402="",E1402="!!!",F1402="NEW"),"",COUNTBLANK(OFFSET(A$1,,,SUMPRODUCT(MAX(ROW(E$2:E1402)*(E1402=E$2:E1402)))))-COUNTBLANK(OFFSET(A$1,,,SUMPRODUCT(MAX(ROW(E$1:E1401)*(E2=E$1:E1401))))))</f>
        <v> </v>
      </c>
      <c r="K1402" s="25" t="str">
        <f>IF(OR(E1402="",E1402="!!!",F1402="NEW"),"",INDEX(J$1:J1401,SUMPRODUCT(MAX(ROW(E$1:E1401)*(E1402=E$1:E1401)))))</f>
        <v> </v>
      </c>
      <c r="L1402" s="26"/>
    </row>
    <row r="1403" spans="1:12">
      <c r="A1403" s="20" t="s">
        <v>495</v>
      </c>
      <c r="E1403" s="21">
        <f>IF(D1403="?OLD","!!!","")</f>
        <v/>
      </c>
      <c r="F1403" s="22" t="str">
        <f>IF(OR(E1403="",E1403="!!!"),"",IF(NOT(ISNA(VLOOKUP(E1403,E$1:E1402,1,FALSE()))),"OLD",IF(AND(E1403&lt;&gt;"",E1403&lt;&gt;"!!!"),"NEW","")))</f>
        <v> </v>
      </c>
      <c r="G1403" s="23" t="str">
        <f>IF(OR(E1403="",E1403="!!!"),"",IF(OR(J1403=0,AND(J1403=1,K1403=1),AND(J1403=1,I1403="SBJ"),AND(J1403=1,I1403=0)),"?IN_FOCUS",IF(J1403&lt;=2,"?ACTIVATED",IF(J1403&lt;&gt;"","?FAMILIAR",IF(F1403="NEW",IF(ISNA(VLOOKUP(E1403,#REF!,1,FALSE())),"?TYPE_IDENTIFIABLE","?REFERENTIAL"),"_")))))</f>
        <v> </v>
      </c>
      <c r="H1403" s="24" t="str">
        <f>IF(J1403&lt;&gt;1,"",IF(I1403="SBJ","CB","?"))</f>
        <v> </v>
      </c>
      <c r="I1403" s="25" t="str">
        <f>IF(OR(E1403="",E1403="!!!",F1403="NEW"),"",INDEX(B1402:B$2,-1+SUMPRODUCT(MAX(ROW(E1402:E$2)*(E1403=E1402:E$2)))))</f>
        <v> </v>
      </c>
      <c r="J1403" s="25" t="str">
        <f>IF(OR(E1403="",E1403="!!!",F1403="NEW"),"",COUNTBLANK(OFFSET(A$1,,,SUMPRODUCT(MAX(ROW(E$2:E1403)*(E1403=E$2:E1403)))))-COUNTBLANK(OFFSET(A$1,,,SUMPRODUCT(MAX(ROW(E$1:E1402)*(E2=E$1:E1402))))))</f>
        <v> </v>
      </c>
      <c r="K1403" s="25" t="str">
        <f>IF(OR(E1403="",E1403="!!!",F1403="NEW"),"",INDEX(J$1:J1402,SUMPRODUCT(MAX(ROW(E$1:E1402)*(E1403=E$1:E1402)))))</f>
        <v> </v>
      </c>
      <c r="L1403" s="26"/>
    </row>
    <row r="1404" spans="1:12">
      <c r="A1404" s="20" t="s">
        <v>976</v>
      </c>
      <c r="B1404" s="27" t="s">
        <v>553</v>
      </c>
      <c r="C1404" s="27" t="s">
        <v>498</v>
      </c>
      <c r="E1404" s="21">
        <f>IF(D1404="?OLD","!!!","")</f>
        <v/>
      </c>
      <c r="F1404" s="22" t="str">
        <f>IF(OR(E1404="",E1404="!!!"),"",IF(NOT(ISNA(VLOOKUP(E1404,E$1:E1403,1,FALSE()))),"OLD",IF(AND(E1404&lt;&gt;"",E1404&lt;&gt;"!!!"),"NEW","")))</f>
        <v> </v>
      </c>
      <c r="G1404" s="23" t="str">
        <f>IF(OR(E1404="",E1404="!!!"),"",IF(OR(J1404=0,AND(J1404=1,K1404=1),AND(J1404=1,I1404="SBJ"),AND(J1404=1,I1404=0)),"?IN_FOCUS",IF(J1404&lt;=2,"?ACTIVATED",IF(J1404&lt;&gt;"","?FAMILIAR",IF(F1404="NEW",IF(ISNA(VLOOKUP(E1404,#REF!,1,FALSE())),"?TYPE_IDENTIFIABLE","?REFERENTIAL"),"_")))))</f>
        <v> </v>
      </c>
      <c r="H1404" s="24" t="str">
        <f>IF(J1404&lt;&gt;1,"",IF(I1404="SBJ","CB","?"))</f>
        <v> </v>
      </c>
      <c r="I1404" s="25" t="str">
        <f>IF(OR(E1404="",E1404="!!!",F1404="NEW"),"",INDEX(B1403:B$2,-1+SUMPRODUCT(MAX(ROW(E1403:E$2)*(E1404=E1403:E$2)))))</f>
        <v> </v>
      </c>
      <c r="J1404" s="25" t="str">
        <f>IF(OR(E1404="",E1404="!!!",F1404="NEW"),"",COUNTBLANK(OFFSET(A$1,,,SUMPRODUCT(MAX(ROW(E$2:E1404)*(E1404=E$2:E1404)))))-COUNTBLANK(OFFSET(A$1,,,SUMPRODUCT(MAX(ROW(E$1:E1403)*(E2=E$1:E1403))))))</f>
        <v> </v>
      </c>
      <c r="K1404" s="25" t="str">
        <f>IF(OR(E1404="",E1404="!!!",F1404="NEW"),"",INDEX(J$1:J1403,SUMPRODUCT(MAX(ROW(E$1:E1403)*(E1404=E$1:E1403)))))</f>
        <v> </v>
      </c>
      <c r="L1404" s="26"/>
    </row>
    <row r="1405" spans="1:12">
      <c r="A1405" s="20" t="s">
        <v>977</v>
      </c>
      <c r="E1405" s="21">
        <f>IF(D1405="?OLD","!!!","")</f>
        <v/>
      </c>
      <c r="F1405" s="22" t="str">
        <f>IF(OR(E1405="",E1405="!!!"),"",IF(NOT(ISNA(VLOOKUP(E1405,E$1:E1404,1,FALSE()))),"OLD",IF(AND(E1405&lt;&gt;"",E1405&lt;&gt;"!!!"),"NEW","")))</f>
        <v> </v>
      </c>
      <c r="G1405" s="23" t="str">
        <f>IF(OR(E1405="",E1405="!!!"),"",IF(OR(J1405=0,AND(J1405=1,K1405=1),AND(J1405=1,I1405="SBJ"),AND(J1405=1,I1405=0)),"?IN_FOCUS",IF(J1405&lt;=2,"?ACTIVATED",IF(J1405&lt;&gt;"","?FAMILIAR",IF(F1405="NEW",IF(ISNA(VLOOKUP(E1405,#REF!,1,FALSE())),"?TYPE_IDENTIFIABLE","?REFERENTIAL"),"_")))))</f>
        <v> </v>
      </c>
      <c r="H1405" s="24" t="str">
        <f>IF(J1405&lt;&gt;1,"",IF(I1405="SBJ","CB","?"))</f>
        <v> </v>
      </c>
      <c r="I1405" s="25" t="str">
        <f>IF(OR(E1405="",E1405="!!!",F1405="NEW"),"",INDEX(B1404:B$2,-1+SUMPRODUCT(MAX(ROW(E1404:E$2)*(E1405=E1404:E$2)))))</f>
        <v> </v>
      </c>
      <c r="J1405" s="25" t="str">
        <f>IF(OR(E1405="",E1405="!!!",F1405="NEW"),"",COUNTBLANK(OFFSET(A$1,,,SUMPRODUCT(MAX(ROW(E$2:E1405)*(E1405=E$2:E1405)))))-COUNTBLANK(OFFSET(A$1,,,SUMPRODUCT(MAX(ROW(E$1:E1404)*(E2=E$1:E1404))))))</f>
        <v> </v>
      </c>
      <c r="K1405" s="25" t="str">
        <f>IF(OR(E1405="",E1405="!!!",F1405="NEW"),"",INDEX(J$1:J1404,SUMPRODUCT(MAX(ROW(E$1:E1404)*(E1405=E$1:E1404)))))</f>
        <v> </v>
      </c>
      <c r="L1405" s="26"/>
    </row>
    <row r="1406" spans="1:12">
      <c r="A1406" s="20" t="s">
        <v>978</v>
      </c>
      <c r="E1406" s="21">
        <f>IF(D1406="?OLD","!!!","")</f>
        <v/>
      </c>
      <c r="F1406" s="22" t="str">
        <f>IF(OR(E1406="",E1406="!!!"),"",IF(NOT(ISNA(VLOOKUP(E1406,E$1:E1405,1,FALSE()))),"OLD",IF(AND(E1406&lt;&gt;"",E1406&lt;&gt;"!!!"),"NEW","")))</f>
        <v> </v>
      </c>
      <c r="G1406" s="23" t="str">
        <f>IF(OR(E1406="",E1406="!!!"),"",IF(OR(J1406=0,AND(J1406=1,K1406=1),AND(J1406=1,I1406="SBJ"),AND(J1406=1,I1406=0)),"?IN_FOCUS",IF(J1406&lt;=2,"?ACTIVATED",IF(J1406&lt;&gt;"","?FAMILIAR",IF(F1406="NEW",IF(ISNA(VLOOKUP(E1406,#REF!,1,FALSE())),"?TYPE_IDENTIFIABLE","?REFERENTIAL"),"_")))))</f>
        <v> </v>
      </c>
      <c r="H1406" s="24" t="str">
        <f>IF(J1406&lt;&gt;1,"",IF(I1406="SBJ","CB","?"))</f>
        <v> </v>
      </c>
      <c r="I1406" s="25" t="str">
        <f>IF(OR(E1406="",E1406="!!!",F1406="NEW"),"",INDEX(B1405:B$2,-1+SUMPRODUCT(MAX(ROW(E1405:E$2)*(E1406=E1405:E$2)))))</f>
        <v> </v>
      </c>
      <c r="J1406" s="25" t="str">
        <f>IF(OR(E1406="",E1406="!!!",F1406="NEW"),"",COUNTBLANK(OFFSET(A$1,,,SUMPRODUCT(MAX(ROW(E$2:E1406)*(E1406=E$2:E1406)))))-COUNTBLANK(OFFSET(A$1,,,SUMPRODUCT(MAX(ROW(E$1:E1405)*(E2=E$1:E1405))))))</f>
        <v> </v>
      </c>
      <c r="K1406" s="25" t="str">
        <f>IF(OR(E1406="",E1406="!!!",F1406="NEW"),"",INDEX(J$1:J1405,SUMPRODUCT(MAX(ROW(E$1:E1405)*(E1406=E$1:E1405)))))</f>
        <v> </v>
      </c>
      <c r="L1406" s="26"/>
    </row>
    <row r="1407" spans="1:12">
      <c r="A1407" s="20" t="s">
        <v>531</v>
      </c>
      <c r="E1407" s="21">
        <f>IF(D1407="?OLD","!!!","")</f>
        <v/>
      </c>
      <c r="F1407" s="22" t="str">
        <f>IF(OR(E1407="",E1407="!!!"),"",IF(NOT(ISNA(VLOOKUP(E1407,E$1:E1406,1,FALSE()))),"OLD",IF(AND(E1407&lt;&gt;"",E1407&lt;&gt;"!!!"),"NEW","")))</f>
        <v> </v>
      </c>
      <c r="G1407" s="23" t="str">
        <f>IF(OR(E1407="",E1407="!!!"),"",IF(OR(J1407=0,AND(J1407=1,K1407=1),AND(J1407=1,I1407="SBJ"),AND(J1407=1,I1407=0)),"?IN_FOCUS",IF(J1407&lt;=2,"?ACTIVATED",IF(J1407&lt;&gt;"","?FAMILIAR",IF(F1407="NEW",IF(ISNA(VLOOKUP(E1407,#REF!,1,FALSE())),"?TYPE_IDENTIFIABLE","?REFERENTIAL"),"_")))))</f>
        <v> </v>
      </c>
      <c r="H1407" s="24" t="str">
        <f>IF(J1407&lt;&gt;1,"",IF(I1407="SBJ","CB","?"))</f>
        <v> </v>
      </c>
      <c r="I1407" s="25" t="str">
        <f>IF(OR(E1407="",E1407="!!!",F1407="NEW"),"",INDEX(B1406:B$2,-1+SUMPRODUCT(MAX(ROW(E1406:E$2)*(E1407=E1406:E$2)))))</f>
        <v> </v>
      </c>
      <c r="J1407" s="25" t="str">
        <f>IF(OR(E1407="",E1407="!!!",F1407="NEW"),"",COUNTBLANK(OFFSET(A$1,,,SUMPRODUCT(MAX(ROW(E$2:E1407)*(E1407=E$2:E1407)))))-COUNTBLANK(OFFSET(A$1,,,SUMPRODUCT(MAX(ROW(E$1:E1406)*(E2=E$1:E1406))))))</f>
        <v> </v>
      </c>
      <c r="K1407" s="25" t="str">
        <f>IF(OR(E1407="",E1407="!!!",F1407="NEW"),"",INDEX(J$1:J1406,SUMPRODUCT(MAX(ROW(E$1:E1406)*(E1407=E$1:E1406)))))</f>
        <v> </v>
      </c>
      <c r="L1407" s="26"/>
    </row>
    <row r="1408" spans="1:12">
      <c r="A1408" s="20"/>
    </row>
    <row r="1409" spans="1:12">
      <c r="A1409" s="20" t="s">
        <v>979</v>
      </c>
    </row>
    <row r="1410" spans="1:12">
      <c r="A1410" s="20" t="s">
        <v>980</v>
      </c>
      <c r="E1410" s="21">
        <f>IF(D1410="?OLD","!!!","")</f>
        <v/>
      </c>
      <c r="F1410" s="22" t="str">
        <f>IF(OR(E1410="",E1410="!!!"),"",IF(NOT(ISNA(VLOOKUP(E1410,E$1:E1409,1,FALSE()))),"OLD",IF(AND(E1410&lt;&gt;"",E1410&lt;&gt;"!!!"),"NEW","")))</f>
        <v> </v>
      </c>
      <c r="G1410" s="23" t="str">
        <f>IF(OR(E1410="",E1410="!!!"),"",IF(OR(J1410=0,AND(J1410=1,K1410=1),AND(J1410=1,I1410="SBJ"),AND(J1410=1,I1410=0)),"?IN_FOCUS",IF(J1410&lt;=2,"?ACTIVATED",IF(J1410&lt;&gt;"","?FAMILIAR",IF(F1410="NEW",IF(ISNA(VLOOKUP(E1410,#REF!,1,FALSE())),"?TYPE_IDENTIFIABLE","?REFERENTIAL"),"_")))))</f>
        <v> </v>
      </c>
      <c r="H1410" s="24" t="str">
        <f>IF(J1410&lt;&gt;1,"",IF(I1410="SBJ","CB","?"))</f>
        <v> </v>
      </c>
      <c r="I1410" s="25" t="str">
        <f>IF(OR(E1410="",E1410="!!!",F1410="NEW"),"",INDEX(B1409:B$2,-1+SUMPRODUCT(MAX(ROW(E1409:E$2)*(E1410=E1409:E$2)))))</f>
        <v> </v>
      </c>
      <c r="J1410" s="25" t="str">
        <f>IF(OR(E1410="",E1410="!!!",F1410="NEW"),"",COUNTBLANK(OFFSET(A$1,,,SUMPRODUCT(MAX(ROW(E$2:E1410)*(E1410=E$2:E1410)))))-COUNTBLANK(OFFSET(A$1,,,SUMPRODUCT(MAX(ROW(E$1:E1409)*(E2=E$1:E1409))))))</f>
        <v> </v>
      </c>
      <c r="K1410" s="25" t="str">
        <f>IF(OR(E1410="",E1410="!!!",F1410="NEW"),"",INDEX(J$1:J1409,SUMPRODUCT(MAX(ROW(E$1:E1409)*(E1410=E$1:E1409)))))</f>
        <v> </v>
      </c>
      <c r="L1410" s="26"/>
    </row>
    <row r="1411" spans="1:12">
      <c r="A1411" s="20" t="s">
        <v>489</v>
      </c>
      <c r="E1411" s="21">
        <f>IF(D1411="?OLD","!!!","")</f>
        <v/>
      </c>
      <c r="F1411" s="22" t="str">
        <f>IF(OR(E1411="",E1411="!!!"),"",IF(NOT(ISNA(VLOOKUP(E1411,E$1:E1410,1,FALSE()))),"OLD",IF(AND(E1411&lt;&gt;"",E1411&lt;&gt;"!!!"),"NEW","")))</f>
        <v> </v>
      </c>
      <c r="G1411" s="23" t="str">
        <f>IF(OR(E1411="",E1411="!!!"),"",IF(OR(J1411=0,AND(J1411=1,K1411=1),AND(J1411=1,I1411="SBJ"),AND(J1411=1,I1411=0)),"?IN_FOCUS",IF(J1411&lt;=2,"?ACTIVATED",IF(J1411&lt;&gt;"","?FAMILIAR",IF(F1411="NEW",IF(ISNA(VLOOKUP(E1411,#REF!,1,FALSE())),"?TYPE_IDENTIFIABLE","?REFERENTIAL"),"_")))))</f>
        <v> </v>
      </c>
      <c r="H1411" s="24" t="str">
        <f>IF(J1411&lt;&gt;1,"",IF(I1411="SBJ","CB","?"))</f>
        <v> </v>
      </c>
      <c r="I1411" s="25" t="str">
        <f>IF(OR(E1411="",E1411="!!!",F1411="NEW"),"",INDEX(B1410:B$2,-1+SUMPRODUCT(MAX(ROW(E1410:E$2)*(E1411=E1410:E$2)))))</f>
        <v> </v>
      </c>
      <c r="J1411" s="25" t="str">
        <f>IF(OR(E1411="",E1411="!!!",F1411="NEW"),"",COUNTBLANK(OFFSET(A$1,,,SUMPRODUCT(MAX(ROW(E$2:E1411)*(E1411=E$2:E1411)))))-COUNTBLANK(OFFSET(A$1,,,SUMPRODUCT(MAX(ROW(E$1:E1410)*(E2=E$1:E1410))))))</f>
        <v> </v>
      </c>
      <c r="K1411" s="25" t="str">
        <f>IF(OR(E1411="",E1411="!!!",F1411="NEW"),"",INDEX(J$1:J1410,SUMPRODUCT(MAX(ROW(E$1:E1410)*(E1411=E$1:E1410)))))</f>
        <v> </v>
      </c>
      <c r="L1411" s="26"/>
    </row>
    <row r="1412" spans="1:12">
      <c r="A1412" s="20" t="s">
        <v>529</v>
      </c>
      <c r="E1412" s="21">
        <f>IF(D1412="?OLD","!!!","")</f>
        <v/>
      </c>
      <c r="F1412" s="22" t="str">
        <f>IF(OR(E1412="",E1412="!!!"),"",IF(NOT(ISNA(VLOOKUP(E1412,E$1:E1411,1,FALSE()))),"OLD",IF(AND(E1412&lt;&gt;"",E1412&lt;&gt;"!!!"),"NEW","")))</f>
        <v> </v>
      </c>
      <c r="G1412" s="23" t="str">
        <f>IF(OR(E1412="",E1412="!!!"),"",IF(OR(J1412=0,AND(J1412=1,K1412=1),AND(J1412=1,I1412="SBJ"),AND(J1412=1,I1412=0)),"?IN_FOCUS",IF(J1412&lt;=2,"?ACTIVATED",IF(J1412&lt;&gt;"","?FAMILIAR",IF(F1412="NEW",IF(ISNA(VLOOKUP(E1412,#REF!,1,FALSE())),"?TYPE_IDENTIFIABLE","?REFERENTIAL"),"_")))))</f>
        <v> </v>
      </c>
      <c r="H1412" s="24" t="str">
        <f>IF(J1412&lt;&gt;1,"",IF(I1412="SBJ","CB","?"))</f>
        <v> </v>
      </c>
      <c r="I1412" s="25" t="str">
        <f>IF(OR(E1412="",E1412="!!!",F1412="NEW"),"",INDEX(B1411:B$2,-1+SUMPRODUCT(MAX(ROW(E1411:E$2)*(E1412=E1411:E$2)))))</f>
        <v> </v>
      </c>
      <c r="J1412" s="25" t="str">
        <f>IF(OR(E1412="",E1412="!!!",F1412="NEW"),"",COUNTBLANK(OFFSET(A$1,,,SUMPRODUCT(MAX(ROW(E$2:E1412)*(E1412=E$2:E1412)))))-COUNTBLANK(OFFSET(A$1,,,SUMPRODUCT(MAX(ROW(E$1:E1411)*(E2=E$1:E1411))))))</f>
        <v> </v>
      </c>
      <c r="K1412" s="25" t="str">
        <f>IF(OR(E1412="",E1412="!!!",F1412="NEW"),"",INDEX(J$1:J1411,SUMPRODUCT(MAX(ROW(E$1:E1411)*(E1412=E$1:E1411)))))</f>
        <v> </v>
      </c>
      <c r="L1412" s="26"/>
    </row>
    <row r="1413" spans="1:12">
      <c r="A1413" s="20" t="s">
        <v>981</v>
      </c>
      <c r="E1413" s="21">
        <f>IF(D1413="?OLD","!!!","")</f>
        <v/>
      </c>
      <c r="F1413" s="22" t="str">
        <f>IF(OR(E1413="",E1413="!!!"),"",IF(NOT(ISNA(VLOOKUP(E1413,E$1:E1412,1,FALSE()))),"OLD",IF(AND(E1413&lt;&gt;"",E1413&lt;&gt;"!!!"),"NEW","")))</f>
        <v> </v>
      </c>
      <c r="G1413" s="23" t="str">
        <f>IF(OR(E1413="",E1413="!!!"),"",IF(OR(J1413=0,AND(J1413=1,K1413=1),AND(J1413=1,I1413="SBJ"),AND(J1413=1,I1413=0)),"?IN_FOCUS",IF(J1413&lt;=2,"?ACTIVATED",IF(J1413&lt;&gt;"","?FAMILIAR",IF(F1413="NEW",IF(ISNA(VLOOKUP(E1413,#REF!,1,FALSE())),"?TYPE_IDENTIFIABLE","?REFERENTIAL"),"_")))))</f>
        <v> </v>
      </c>
      <c r="H1413" s="24" t="str">
        <f>IF(J1413&lt;&gt;1,"",IF(I1413="SBJ","CB","?"))</f>
        <v> </v>
      </c>
      <c r="I1413" s="25" t="str">
        <f>IF(OR(E1413="",E1413="!!!",F1413="NEW"),"",INDEX(B1412:B$2,-1+SUMPRODUCT(MAX(ROW(E1412:E$2)*(E1413=E1412:E$2)))))</f>
        <v> </v>
      </c>
      <c r="J1413" s="25" t="str">
        <f>IF(OR(E1413="",E1413="!!!",F1413="NEW"),"",COUNTBLANK(OFFSET(A$1,,,SUMPRODUCT(MAX(ROW(E$2:E1413)*(E1413=E$2:E1413)))))-COUNTBLANK(OFFSET(A$1,,,SUMPRODUCT(MAX(ROW(E$1:E1412)*(E2=E$1:E1412))))))</f>
        <v> </v>
      </c>
      <c r="K1413" s="25" t="str">
        <f>IF(OR(E1413="",E1413="!!!",F1413="NEW"),"",INDEX(J$1:J1412,SUMPRODUCT(MAX(ROW(E$1:E1412)*(E1413=E$1:E1412)))))</f>
        <v> </v>
      </c>
      <c r="L1413" s="26"/>
    </row>
    <row r="1414" spans="1:12">
      <c r="A1414" s="20" t="s">
        <v>982</v>
      </c>
      <c r="B1414" s="27" t="s">
        <v>542</v>
      </c>
      <c r="C1414" s="27" t="s">
        <v>516</v>
      </c>
      <c r="E1414" s="21">
        <f>IF(D1414="?OLD","!!!","")</f>
        <v/>
      </c>
      <c r="F1414" s="22" t="str">
        <f>IF(OR(E1414="",E1414="!!!"),"",IF(NOT(ISNA(VLOOKUP(E1414,E$1:E1413,1,FALSE()))),"OLD",IF(AND(E1414&lt;&gt;"",E1414&lt;&gt;"!!!"),"NEW","")))</f>
        <v> </v>
      </c>
      <c r="G1414" s="23" t="str">
        <f>IF(OR(E1414="",E1414="!!!"),"",IF(OR(J1414=0,AND(J1414=1,K1414=1),AND(J1414=1,I1414="SBJ"),AND(J1414=1,I1414=0)),"?IN_FOCUS",IF(J1414&lt;=2,"?ACTIVATED",IF(J1414&lt;&gt;"","?FAMILIAR",IF(F1414="NEW",IF(ISNA(VLOOKUP(E1414,#REF!,1,FALSE())),"?TYPE_IDENTIFIABLE","?REFERENTIAL"),"_")))))</f>
        <v> </v>
      </c>
      <c r="H1414" s="24" t="str">
        <f>IF(J1414&lt;&gt;1,"",IF(I1414="SBJ","CB","?"))</f>
        <v> </v>
      </c>
      <c r="I1414" s="25" t="str">
        <f>IF(OR(E1414="",E1414="!!!",F1414="NEW"),"",INDEX(B1413:B$2,-1+SUMPRODUCT(MAX(ROW(E1413:E$2)*(E1414=E1413:E$2)))))</f>
        <v> </v>
      </c>
      <c r="J1414" s="25" t="str">
        <f>IF(OR(E1414="",E1414="!!!",F1414="NEW"),"",COUNTBLANK(OFFSET(A$1,,,SUMPRODUCT(MAX(ROW(E$2:E1414)*(E1414=E$2:E1414)))))-COUNTBLANK(OFFSET(A$1,,,SUMPRODUCT(MAX(ROW(E$1:E1413)*(E2=E$1:E1413))))))</f>
        <v> </v>
      </c>
      <c r="K1414" s="25" t="str">
        <f>IF(OR(E1414="",E1414="!!!",F1414="NEW"),"",INDEX(J$1:J1413,SUMPRODUCT(MAX(ROW(E$1:E1413)*(E1414=E$1:E1413)))))</f>
        <v> </v>
      </c>
      <c r="L1414" s="26"/>
    </row>
    <row r="1415" spans="1:12">
      <c r="A1415" s="20" t="s">
        <v>967</v>
      </c>
      <c r="E1415" s="21">
        <f>IF(D1415="?OLD","!!!","")</f>
        <v/>
      </c>
      <c r="F1415" s="22" t="str">
        <f>IF(OR(E1415="",E1415="!!!"),"",IF(NOT(ISNA(VLOOKUP(E1415,E$1:E1414,1,FALSE()))),"OLD",IF(AND(E1415&lt;&gt;"",E1415&lt;&gt;"!!!"),"NEW","")))</f>
        <v> </v>
      </c>
      <c r="G1415" s="23" t="str">
        <f>IF(OR(E1415="",E1415="!!!"),"",IF(OR(J1415=0,AND(J1415=1,K1415=1),AND(J1415=1,I1415="SBJ"),AND(J1415=1,I1415=0)),"?IN_FOCUS",IF(J1415&lt;=2,"?ACTIVATED",IF(J1415&lt;&gt;"","?FAMILIAR",IF(F1415="NEW",IF(ISNA(VLOOKUP(E1415,#REF!,1,FALSE())),"?TYPE_IDENTIFIABLE","?REFERENTIAL"),"_")))))</f>
        <v> </v>
      </c>
      <c r="H1415" s="24" t="str">
        <f>IF(J1415&lt;&gt;1,"",IF(I1415="SBJ","CB","?"))</f>
        <v> </v>
      </c>
      <c r="I1415" s="25" t="str">
        <f>IF(OR(E1415="",E1415="!!!",F1415="NEW"),"",INDEX(B1414:B$2,-1+SUMPRODUCT(MAX(ROW(E1414:E$2)*(E1415=E1414:E$2)))))</f>
        <v> </v>
      </c>
      <c r="J1415" s="25" t="str">
        <f>IF(OR(E1415="",E1415="!!!",F1415="NEW"),"",COUNTBLANK(OFFSET(A$1,,,SUMPRODUCT(MAX(ROW(E$2:E1415)*(E1415=E$2:E1415)))))-COUNTBLANK(OFFSET(A$1,,,SUMPRODUCT(MAX(ROW(E$1:E1414)*(E2=E$1:E1414))))))</f>
        <v> </v>
      </c>
      <c r="K1415" s="25" t="str">
        <f>IF(OR(E1415="",E1415="!!!",F1415="NEW"),"",INDEX(J$1:J1414,SUMPRODUCT(MAX(ROW(E$1:E1414)*(E1415=E$1:E1414)))))</f>
        <v> </v>
      </c>
      <c r="L1415" s="26"/>
    </row>
    <row r="1416" spans="1:12">
      <c r="A1416" s="20" t="s">
        <v>489</v>
      </c>
      <c r="E1416" s="21">
        <f>IF(D1416="?OLD","!!!","")</f>
        <v/>
      </c>
      <c r="F1416" s="22" t="str">
        <f>IF(OR(E1416="",E1416="!!!"),"",IF(NOT(ISNA(VLOOKUP(E1416,E$1:E1415,1,FALSE()))),"OLD",IF(AND(E1416&lt;&gt;"",E1416&lt;&gt;"!!!"),"NEW","")))</f>
        <v> </v>
      </c>
      <c r="G1416" s="23" t="str">
        <f>IF(OR(E1416="",E1416="!!!"),"",IF(OR(J1416=0,AND(J1416=1,K1416=1),AND(J1416=1,I1416="SBJ"),AND(J1416=1,I1416=0)),"?IN_FOCUS",IF(J1416&lt;=2,"?ACTIVATED",IF(J1416&lt;&gt;"","?FAMILIAR",IF(F1416="NEW",IF(ISNA(VLOOKUP(E1416,#REF!,1,FALSE())),"?TYPE_IDENTIFIABLE","?REFERENTIAL"),"_")))))</f>
        <v> </v>
      </c>
      <c r="H1416" s="24" t="str">
        <f>IF(J1416&lt;&gt;1,"",IF(I1416="SBJ","CB","?"))</f>
        <v> </v>
      </c>
      <c r="I1416" s="25" t="str">
        <f>IF(OR(E1416="",E1416="!!!",F1416="NEW"),"",INDEX(B1415:B$2,-1+SUMPRODUCT(MAX(ROW(E1415:E$2)*(E1416=E1415:E$2)))))</f>
        <v> </v>
      </c>
      <c r="J1416" s="25" t="str">
        <f>IF(OR(E1416="",E1416="!!!",F1416="NEW"),"",COUNTBLANK(OFFSET(A$1,,,SUMPRODUCT(MAX(ROW(E$2:E1416)*(E1416=E$2:E1416)))))-COUNTBLANK(OFFSET(A$1,,,SUMPRODUCT(MAX(ROW(E$1:E1415)*(E2=E$1:E1415))))))</f>
        <v> </v>
      </c>
      <c r="K1416" s="25" t="str">
        <f>IF(OR(E1416="",E1416="!!!",F1416="NEW"),"",INDEX(J$1:J1415,SUMPRODUCT(MAX(ROW(E$1:E1415)*(E1416=E$1:E1415)))))</f>
        <v> </v>
      </c>
      <c r="L1416" s="26"/>
    </row>
    <row r="1417" spans="1:12">
      <c r="A1417" s="20" t="s">
        <v>337</v>
      </c>
      <c r="E1417" s="21">
        <f>IF(D1417="?OLD","!!!","")</f>
        <v/>
      </c>
      <c r="F1417" s="22" t="str">
        <f>IF(OR(E1417="",E1417="!!!"),"",IF(NOT(ISNA(VLOOKUP(E1417,E$1:E1416,1,FALSE()))),"OLD",IF(AND(E1417&lt;&gt;"",E1417&lt;&gt;"!!!"),"NEW","")))</f>
        <v> </v>
      </c>
      <c r="G1417" s="23" t="str">
        <f>IF(OR(E1417="",E1417="!!!"),"",IF(OR(J1417=0,AND(J1417=1,K1417=1),AND(J1417=1,I1417="SBJ"),AND(J1417=1,I1417=0)),"?IN_FOCUS",IF(J1417&lt;=2,"?ACTIVATED",IF(J1417&lt;&gt;"","?FAMILIAR",IF(F1417="NEW",IF(ISNA(VLOOKUP(E1417,#REF!,1,FALSE())),"?TYPE_IDENTIFIABLE","?REFERENTIAL"),"_")))))</f>
        <v> </v>
      </c>
      <c r="H1417" s="24" t="str">
        <f>IF(J1417&lt;&gt;1,"",IF(I1417="SBJ","CB","?"))</f>
        <v> </v>
      </c>
      <c r="I1417" s="25" t="str">
        <f>IF(OR(E1417="",E1417="!!!",F1417="NEW"),"",INDEX(B1416:B$2,-1+SUMPRODUCT(MAX(ROW(E1416:E$2)*(E1417=E1416:E$2)))))</f>
        <v> </v>
      </c>
      <c r="J1417" s="25" t="str">
        <f>IF(OR(E1417="",E1417="!!!",F1417="NEW"),"",COUNTBLANK(OFFSET(A$1,,,SUMPRODUCT(MAX(ROW(E$2:E1417)*(E1417=E$2:E1417)))))-COUNTBLANK(OFFSET(A$1,,,SUMPRODUCT(MAX(ROW(E$1:E1416)*(E2=E$1:E1416))))))</f>
        <v> </v>
      </c>
      <c r="K1417" s="25" t="str">
        <f>IF(OR(E1417="",E1417="!!!",F1417="NEW"),"",INDEX(J$1:J1416,SUMPRODUCT(MAX(ROW(E$1:E1416)*(E1417=E$1:E1416)))))</f>
        <v> </v>
      </c>
      <c r="L1417" s="26"/>
    </row>
    <row r="1418" spans="1:12">
      <c r="A1418" s="20" t="s">
        <v>492</v>
      </c>
      <c r="E1418" s="21">
        <f>IF(D1418="?OLD","!!!","")</f>
        <v/>
      </c>
      <c r="F1418" s="22" t="str">
        <f>IF(OR(E1418="",E1418="!!!"),"",IF(NOT(ISNA(VLOOKUP(E1418,E$1:E1417,1,FALSE()))),"OLD",IF(AND(E1418&lt;&gt;"",E1418&lt;&gt;"!!!"),"NEW","")))</f>
        <v> </v>
      </c>
      <c r="G1418" s="23" t="str">
        <f>IF(OR(E1418="",E1418="!!!"),"",IF(OR(J1418=0,AND(J1418=1,K1418=1),AND(J1418=1,I1418="SBJ"),AND(J1418=1,I1418=0)),"?IN_FOCUS",IF(J1418&lt;=2,"?ACTIVATED",IF(J1418&lt;&gt;"","?FAMILIAR",IF(F1418="NEW",IF(ISNA(VLOOKUP(E1418,#REF!,1,FALSE())),"?TYPE_IDENTIFIABLE","?REFERENTIAL"),"_")))))</f>
        <v> </v>
      </c>
      <c r="H1418" s="24" t="str">
        <f>IF(J1418&lt;&gt;1,"",IF(I1418="SBJ","CB","?"))</f>
        <v> </v>
      </c>
      <c r="I1418" s="25" t="str">
        <f>IF(OR(E1418="",E1418="!!!",F1418="NEW"),"",INDEX(B1417:B$2,-1+SUMPRODUCT(MAX(ROW(E1417:E$2)*(E1418=E1417:E$2)))))</f>
        <v> </v>
      </c>
      <c r="J1418" s="25" t="str">
        <f>IF(OR(E1418="",E1418="!!!",F1418="NEW"),"",COUNTBLANK(OFFSET(A$1,,,SUMPRODUCT(MAX(ROW(E$2:E1418)*(E1418=E$2:E1418)))))-COUNTBLANK(OFFSET(A$1,,,SUMPRODUCT(MAX(ROW(E$1:E1417)*(E2=E$1:E1417))))))</f>
        <v> </v>
      </c>
      <c r="K1418" s="25" t="str">
        <f>IF(OR(E1418="",E1418="!!!",F1418="NEW"),"",INDEX(J$1:J1417,SUMPRODUCT(MAX(ROW(E$1:E1417)*(E1418=E$1:E1417)))))</f>
        <v> </v>
      </c>
      <c r="L1418" s="26"/>
    </row>
    <row r="1419" spans="1:12">
      <c r="A1419" s="20" t="s">
        <v>983</v>
      </c>
      <c r="E1419" s="21">
        <f>IF(D1419="?OLD","!!!","")</f>
        <v/>
      </c>
      <c r="F1419" s="22" t="str">
        <f>IF(OR(E1419="",E1419="!!!"),"",IF(NOT(ISNA(VLOOKUP(E1419,E$1:E1418,1,FALSE()))),"OLD",IF(AND(E1419&lt;&gt;"",E1419&lt;&gt;"!!!"),"NEW","")))</f>
        <v> </v>
      </c>
      <c r="G1419" s="23" t="str">
        <f>IF(OR(E1419="",E1419="!!!"),"",IF(OR(J1419=0,AND(J1419=1,K1419=1),AND(J1419=1,I1419="SBJ"),AND(J1419=1,I1419=0)),"?IN_FOCUS",IF(J1419&lt;=2,"?ACTIVATED",IF(J1419&lt;&gt;"","?FAMILIAR",IF(F1419="NEW",IF(ISNA(VLOOKUP(E1419,#REF!,1,FALSE())),"?TYPE_IDENTIFIABLE","?REFERENTIAL"),"_")))))</f>
        <v> </v>
      </c>
      <c r="H1419" s="24" t="str">
        <f>IF(J1419&lt;&gt;1,"",IF(I1419="SBJ","CB","?"))</f>
        <v> </v>
      </c>
      <c r="I1419" s="25" t="str">
        <f>IF(OR(E1419="",E1419="!!!",F1419="NEW"),"",INDEX(B1418:B$2,-1+SUMPRODUCT(MAX(ROW(E1418:E$2)*(E1419=E1418:E$2)))))</f>
        <v> </v>
      </c>
      <c r="J1419" s="25" t="str">
        <f>IF(OR(E1419="",E1419="!!!",F1419="NEW"),"",COUNTBLANK(OFFSET(A$1,,,SUMPRODUCT(MAX(ROW(E$2:E1419)*(E1419=E$2:E1419)))))-COUNTBLANK(OFFSET(A$1,,,SUMPRODUCT(MAX(ROW(E$1:E1418)*(E2=E$1:E1418))))))</f>
        <v> </v>
      </c>
      <c r="K1419" s="25" t="str">
        <f>IF(OR(E1419="",E1419="!!!",F1419="NEW"),"",INDEX(J$1:J1418,SUMPRODUCT(MAX(ROW(E$1:E1418)*(E1419=E$1:E1418)))))</f>
        <v> </v>
      </c>
      <c r="L1419" s="26"/>
    </row>
    <row r="1420" spans="1:12">
      <c r="A1420" s="20" t="s">
        <v>500</v>
      </c>
      <c r="E1420" s="21">
        <f>IF(D1420="?OLD","!!!","")</f>
        <v/>
      </c>
      <c r="F1420" s="22" t="str">
        <f>IF(OR(E1420="",E1420="!!!"),"",IF(NOT(ISNA(VLOOKUP(E1420,E$1:E1419,1,FALSE()))),"OLD",IF(AND(E1420&lt;&gt;"",E1420&lt;&gt;"!!!"),"NEW","")))</f>
        <v> </v>
      </c>
      <c r="G1420" s="23" t="str">
        <f>IF(OR(E1420="",E1420="!!!"),"",IF(OR(J1420=0,AND(J1420=1,K1420=1),AND(J1420=1,I1420="SBJ"),AND(J1420=1,I1420=0)),"?IN_FOCUS",IF(J1420&lt;=2,"?ACTIVATED",IF(J1420&lt;&gt;"","?FAMILIAR",IF(F1420="NEW",IF(ISNA(VLOOKUP(E1420,#REF!,1,FALSE())),"?TYPE_IDENTIFIABLE","?REFERENTIAL"),"_")))))</f>
        <v> </v>
      </c>
      <c r="H1420" s="24" t="str">
        <f>IF(J1420&lt;&gt;1,"",IF(I1420="SBJ","CB","?"))</f>
        <v> </v>
      </c>
      <c r="I1420" s="25" t="str">
        <f>IF(OR(E1420="",E1420="!!!",F1420="NEW"),"",INDEX(B1419:B$2,-1+SUMPRODUCT(MAX(ROW(E1419:E$2)*(E1420=E1419:E$2)))))</f>
        <v> </v>
      </c>
      <c r="J1420" s="25" t="str">
        <f>IF(OR(E1420="",E1420="!!!",F1420="NEW"),"",COUNTBLANK(OFFSET(A$1,,,SUMPRODUCT(MAX(ROW(E$2:E1420)*(E1420=E$2:E1420)))))-COUNTBLANK(OFFSET(A$1,,,SUMPRODUCT(MAX(ROW(E$1:E1419)*(E2=E$1:E1419))))))</f>
        <v> </v>
      </c>
      <c r="K1420" s="25" t="str">
        <f>IF(OR(E1420="",E1420="!!!",F1420="NEW"),"",INDEX(J$1:J1419,SUMPRODUCT(MAX(ROW(E$1:E1419)*(E1420=E$1:E1419)))))</f>
        <v> </v>
      </c>
      <c r="L1420" s="26"/>
    </row>
    <row r="1421" spans="1:12">
      <c r="A1421" s="20" t="s">
        <v>485</v>
      </c>
      <c r="E1421" s="21">
        <f>IF(D1421="?OLD","!!!","")</f>
        <v/>
      </c>
      <c r="F1421" s="22" t="str">
        <f>IF(OR(E1421="",E1421="!!!"),"",IF(NOT(ISNA(VLOOKUP(E1421,E$1:E1420,1,FALSE()))),"OLD",IF(AND(E1421&lt;&gt;"",E1421&lt;&gt;"!!!"),"NEW","")))</f>
        <v> </v>
      </c>
      <c r="G1421" s="23" t="str">
        <f>IF(OR(E1421="",E1421="!!!"),"",IF(OR(J1421=0,AND(J1421=1,K1421=1),AND(J1421=1,I1421="SBJ"),AND(J1421=1,I1421=0)),"?IN_FOCUS",IF(J1421&lt;=2,"?ACTIVATED",IF(J1421&lt;&gt;"","?FAMILIAR",IF(F1421="NEW",IF(ISNA(VLOOKUP(E1421,#REF!,1,FALSE())),"?TYPE_IDENTIFIABLE","?REFERENTIAL"),"_")))))</f>
        <v> </v>
      </c>
      <c r="H1421" s="24" t="str">
        <f>IF(J1421&lt;&gt;1,"",IF(I1421="SBJ","CB","?"))</f>
        <v> </v>
      </c>
      <c r="I1421" s="25" t="str">
        <f>IF(OR(E1421="",E1421="!!!",F1421="NEW"),"",INDEX(B1420:B$2,-1+SUMPRODUCT(MAX(ROW(E1420:E$2)*(E1421=E1420:E$2)))))</f>
        <v> </v>
      </c>
      <c r="J1421" s="25" t="str">
        <f>IF(OR(E1421="",E1421="!!!",F1421="NEW"),"",COUNTBLANK(OFFSET(A$1,,,SUMPRODUCT(MAX(ROW(E$2:E1421)*(E1421=E$2:E1421)))))-COUNTBLANK(OFFSET(A$1,,,SUMPRODUCT(MAX(ROW(E$1:E1420)*(E2=E$1:E1420))))))</f>
        <v> </v>
      </c>
      <c r="K1421" s="25" t="str">
        <f>IF(OR(E1421="",E1421="!!!",F1421="NEW"),"",INDEX(J$1:J1420,SUMPRODUCT(MAX(ROW(E$1:E1420)*(E1421=E$1:E1420)))))</f>
        <v> </v>
      </c>
      <c r="L1421" s="26"/>
    </row>
    <row r="1422" spans="1:12">
      <c r="A1422" s="20" t="s">
        <v>963</v>
      </c>
      <c r="B1422" s="27" t="s">
        <v>490</v>
      </c>
      <c r="C1422" s="27" t="s">
        <v>487</v>
      </c>
      <c r="D1422" s="27" t="s">
        <v>483</v>
      </c>
      <c r="E1422" s="21">
        <f>IF(D1422="?OLD","!!!","")</f>
        <v/>
      </c>
      <c r="F1422" s="22" t="str">
        <f>IF(OR(E1422="",E1422="!!!"),"",IF(NOT(ISNA(VLOOKUP(E1422,E$1:E1421,1,FALSE()))),"OLD",IF(AND(E1422&lt;&gt;"",E1422&lt;&gt;"!!!"),"NEW","")))</f>
        <v> </v>
      </c>
      <c r="G1422" s="23" t="str">
        <f>IF(OR(E1422="",E1422="!!!"),"",IF(OR(J1422=0,AND(J1422=1,K1422=1),AND(J1422=1,I1422="SBJ"),AND(J1422=1,I1422=0)),"?IN_FOCUS",IF(J1422&lt;=2,"?ACTIVATED",IF(J1422&lt;&gt;"","?FAMILIAR",IF(F1422="NEW",IF(ISNA(VLOOKUP(E1422,#REF!,1,FALSE())),"?TYPE_IDENTIFIABLE","?REFERENTIAL"),"_")))))</f>
        <v> </v>
      </c>
      <c r="H1422" s="24" t="str">
        <f>IF(J1422&lt;&gt;1,"",IF(I1422="SBJ","CB","?"))</f>
        <v> </v>
      </c>
      <c r="I1422" s="25" t="str">
        <f>IF(OR(E1422="",E1422="!!!",F1422="NEW"),"",INDEX(B1421:B$2,-1+SUMPRODUCT(MAX(ROW(E1421:E$2)*(E1422=E1421:E$2)))))</f>
        <v> </v>
      </c>
      <c r="J1422" s="25" t="str">
        <f>IF(OR(E1422="",E1422="!!!",F1422="NEW"),"",COUNTBLANK(OFFSET(A$1,,,SUMPRODUCT(MAX(ROW(E$2:E1422)*(E1422=E$2:E1422)))))-COUNTBLANK(OFFSET(A$1,,,SUMPRODUCT(MAX(ROW(E$1:E1421)*(E2=E$1:E1421))))))</f>
        <v> </v>
      </c>
      <c r="K1422" s="25" t="str">
        <f>IF(OR(E1422="",E1422="!!!",F1422="NEW"),"",INDEX(J$1:J1421,SUMPRODUCT(MAX(ROW(E$1:E1421)*(E1422=E$1:E1421)))))</f>
        <v> </v>
      </c>
      <c r="L1422" s="26"/>
    </row>
    <row r="1423" spans="1:12">
      <c r="A1423" s="20" t="s">
        <v>984</v>
      </c>
      <c r="E1423" s="21">
        <f>IF(D1423="?OLD","!!!","")</f>
        <v/>
      </c>
      <c r="F1423" s="22" t="str">
        <f>IF(OR(E1423="",E1423="!!!"),"",IF(NOT(ISNA(VLOOKUP(E1423,E$1:E1422,1,FALSE()))),"OLD",IF(AND(E1423&lt;&gt;"",E1423&lt;&gt;"!!!"),"NEW","")))</f>
        <v> </v>
      </c>
      <c r="G1423" s="23" t="str">
        <f>IF(OR(E1423="",E1423="!!!"),"",IF(OR(J1423=0,AND(J1423=1,K1423=1),AND(J1423=1,I1423="SBJ"),AND(J1423=1,I1423=0)),"?IN_FOCUS",IF(J1423&lt;=2,"?ACTIVATED",IF(J1423&lt;&gt;"","?FAMILIAR",IF(F1423="NEW",IF(ISNA(VLOOKUP(E1423,#REF!,1,FALSE())),"?TYPE_IDENTIFIABLE","?REFERENTIAL"),"_")))))</f>
        <v> </v>
      </c>
      <c r="H1423" s="24" t="str">
        <f>IF(J1423&lt;&gt;1,"",IF(I1423="SBJ","CB","?"))</f>
        <v> </v>
      </c>
      <c r="I1423" s="25" t="str">
        <f>IF(OR(E1423="",E1423="!!!",F1423="NEW"),"",INDEX(B1422:B$2,-1+SUMPRODUCT(MAX(ROW(E1422:E$2)*(E1423=E1422:E$2)))))</f>
        <v> </v>
      </c>
      <c r="J1423" s="25" t="str">
        <f>IF(OR(E1423="",E1423="!!!",F1423="NEW"),"",COUNTBLANK(OFFSET(A$1,,,SUMPRODUCT(MAX(ROW(E$2:E1423)*(E1423=E$2:E1423)))))-COUNTBLANK(OFFSET(A$1,,,SUMPRODUCT(MAX(ROW(E$1:E1422)*(E2=E$1:E1422))))))</f>
        <v> </v>
      </c>
      <c r="K1423" s="25" t="str">
        <f>IF(OR(E1423="",E1423="!!!",F1423="NEW"),"",INDEX(J$1:J1422,SUMPRODUCT(MAX(ROW(E$1:E1422)*(E1423=E$1:E1422)))))</f>
        <v> </v>
      </c>
      <c r="L1423" s="26"/>
    </row>
    <row r="1424" spans="1:12">
      <c r="A1424" s="20" t="s">
        <v>508</v>
      </c>
      <c r="E1424" s="21">
        <f>IF(D1424="?OLD","!!!","")</f>
        <v/>
      </c>
      <c r="F1424" s="22" t="str">
        <f>IF(OR(E1424="",E1424="!!!"),"",IF(NOT(ISNA(VLOOKUP(E1424,E$1:E1423,1,FALSE()))),"OLD",IF(AND(E1424&lt;&gt;"",E1424&lt;&gt;"!!!"),"NEW","")))</f>
        <v> </v>
      </c>
      <c r="G1424" s="23" t="str">
        <f>IF(OR(E1424="",E1424="!!!"),"",IF(OR(J1424=0,AND(J1424=1,K1424=1),AND(J1424=1,I1424="SBJ"),AND(J1424=1,I1424=0)),"?IN_FOCUS",IF(J1424&lt;=2,"?ACTIVATED",IF(J1424&lt;&gt;"","?FAMILIAR",IF(F1424="NEW",IF(ISNA(VLOOKUP(E1424,#REF!,1,FALSE())),"?TYPE_IDENTIFIABLE","?REFERENTIAL"),"_")))))</f>
        <v> </v>
      </c>
      <c r="H1424" s="24" t="str">
        <f>IF(J1424&lt;&gt;1,"",IF(I1424="SBJ","CB","?"))</f>
        <v> </v>
      </c>
      <c r="I1424" s="25" t="str">
        <f>IF(OR(E1424="",E1424="!!!",F1424="NEW"),"",INDEX(B1423:B$2,-1+SUMPRODUCT(MAX(ROW(E1423:E$2)*(E1424=E1423:E$2)))))</f>
        <v> </v>
      </c>
      <c r="J1424" s="25" t="str">
        <f>IF(OR(E1424="",E1424="!!!",F1424="NEW"),"",COUNTBLANK(OFFSET(A$1,,,SUMPRODUCT(MAX(ROW(E$2:E1424)*(E1424=E$2:E1424)))))-COUNTBLANK(OFFSET(A$1,,,SUMPRODUCT(MAX(ROW(E$1:E1423)*(E2=E$1:E1423))))))</f>
        <v> </v>
      </c>
      <c r="K1424" s="25" t="str">
        <f>IF(OR(E1424="",E1424="!!!",F1424="NEW"),"",INDEX(J$1:J1423,SUMPRODUCT(MAX(ROW(E$1:E1423)*(E1424=E$1:E1423)))))</f>
        <v> </v>
      </c>
      <c r="L1424" s="26"/>
    </row>
    <row r="1425" spans="1:12">
      <c r="A1425" s="20" t="s">
        <v>985</v>
      </c>
      <c r="E1425" s="21">
        <f>IF(D1425="?OLD","!!!","")</f>
        <v/>
      </c>
      <c r="F1425" s="22" t="str">
        <f>IF(OR(E1425="",E1425="!!!"),"",IF(NOT(ISNA(VLOOKUP(E1425,E$1:E1424,1,FALSE()))),"OLD",IF(AND(E1425&lt;&gt;"",E1425&lt;&gt;"!!!"),"NEW","")))</f>
        <v> </v>
      </c>
      <c r="G1425" s="23" t="str">
        <f>IF(OR(E1425="",E1425="!!!"),"",IF(OR(J1425=0,AND(J1425=1,K1425=1),AND(J1425=1,I1425="SBJ"),AND(J1425=1,I1425=0)),"?IN_FOCUS",IF(J1425&lt;=2,"?ACTIVATED",IF(J1425&lt;&gt;"","?FAMILIAR",IF(F1425="NEW",IF(ISNA(VLOOKUP(E1425,#REF!,1,FALSE())),"?TYPE_IDENTIFIABLE","?REFERENTIAL"),"_")))))</f>
        <v> </v>
      </c>
      <c r="H1425" s="24" t="str">
        <f>IF(J1425&lt;&gt;1,"",IF(I1425="SBJ","CB","?"))</f>
        <v> </v>
      </c>
      <c r="I1425" s="25" t="str">
        <f>IF(OR(E1425="",E1425="!!!",F1425="NEW"),"",INDEX(B1424:B$2,-1+SUMPRODUCT(MAX(ROW(E1424:E$2)*(E1425=E1424:E$2)))))</f>
        <v> </v>
      </c>
      <c r="J1425" s="25" t="str">
        <f>IF(OR(E1425="",E1425="!!!",F1425="NEW"),"",COUNTBLANK(OFFSET(A$1,,,SUMPRODUCT(MAX(ROW(E$2:E1425)*(E1425=E$2:E1425)))))-COUNTBLANK(OFFSET(A$1,,,SUMPRODUCT(MAX(ROW(E$1:E1424)*(E2=E$1:E1424))))))</f>
        <v> </v>
      </c>
      <c r="K1425" s="25" t="str">
        <f>IF(OR(E1425="",E1425="!!!",F1425="NEW"),"",INDEX(J$1:J1424,SUMPRODUCT(MAX(ROW(E$1:E1424)*(E1425=E$1:E1424)))))</f>
        <v> </v>
      </c>
      <c r="L1425" s="26"/>
    </row>
    <row r="1426" spans="1:12">
      <c r="A1426" s="20" t="s">
        <v>123</v>
      </c>
      <c r="E1426" s="21">
        <f>IF(D1426="?OLD","!!!","")</f>
        <v/>
      </c>
      <c r="F1426" s="22" t="str">
        <f>IF(OR(E1426="",E1426="!!!"),"",IF(NOT(ISNA(VLOOKUP(E1426,E$1:E1425,1,FALSE()))),"OLD",IF(AND(E1426&lt;&gt;"",E1426&lt;&gt;"!!!"),"NEW","")))</f>
        <v> </v>
      </c>
      <c r="G1426" s="23" t="str">
        <f>IF(OR(E1426="",E1426="!!!"),"",IF(OR(J1426=0,AND(J1426=1,K1426=1),AND(J1426=1,I1426="SBJ"),AND(J1426=1,I1426=0)),"?IN_FOCUS",IF(J1426&lt;=2,"?ACTIVATED",IF(J1426&lt;&gt;"","?FAMILIAR",IF(F1426="NEW",IF(ISNA(VLOOKUP(E1426,#REF!,1,FALSE())),"?TYPE_IDENTIFIABLE","?REFERENTIAL"),"_")))))</f>
        <v> </v>
      </c>
      <c r="H1426" s="24" t="str">
        <f>IF(J1426&lt;&gt;1,"",IF(I1426="SBJ","CB","?"))</f>
        <v> </v>
      </c>
      <c r="I1426" s="25" t="str">
        <f>IF(OR(E1426="",E1426="!!!",F1426="NEW"),"",INDEX(B1425:B$2,-1+SUMPRODUCT(MAX(ROW(E1425:E$2)*(E1426=E1425:E$2)))))</f>
        <v> </v>
      </c>
      <c r="J1426" s="25" t="str">
        <f>IF(OR(E1426="",E1426="!!!",F1426="NEW"),"",COUNTBLANK(OFFSET(A$1,,,SUMPRODUCT(MAX(ROW(E$2:E1426)*(E1426=E$2:E1426)))))-COUNTBLANK(OFFSET(A$1,,,SUMPRODUCT(MAX(ROW(E$1:E1425)*(E2=E$1:E1425))))))</f>
        <v> </v>
      </c>
      <c r="K1426" s="25" t="str">
        <f>IF(OR(E1426="",E1426="!!!",F1426="NEW"),"",INDEX(J$1:J1425,SUMPRODUCT(MAX(ROW(E$1:E1425)*(E1426=E$1:E1425)))))</f>
        <v> </v>
      </c>
      <c r="L1426" s="26"/>
    </row>
    <row r="1427" spans="1:12">
      <c r="A1427" s="20" t="s">
        <v>561</v>
      </c>
      <c r="E1427" s="21">
        <f>IF(D1427="?OLD","!!!","")</f>
        <v/>
      </c>
      <c r="F1427" s="22" t="str">
        <f>IF(OR(E1427="",E1427="!!!"),"",IF(NOT(ISNA(VLOOKUP(E1427,E$1:E1426,1,FALSE()))),"OLD",IF(AND(E1427&lt;&gt;"",E1427&lt;&gt;"!!!"),"NEW","")))</f>
        <v> </v>
      </c>
      <c r="G1427" s="23" t="str">
        <f>IF(OR(E1427="",E1427="!!!"),"",IF(OR(J1427=0,AND(J1427=1,K1427=1),AND(J1427=1,I1427="SBJ"),AND(J1427=1,I1427=0)),"?IN_FOCUS",IF(J1427&lt;=2,"?ACTIVATED",IF(J1427&lt;&gt;"","?FAMILIAR",IF(F1427="NEW",IF(ISNA(VLOOKUP(E1427,#REF!,1,FALSE())),"?TYPE_IDENTIFIABLE","?REFERENTIAL"),"_")))))</f>
        <v> </v>
      </c>
      <c r="H1427" s="24" t="str">
        <f>IF(J1427&lt;&gt;1,"",IF(I1427="SBJ","CB","?"))</f>
        <v> </v>
      </c>
      <c r="I1427" s="25" t="str">
        <f>IF(OR(E1427="",E1427="!!!",F1427="NEW"),"",INDEX(B1426:B$2,-1+SUMPRODUCT(MAX(ROW(E1426:E$2)*(E1427=E1426:E$2)))))</f>
        <v> </v>
      </c>
      <c r="J1427" s="25" t="str">
        <f>IF(OR(E1427="",E1427="!!!",F1427="NEW"),"",COUNTBLANK(OFFSET(A$1,,,SUMPRODUCT(MAX(ROW(E$2:E1427)*(E1427=E$2:E1427)))))-COUNTBLANK(OFFSET(A$1,,,SUMPRODUCT(MAX(ROW(E$1:E1426)*(E2=E$1:E1426))))))</f>
        <v> </v>
      </c>
      <c r="K1427" s="25" t="str">
        <f>IF(OR(E1427="",E1427="!!!",F1427="NEW"),"",INDEX(J$1:J1426,SUMPRODUCT(MAX(ROW(E$1:E1426)*(E1427=E$1:E1426)))))</f>
        <v> </v>
      </c>
      <c r="L1427" s="26"/>
    </row>
    <row r="1428" spans="1:12">
      <c r="A1428" s="20"/>
    </row>
    <row r="1429" spans="1:12">
      <c r="A1429" s="20" t="s">
        <v>986</v>
      </c>
    </row>
    <row r="1430" spans="1:12">
      <c r="A1430" s="20" t="s">
        <v>12</v>
      </c>
      <c r="E1430" s="21">
        <f>IF(D1430="?OLD","!!!","")</f>
        <v/>
      </c>
      <c r="F1430" s="22" t="str">
        <f>IF(OR(E1430="",E1430="!!!"),"",IF(NOT(ISNA(VLOOKUP(E1430,E$1:E1429,1,FALSE()))),"OLD",IF(AND(E1430&lt;&gt;"",E1430&lt;&gt;"!!!"),"NEW","")))</f>
        <v> </v>
      </c>
      <c r="G1430" s="23" t="str">
        <f>IF(OR(E1430="",E1430="!!!"),"",IF(OR(J1430=0,AND(J1430=1,K1430=1),AND(J1430=1,I1430="SBJ"),AND(J1430=1,I1430=0)),"?IN_FOCUS",IF(J1430&lt;=2,"?ACTIVATED",IF(J1430&lt;&gt;"","?FAMILIAR",IF(F1430="NEW",IF(ISNA(VLOOKUP(E1430,#REF!,1,FALSE())),"?TYPE_IDENTIFIABLE","?REFERENTIAL"),"_")))))</f>
        <v> </v>
      </c>
      <c r="H1430" s="24" t="str">
        <f>IF(J1430&lt;&gt;1,"",IF(I1430="SBJ","CB","?"))</f>
        <v> </v>
      </c>
      <c r="I1430" s="25" t="str">
        <f>IF(OR(E1430="",E1430="!!!",F1430="NEW"),"",INDEX(B1429:B$2,-1+SUMPRODUCT(MAX(ROW(E1429:E$2)*(E1430=E1429:E$2)))))</f>
        <v> </v>
      </c>
      <c r="J1430" s="25" t="str">
        <f>IF(OR(E1430="",E1430="!!!",F1430="NEW"),"",COUNTBLANK(OFFSET(A$1,,,SUMPRODUCT(MAX(ROW(E$2:E1430)*(E1430=E$2:E1430)))))-COUNTBLANK(OFFSET(A$1,,,SUMPRODUCT(MAX(ROW(E$1:E1429)*(E2=E$1:E1429))))))</f>
        <v> </v>
      </c>
      <c r="K1430" s="25" t="str">
        <f>IF(OR(E1430="",E1430="!!!",F1430="NEW"),"",INDEX(J$1:J1429,SUMPRODUCT(MAX(ROW(E$1:E1429)*(E1430=E$1:E1429)))))</f>
        <v> </v>
      </c>
      <c r="L1430" s="26"/>
    </row>
    <row r="1431" spans="1:12">
      <c r="A1431" s="20" t="s">
        <v>582</v>
      </c>
      <c r="B1431" s="27" t="s">
        <v>549</v>
      </c>
      <c r="C1431" s="27" t="s">
        <v>487</v>
      </c>
      <c r="D1431" s="27" t="s">
        <v>483</v>
      </c>
      <c r="E1431" s="21">
        <f>IF(D1431="?OLD","!!!","")</f>
        <v/>
      </c>
      <c r="F1431" s="22" t="str">
        <f>IF(OR(E1431="",E1431="!!!"),"",IF(NOT(ISNA(VLOOKUP(E1431,E$1:E1430,1,FALSE()))),"OLD",IF(AND(E1431&lt;&gt;"",E1431&lt;&gt;"!!!"),"NEW","")))</f>
        <v> </v>
      </c>
      <c r="G1431" s="23" t="str">
        <f>IF(OR(E1431="",E1431="!!!"),"",IF(OR(J1431=0,AND(J1431=1,K1431=1),AND(J1431=1,I1431="SBJ"),AND(J1431=1,I1431=0)),"?IN_FOCUS",IF(J1431&lt;=2,"?ACTIVATED",IF(J1431&lt;&gt;"","?FAMILIAR",IF(F1431="NEW",IF(ISNA(VLOOKUP(E1431,#REF!,1,FALSE())),"?TYPE_IDENTIFIABLE","?REFERENTIAL"),"_")))))</f>
        <v> </v>
      </c>
      <c r="H1431" s="24" t="str">
        <f>IF(J1431&lt;&gt;1,"",IF(I1431="SBJ","CB","?"))</f>
        <v> </v>
      </c>
      <c r="I1431" s="25" t="str">
        <f>IF(OR(E1431="",E1431="!!!",F1431="NEW"),"",INDEX(B1430:B$2,-1+SUMPRODUCT(MAX(ROW(E1430:E$2)*(E1431=E1430:E$2)))))</f>
        <v> </v>
      </c>
      <c r="J1431" s="25" t="str">
        <f>IF(OR(E1431="",E1431="!!!",F1431="NEW"),"",COUNTBLANK(OFFSET(A$1,,,SUMPRODUCT(MAX(ROW(E$2:E1431)*(E1431=E$2:E1431)))))-COUNTBLANK(OFFSET(A$1,,,SUMPRODUCT(MAX(ROW(E$1:E1430)*(E2=E$1:E1430))))))</f>
        <v> </v>
      </c>
      <c r="K1431" s="25" t="str">
        <f>IF(OR(E1431="",E1431="!!!",F1431="NEW"),"",INDEX(J$1:J1430,SUMPRODUCT(MAX(ROW(E$1:E1430)*(E1431=E$1:E1430)))))</f>
        <v> </v>
      </c>
      <c r="L1431" s="26"/>
    </row>
    <row r="1432" spans="1:12">
      <c r="A1432" s="20" t="s">
        <v>558</v>
      </c>
      <c r="E1432" s="21">
        <f>IF(D1432="?OLD","!!!","")</f>
        <v/>
      </c>
      <c r="F1432" s="22" t="str">
        <f>IF(OR(E1432="",E1432="!!!"),"",IF(NOT(ISNA(VLOOKUP(E1432,E$1:E1431,1,FALSE()))),"OLD",IF(AND(E1432&lt;&gt;"",E1432&lt;&gt;"!!!"),"NEW","")))</f>
        <v> </v>
      </c>
      <c r="G1432" s="23" t="str">
        <f>IF(OR(E1432="",E1432="!!!"),"",IF(OR(J1432=0,AND(J1432=1,K1432=1),AND(J1432=1,I1432="SBJ"),AND(J1432=1,I1432=0)),"?IN_FOCUS",IF(J1432&lt;=2,"?ACTIVATED",IF(J1432&lt;&gt;"","?FAMILIAR",IF(F1432="NEW",IF(ISNA(VLOOKUP(E1432,#REF!,1,FALSE())),"?TYPE_IDENTIFIABLE","?REFERENTIAL"),"_")))))</f>
        <v> </v>
      </c>
      <c r="H1432" s="24" t="str">
        <f>IF(J1432&lt;&gt;1,"",IF(I1432="SBJ","CB","?"))</f>
        <v> </v>
      </c>
      <c r="I1432" s="25" t="str">
        <f>IF(OR(E1432="",E1432="!!!",F1432="NEW"),"",INDEX(B1431:B$2,-1+SUMPRODUCT(MAX(ROW(E1431:E$2)*(E1432=E1431:E$2)))))</f>
        <v> </v>
      </c>
      <c r="J1432" s="25" t="str">
        <f>IF(OR(E1432="",E1432="!!!",F1432="NEW"),"",COUNTBLANK(OFFSET(A$1,,,SUMPRODUCT(MAX(ROW(E$2:E1432)*(E1432=E$2:E1432)))))-COUNTBLANK(OFFSET(A$1,,,SUMPRODUCT(MAX(ROW(E$1:E1431)*(E2=E$1:E1431))))))</f>
        <v> </v>
      </c>
      <c r="K1432" s="25" t="str">
        <f>IF(OR(E1432="",E1432="!!!",F1432="NEW"),"",INDEX(J$1:J1431,SUMPRODUCT(MAX(ROW(E$1:E1431)*(E1432=E$1:E1431)))))</f>
        <v> </v>
      </c>
      <c r="L1432" s="26"/>
    </row>
    <row r="1433" spans="1:12">
      <c r="A1433" s="20" t="s">
        <v>333</v>
      </c>
      <c r="E1433" s="21">
        <f>IF(D1433="?OLD","!!!","")</f>
        <v/>
      </c>
      <c r="F1433" s="22" t="str">
        <f>IF(OR(E1433="",E1433="!!!"),"",IF(NOT(ISNA(VLOOKUP(E1433,E$1:E1432,1,FALSE()))),"OLD",IF(AND(E1433&lt;&gt;"",E1433&lt;&gt;"!!!"),"NEW","")))</f>
        <v> </v>
      </c>
      <c r="G1433" s="23" t="str">
        <f>IF(OR(E1433="",E1433="!!!"),"",IF(OR(J1433=0,AND(J1433=1,K1433=1),AND(J1433=1,I1433="SBJ"),AND(J1433=1,I1433=0)),"?IN_FOCUS",IF(J1433&lt;=2,"?ACTIVATED",IF(J1433&lt;&gt;"","?FAMILIAR",IF(F1433="NEW",IF(ISNA(VLOOKUP(E1433,#REF!,1,FALSE())),"?TYPE_IDENTIFIABLE","?REFERENTIAL"),"_")))))</f>
        <v> </v>
      </c>
      <c r="H1433" s="24" t="str">
        <f>IF(J1433&lt;&gt;1,"",IF(I1433="SBJ","CB","?"))</f>
        <v> </v>
      </c>
      <c r="I1433" s="25" t="str">
        <f>IF(OR(E1433="",E1433="!!!",F1433="NEW"),"",INDEX(B1432:B$2,-1+SUMPRODUCT(MAX(ROW(E1432:E$2)*(E1433=E1432:E$2)))))</f>
        <v> </v>
      </c>
      <c r="J1433" s="25" t="str">
        <f>IF(OR(E1433="",E1433="!!!",F1433="NEW"),"",COUNTBLANK(OFFSET(A$1,,,SUMPRODUCT(MAX(ROW(E$2:E1433)*(E1433=E$2:E1433)))))-COUNTBLANK(OFFSET(A$1,,,SUMPRODUCT(MAX(ROW(E$1:E1432)*(E2=E$1:E1432))))))</f>
        <v> </v>
      </c>
      <c r="K1433" s="25" t="str">
        <f>IF(OR(E1433="",E1433="!!!",F1433="NEW"),"",INDEX(J$1:J1432,SUMPRODUCT(MAX(ROW(E$1:E1432)*(E1433=E$1:E1432)))))</f>
        <v> </v>
      </c>
      <c r="L1433" s="26"/>
    </row>
    <row r="1434" spans="1:12">
      <c r="A1434" s="20" t="s">
        <v>503</v>
      </c>
      <c r="E1434" s="21">
        <f>IF(D1434="?OLD","!!!","")</f>
        <v/>
      </c>
      <c r="F1434" s="22" t="str">
        <f>IF(OR(E1434="",E1434="!!!"),"",IF(NOT(ISNA(VLOOKUP(E1434,E$1:E1433,1,FALSE()))),"OLD",IF(AND(E1434&lt;&gt;"",E1434&lt;&gt;"!!!"),"NEW","")))</f>
        <v> </v>
      </c>
      <c r="G1434" s="23" t="str">
        <f>IF(OR(E1434="",E1434="!!!"),"",IF(OR(J1434=0,AND(J1434=1,K1434=1),AND(J1434=1,I1434="SBJ"),AND(J1434=1,I1434=0)),"?IN_FOCUS",IF(J1434&lt;=2,"?ACTIVATED",IF(J1434&lt;&gt;"","?FAMILIAR",IF(F1434="NEW",IF(ISNA(VLOOKUP(E1434,#REF!,1,FALSE())),"?TYPE_IDENTIFIABLE","?REFERENTIAL"),"_")))))</f>
        <v> </v>
      </c>
      <c r="H1434" s="24" t="str">
        <f>IF(J1434&lt;&gt;1,"",IF(I1434="SBJ","CB","?"))</f>
        <v> </v>
      </c>
      <c r="I1434" s="25" t="str">
        <f>IF(OR(E1434="",E1434="!!!",F1434="NEW"),"",INDEX(B1433:B$2,-1+SUMPRODUCT(MAX(ROW(E1433:E$2)*(E1434=E1433:E$2)))))</f>
        <v> </v>
      </c>
      <c r="J1434" s="25" t="str">
        <f>IF(OR(E1434="",E1434="!!!",F1434="NEW"),"",COUNTBLANK(OFFSET(A$1,,,SUMPRODUCT(MAX(ROW(E$2:E1434)*(E1434=E$2:E1434)))))-COUNTBLANK(OFFSET(A$1,,,SUMPRODUCT(MAX(ROW(E$1:E1433)*(E2=E$1:E1433))))))</f>
        <v> </v>
      </c>
      <c r="K1434" s="25" t="str">
        <f>IF(OR(E1434="",E1434="!!!",F1434="NEW"),"",INDEX(J$1:J1433,SUMPRODUCT(MAX(ROW(E$1:E1433)*(E1434=E$1:E1433)))))</f>
        <v> </v>
      </c>
      <c r="L1434" s="26"/>
    </row>
    <row r="1435" spans="1:12">
      <c r="A1435" s="20" t="s">
        <v>987</v>
      </c>
      <c r="B1435" s="27" t="s">
        <v>481</v>
      </c>
      <c r="C1435" s="27" t="s">
        <v>487</v>
      </c>
      <c r="D1435" s="27" t="s">
        <v>483</v>
      </c>
      <c r="E1435" s="21">
        <f>IF(D1435="?OLD","!!!","")</f>
        <v/>
      </c>
      <c r="F1435" s="22" t="str">
        <f>IF(OR(E1435="",E1435="!!!"),"",IF(NOT(ISNA(VLOOKUP(E1435,E$1:E1434,1,FALSE()))),"OLD",IF(AND(E1435&lt;&gt;"",E1435&lt;&gt;"!!!"),"NEW","")))</f>
        <v> </v>
      </c>
      <c r="G1435" s="23" t="str">
        <f>IF(OR(E1435="",E1435="!!!"),"",IF(OR(J1435=0,AND(J1435=1,K1435=1),AND(J1435=1,I1435="SBJ"),AND(J1435=1,I1435=0)),"?IN_FOCUS",IF(J1435&lt;=2,"?ACTIVATED",IF(J1435&lt;&gt;"","?FAMILIAR",IF(F1435="NEW",IF(ISNA(VLOOKUP(E1435,#REF!,1,FALSE())),"?TYPE_IDENTIFIABLE","?REFERENTIAL"),"_")))))</f>
        <v> </v>
      </c>
      <c r="H1435" s="24" t="str">
        <f>IF(J1435&lt;&gt;1,"",IF(I1435="SBJ","CB","?"))</f>
        <v> </v>
      </c>
      <c r="I1435" s="25" t="str">
        <f>IF(OR(E1435="",E1435="!!!",F1435="NEW"),"",INDEX(B1434:B$2,-1+SUMPRODUCT(MAX(ROW(E1434:E$2)*(E1435=E1434:E$2)))))</f>
        <v> </v>
      </c>
      <c r="J1435" s="25" t="str">
        <f>IF(OR(E1435="",E1435="!!!",F1435="NEW"),"",COUNTBLANK(OFFSET(A$1,,,SUMPRODUCT(MAX(ROW(E$2:E1435)*(E1435=E$2:E1435)))))-COUNTBLANK(OFFSET(A$1,,,SUMPRODUCT(MAX(ROW(E$1:E1434)*(E2=E$1:E1434))))))</f>
        <v> </v>
      </c>
      <c r="K1435" s="25" t="str">
        <f>IF(OR(E1435="",E1435="!!!",F1435="NEW"),"",INDEX(J$1:J1434,SUMPRODUCT(MAX(ROW(E$1:E1434)*(E1435=E$1:E1434)))))</f>
        <v> </v>
      </c>
      <c r="L1435" s="26"/>
    </row>
    <row r="1436" spans="1:12">
      <c r="A1436" s="20" t="s">
        <v>988</v>
      </c>
      <c r="E1436" s="21">
        <f>IF(D1436="?OLD","!!!","")</f>
        <v/>
      </c>
      <c r="F1436" s="22" t="str">
        <f>IF(OR(E1436="",E1436="!!!"),"",IF(NOT(ISNA(VLOOKUP(E1436,E$1:E1435,1,FALSE()))),"OLD",IF(AND(E1436&lt;&gt;"",E1436&lt;&gt;"!!!"),"NEW","")))</f>
        <v> </v>
      </c>
      <c r="G1436" s="23" t="str">
        <f>IF(OR(E1436="",E1436="!!!"),"",IF(OR(J1436=0,AND(J1436=1,K1436=1),AND(J1436=1,I1436="SBJ"),AND(J1436=1,I1436=0)),"?IN_FOCUS",IF(J1436&lt;=2,"?ACTIVATED",IF(J1436&lt;&gt;"","?FAMILIAR",IF(F1436="NEW",IF(ISNA(VLOOKUP(E1436,#REF!,1,FALSE())),"?TYPE_IDENTIFIABLE","?REFERENTIAL"),"_")))))</f>
        <v> </v>
      </c>
      <c r="H1436" s="24" t="str">
        <f>IF(J1436&lt;&gt;1,"",IF(I1436="SBJ","CB","?"))</f>
        <v> </v>
      </c>
      <c r="I1436" s="25" t="str">
        <f>IF(OR(E1436="",E1436="!!!",F1436="NEW"),"",INDEX(B1435:B$2,-1+SUMPRODUCT(MAX(ROW(E1435:E$2)*(E1436=E1435:E$2)))))</f>
        <v> </v>
      </c>
      <c r="J1436" s="25" t="str">
        <f>IF(OR(E1436="",E1436="!!!",F1436="NEW"),"",COUNTBLANK(OFFSET(A$1,,,SUMPRODUCT(MAX(ROW(E$2:E1436)*(E1436=E$2:E1436)))))-COUNTBLANK(OFFSET(A$1,,,SUMPRODUCT(MAX(ROW(E$1:E1435)*(E2=E$1:E1435))))))</f>
        <v> </v>
      </c>
      <c r="K1436" s="25" t="str">
        <f>IF(OR(E1436="",E1436="!!!",F1436="NEW"),"",INDEX(J$1:J1435,SUMPRODUCT(MAX(ROW(E$1:E1435)*(E1436=E$1:E1435)))))</f>
        <v> </v>
      </c>
      <c r="L1436" s="26"/>
    </row>
    <row r="1437" spans="1:12">
      <c r="A1437" s="20" t="s">
        <v>503</v>
      </c>
      <c r="E1437" s="21">
        <f>IF(D1437="?OLD","!!!","")</f>
        <v/>
      </c>
      <c r="F1437" s="22" t="str">
        <f>IF(OR(E1437="",E1437="!!!"),"",IF(NOT(ISNA(VLOOKUP(E1437,E$1:E1436,1,FALSE()))),"OLD",IF(AND(E1437&lt;&gt;"",E1437&lt;&gt;"!!!"),"NEW","")))</f>
        <v> </v>
      </c>
      <c r="G1437" s="23" t="str">
        <f>IF(OR(E1437="",E1437="!!!"),"",IF(OR(J1437=0,AND(J1437=1,K1437=1),AND(J1437=1,I1437="SBJ"),AND(J1437=1,I1437=0)),"?IN_FOCUS",IF(J1437&lt;=2,"?ACTIVATED",IF(J1437&lt;&gt;"","?FAMILIAR",IF(F1437="NEW",IF(ISNA(VLOOKUP(E1437,#REF!,1,FALSE())),"?TYPE_IDENTIFIABLE","?REFERENTIAL"),"_")))))</f>
        <v> </v>
      </c>
      <c r="H1437" s="24" t="str">
        <f>IF(J1437&lt;&gt;1,"",IF(I1437="SBJ","CB","?"))</f>
        <v> </v>
      </c>
      <c r="I1437" s="25" t="str">
        <f>IF(OR(E1437="",E1437="!!!",F1437="NEW"),"",INDEX(B1436:B$2,-1+SUMPRODUCT(MAX(ROW(E1436:E$2)*(E1437=E1436:E$2)))))</f>
        <v> </v>
      </c>
      <c r="J1437" s="25" t="str">
        <f>IF(OR(E1437="",E1437="!!!",F1437="NEW"),"",COUNTBLANK(OFFSET(A$1,,,SUMPRODUCT(MAX(ROW(E$2:E1437)*(E1437=E$2:E1437)))))-COUNTBLANK(OFFSET(A$1,,,SUMPRODUCT(MAX(ROW(E$1:E1436)*(E2=E$1:E1436))))))</f>
        <v> </v>
      </c>
      <c r="K1437" s="25" t="str">
        <f>IF(OR(E1437="",E1437="!!!",F1437="NEW"),"",INDEX(J$1:J1436,SUMPRODUCT(MAX(ROW(E$1:E1436)*(E1437=E$1:E1436)))))</f>
        <v> </v>
      </c>
      <c r="L1437" s="26"/>
    </row>
    <row r="1438" spans="1:12">
      <c r="A1438" s="20" t="s">
        <v>882</v>
      </c>
      <c r="E1438" s="21">
        <f>IF(D1438="?OLD","!!!","")</f>
        <v/>
      </c>
      <c r="F1438" s="22" t="str">
        <f>IF(OR(E1438="",E1438="!!!"),"",IF(NOT(ISNA(VLOOKUP(E1438,E$1:E1437,1,FALSE()))),"OLD",IF(AND(E1438&lt;&gt;"",E1438&lt;&gt;"!!!"),"NEW","")))</f>
        <v> </v>
      </c>
      <c r="G1438" s="23" t="str">
        <f>IF(OR(E1438="",E1438="!!!"),"",IF(OR(J1438=0,AND(J1438=1,K1438=1),AND(J1438=1,I1438="SBJ"),AND(J1438=1,I1438=0)),"?IN_FOCUS",IF(J1438&lt;=2,"?ACTIVATED",IF(J1438&lt;&gt;"","?FAMILIAR",IF(F1438="NEW",IF(ISNA(VLOOKUP(E1438,#REF!,1,FALSE())),"?TYPE_IDENTIFIABLE","?REFERENTIAL"),"_")))))</f>
        <v> </v>
      </c>
      <c r="H1438" s="24" t="str">
        <f>IF(J1438&lt;&gt;1,"",IF(I1438="SBJ","CB","?"))</f>
        <v> </v>
      </c>
      <c r="I1438" s="25" t="str">
        <f>IF(OR(E1438="",E1438="!!!",F1438="NEW"),"",INDEX(B1437:B$2,-1+SUMPRODUCT(MAX(ROW(E1437:E$2)*(E1438=E1437:E$2)))))</f>
        <v> </v>
      </c>
      <c r="J1438" s="25" t="str">
        <f>IF(OR(E1438="",E1438="!!!",F1438="NEW"),"",COUNTBLANK(OFFSET(A$1,,,SUMPRODUCT(MAX(ROW(E$2:E1438)*(E1438=E$2:E1438)))))-COUNTBLANK(OFFSET(A$1,,,SUMPRODUCT(MAX(ROW(E$1:E1437)*(E2=E$1:E1437))))))</f>
        <v> </v>
      </c>
      <c r="K1438" s="25" t="str">
        <f>IF(OR(E1438="",E1438="!!!",F1438="NEW"),"",INDEX(J$1:J1437,SUMPRODUCT(MAX(ROW(E$1:E1437)*(E1438=E$1:E1437)))))</f>
        <v> </v>
      </c>
      <c r="L1438" s="26"/>
    </row>
    <row r="1439" spans="1:12">
      <c r="A1439" s="20" t="s">
        <v>989</v>
      </c>
      <c r="B1439" s="27" t="s">
        <v>477</v>
      </c>
      <c r="C1439" s="27" t="s">
        <v>487</v>
      </c>
      <c r="D1439" s="27" t="s">
        <v>483</v>
      </c>
      <c r="E1439" s="21">
        <f>IF(D1439="?OLD","!!!","")</f>
        <v/>
      </c>
      <c r="F1439" s="22" t="str">
        <f>IF(OR(E1439="",E1439="!!!"),"",IF(NOT(ISNA(VLOOKUP(E1439,E$1:E1438,1,FALSE()))),"OLD",IF(AND(E1439&lt;&gt;"",E1439&lt;&gt;"!!!"),"NEW","")))</f>
        <v> </v>
      </c>
      <c r="G1439" s="23" t="str">
        <f>IF(OR(E1439="",E1439="!!!"),"",IF(OR(J1439=0,AND(J1439=1,K1439=1),AND(J1439=1,I1439="SBJ"),AND(J1439=1,I1439=0)),"?IN_FOCUS",IF(J1439&lt;=2,"?ACTIVATED",IF(J1439&lt;&gt;"","?FAMILIAR",IF(F1439="NEW",IF(ISNA(VLOOKUP(E1439,#REF!,1,FALSE())),"?TYPE_IDENTIFIABLE","?REFERENTIAL"),"_")))))</f>
        <v> </v>
      </c>
      <c r="H1439" s="24" t="str">
        <f>IF(J1439&lt;&gt;1,"",IF(I1439="SBJ","CB","?"))</f>
        <v> </v>
      </c>
      <c r="I1439" s="25" t="str">
        <f>IF(OR(E1439="",E1439="!!!",F1439="NEW"),"",INDEX(B1438:B$2,-1+SUMPRODUCT(MAX(ROW(E1438:E$2)*(E1439=E1438:E$2)))))</f>
        <v> </v>
      </c>
      <c r="J1439" s="25" t="str">
        <f>IF(OR(E1439="",E1439="!!!",F1439="NEW"),"",COUNTBLANK(OFFSET(A$1,,,SUMPRODUCT(MAX(ROW(E$2:E1439)*(E1439=E$2:E1439)))))-COUNTBLANK(OFFSET(A$1,,,SUMPRODUCT(MAX(ROW(E$1:E1438)*(E2=E$1:E1438))))))</f>
        <v> </v>
      </c>
      <c r="K1439" s="25" t="str">
        <f>IF(OR(E1439="",E1439="!!!",F1439="NEW"),"",INDEX(J$1:J1438,SUMPRODUCT(MAX(ROW(E$1:E1438)*(E1439=E$1:E1438)))))</f>
        <v> </v>
      </c>
      <c r="L1439" s="26"/>
    </row>
    <row r="1440" spans="1:12">
      <c r="A1440" s="20" t="s">
        <v>531</v>
      </c>
      <c r="E1440" s="21">
        <f>IF(D1440="?OLD","!!!","")</f>
        <v/>
      </c>
      <c r="F1440" s="22" t="str">
        <f>IF(OR(E1440="",E1440="!!!"),"",IF(NOT(ISNA(VLOOKUP(E1440,E$1:E1439,1,FALSE()))),"OLD",IF(AND(E1440&lt;&gt;"",E1440&lt;&gt;"!!!"),"NEW","")))</f>
        <v> </v>
      </c>
      <c r="G1440" s="23" t="str">
        <f>IF(OR(E1440="",E1440="!!!"),"",IF(OR(J1440=0,AND(J1440=1,K1440=1),AND(J1440=1,I1440="SBJ"),AND(J1440=1,I1440=0)),"?IN_FOCUS",IF(J1440&lt;=2,"?ACTIVATED",IF(J1440&lt;&gt;"","?FAMILIAR",IF(F1440="NEW",IF(ISNA(VLOOKUP(E1440,#REF!,1,FALSE())),"?TYPE_IDENTIFIABLE","?REFERENTIAL"),"_")))))</f>
        <v> </v>
      </c>
      <c r="H1440" s="24" t="str">
        <f>IF(J1440&lt;&gt;1,"",IF(I1440="SBJ","CB","?"))</f>
        <v> </v>
      </c>
      <c r="I1440" s="25" t="str">
        <f>IF(OR(E1440="",E1440="!!!",F1440="NEW"),"",INDEX(B1439:B$2,-1+SUMPRODUCT(MAX(ROW(E1439:E$2)*(E1440=E1439:E$2)))))</f>
        <v> </v>
      </c>
      <c r="J1440" s="25" t="str">
        <f>IF(OR(E1440="",E1440="!!!",F1440="NEW"),"",COUNTBLANK(OFFSET(A$1,,,SUMPRODUCT(MAX(ROW(E$2:E1440)*(E1440=E$2:E1440)))))-COUNTBLANK(OFFSET(A$1,,,SUMPRODUCT(MAX(ROW(E$1:E1439)*(E2=E$1:E1439))))))</f>
        <v> </v>
      </c>
      <c r="K1440" s="25" t="str">
        <f>IF(OR(E1440="",E1440="!!!",F1440="NEW"),"",INDEX(J$1:J1439,SUMPRODUCT(MAX(ROW(E$1:E1439)*(E1440=E$1:E1439)))))</f>
        <v> </v>
      </c>
      <c r="L1440" s="26"/>
    </row>
    <row r="1441" spans="1:12">
      <c r="A1441" s="20"/>
    </row>
    <row r="1442" spans="1:12">
      <c r="A1442" s="20" t="s">
        <v>990</v>
      </c>
    </row>
    <row r="1443" spans="1:12">
      <c r="A1443" s="20" t="s">
        <v>991</v>
      </c>
      <c r="E1443" s="21">
        <f>IF(D1443="?OLD","!!!","")</f>
        <v/>
      </c>
      <c r="F1443" s="22" t="str">
        <f>IF(OR(E1443="",E1443="!!!"),"",IF(NOT(ISNA(VLOOKUP(E1443,E$1:E1442,1,FALSE()))),"OLD",IF(AND(E1443&lt;&gt;"",E1443&lt;&gt;"!!!"),"NEW","")))</f>
        <v> </v>
      </c>
      <c r="G1443" s="23" t="str">
        <f>IF(OR(E1443="",E1443="!!!"),"",IF(OR(J1443=0,AND(J1443=1,K1443=1),AND(J1443=1,I1443="SBJ"),AND(J1443=1,I1443=0)),"?IN_FOCUS",IF(J1443&lt;=2,"?ACTIVATED",IF(J1443&lt;&gt;"","?FAMILIAR",IF(F1443="NEW",IF(ISNA(VLOOKUP(E1443,#REF!,1,FALSE())),"?TYPE_IDENTIFIABLE","?REFERENTIAL"),"_")))))</f>
        <v> </v>
      </c>
      <c r="H1443" s="24" t="str">
        <f>IF(J1443&lt;&gt;1,"",IF(I1443="SBJ","CB","?"))</f>
        <v> </v>
      </c>
      <c r="I1443" s="25" t="str">
        <f>IF(OR(E1443="",E1443="!!!",F1443="NEW"),"",INDEX(B1442:B$2,-1+SUMPRODUCT(MAX(ROW(E1442:E$2)*(E1443=E1442:E$2)))))</f>
        <v> </v>
      </c>
      <c r="J1443" s="25" t="str">
        <f>IF(OR(E1443="",E1443="!!!",F1443="NEW"),"",COUNTBLANK(OFFSET(A$1,,,SUMPRODUCT(MAX(ROW(E$2:E1443)*(E1443=E$2:E1443)))))-COUNTBLANK(OFFSET(A$1,,,SUMPRODUCT(MAX(ROW(E$1:E1442)*(E2=E$1:E1442))))))</f>
        <v> </v>
      </c>
      <c r="K1443" s="25" t="str">
        <f>IF(OR(E1443="",E1443="!!!",F1443="NEW"),"",INDEX(J$1:J1442,SUMPRODUCT(MAX(ROW(E$1:E1442)*(E1443=E$1:E1442)))))</f>
        <v> </v>
      </c>
      <c r="L1443" s="26"/>
    </row>
    <row r="1444" spans="1:12">
      <c r="A1444" s="20" t="s">
        <v>992</v>
      </c>
      <c r="E1444" s="21">
        <f>IF(D1444="?OLD","!!!","")</f>
        <v/>
      </c>
      <c r="F1444" s="22" t="str">
        <f>IF(OR(E1444="",E1444="!!!"),"",IF(NOT(ISNA(VLOOKUP(E1444,E$1:E1443,1,FALSE()))),"OLD",IF(AND(E1444&lt;&gt;"",E1444&lt;&gt;"!!!"),"NEW","")))</f>
        <v> </v>
      </c>
      <c r="G1444" s="23" t="str">
        <f>IF(OR(E1444="",E1444="!!!"),"",IF(OR(J1444=0,AND(J1444=1,K1444=1),AND(J1444=1,I1444="SBJ"),AND(J1444=1,I1444=0)),"?IN_FOCUS",IF(J1444&lt;=2,"?ACTIVATED",IF(J1444&lt;&gt;"","?FAMILIAR",IF(F1444="NEW",IF(ISNA(VLOOKUP(E1444,#REF!,1,FALSE())),"?TYPE_IDENTIFIABLE","?REFERENTIAL"),"_")))))</f>
        <v> </v>
      </c>
      <c r="H1444" s="24" t="str">
        <f>IF(J1444&lt;&gt;1,"",IF(I1444="SBJ","CB","?"))</f>
        <v> </v>
      </c>
      <c r="I1444" s="25" t="str">
        <f>IF(OR(E1444="",E1444="!!!",F1444="NEW"),"",INDEX(B1443:B$2,-1+SUMPRODUCT(MAX(ROW(E1443:E$2)*(E1444=E1443:E$2)))))</f>
        <v> </v>
      </c>
      <c r="J1444" s="25" t="str">
        <f>IF(OR(E1444="",E1444="!!!",F1444="NEW"),"",COUNTBLANK(OFFSET(A$1,,,SUMPRODUCT(MAX(ROW(E$2:E1444)*(E1444=E$2:E1444)))))-COUNTBLANK(OFFSET(A$1,,,SUMPRODUCT(MAX(ROW(E$1:E1443)*(E2=E$1:E1443))))))</f>
        <v> </v>
      </c>
      <c r="K1444" s="25" t="str">
        <f>IF(OR(E1444="",E1444="!!!",F1444="NEW"),"",INDEX(J$1:J1443,SUMPRODUCT(MAX(ROW(E$1:E1443)*(E1444=E$1:E1443)))))</f>
        <v> </v>
      </c>
      <c r="L1444" s="26"/>
    </row>
    <row r="1445" spans="1:12">
      <c r="A1445" s="20" t="s">
        <v>72</v>
      </c>
      <c r="E1445" s="21">
        <f>IF(D1445="?OLD","!!!","")</f>
        <v/>
      </c>
      <c r="F1445" s="22" t="str">
        <f>IF(OR(E1445="",E1445="!!!"),"",IF(NOT(ISNA(VLOOKUP(E1445,E$1:E1444,1,FALSE()))),"OLD",IF(AND(E1445&lt;&gt;"",E1445&lt;&gt;"!!!"),"NEW","")))</f>
        <v> </v>
      </c>
      <c r="G1445" s="23" t="str">
        <f>IF(OR(E1445="",E1445="!!!"),"",IF(OR(J1445=0,AND(J1445=1,K1445=1),AND(J1445=1,I1445="SBJ"),AND(J1445=1,I1445=0)),"?IN_FOCUS",IF(J1445&lt;=2,"?ACTIVATED",IF(J1445&lt;&gt;"","?FAMILIAR",IF(F1445="NEW",IF(ISNA(VLOOKUP(E1445,#REF!,1,FALSE())),"?TYPE_IDENTIFIABLE","?REFERENTIAL"),"_")))))</f>
        <v> </v>
      </c>
      <c r="H1445" s="24" t="str">
        <f>IF(J1445&lt;&gt;1,"",IF(I1445="SBJ","CB","?"))</f>
        <v> </v>
      </c>
      <c r="I1445" s="25" t="str">
        <f>IF(OR(E1445="",E1445="!!!",F1445="NEW"),"",INDEX(B1444:B$2,-1+SUMPRODUCT(MAX(ROW(E1444:E$2)*(E1445=E1444:E$2)))))</f>
        <v> </v>
      </c>
      <c r="J1445" s="25" t="str">
        <f>IF(OR(E1445="",E1445="!!!",F1445="NEW"),"",COUNTBLANK(OFFSET(A$1,,,SUMPRODUCT(MAX(ROW(E$2:E1445)*(E1445=E$2:E1445)))))-COUNTBLANK(OFFSET(A$1,,,SUMPRODUCT(MAX(ROW(E$1:E1444)*(E2=E$1:E1444))))))</f>
        <v> </v>
      </c>
      <c r="K1445" s="25" t="str">
        <f>IF(OR(E1445="",E1445="!!!",F1445="NEW"),"",INDEX(J$1:J1444,SUMPRODUCT(MAX(ROW(E$1:E1444)*(E1445=E$1:E1444)))))</f>
        <v> </v>
      </c>
      <c r="L1445" s="26"/>
    </row>
    <row r="1446" spans="1:12">
      <c r="A1446" s="20" t="s">
        <v>489</v>
      </c>
      <c r="E1446" s="21">
        <f>IF(D1446="?OLD","!!!","")</f>
        <v/>
      </c>
      <c r="F1446" s="22" t="str">
        <f>IF(OR(E1446="",E1446="!!!"),"",IF(NOT(ISNA(VLOOKUP(E1446,E$1:E1445,1,FALSE()))),"OLD",IF(AND(E1446&lt;&gt;"",E1446&lt;&gt;"!!!"),"NEW","")))</f>
        <v> </v>
      </c>
      <c r="G1446" s="23" t="str">
        <f>IF(OR(E1446="",E1446="!!!"),"",IF(OR(J1446=0,AND(J1446=1,K1446=1),AND(J1446=1,I1446="SBJ"),AND(J1446=1,I1446=0)),"?IN_FOCUS",IF(J1446&lt;=2,"?ACTIVATED",IF(J1446&lt;&gt;"","?FAMILIAR",IF(F1446="NEW",IF(ISNA(VLOOKUP(E1446,#REF!,1,FALSE())),"?TYPE_IDENTIFIABLE","?REFERENTIAL"),"_")))))</f>
        <v> </v>
      </c>
      <c r="H1446" s="24" t="str">
        <f>IF(J1446&lt;&gt;1,"",IF(I1446="SBJ","CB","?"))</f>
        <v> </v>
      </c>
      <c r="I1446" s="25" t="str">
        <f>IF(OR(E1446="",E1446="!!!",F1446="NEW"),"",INDEX(B1445:B$2,-1+SUMPRODUCT(MAX(ROW(E1445:E$2)*(E1446=E1445:E$2)))))</f>
        <v> </v>
      </c>
      <c r="J1446" s="25" t="str">
        <f>IF(OR(E1446="",E1446="!!!",F1446="NEW"),"",COUNTBLANK(OFFSET(A$1,,,SUMPRODUCT(MAX(ROW(E$2:E1446)*(E1446=E$2:E1446)))))-COUNTBLANK(OFFSET(A$1,,,SUMPRODUCT(MAX(ROW(E$1:E1445)*(E2=E$1:E1445))))))</f>
        <v> </v>
      </c>
      <c r="K1446" s="25" t="str">
        <f>IF(OR(E1446="",E1446="!!!",F1446="NEW"),"",INDEX(J$1:J1445,SUMPRODUCT(MAX(ROW(E$1:E1445)*(E1446=E$1:E1445)))))</f>
        <v> </v>
      </c>
      <c r="L1446" s="26"/>
    </row>
    <row r="1447" spans="1:12">
      <c r="A1447" s="20" t="s">
        <v>993</v>
      </c>
      <c r="B1447" s="27" t="s">
        <v>578</v>
      </c>
      <c r="C1447" s="27" t="s">
        <v>516</v>
      </c>
      <c r="E1447" s="21">
        <f>IF(D1447="?OLD","!!!","")</f>
        <v/>
      </c>
      <c r="F1447" s="22" t="str">
        <f>IF(OR(E1447="",E1447="!!!"),"",IF(NOT(ISNA(VLOOKUP(E1447,E$1:E1446,1,FALSE()))),"OLD",IF(AND(E1447&lt;&gt;"",E1447&lt;&gt;"!!!"),"NEW","")))</f>
        <v> </v>
      </c>
      <c r="G1447" s="23" t="str">
        <f>IF(OR(E1447="",E1447="!!!"),"",IF(OR(J1447=0,AND(J1447=1,K1447=1),AND(J1447=1,I1447="SBJ"),AND(J1447=1,I1447=0)),"?IN_FOCUS",IF(J1447&lt;=2,"?ACTIVATED",IF(J1447&lt;&gt;"","?FAMILIAR",IF(F1447="NEW",IF(ISNA(VLOOKUP(E1447,#REF!,1,FALSE())),"?TYPE_IDENTIFIABLE","?REFERENTIAL"),"_")))))</f>
        <v> </v>
      </c>
      <c r="H1447" s="24" t="str">
        <f>IF(J1447&lt;&gt;1,"",IF(I1447="SBJ","CB","?"))</f>
        <v> </v>
      </c>
      <c r="I1447" s="25" t="str">
        <f>IF(OR(E1447="",E1447="!!!",F1447="NEW"),"",INDEX(B1446:B$2,-1+SUMPRODUCT(MAX(ROW(E1446:E$2)*(E1447=E1446:E$2)))))</f>
        <v> </v>
      </c>
      <c r="J1447" s="25" t="str">
        <f>IF(OR(E1447="",E1447="!!!",F1447="NEW"),"",COUNTBLANK(OFFSET(A$1,,,SUMPRODUCT(MAX(ROW(E$2:E1447)*(E1447=E$2:E1447)))))-COUNTBLANK(OFFSET(A$1,,,SUMPRODUCT(MAX(ROW(E$1:E1446)*(E2=E$1:E1446))))))</f>
        <v> </v>
      </c>
      <c r="K1447" s="25" t="str">
        <f>IF(OR(E1447="",E1447="!!!",F1447="NEW"),"",INDEX(J$1:J1446,SUMPRODUCT(MAX(ROW(E$1:E1446)*(E1447=E$1:E1446)))))</f>
        <v> </v>
      </c>
      <c r="L1447" s="26"/>
    </row>
    <row r="1448" spans="1:12">
      <c r="A1448" s="20" t="s">
        <v>424</v>
      </c>
      <c r="E1448" s="21">
        <f>IF(D1448="?OLD","!!!","")</f>
        <v/>
      </c>
      <c r="F1448" s="22" t="str">
        <f>IF(OR(E1448="",E1448="!!!"),"",IF(NOT(ISNA(VLOOKUP(E1448,E$1:E1447,1,FALSE()))),"OLD",IF(AND(E1448&lt;&gt;"",E1448&lt;&gt;"!!!"),"NEW","")))</f>
        <v> </v>
      </c>
      <c r="G1448" s="23" t="str">
        <f>IF(OR(E1448="",E1448="!!!"),"",IF(OR(J1448=0,AND(J1448=1,K1448=1),AND(J1448=1,I1448="SBJ"),AND(J1448=1,I1448=0)),"?IN_FOCUS",IF(J1448&lt;=2,"?ACTIVATED",IF(J1448&lt;&gt;"","?FAMILIAR",IF(F1448="NEW",IF(ISNA(VLOOKUP(E1448,#REF!,1,FALSE())),"?TYPE_IDENTIFIABLE","?REFERENTIAL"),"_")))))</f>
        <v> </v>
      </c>
      <c r="H1448" s="24" t="str">
        <f>IF(J1448&lt;&gt;1,"",IF(I1448="SBJ","CB","?"))</f>
        <v> </v>
      </c>
      <c r="I1448" s="25" t="str">
        <f>IF(OR(E1448="",E1448="!!!",F1448="NEW"),"",INDEX(B1447:B$2,-1+SUMPRODUCT(MAX(ROW(E1447:E$2)*(E1448=E1447:E$2)))))</f>
        <v> </v>
      </c>
      <c r="J1448" s="25" t="str">
        <f>IF(OR(E1448="",E1448="!!!",F1448="NEW"),"",COUNTBLANK(OFFSET(A$1,,,SUMPRODUCT(MAX(ROW(E$2:E1448)*(E1448=E$2:E1448)))))-COUNTBLANK(OFFSET(A$1,,,SUMPRODUCT(MAX(ROW(E$1:E1447)*(E2=E$1:E1447))))))</f>
        <v> </v>
      </c>
      <c r="K1448" s="25" t="str">
        <f>IF(OR(E1448="",E1448="!!!",F1448="NEW"),"",INDEX(J$1:J1447,SUMPRODUCT(MAX(ROW(E$1:E1447)*(E1448=E$1:E1447)))))</f>
        <v> </v>
      </c>
      <c r="L1448" s="26"/>
    </row>
    <row r="1449" spans="1:12">
      <c r="A1449" s="20" t="s">
        <v>500</v>
      </c>
      <c r="E1449" s="21">
        <f>IF(D1449="?OLD","!!!","")</f>
        <v/>
      </c>
      <c r="F1449" s="22" t="str">
        <f>IF(OR(E1449="",E1449="!!!"),"",IF(NOT(ISNA(VLOOKUP(E1449,E$1:E1448,1,FALSE()))),"OLD",IF(AND(E1449&lt;&gt;"",E1449&lt;&gt;"!!!"),"NEW","")))</f>
        <v> </v>
      </c>
      <c r="G1449" s="23" t="str">
        <f>IF(OR(E1449="",E1449="!!!"),"",IF(OR(J1449=0,AND(J1449=1,K1449=1),AND(J1449=1,I1449="SBJ"),AND(J1449=1,I1449=0)),"?IN_FOCUS",IF(J1449&lt;=2,"?ACTIVATED",IF(J1449&lt;&gt;"","?FAMILIAR",IF(F1449="NEW",IF(ISNA(VLOOKUP(E1449,#REF!,1,FALSE())),"?TYPE_IDENTIFIABLE","?REFERENTIAL"),"_")))))</f>
        <v> </v>
      </c>
      <c r="H1449" s="24" t="str">
        <f>IF(J1449&lt;&gt;1,"",IF(I1449="SBJ","CB","?"))</f>
        <v> </v>
      </c>
      <c r="I1449" s="25" t="str">
        <f>IF(OR(E1449="",E1449="!!!",F1449="NEW"),"",INDEX(B1448:B$2,-1+SUMPRODUCT(MAX(ROW(E1448:E$2)*(E1449=E1448:E$2)))))</f>
        <v> </v>
      </c>
      <c r="J1449" s="25" t="str">
        <f>IF(OR(E1449="",E1449="!!!",F1449="NEW"),"",COUNTBLANK(OFFSET(A$1,,,SUMPRODUCT(MAX(ROW(E$2:E1449)*(E1449=E$2:E1449)))))-COUNTBLANK(OFFSET(A$1,,,SUMPRODUCT(MAX(ROW(E$1:E1448)*(E2=E$1:E1448))))))</f>
        <v> </v>
      </c>
      <c r="K1449" s="25" t="str">
        <f>IF(OR(E1449="",E1449="!!!",F1449="NEW"),"",INDEX(J$1:J1448,SUMPRODUCT(MAX(ROW(E$1:E1448)*(E1449=E$1:E1448)))))</f>
        <v> </v>
      </c>
      <c r="L1449" s="26"/>
    </row>
    <row r="1450" spans="1:12">
      <c r="A1450" s="20" t="s">
        <v>485</v>
      </c>
      <c r="E1450" s="21">
        <f>IF(D1450="?OLD","!!!","")</f>
        <v/>
      </c>
      <c r="F1450" s="22" t="str">
        <f>IF(OR(E1450="",E1450="!!!"),"",IF(NOT(ISNA(VLOOKUP(E1450,E$1:E1449,1,FALSE()))),"OLD",IF(AND(E1450&lt;&gt;"",E1450&lt;&gt;"!!!"),"NEW","")))</f>
        <v> </v>
      </c>
      <c r="G1450" s="23" t="str">
        <f>IF(OR(E1450="",E1450="!!!"),"",IF(OR(J1450=0,AND(J1450=1,K1450=1),AND(J1450=1,I1450="SBJ"),AND(J1450=1,I1450=0)),"?IN_FOCUS",IF(J1450&lt;=2,"?ACTIVATED",IF(J1450&lt;&gt;"","?FAMILIAR",IF(F1450="NEW",IF(ISNA(VLOOKUP(E1450,#REF!,1,FALSE())),"?TYPE_IDENTIFIABLE","?REFERENTIAL"),"_")))))</f>
        <v> </v>
      </c>
      <c r="H1450" s="24" t="str">
        <f>IF(J1450&lt;&gt;1,"",IF(I1450="SBJ","CB","?"))</f>
        <v> </v>
      </c>
      <c r="I1450" s="25" t="str">
        <f>IF(OR(E1450="",E1450="!!!",F1450="NEW"),"",INDEX(B1449:B$2,-1+SUMPRODUCT(MAX(ROW(E1449:E$2)*(E1450=E1449:E$2)))))</f>
        <v> </v>
      </c>
      <c r="J1450" s="25" t="str">
        <f>IF(OR(E1450="",E1450="!!!",F1450="NEW"),"",COUNTBLANK(OFFSET(A$1,,,SUMPRODUCT(MAX(ROW(E$2:E1450)*(E1450=E$2:E1450)))))-COUNTBLANK(OFFSET(A$1,,,SUMPRODUCT(MAX(ROW(E$1:E1449)*(E2=E$1:E1449))))))</f>
        <v> </v>
      </c>
      <c r="K1450" s="25" t="str">
        <f>IF(OR(E1450="",E1450="!!!",F1450="NEW"),"",INDEX(J$1:J1449,SUMPRODUCT(MAX(ROW(E$1:E1449)*(E1450=E$1:E1449)))))</f>
        <v> </v>
      </c>
      <c r="L1450" s="26"/>
    </row>
    <row r="1451" spans="1:12">
      <c r="A1451" s="20" t="s">
        <v>963</v>
      </c>
      <c r="B1451" s="27" t="s">
        <v>659</v>
      </c>
      <c r="C1451" s="27" t="s">
        <v>487</v>
      </c>
      <c r="D1451" s="27" t="s">
        <v>483</v>
      </c>
      <c r="E1451" s="21">
        <f>IF(D1451="?OLD","!!!","")</f>
        <v/>
      </c>
      <c r="F1451" s="22" t="str">
        <f>IF(OR(E1451="",E1451="!!!"),"",IF(NOT(ISNA(VLOOKUP(E1451,E$1:E1450,1,FALSE()))),"OLD",IF(AND(E1451&lt;&gt;"",E1451&lt;&gt;"!!!"),"NEW","")))</f>
        <v> </v>
      </c>
      <c r="G1451" s="23" t="str">
        <f>IF(OR(E1451="",E1451="!!!"),"",IF(OR(J1451=0,AND(J1451=1,K1451=1),AND(J1451=1,I1451="SBJ"),AND(J1451=1,I1451=0)),"?IN_FOCUS",IF(J1451&lt;=2,"?ACTIVATED",IF(J1451&lt;&gt;"","?FAMILIAR",IF(F1451="NEW",IF(ISNA(VLOOKUP(E1451,#REF!,1,FALSE())),"?TYPE_IDENTIFIABLE","?REFERENTIAL"),"_")))))</f>
        <v> </v>
      </c>
      <c r="H1451" s="24" t="str">
        <f>IF(J1451&lt;&gt;1,"",IF(I1451="SBJ","CB","?"))</f>
        <v> </v>
      </c>
      <c r="I1451" s="25" t="str">
        <f>IF(OR(E1451="",E1451="!!!",F1451="NEW"),"",INDEX(B1450:B$2,-1+SUMPRODUCT(MAX(ROW(E1450:E$2)*(E1451=E1450:E$2)))))</f>
        <v> </v>
      </c>
      <c r="J1451" s="25" t="str">
        <f>IF(OR(E1451="",E1451="!!!",F1451="NEW"),"",COUNTBLANK(OFFSET(A$1,,,SUMPRODUCT(MAX(ROW(E$2:E1451)*(E1451=E$2:E1451)))))-COUNTBLANK(OFFSET(A$1,,,SUMPRODUCT(MAX(ROW(E$1:E1450)*(E2=E$1:E1450))))))</f>
        <v> </v>
      </c>
      <c r="K1451" s="25" t="str">
        <f>IF(OR(E1451="",E1451="!!!",F1451="NEW"),"",INDEX(J$1:J1450,SUMPRODUCT(MAX(ROW(E$1:E1450)*(E1451=E$1:E1450)))))</f>
        <v> </v>
      </c>
      <c r="L1451" s="26"/>
    </row>
    <row r="1452" spans="1:12">
      <c r="A1452" s="20" t="s">
        <v>489</v>
      </c>
      <c r="E1452" s="21">
        <f>IF(D1452="?OLD","!!!","")</f>
        <v/>
      </c>
      <c r="F1452" s="22" t="str">
        <f>IF(OR(E1452="",E1452="!!!"),"",IF(NOT(ISNA(VLOOKUP(E1452,E$1:E1451,1,FALSE()))),"OLD",IF(AND(E1452&lt;&gt;"",E1452&lt;&gt;"!!!"),"NEW","")))</f>
        <v> </v>
      </c>
      <c r="G1452" s="23" t="str">
        <f>IF(OR(E1452="",E1452="!!!"),"",IF(OR(J1452=0,AND(J1452=1,K1452=1),AND(J1452=1,I1452="SBJ"),AND(J1452=1,I1452=0)),"?IN_FOCUS",IF(J1452&lt;=2,"?ACTIVATED",IF(J1452&lt;&gt;"","?FAMILIAR",IF(F1452="NEW",IF(ISNA(VLOOKUP(E1452,#REF!,1,FALSE())),"?TYPE_IDENTIFIABLE","?REFERENTIAL"),"_")))))</f>
        <v> </v>
      </c>
      <c r="H1452" s="24" t="str">
        <f>IF(J1452&lt;&gt;1,"",IF(I1452="SBJ","CB","?"))</f>
        <v> </v>
      </c>
      <c r="I1452" s="25" t="str">
        <f>IF(OR(E1452="",E1452="!!!",F1452="NEW"),"",INDEX(B1451:B$2,-1+SUMPRODUCT(MAX(ROW(E1451:E$2)*(E1452=E1451:E$2)))))</f>
        <v> </v>
      </c>
      <c r="J1452" s="25" t="str">
        <f>IF(OR(E1452="",E1452="!!!",F1452="NEW"),"",COUNTBLANK(OFFSET(A$1,,,SUMPRODUCT(MAX(ROW(E$2:E1452)*(E1452=E$2:E1452)))))-COUNTBLANK(OFFSET(A$1,,,SUMPRODUCT(MAX(ROW(E$1:E1451)*(E2=E$1:E1451))))))</f>
        <v> </v>
      </c>
      <c r="K1452" s="25" t="str">
        <f>IF(OR(E1452="",E1452="!!!",F1452="NEW"),"",INDEX(J$1:J1451,SUMPRODUCT(MAX(ROW(E$1:E1451)*(E1452=E$1:E1451)))))</f>
        <v> </v>
      </c>
      <c r="L1452" s="26"/>
    </row>
    <row r="1453" spans="1:12">
      <c r="A1453" s="20" t="s">
        <v>529</v>
      </c>
      <c r="E1453" s="21">
        <f>IF(D1453="?OLD","!!!","")</f>
        <v/>
      </c>
      <c r="F1453" s="22" t="str">
        <f>IF(OR(E1453="",E1453="!!!"),"",IF(NOT(ISNA(VLOOKUP(E1453,E$1:E1452,1,FALSE()))),"OLD",IF(AND(E1453&lt;&gt;"",E1453&lt;&gt;"!!!"),"NEW","")))</f>
        <v> </v>
      </c>
      <c r="G1453" s="23" t="str">
        <f>IF(OR(E1453="",E1453="!!!"),"",IF(OR(J1453=0,AND(J1453=1,K1453=1),AND(J1453=1,I1453="SBJ"),AND(J1453=1,I1453=0)),"?IN_FOCUS",IF(J1453&lt;=2,"?ACTIVATED",IF(J1453&lt;&gt;"","?FAMILIAR",IF(F1453="NEW",IF(ISNA(VLOOKUP(E1453,#REF!,1,FALSE())),"?TYPE_IDENTIFIABLE","?REFERENTIAL"),"_")))))</f>
        <v> </v>
      </c>
      <c r="H1453" s="24" t="str">
        <f>IF(J1453&lt;&gt;1,"",IF(I1453="SBJ","CB","?"))</f>
        <v> </v>
      </c>
      <c r="I1453" s="25" t="str">
        <f>IF(OR(E1453="",E1453="!!!",F1453="NEW"),"",INDEX(B1452:B$2,-1+SUMPRODUCT(MAX(ROW(E1452:E$2)*(E1453=E1452:E$2)))))</f>
        <v> </v>
      </c>
      <c r="J1453" s="25" t="str">
        <f>IF(OR(E1453="",E1453="!!!",F1453="NEW"),"",COUNTBLANK(OFFSET(A$1,,,SUMPRODUCT(MAX(ROW(E$2:E1453)*(E1453=E$2:E1453)))))-COUNTBLANK(OFFSET(A$1,,,SUMPRODUCT(MAX(ROW(E$1:E1452)*(E2=E$1:E1452))))))</f>
        <v> </v>
      </c>
      <c r="K1453" s="25" t="str">
        <f>IF(OR(E1453="",E1453="!!!",F1453="NEW"),"",INDEX(J$1:J1452,SUMPRODUCT(MAX(ROW(E$1:E1452)*(E1453=E$1:E1452)))))</f>
        <v> </v>
      </c>
      <c r="L1453" s="26"/>
    </row>
    <row r="1454" spans="1:12">
      <c r="A1454" s="20" t="s">
        <v>994</v>
      </c>
      <c r="B1454" s="27" t="s">
        <v>659</v>
      </c>
      <c r="C1454" s="27" t="s">
        <v>516</v>
      </c>
      <c r="E1454" s="21">
        <f>IF(D1454="?OLD","!!!","")</f>
        <v/>
      </c>
      <c r="F1454" s="22" t="str">
        <f>IF(OR(E1454="",E1454="!!!"),"",IF(NOT(ISNA(VLOOKUP(E1454,E$1:E1453,1,FALSE()))),"OLD",IF(AND(E1454&lt;&gt;"",E1454&lt;&gt;"!!!"),"NEW","")))</f>
        <v> </v>
      </c>
      <c r="G1454" s="23" t="str">
        <f>IF(OR(E1454="",E1454="!!!"),"",IF(OR(J1454=0,AND(J1454=1,K1454=1),AND(J1454=1,I1454="SBJ"),AND(J1454=1,I1454=0)),"?IN_FOCUS",IF(J1454&lt;=2,"?ACTIVATED",IF(J1454&lt;&gt;"","?FAMILIAR",IF(F1454="NEW",IF(ISNA(VLOOKUP(E1454,#REF!,1,FALSE())),"?TYPE_IDENTIFIABLE","?REFERENTIAL"),"_")))))</f>
        <v> </v>
      </c>
      <c r="H1454" s="24" t="str">
        <f>IF(J1454&lt;&gt;1,"",IF(I1454="SBJ","CB","?"))</f>
        <v> </v>
      </c>
      <c r="I1454" s="25" t="str">
        <f>IF(OR(E1454="",E1454="!!!",F1454="NEW"),"",INDEX(B1453:B$2,-1+SUMPRODUCT(MAX(ROW(E1453:E$2)*(E1454=E1453:E$2)))))</f>
        <v> </v>
      </c>
      <c r="J1454" s="25" t="str">
        <f>IF(OR(E1454="",E1454="!!!",F1454="NEW"),"",COUNTBLANK(OFFSET(A$1,,,SUMPRODUCT(MAX(ROW(E$2:E1454)*(E1454=E$2:E1454)))))-COUNTBLANK(OFFSET(A$1,,,SUMPRODUCT(MAX(ROW(E$1:E1453)*(E2=E$1:E1453))))))</f>
        <v> </v>
      </c>
      <c r="K1454" s="25" t="str">
        <f>IF(OR(E1454="",E1454="!!!",F1454="NEW"),"",INDEX(J$1:J1453,SUMPRODUCT(MAX(ROW(E$1:E1453)*(E1454=E$1:E1453)))))</f>
        <v> </v>
      </c>
      <c r="L1454" s="26"/>
    </row>
    <row r="1455" spans="1:12">
      <c r="A1455" s="20" t="s">
        <v>531</v>
      </c>
      <c r="E1455" s="21">
        <f>IF(D1455="?OLD","!!!","")</f>
        <v/>
      </c>
      <c r="F1455" s="22" t="str">
        <f>IF(OR(E1455="",E1455="!!!"),"",IF(NOT(ISNA(VLOOKUP(E1455,E$1:E1454,1,FALSE()))),"OLD",IF(AND(E1455&lt;&gt;"",E1455&lt;&gt;"!!!"),"NEW","")))</f>
        <v> </v>
      </c>
      <c r="G1455" s="23" t="str">
        <f>IF(OR(E1455="",E1455="!!!"),"",IF(OR(J1455=0,AND(J1455=1,K1455=1),AND(J1455=1,I1455="SBJ"),AND(J1455=1,I1455=0)),"?IN_FOCUS",IF(J1455&lt;=2,"?ACTIVATED",IF(J1455&lt;&gt;"","?FAMILIAR",IF(F1455="NEW",IF(ISNA(VLOOKUP(E1455,#REF!,1,FALSE())),"?TYPE_IDENTIFIABLE","?REFERENTIAL"),"_")))))</f>
        <v> </v>
      </c>
      <c r="H1455" s="24" t="str">
        <f>IF(J1455&lt;&gt;1,"",IF(I1455="SBJ","CB","?"))</f>
        <v> </v>
      </c>
      <c r="I1455" s="25" t="str">
        <f>IF(OR(E1455="",E1455="!!!",F1455="NEW"),"",INDEX(B1454:B$2,-1+SUMPRODUCT(MAX(ROW(E1454:E$2)*(E1455=E1454:E$2)))))</f>
        <v> </v>
      </c>
      <c r="J1455" s="25" t="str">
        <f>IF(OR(E1455="",E1455="!!!",F1455="NEW"),"",COUNTBLANK(OFFSET(A$1,,,SUMPRODUCT(MAX(ROW(E$2:E1455)*(E1455=E$2:E1455)))))-COUNTBLANK(OFFSET(A$1,,,SUMPRODUCT(MAX(ROW(E$1:E1454)*(E2=E$1:E1454))))))</f>
        <v> </v>
      </c>
      <c r="K1455" s="25" t="str">
        <f>IF(OR(E1455="",E1455="!!!",F1455="NEW"),"",INDEX(J$1:J1454,SUMPRODUCT(MAX(ROW(E$1:E1454)*(E1455=E$1:E1454)))))</f>
        <v> </v>
      </c>
      <c r="L1455" s="26"/>
    </row>
    <row r="1456" spans="1:12">
      <c r="A1456" s="20"/>
    </row>
    <row r="1457" spans="1:12">
      <c r="A1457" s="20" t="s">
        <v>995</v>
      </c>
    </row>
    <row r="1458" spans="1:12">
      <c r="A1458" s="20" t="s">
        <v>942</v>
      </c>
      <c r="B1458" s="27" t="s">
        <v>549</v>
      </c>
      <c r="C1458" s="27" t="s">
        <v>491</v>
      </c>
      <c r="D1458" s="27" t="s">
        <v>483</v>
      </c>
      <c r="E1458" s="21">
        <f>IF(D1458="?OLD","!!!","")</f>
        <v/>
      </c>
      <c r="F1458" s="22" t="str">
        <f>IF(OR(E1458="",E1458="!!!"),"",IF(NOT(ISNA(VLOOKUP(E1458,E$1:E1457,1,FALSE()))),"OLD",IF(AND(E1458&lt;&gt;"",E1458&lt;&gt;"!!!"),"NEW","")))</f>
        <v> </v>
      </c>
      <c r="G1458" s="23" t="str">
        <f>IF(OR(E1458="",E1458="!!!"),"",IF(OR(J1458=0,AND(J1458=1,K1458=1),AND(J1458=1,I1458="SBJ"),AND(J1458=1,I1458=0)),"?IN_FOCUS",IF(J1458&lt;=2,"?ACTIVATED",IF(J1458&lt;&gt;"","?FAMILIAR",IF(F1458="NEW",IF(ISNA(VLOOKUP(E1458,#REF!,1,FALSE())),"?TYPE_IDENTIFIABLE","?REFERENTIAL"),"_")))))</f>
        <v> </v>
      </c>
      <c r="H1458" s="24" t="str">
        <f>IF(J1458&lt;&gt;1,"",IF(I1458="SBJ","CB","?"))</f>
        <v> </v>
      </c>
      <c r="I1458" s="25" t="str">
        <f>IF(OR(E1458="",E1458="!!!",F1458="NEW"),"",INDEX(B1457:B$2,-1+SUMPRODUCT(MAX(ROW(E1457:E$2)*(E1458=E1457:E$2)))))</f>
        <v> </v>
      </c>
      <c r="J1458" s="25" t="str">
        <f>IF(OR(E1458="",E1458="!!!",F1458="NEW"),"",COUNTBLANK(OFFSET(A$1,,,SUMPRODUCT(MAX(ROW(E$2:E1458)*(E1458=E$2:E1458)))))-COUNTBLANK(OFFSET(A$1,,,SUMPRODUCT(MAX(ROW(E$1:E1457)*(E2=E$1:E1457))))))</f>
        <v> </v>
      </c>
      <c r="K1458" s="25" t="str">
        <f>IF(OR(E1458="",E1458="!!!",F1458="NEW"),"",INDEX(J$1:J1457,SUMPRODUCT(MAX(ROW(E$1:E1457)*(E1458=E$1:E1457)))))</f>
        <v> </v>
      </c>
      <c r="L1458" s="26"/>
    </row>
    <row r="1459" spans="1:12">
      <c r="A1459" s="20" t="s">
        <v>558</v>
      </c>
      <c r="E1459" s="21">
        <f>IF(D1459="?OLD","!!!","")</f>
        <v/>
      </c>
      <c r="F1459" s="22" t="str">
        <f>IF(OR(E1459="",E1459="!!!"),"",IF(NOT(ISNA(VLOOKUP(E1459,E$1:E1458,1,FALSE()))),"OLD",IF(AND(E1459&lt;&gt;"",E1459&lt;&gt;"!!!"),"NEW","")))</f>
        <v> </v>
      </c>
      <c r="G1459" s="23" t="str">
        <f>IF(OR(E1459="",E1459="!!!"),"",IF(OR(J1459=0,AND(J1459=1,K1459=1),AND(J1459=1,I1459="SBJ"),AND(J1459=1,I1459=0)),"?IN_FOCUS",IF(J1459&lt;=2,"?ACTIVATED",IF(J1459&lt;&gt;"","?FAMILIAR",IF(F1459="NEW",IF(ISNA(VLOOKUP(E1459,#REF!,1,FALSE())),"?TYPE_IDENTIFIABLE","?REFERENTIAL"),"_")))))</f>
        <v> </v>
      </c>
      <c r="H1459" s="24" t="str">
        <f>IF(J1459&lt;&gt;1,"",IF(I1459="SBJ","CB","?"))</f>
        <v> </v>
      </c>
      <c r="I1459" s="25" t="str">
        <f>IF(OR(E1459="",E1459="!!!",F1459="NEW"),"",INDEX(B1458:B$2,-1+SUMPRODUCT(MAX(ROW(E1458:E$2)*(E1459=E1458:E$2)))))</f>
        <v> </v>
      </c>
      <c r="J1459" s="25" t="str">
        <f>IF(OR(E1459="",E1459="!!!",F1459="NEW"),"",COUNTBLANK(OFFSET(A$1,,,SUMPRODUCT(MAX(ROW(E$2:E1459)*(E1459=E$2:E1459)))))-COUNTBLANK(OFFSET(A$1,,,SUMPRODUCT(MAX(ROW(E$1:E1458)*(E2=E$1:E1458))))))</f>
        <v> </v>
      </c>
      <c r="K1459" s="25" t="str">
        <f>IF(OR(E1459="",E1459="!!!",F1459="NEW"),"",INDEX(J$1:J1458,SUMPRODUCT(MAX(ROW(E$1:E1458)*(E1459=E$1:E1458)))))</f>
        <v> </v>
      </c>
      <c r="L1459" s="26"/>
    </row>
    <row r="1460" spans="1:12">
      <c r="A1460" s="20" t="s">
        <v>485</v>
      </c>
      <c r="B1460" s="27" t="s">
        <v>477</v>
      </c>
      <c r="C1460" s="27" t="s">
        <v>491</v>
      </c>
      <c r="D1460" s="27" t="s">
        <v>483</v>
      </c>
      <c r="E1460" s="21">
        <f>IF(D1460="?OLD","!!!","")</f>
        <v/>
      </c>
      <c r="F1460" s="22" t="str">
        <f>IF(OR(E1460="",E1460="!!!"),"",IF(NOT(ISNA(VLOOKUP(E1460,E$1:E1459,1,FALSE()))),"OLD",IF(AND(E1460&lt;&gt;"",E1460&lt;&gt;"!!!"),"NEW","")))</f>
        <v> </v>
      </c>
      <c r="G1460" s="23" t="str">
        <f>IF(OR(E1460="",E1460="!!!"),"",IF(OR(J1460=0,AND(J1460=1,K1460=1),AND(J1460=1,I1460="SBJ"),AND(J1460=1,I1460=0)),"?IN_FOCUS",IF(J1460&lt;=2,"?ACTIVATED",IF(J1460&lt;&gt;"","?FAMILIAR",IF(F1460="NEW",IF(ISNA(VLOOKUP(E1460,#REF!,1,FALSE())),"?TYPE_IDENTIFIABLE","?REFERENTIAL"),"_")))))</f>
        <v> </v>
      </c>
      <c r="H1460" s="24" t="str">
        <f>IF(J1460&lt;&gt;1,"",IF(I1460="SBJ","CB","?"))</f>
        <v> </v>
      </c>
      <c r="I1460" s="25" t="str">
        <f>IF(OR(E1460="",E1460="!!!",F1460="NEW"),"",INDEX(B1459:B$2,-1+SUMPRODUCT(MAX(ROW(E1459:E$2)*(E1460=E1459:E$2)))))</f>
        <v> </v>
      </c>
      <c r="J1460" s="25" t="str">
        <f>IF(OR(E1460="",E1460="!!!",F1460="NEW"),"",COUNTBLANK(OFFSET(A$1,,,SUMPRODUCT(MAX(ROW(E$2:E1460)*(E1460=E$2:E1460)))))-COUNTBLANK(OFFSET(A$1,,,SUMPRODUCT(MAX(ROW(E$1:E1459)*(E2=E$1:E1459))))))</f>
        <v> </v>
      </c>
      <c r="K1460" s="25" t="str">
        <f>IF(OR(E1460="",E1460="!!!",F1460="NEW"),"",INDEX(J$1:J1459,SUMPRODUCT(MAX(ROW(E$1:E1459)*(E1460=E$1:E1459)))))</f>
        <v> </v>
      </c>
      <c r="L1460" s="26"/>
    </row>
    <row r="1461" spans="1:12">
      <c r="A1461" s="20" t="s">
        <v>492</v>
      </c>
      <c r="B1461" s="27" t="s">
        <v>537</v>
      </c>
      <c r="E1461" s="21">
        <f>IF(D1461="?OLD","!!!","")</f>
        <v/>
      </c>
      <c r="F1461" s="22" t="str">
        <f>IF(OR(E1461="",E1461="!!!"),"",IF(NOT(ISNA(VLOOKUP(E1461,E$1:E1460,1,FALSE()))),"OLD",IF(AND(E1461&lt;&gt;"",E1461&lt;&gt;"!!!"),"NEW","")))</f>
        <v> </v>
      </c>
      <c r="G1461" s="23" t="str">
        <f>IF(OR(E1461="",E1461="!!!"),"",IF(OR(J1461=0,AND(J1461=1,K1461=1),AND(J1461=1,I1461="SBJ"),AND(J1461=1,I1461=0)),"?IN_FOCUS",IF(J1461&lt;=2,"?ACTIVATED",IF(J1461&lt;&gt;"","?FAMILIAR",IF(F1461="NEW",IF(ISNA(VLOOKUP(E1461,#REF!,1,FALSE())),"?TYPE_IDENTIFIABLE","?REFERENTIAL"),"_")))))</f>
        <v> </v>
      </c>
      <c r="H1461" s="24" t="str">
        <f>IF(J1461&lt;&gt;1,"",IF(I1461="SBJ","CB","?"))</f>
        <v> </v>
      </c>
      <c r="I1461" s="25" t="str">
        <f>IF(OR(E1461="",E1461="!!!",F1461="NEW"),"",INDEX(B1460:B$2,-1+SUMPRODUCT(MAX(ROW(E1460:E$2)*(E1461=E1460:E$2)))))</f>
        <v> </v>
      </c>
      <c r="J1461" s="25" t="str">
        <f>IF(OR(E1461="",E1461="!!!",F1461="NEW"),"",COUNTBLANK(OFFSET(A$1,,,SUMPRODUCT(MAX(ROW(E$2:E1461)*(E1461=E$2:E1461)))))-COUNTBLANK(OFFSET(A$1,,,SUMPRODUCT(MAX(ROW(E$1:E1460)*(E2=E$1:E1460))))))</f>
        <v> </v>
      </c>
      <c r="K1461" s="25" t="str">
        <f>IF(OR(E1461="",E1461="!!!",F1461="NEW"),"",INDEX(J$1:J1460,SUMPRODUCT(MAX(ROW(E$1:E1460)*(E1461=E$1:E1460)))))</f>
        <v> </v>
      </c>
      <c r="L1461" s="26"/>
    </row>
    <row r="1462" spans="1:12">
      <c r="A1462" s="20" t="s">
        <v>710</v>
      </c>
      <c r="E1462" s="21">
        <f>IF(D1462="?OLD","!!!","")</f>
        <v/>
      </c>
      <c r="F1462" s="22" t="str">
        <f>IF(OR(E1462="",E1462="!!!"),"",IF(NOT(ISNA(VLOOKUP(E1462,E$1:E1461,1,FALSE()))),"OLD",IF(AND(E1462&lt;&gt;"",E1462&lt;&gt;"!!!"),"NEW","")))</f>
        <v> </v>
      </c>
      <c r="G1462" s="23" t="str">
        <f>IF(OR(E1462="",E1462="!!!"),"",IF(OR(J1462=0,AND(J1462=1,K1462=1),AND(J1462=1,I1462="SBJ"),AND(J1462=1,I1462=0)),"?IN_FOCUS",IF(J1462&lt;=2,"?ACTIVATED",IF(J1462&lt;&gt;"","?FAMILIAR",IF(F1462="NEW",IF(ISNA(VLOOKUP(E1462,#REF!,1,FALSE())),"?TYPE_IDENTIFIABLE","?REFERENTIAL"),"_")))))</f>
        <v> </v>
      </c>
      <c r="H1462" s="24" t="str">
        <f>IF(J1462&lt;&gt;1,"",IF(I1462="SBJ","CB","?"))</f>
        <v> </v>
      </c>
      <c r="I1462" s="25" t="str">
        <f>IF(OR(E1462="",E1462="!!!",F1462="NEW"),"",INDEX(B1461:B$2,-1+SUMPRODUCT(MAX(ROW(E1461:E$2)*(E1462=E1461:E$2)))))</f>
        <v> </v>
      </c>
      <c r="J1462" s="25" t="str">
        <f>IF(OR(E1462="",E1462="!!!",F1462="NEW"),"",COUNTBLANK(OFFSET(A$1,,,SUMPRODUCT(MAX(ROW(E$2:E1462)*(E1462=E$2:E1462)))))-COUNTBLANK(OFFSET(A$1,,,SUMPRODUCT(MAX(ROW(E$1:E1461)*(E2=E$1:E1461))))))</f>
        <v> </v>
      </c>
      <c r="K1462" s="25" t="str">
        <f>IF(OR(E1462="",E1462="!!!",F1462="NEW"),"",INDEX(J$1:J1461,SUMPRODUCT(MAX(ROW(E$1:E1461)*(E1462=E$1:E1461)))))</f>
        <v> </v>
      </c>
      <c r="L1462" s="26"/>
    </row>
    <row r="1463" spans="1:12">
      <c r="A1463" s="20" t="s">
        <v>489</v>
      </c>
      <c r="E1463" s="21">
        <f>IF(D1463="?OLD","!!!","")</f>
        <v/>
      </c>
      <c r="F1463" s="22" t="str">
        <f>IF(OR(E1463="",E1463="!!!"),"",IF(NOT(ISNA(VLOOKUP(E1463,E$1:E1462,1,FALSE()))),"OLD",IF(AND(E1463&lt;&gt;"",E1463&lt;&gt;"!!!"),"NEW","")))</f>
        <v> </v>
      </c>
      <c r="G1463" s="23" t="str">
        <f>IF(OR(E1463="",E1463="!!!"),"",IF(OR(J1463=0,AND(J1463=1,K1463=1),AND(J1463=1,I1463="SBJ"),AND(J1463=1,I1463=0)),"?IN_FOCUS",IF(J1463&lt;=2,"?ACTIVATED",IF(J1463&lt;&gt;"","?FAMILIAR",IF(F1463="NEW",IF(ISNA(VLOOKUP(E1463,#REF!,1,FALSE())),"?TYPE_IDENTIFIABLE","?REFERENTIAL"),"_")))))</f>
        <v> </v>
      </c>
      <c r="H1463" s="24" t="str">
        <f>IF(J1463&lt;&gt;1,"",IF(I1463="SBJ","CB","?"))</f>
        <v> </v>
      </c>
      <c r="I1463" s="25" t="str">
        <f>IF(OR(E1463="",E1463="!!!",F1463="NEW"),"",INDEX(B1462:B$2,-1+SUMPRODUCT(MAX(ROW(E1462:E$2)*(E1463=E1462:E$2)))))</f>
        <v> </v>
      </c>
      <c r="J1463" s="25" t="str">
        <f>IF(OR(E1463="",E1463="!!!",F1463="NEW"),"",COUNTBLANK(OFFSET(A$1,,,SUMPRODUCT(MAX(ROW(E$2:E1463)*(E1463=E$2:E1463)))))-COUNTBLANK(OFFSET(A$1,,,SUMPRODUCT(MAX(ROW(E$1:E1462)*(E2=E$1:E1462))))))</f>
        <v> </v>
      </c>
      <c r="K1463" s="25" t="str">
        <f>IF(OR(E1463="",E1463="!!!",F1463="NEW"),"",INDEX(J$1:J1462,SUMPRODUCT(MAX(ROW(E$1:E1462)*(E1463=E$1:E1462)))))</f>
        <v> </v>
      </c>
      <c r="L1463" s="26"/>
    </row>
    <row r="1464" spans="1:12">
      <c r="A1464" s="20" t="s">
        <v>649</v>
      </c>
      <c r="E1464" s="21">
        <f>IF(D1464="?OLD","!!!","")</f>
        <v/>
      </c>
      <c r="F1464" s="22" t="str">
        <f>IF(OR(E1464="",E1464="!!!"),"",IF(NOT(ISNA(VLOOKUP(E1464,E$1:E1463,1,FALSE()))),"OLD",IF(AND(E1464&lt;&gt;"",E1464&lt;&gt;"!!!"),"NEW","")))</f>
        <v> </v>
      </c>
      <c r="G1464" s="23" t="str">
        <f>IF(OR(E1464="",E1464="!!!"),"",IF(OR(J1464=0,AND(J1464=1,K1464=1),AND(J1464=1,I1464="SBJ"),AND(J1464=1,I1464=0)),"?IN_FOCUS",IF(J1464&lt;=2,"?ACTIVATED",IF(J1464&lt;&gt;"","?FAMILIAR",IF(F1464="NEW",IF(ISNA(VLOOKUP(E1464,#REF!,1,FALSE())),"?TYPE_IDENTIFIABLE","?REFERENTIAL"),"_")))))</f>
        <v> </v>
      </c>
      <c r="H1464" s="24" t="str">
        <f>IF(J1464&lt;&gt;1,"",IF(I1464="SBJ","CB","?"))</f>
        <v> </v>
      </c>
      <c r="I1464" s="25" t="str">
        <f>IF(OR(E1464="",E1464="!!!",F1464="NEW"),"",INDEX(B1463:B$2,-1+SUMPRODUCT(MAX(ROW(E1463:E$2)*(E1464=E1463:E$2)))))</f>
        <v> </v>
      </c>
      <c r="J1464" s="25" t="str">
        <f>IF(OR(E1464="",E1464="!!!",F1464="NEW"),"",COUNTBLANK(OFFSET(A$1,,,SUMPRODUCT(MAX(ROW(E$2:E1464)*(E1464=E$2:E1464)))))-COUNTBLANK(OFFSET(A$1,,,SUMPRODUCT(MAX(ROW(E$1:E1463)*(E2=E$1:E1463))))))</f>
        <v> </v>
      </c>
      <c r="K1464" s="25" t="str">
        <f>IF(OR(E1464="",E1464="!!!",F1464="NEW"),"",INDEX(J$1:J1463,SUMPRODUCT(MAX(ROW(E$1:E1463)*(E1464=E$1:E1463)))))</f>
        <v> </v>
      </c>
      <c r="L1464" s="26"/>
    </row>
    <row r="1465" spans="1:12">
      <c r="A1465" s="20" t="s">
        <v>489</v>
      </c>
      <c r="E1465" s="21">
        <f>IF(D1465="?OLD","!!!","")</f>
        <v/>
      </c>
      <c r="F1465" s="22" t="str">
        <f>IF(OR(E1465="",E1465="!!!"),"",IF(NOT(ISNA(VLOOKUP(E1465,E$1:E1464,1,FALSE()))),"OLD",IF(AND(E1465&lt;&gt;"",E1465&lt;&gt;"!!!"),"NEW","")))</f>
        <v> </v>
      </c>
      <c r="G1465" s="23" t="str">
        <f>IF(OR(E1465="",E1465="!!!"),"",IF(OR(J1465=0,AND(J1465=1,K1465=1),AND(J1465=1,I1465="SBJ"),AND(J1465=1,I1465=0)),"?IN_FOCUS",IF(J1465&lt;=2,"?ACTIVATED",IF(J1465&lt;&gt;"","?FAMILIAR",IF(F1465="NEW",IF(ISNA(VLOOKUP(E1465,#REF!,1,FALSE())),"?TYPE_IDENTIFIABLE","?REFERENTIAL"),"_")))))</f>
        <v> </v>
      </c>
      <c r="H1465" s="24" t="str">
        <f>IF(J1465&lt;&gt;1,"",IF(I1465="SBJ","CB","?"))</f>
        <v> </v>
      </c>
      <c r="I1465" s="25" t="str">
        <f>IF(OR(E1465="",E1465="!!!",F1465="NEW"),"",INDEX(B1464:B$2,-1+SUMPRODUCT(MAX(ROW(E1464:E$2)*(E1465=E1464:E$2)))))</f>
        <v> </v>
      </c>
      <c r="J1465" s="25" t="str">
        <f>IF(OR(E1465="",E1465="!!!",F1465="NEW"),"",COUNTBLANK(OFFSET(A$1,,,SUMPRODUCT(MAX(ROW(E$2:E1465)*(E1465=E$2:E1465)))))-COUNTBLANK(OFFSET(A$1,,,SUMPRODUCT(MAX(ROW(E$1:E1464)*(E2=E$1:E1464))))))</f>
        <v> </v>
      </c>
      <c r="K1465" s="25" t="str">
        <f>IF(OR(E1465="",E1465="!!!",F1465="NEW"),"",INDEX(J$1:J1464,SUMPRODUCT(MAX(ROW(E$1:E1464)*(E1465=E$1:E1464)))))</f>
        <v> </v>
      </c>
      <c r="L1465" s="26"/>
    </row>
    <row r="1466" spans="1:12">
      <c r="A1466" s="20" t="s">
        <v>485</v>
      </c>
      <c r="E1466" s="21">
        <f>IF(D1466="?OLD","!!!","")</f>
        <v/>
      </c>
      <c r="F1466" s="22" t="str">
        <f>IF(OR(E1466="",E1466="!!!"),"",IF(NOT(ISNA(VLOOKUP(E1466,E$1:E1465,1,FALSE()))),"OLD",IF(AND(E1466&lt;&gt;"",E1466&lt;&gt;"!!!"),"NEW","")))</f>
        <v> </v>
      </c>
      <c r="G1466" s="23" t="str">
        <f>IF(OR(E1466="",E1466="!!!"),"",IF(OR(J1466=0,AND(J1466=1,K1466=1),AND(J1466=1,I1466="SBJ"),AND(J1466=1,I1466=0)),"?IN_FOCUS",IF(J1466&lt;=2,"?ACTIVATED",IF(J1466&lt;&gt;"","?FAMILIAR",IF(F1466="NEW",IF(ISNA(VLOOKUP(E1466,#REF!,1,FALSE())),"?TYPE_IDENTIFIABLE","?REFERENTIAL"),"_")))))</f>
        <v> </v>
      </c>
      <c r="H1466" s="24" t="str">
        <f>IF(J1466&lt;&gt;1,"",IF(I1466="SBJ","CB","?"))</f>
        <v> </v>
      </c>
      <c r="I1466" s="25" t="str">
        <f>IF(OR(E1466="",E1466="!!!",F1466="NEW"),"",INDEX(B1465:B$2,-1+SUMPRODUCT(MAX(ROW(E1465:E$2)*(E1466=E1465:E$2)))))</f>
        <v> </v>
      </c>
      <c r="J1466" s="25" t="str">
        <f>IF(OR(E1466="",E1466="!!!",F1466="NEW"),"",COUNTBLANK(OFFSET(A$1,,,SUMPRODUCT(MAX(ROW(E$2:E1466)*(E1466=E$2:E1466)))))-COUNTBLANK(OFFSET(A$1,,,SUMPRODUCT(MAX(ROW(E$1:E1465)*(E2=E$1:E1465))))))</f>
        <v> </v>
      </c>
      <c r="K1466" s="25" t="str">
        <f>IF(OR(E1466="",E1466="!!!",F1466="NEW"),"",INDEX(J$1:J1465,SUMPRODUCT(MAX(ROW(E$1:E1465)*(E1466=E$1:E1465)))))</f>
        <v> </v>
      </c>
      <c r="L1466" s="26"/>
    </row>
    <row r="1467" spans="1:12">
      <c r="A1467" s="20" t="s">
        <v>996</v>
      </c>
      <c r="B1467" s="27" t="s">
        <v>542</v>
      </c>
      <c r="C1467" s="27" t="s">
        <v>538</v>
      </c>
      <c r="D1467" s="27" t="s">
        <v>483</v>
      </c>
      <c r="E1467" s="21">
        <f>IF(D1467="?OLD","!!!","")</f>
        <v/>
      </c>
      <c r="F1467" s="22" t="str">
        <f>IF(OR(E1467="",E1467="!!!"),"",IF(NOT(ISNA(VLOOKUP(E1467,E$1:E1466,1,FALSE()))),"OLD",IF(AND(E1467&lt;&gt;"",E1467&lt;&gt;"!!!"),"NEW","")))</f>
        <v> </v>
      </c>
      <c r="G1467" s="23" t="str">
        <f>IF(OR(E1467="",E1467="!!!"),"",IF(OR(J1467=0,AND(J1467=1,K1467=1),AND(J1467=1,I1467="SBJ"),AND(J1467=1,I1467=0)),"?IN_FOCUS",IF(J1467&lt;=2,"?ACTIVATED",IF(J1467&lt;&gt;"","?FAMILIAR",IF(F1467="NEW",IF(ISNA(VLOOKUP(E1467,#REF!,1,FALSE())),"?TYPE_IDENTIFIABLE","?REFERENTIAL"),"_")))))</f>
        <v> </v>
      </c>
      <c r="H1467" s="24" t="str">
        <f>IF(J1467&lt;&gt;1,"",IF(I1467="SBJ","CB","?"))</f>
        <v> </v>
      </c>
      <c r="I1467" s="25" t="str">
        <f>IF(OR(E1467="",E1467="!!!",F1467="NEW"),"",INDEX(B1466:B$2,-1+SUMPRODUCT(MAX(ROW(E1466:E$2)*(E1467=E1466:E$2)))))</f>
        <v> </v>
      </c>
      <c r="J1467" s="25" t="str">
        <f>IF(OR(E1467="",E1467="!!!",F1467="NEW"),"",COUNTBLANK(OFFSET(A$1,,,SUMPRODUCT(MAX(ROW(E$2:E1467)*(E1467=E$2:E1467)))))-COUNTBLANK(OFFSET(A$1,,,SUMPRODUCT(MAX(ROW(E$1:E1466)*(E2=E$1:E1466))))))</f>
        <v> </v>
      </c>
      <c r="K1467" s="25" t="str">
        <f>IF(OR(E1467="",E1467="!!!",F1467="NEW"),"",INDEX(J$1:J1466,SUMPRODUCT(MAX(ROW(E$1:E1466)*(E1467=E$1:E1466)))))</f>
        <v> </v>
      </c>
      <c r="L1467" s="26"/>
    </row>
    <row r="1468" spans="1:12">
      <c r="A1468" s="20" t="s">
        <v>528</v>
      </c>
      <c r="E1468" s="21">
        <f>IF(D1468="?OLD","!!!","")</f>
        <v/>
      </c>
      <c r="F1468" s="22" t="str">
        <f>IF(OR(E1468="",E1468="!!!"),"",IF(NOT(ISNA(VLOOKUP(E1468,E$1:E1467,1,FALSE()))),"OLD",IF(AND(E1468&lt;&gt;"",E1468&lt;&gt;"!!!"),"NEW","")))</f>
        <v> </v>
      </c>
      <c r="G1468" s="23" t="str">
        <f>IF(OR(E1468="",E1468="!!!"),"",IF(OR(J1468=0,AND(J1468=1,K1468=1),AND(J1468=1,I1468="SBJ"),AND(J1468=1,I1468=0)),"?IN_FOCUS",IF(J1468&lt;=2,"?ACTIVATED",IF(J1468&lt;&gt;"","?FAMILIAR",IF(F1468="NEW",IF(ISNA(VLOOKUP(E1468,#REF!,1,FALSE())),"?TYPE_IDENTIFIABLE","?REFERENTIAL"),"_")))))</f>
        <v> </v>
      </c>
      <c r="H1468" s="24" t="str">
        <f>IF(J1468&lt;&gt;1,"",IF(I1468="SBJ","CB","?"))</f>
        <v> </v>
      </c>
      <c r="I1468" s="25" t="str">
        <f>IF(OR(E1468="",E1468="!!!",F1468="NEW"),"",INDEX(B1467:B$2,-1+SUMPRODUCT(MAX(ROW(E1467:E$2)*(E1468=E1467:E$2)))))</f>
        <v> </v>
      </c>
      <c r="J1468" s="25" t="str">
        <f>IF(OR(E1468="",E1468="!!!",F1468="NEW"),"",COUNTBLANK(OFFSET(A$1,,,SUMPRODUCT(MAX(ROW(E$2:E1468)*(E1468=E$2:E1468)))))-COUNTBLANK(OFFSET(A$1,,,SUMPRODUCT(MAX(ROW(E$1:E1467)*(E2=E$1:E1467))))))</f>
        <v> </v>
      </c>
      <c r="K1468" s="25" t="str">
        <f>IF(OR(E1468="",E1468="!!!",F1468="NEW"),"",INDEX(J$1:J1467,SUMPRODUCT(MAX(ROW(E$1:E1467)*(E1468=E$1:E1467)))))</f>
        <v> </v>
      </c>
      <c r="L1468" s="26"/>
    </row>
    <row r="1469" spans="1:12">
      <c r="A1469" s="20" t="s">
        <v>503</v>
      </c>
      <c r="E1469" s="21">
        <f>IF(D1469="?OLD","!!!","")</f>
        <v/>
      </c>
      <c r="F1469" s="22" t="str">
        <f>IF(OR(E1469="",E1469="!!!"),"",IF(NOT(ISNA(VLOOKUP(E1469,E$1:E1468,1,FALSE()))),"OLD",IF(AND(E1469&lt;&gt;"",E1469&lt;&gt;"!!!"),"NEW","")))</f>
        <v> </v>
      </c>
      <c r="G1469" s="23" t="str">
        <f>IF(OR(E1469="",E1469="!!!"),"",IF(OR(J1469=0,AND(J1469=1,K1469=1),AND(J1469=1,I1469="SBJ"),AND(J1469=1,I1469=0)),"?IN_FOCUS",IF(J1469&lt;=2,"?ACTIVATED",IF(J1469&lt;&gt;"","?FAMILIAR",IF(F1469="NEW",IF(ISNA(VLOOKUP(E1469,#REF!,1,FALSE())),"?TYPE_IDENTIFIABLE","?REFERENTIAL"),"_")))))</f>
        <v> </v>
      </c>
      <c r="H1469" s="24" t="str">
        <f>IF(J1469&lt;&gt;1,"",IF(I1469="SBJ","CB","?"))</f>
        <v> </v>
      </c>
      <c r="I1469" s="25" t="str">
        <f>IF(OR(E1469="",E1469="!!!",F1469="NEW"),"",INDEX(B1468:B$2,-1+SUMPRODUCT(MAX(ROW(E1468:E$2)*(E1469=E1468:E$2)))))</f>
        <v> </v>
      </c>
      <c r="J1469" s="25" t="str">
        <f>IF(OR(E1469="",E1469="!!!",F1469="NEW"),"",COUNTBLANK(OFFSET(A$1,,,SUMPRODUCT(MAX(ROW(E$2:E1469)*(E1469=E$2:E1469)))))-COUNTBLANK(OFFSET(A$1,,,SUMPRODUCT(MAX(ROW(E$1:E1468)*(E2=E$1:E1468))))))</f>
        <v> </v>
      </c>
      <c r="K1469" s="25" t="str">
        <f>IF(OR(E1469="",E1469="!!!",F1469="NEW"),"",INDEX(J$1:J1468,SUMPRODUCT(MAX(ROW(E$1:E1468)*(E1469=E$1:E1468)))))</f>
        <v> </v>
      </c>
      <c r="L1469" s="26"/>
    </row>
    <row r="1470" spans="1:12">
      <c r="A1470" s="20" t="s">
        <v>634</v>
      </c>
      <c r="B1470" s="27" t="s">
        <v>547</v>
      </c>
      <c r="C1470" s="27" t="s">
        <v>635</v>
      </c>
      <c r="D1470" s="27" t="s">
        <v>483</v>
      </c>
      <c r="E1470" s="21">
        <f>IF(D1470="?OLD","!!!","")</f>
        <v/>
      </c>
      <c r="F1470" s="22" t="str">
        <f>IF(OR(E1470="",E1470="!!!"),"",IF(NOT(ISNA(VLOOKUP(E1470,E$1:E1469,1,FALSE()))),"OLD",IF(AND(E1470&lt;&gt;"",E1470&lt;&gt;"!!!"),"NEW","")))</f>
        <v> </v>
      </c>
      <c r="G1470" s="23" t="str">
        <f>IF(OR(E1470="",E1470="!!!"),"",IF(OR(J1470=0,AND(J1470=1,K1470=1),AND(J1470=1,I1470="SBJ"),AND(J1470=1,I1470=0)),"?IN_FOCUS",IF(J1470&lt;=2,"?ACTIVATED",IF(J1470&lt;&gt;"","?FAMILIAR",IF(F1470="NEW",IF(ISNA(VLOOKUP(E1470,#REF!,1,FALSE())),"?TYPE_IDENTIFIABLE","?REFERENTIAL"),"_")))))</f>
        <v> </v>
      </c>
      <c r="H1470" s="24" t="str">
        <f>IF(J1470&lt;&gt;1,"",IF(I1470="SBJ","CB","?"))</f>
        <v> </v>
      </c>
      <c r="I1470" s="25" t="str">
        <f>IF(OR(E1470="",E1470="!!!",F1470="NEW"),"",INDEX(B1469:B$2,-1+SUMPRODUCT(MAX(ROW(E1469:E$2)*(E1470=E1469:E$2)))))</f>
        <v> </v>
      </c>
      <c r="J1470" s="25" t="str">
        <f>IF(OR(E1470="",E1470="!!!",F1470="NEW"),"",COUNTBLANK(OFFSET(A$1,,,SUMPRODUCT(MAX(ROW(E$2:E1470)*(E1470=E$2:E1470)))))-COUNTBLANK(OFFSET(A$1,,,SUMPRODUCT(MAX(ROW(E$1:E1469)*(E2=E$1:E1469))))))</f>
        <v> </v>
      </c>
      <c r="K1470" s="25" t="str">
        <f>IF(OR(E1470="",E1470="!!!",F1470="NEW"),"",INDEX(J$1:J1469,SUMPRODUCT(MAX(ROW(E$1:E1469)*(E1470=E$1:E1469)))))</f>
        <v> </v>
      </c>
      <c r="L1470" s="26"/>
    </row>
    <row r="1471" spans="1:12">
      <c r="A1471" s="20" t="s">
        <v>950</v>
      </c>
      <c r="B1471" s="27" t="s">
        <v>540</v>
      </c>
      <c r="C1471" s="27" t="s">
        <v>487</v>
      </c>
      <c r="D1471" s="27" t="s">
        <v>483</v>
      </c>
      <c r="E1471" s="21">
        <f>IF(D1471="?OLD","!!!","")</f>
        <v/>
      </c>
      <c r="F1471" s="22" t="str">
        <f>IF(OR(E1471="",E1471="!!!"),"",IF(NOT(ISNA(VLOOKUP(E1471,E$1:E1470,1,FALSE()))),"OLD",IF(AND(E1471&lt;&gt;"",E1471&lt;&gt;"!!!"),"NEW","")))</f>
        <v> </v>
      </c>
      <c r="G1471" s="23" t="str">
        <f>IF(OR(E1471="",E1471="!!!"),"",IF(OR(J1471=0,AND(J1471=1,K1471=1),AND(J1471=1,I1471="SBJ"),AND(J1471=1,I1471=0)),"?IN_FOCUS",IF(J1471&lt;=2,"?ACTIVATED",IF(J1471&lt;&gt;"","?FAMILIAR",IF(F1471="NEW",IF(ISNA(VLOOKUP(E1471,#REF!,1,FALSE())),"?TYPE_IDENTIFIABLE","?REFERENTIAL"),"_")))))</f>
        <v> </v>
      </c>
      <c r="H1471" s="24" t="str">
        <f>IF(J1471&lt;&gt;1,"",IF(I1471="SBJ","CB","?"))</f>
        <v> </v>
      </c>
      <c r="I1471" s="25" t="str">
        <f>IF(OR(E1471="",E1471="!!!",F1471="NEW"),"",INDEX(B1470:B$2,-1+SUMPRODUCT(MAX(ROW(E1470:E$2)*(E1471=E1470:E$2)))))</f>
        <v> </v>
      </c>
      <c r="J1471" s="25" t="str">
        <f>IF(OR(E1471="",E1471="!!!",F1471="NEW"),"",COUNTBLANK(OFFSET(A$1,,,SUMPRODUCT(MAX(ROW(E$2:E1471)*(E1471=E$2:E1471)))))-COUNTBLANK(OFFSET(A$1,,,SUMPRODUCT(MAX(ROW(E$1:E1470)*(E2=E$1:E1470))))))</f>
        <v> </v>
      </c>
      <c r="K1471" s="25" t="str">
        <f>IF(OR(E1471="",E1471="!!!",F1471="NEW"),"",INDEX(J$1:J1470,SUMPRODUCT(MAX(ROW(E$1:E1470)*(E1471=E$1:E1470)))))</f>
        <v> </v>
      </c>
      <c r="L1471" s="26"/>
    </row>
    <row r="1472" spans="1:12">
      <c r="A1472" s="20" t="s">
        <v>507</v>
      </c>
      <c r="E1472" s="21">
        <f>IF(D1472="?OLD","!!!","")</f>
        <v/>
      </c>
      <c r="F1472" s="22" t="str">
        <f>IF(OR(E1472="",E1472="!!!"),"",IF(NOT(ISNA(VLOOKUP(E1472,E$1:E1471,1,FALSE()))),"OLD",IF(AND(E1472&lt;&gt;"",E1472&lt;&gt;"!!!"),"NEW","")))</f>
        <v> </v>
      </c>
      <c r="G1472" s="23" t="str">
        <f>IF(OR(E1472="",E1472="!!!"),"",IF(OR(J1472=0,AND(J1472=1,K1472=1),AND(J1472=1,I1472="SBJ"),AND(J1472=1,I1472=0)),"?IN_FOCUS",IF(J1472&lt;=2,"?ACTIVATED",IF(J1472&lt;&gt;"","?FAMILIAR",IF(F1472="NEW",IF(ISNA(VLOOKUP(E1472,#REF!,1,FALSE())),"?TYPE_IDENTIFIABLE","?REFERENTIAL"),"_")))))</f>
        <v> </v>
      </c>
      <c r="H1472" s="24" t="str">
        <f>IF(J1472&lt;&gt;1,"",IF(I1472="SBJ","CB","?"))</f>
        <v> </v>
      </c>
      <c r="I1472" s="25" t="str">
        <f>IF(OR(E1472="",E1472="!!!",F1472="NEW"),"",INDEX(B1471:B$2,-1+SUMPRODUCT(MAX(ROW(E1471:E$2)*(E1472=E1471:E$2)))))</f>
        <v> </v>
      </c>
      <c r="J1472" s="25" t="str">
        <f>IF(OR(E1472="",E1472="!!!",F1472="NEW"),"",COUNTBLANK(OFFSET(A$1,,,SUMPRODUCT(MAX(ROW(E$2:E1472)*(E1472=E$2:E1472)))))-COUNTBLANK(OFFSET(A$1,,,SUMPRODUCT(MAX(ROW(E$1:E1471)*(E2=E$1:E1471))))))</f>
        <v> </v>
      </c>
      <c r="K1472" s="25" t="str">
        <f>IF(OR(E1472="",E1472="!!!",F1472="NEW"),"",INDEX(J$1:J1471,SUMPRODUCT(MAX(ROW(E$1:E1471)*(E1472=E$1:E1471)))))</f>
        <v> </v>
      </c>
      <c r="L1472" s="26"/>
    </row>
    <row r="1473" spans="1:12">
      <c r="A1473" s="20" t="s">
        <v>503</v>
      </c>
      <c r="E1473" s="21">
        <f>IF(D1473="?OLD","!!!","")</f>
        <v/>
      </c>
      <c r="F1473" s="22" t="str">
        <f>IF(OR(E1473="",E1473="!!!"),"",IF(NOT(ISNA(VLOOKUP(E1473,E$1:E1472,1,FALSE()))),"OLD",IF(AND(E1473&lt;&gt;"",E1473&lt;&gt;"!!!"),"NEW","")))</f>
        <v> </v>
      </c>
      <c r="G1473" s="23" t="str">
        <f>IF(OR(E1473="",E1473="!!!"),"",IF(OR(J1473=0,AND(J1473=1,K1473=1),AND(J1473=1,I1473="SBJ"),AND(J1473=1,I1473=0)),"?IN_FOCUS",IF(J1473&lt;=2,"?ACTIVATED",IF(J1473&lt;&gt;"","?FAMILIAR",IF(F1473="NEW",IF(ISNA(VLOOKUP(E1473,#REF!,1,FALSE())),"?TYPE_IDENTIFIABLE","?REFERENTIAL"),"_")))))</f>
        <v> </v>
      </c>
      <c r="H1473" s="24" t="str">
        <f>IF(J1473&lt;&gt;1,"",IF(I1473="SBJ","CB","?"))</f>
        <v> </v>
      </c>
      <c r="I1473" s="25" t="str">
        <f>IF(OR(E1473="",E1473="!!!",F1473="NEW"),"",INDEX(B1472:B$2,-1+SUMPRODUCT(MAX(ROW(E1472:E$2)*(E1473=E1472:E$2)))))</f>
        <v> </v>
      </c>
      <c r="J1473" s="25" t="str">
        <f>IF(OR(E1473="",E1473="!!!",F1473="NEW"),"",COUNTBLANK(OFFSET(A$1,,,SUMPRODUCT(MAX(ROW(E$2:E1473)*(E1473=E$2:E1473)))))-COUNTBLANK(OFFSET(A$1,,,SUMPRODUCT(MAX(ROW(E$1:E1472)*(E2=E$1:E1472))))))</f>
        <v> </v>
      </c>
      <c r="K1473" s="25" t="str">
        <f>IF(OR(E1473="",E1473="!!!",F1473="NEW"),"",INDEX(J$1:J1472,SUMPRODUCT(MAX(ROW(E$1:E1472)*(E1473=E$1:E1472)))))</f>
        <v> </v>
      </c>
      <c r="L1473" s="26"/>
    </row>
    <row r="1474" spans="1:12">
      <c r="A1474" s="20" t="s">
        <v>987</v>
      </c>
      <c r="B1474" s="27" t="s">
        <v>490</v>
      </c>
      <c r="C1474" s="27" t="s">
        <v>538</v>
      </c>
      <c r="D1474" s="27" t="s">
        <v>483</v>
      </c>
      <c r="E1474" s="21">
        <f>IF(D1474="?OLD","!!!","")</f>
        <v/>
      </c>
      <c r="F1474" s="22" t="str">
        <f>IF(OR(E1474="",E1474="!!!"),"",IF(NOT(ISNA(VLOOKUP(E1474,E$1:E1473,1,FALSE()))),"OLD",IF(AND(E1474&lt;&gt;"",E1474&lt;&gt;"!!!"),"NEW","")))</f>
        <v> </v>
      </c>
      <c r="G1474" s="23" t="str">
        <f>IF(OR(E1474="",E1474="!!!"),"",IF(OR(J1474=0,AND(J1474=1,K1474=1),AND(J1474=1,I1474="SBJ"),AND(J1474=1,I1474=0)),"?IN_FOCUS",IF(J1474&lt;=2,"?ACTIVATED",IF(J1474&lt;&gt;"","?FAMILIAR",IF(F1474="NEW",IF(ISNA(VLOOKUP(E1474,#REF!,1,FALSE())),"?TYPE_IDENTIFIABLE","?REFERENTIAL"),"_")))))</f>
        <v> </v>
      </c>
      <c r="H1474" s="24" t="str">
        <f>IF(J1474&lt;&gt;1,"",IF(I1474="SBJ","CB","?"))</f>
        <v> </v>
      </c>
      <c r="I1474" s="25" t="str">
        <f>IF(OR(E1474="",E1474="!!!",F1474="NEW"),"",INDEX(B1473:B$2,-1+SUMPRODUCT(MAX(ROW(E1473:E$2)*(E1474=E1473:E$2)))))</f>
        <v> </v>
      </c>
      <c r="J1474" s="25" t="str">
        <f>IF(OR(E1474="",E1474="!!!",F1474="NEW"),"",COUNTBLANK(OFFSET(A$1,,,SUMPRODUCT(MAX(ROW(E$2:E1474)*(E1474=E$2:E1474)))))-COUNTBLANK(OFFSET(A$1,,,SUMPRODUCT(MAX(ROW(E$1:E1473)*(E2=E$1:E1473))))))</f>
        <v> </v>
      </c>
      <c r="K1474" s="25" t="str">
        <f>IF(OR(E1474="",E1474="!!!",F1474="NEW"),"",INDEX(J$1:J1473,SUMPRODUCT(MAX(ROW(E$1:E1473)*(E1474=E$1:E1473)))))</f>
        <v> </v>
      </c>
      <c r="L1474" s="26"/>
    </row>
    <row r="1475" spans="1:12">
      <c r="A1475" s="20" t="s">
        <v>528</v>
      </c>
      <c r="E1475" s="21">
        <f>IF(D1475="?OLD","!!!","")</f>
        <v/>
      </c>
      <c r="F1475" s="22" t="str">
        <f>IF(OR(E1475="",E1475="!!!"),"",IF(NOT(ISNA(VLOOKUP(E1475,E$1:E1474,1,FALSE()))),"OLD",IF(AND(E1475&lt;&gt;"",E1475&lt;&gt;"!!!"),"NEW","")))</f>
        <v> </v>
      </c>
      <c r="G1475" s="23" t="str">
        <f>IF(OR(E1475="",E1475="!!!"),"",IF(OR(J1475=0,AND(J1475=1,K1475=1),AND(J1475=1,I1475="SBJ"),AND(J1475=1,I1475=0)),"?IN_FOCUS",IF(J1475&lt;=2,"?ACTIVATED",IF(J1475&lt;&gt;"","?FAMILIAR",IF(F1475="NEW",IF(ISNA(VLOOKUP(E1475,#REF!,1,FALSE())),"?TYPE_IDENTIFIABLE","?REFERENTIAL"),"_")))))</f>
        <v> </v>
      </c>
      <c r="H1475" s="24" t="str">
        <f>IF(J1475&lt;&gt;1,"",IF(I1475="SBJ","CB","?"))</f>
        <v> </v>
      </c>
      <c r="I1475" s="25" t="str">
        <f>IF(OR(E1475="",E1475="!!!",F1475="NEW"),"",INDEX(B1474:B$2,-1+SUMPRODUCT(MAX(ROW(E1474:E$2)*(E1475=E1474:E$2)))))</f>
        <v> </v>
      </c>
      <c r="J1475" s="25" t="str">
        <f>IF(OR(E1475="",E1475="!!!",F1475="NEW"),"",COUNTBLANK(OFFSET(A$1,,,SUMPRODUCT(MAX(ROW(E$2:E1475)*(E1475=E$2:E1475)))))-COUNTBLANK(OFFSET(A$1,,,SUMPRODUCT(MAX(ROW(E$1:E1474)*(E2=E$1:E1474))))))</f>
        <v> </v>
      </c>
      <c r="K1475" s="25" t="str">
        <f>IF(OR(E1475="",E1475="!!!",F1475="NEW"),"",INDEX(J$1:J1474,SUMPRODUCT(MAX(ROW(E$1:E1474)*(E1475=E$1:E1474)))))</f>
        <v> </v>
      </c>
      <c r="L1475" s="26"/>
    </row>
    <row r="1476" spans="1:12">
      <c r="A1476" s="20" t="s">
        <v>765</v>
      </c>
      <c r="E1476" s="21">
        <f>IF(D1476="?OLD","!!!","")</f>
        <v/>
      </c>
      <c r="F1476" s="22" t="str">
        <f>IF(OR(E1476="",E1476="!!!"),"",IF(NOT(ISNA(VLOOKUP(E1476,E$1:E1475,1,FALSE()))),"OLD",IF(AND(E1476&lt;&gt;"",E1476&lt;&gt;"!!!"),"NEW","")))</f>
        <v> </v>
      </c>
      <c r="G1476" s="23" t="str">
        <f>IF(OR(E1476="",E1476="!!!"),"",IF(OR(J1476=0,AND(J1476=1,K1476=1),AND(J1476=1,I1476="SBJ"),AND(J1476=1,I1476=0)),"?IN_FOCUS",IF(J1476&lt;=2,"?ACTIVATED",IF(J1476&lt;&gt;"","?FAMILIAR",IF(F1476="NEW",IF(ISNA(VLOOKUP(E1476,#REF!,1,FALSE())),"?TYPE_IDENTIFIABLE","?REFERENTIAL"),"_")))))</f>
        <v> </v>
      </c>
      <c r="H1476" s="24" t="str">
        <f>IF(J1476&lt;&gt;1,"",IF(I1476="SBJ","CB","?"))</f>
        <v> </v>
      </c>
      <c r="I1476" s="25" t="str">
        <f>IF(OR(E1476="",E1476="!!!",F1476="NEW"),"",INDEX(B1475:B$2,-1+SUMPRODUCT(MAX(ROW(E1475:E$2)*(E1476=E1475:E$2)))))</f>
        <v> </v>
      </c>
      <c r="J1476" s="25" t="str">
        <f>IF(OR(E1476="",E1476="!!!",F1476="NEW"),"",COUNTBLANK(OFFSET(A$1,,,SUMPRODUCT(MAX(ROW(E$2:E1476)*(E1476=E$2:E1476)))))-COUNTBLANK(OFFSET(A$1,,,SUMPRODUCT(MAX(ROW(E$1:E1475)*(E2=E$1:E1475))))))</f>
        <v> </v>
      </c>
      <c r="K1476" s="25" t="str">
        <f>IF(OR(E1476="",E1476="!!!",F1476="NEW"),"",INDEX(J$1:J1475,SUMPRODUCT(MAX(ROW(E$1:E1475)*(E1476=E$1:E1475)))))</f>
        <v> </v>
      </c>
      <c r="L1476" s="26"/>
    </row>
    <row r="1477" spans="1:12">
      <c r="A1477" s="20" t="s">
        <v>528</v>
      </c>
      <c r="E1477" s="21">
        <f>IF(D1477="?OLD","!!!","")</f>
        <v/>
      </c>
      <c r="F1477" s="22" t="str">
        <f>IF(OR(E1477="",E1477="!!!"),"",IF(NOT(ISNA(VLOOKUP(E1477,E$1:E1476,1,FALSE()))),"OLD",IF(AND(E1477&lt;&gt;"",E1477&lt;&gt;"!!!"),"NEW","")))</f>
        <v> </v>
      </c>
      <c r="G1477" s="23" t="str">
        <f>IF(OR(E1477="",E1477="!!!"),"",IF(OR(J1477=0,AND(J1477=1,K1477=1),AND(J1477=1,I1477="SBJ"),AND(J1477=1,I1477=0)),"?IN_FOCUS",IF(J1477&lt;=2,"?ACTIVATED",IF(J1477&lt;&gt;"","?FAMILIAR",IF(F1477="NEW",IF(ISNA(VLOOKUP(E1477,#REF!,1,FALSE())),"?TYPE_IDENTIFIABLE","?REFERENTIAL"),"_")))))</f>
        <v> </v>
      </c>
      <c r="H1477" s="24" t="str">
        <f>IF(J1477&lt;&gt;1,"",IF(I1477="SBJ","CB","?"))</f>
        <v> </v>
      </c>
      <c r="I1477" s="25" t="str">
        <f>IF(OR(E1477="",E1477="!!!",F1477="NEW"),"",INDEX(B1476:B$2,-1+SUMPRODUCT(MAX(ROW(E1476:E$2)*(E1477=E1476:E$2)))))</f>
        <v> </v>
      </c>
      <c r="J1477" s="25" t="str">
        <f>IF(OR(E1477="",E1477="!!!",F1477="NEW"),"",COUNTBLANK(OFFSET(A$1,,,SUMPRODUCT(MAX(ROW(E$2:E1477)*(E1477=E$2:E1477)))))-COUNTBLANK(OFFSET(A$1,,,SUMPRODUCT(MAX(ROW(E$1:E1476)*(E2=E$1:E1476))))))</f>
        <v> </v>
      </c>
      <c r="K1477" s="25" t="str">
        <f>IF(OR(E1477="",E1477="!!!",F1477="NEW"),"",INDEX(J$1:J1476,SUMPRODUCT(MAX(ROW(E$1:E1476)*(E1477=E$1:E1476)))))</f>
        <v> </v>
      </c>
      <c r="L1477" s="26"/>
    </row>
    <row r="1478" spans="1:12">
      <c r="A1478" s="20" t="s">
        <v>485</v>
      </c>
      <c r="E1478" s="21">
        <f>IF(D1478="?OLD","!!!","")</f>
        <v/>
      </c>
      <c r="F1478" s="22" t="str">
        <f>IF(OR(E1478="",E1478="!!!"),"",IF(NOT(ISNA(VLOOKUP(E1478,E$1:E1477,1,FALSE()))),"OLD",IF(AND(E1478&lt;&gt;"",E1478&lt;&gt;"!!!"),"NEW","")))</f>
        <v> </v>
      </c>
      <c r="G1478" s="23" t="str">
        <f>IF(OR(E1478="",E1478="!!!"),"",IF(OR(J1478=0,AND(J1478=1,K1478=1),AND(J1478=1,I1478="SBJ"),AND(J1478=1,I1478=0)),"?IN_FOCUS",IF(J1478&lt;=2,"?ACTIVATED",IF(J1478&lt;&gt;"","?FAMILIAR",IF(F1478="NEW",IF(ISNA(VLOOKUP(E1478,#REF!,1,FALSE())),"?TYPE_IDENTIFIABLE","?REFERENTIAL"),"_")))))</f>
        <v> </v>
      </c>
      <c r="H1478" s="24" t="str">
        <f>IF(J1478&lt;&gt;1,"",IF(I1478="SBJ","CB","?"))</f>
        <v> </v>
      </c>
      <c r="I1478" s="25" t="str">
        <f>IF(OR(E1478="",E1478="!!!",F1478="NEW"),"",INDEX(B1477:B$2,-1+SUMPRODUCT(MAX(ROW(E1477:E$2)*(E1478=E1477:E$2)))))</f>
        <v> </v>
      </c>
      <c r="J1478" s="25" t="str">
        <f>IF(OR(E1478="",E1478="!!!",F1478="NEW"),"",COUNTBLANK(OFFSET(A$1,,,SUMPRODUCT(MAX(ROW(E$2:E1478)*(E1478=E$2:E1478)))))-COUNTBLANK(OFFSET(A$1,,,SUMPRODUCT(MAX(ROW(E$1:E1477)*(E2=E$1:E1477))))))</f>
        <v> </v>
      </c>
      <c r="K1478" s="25" t="str">
        <f>IF(OR(E1478="",E1478="!!!",F1478="NEW"),"",INDEX(J$1:J1477,SUMPRODUCT(MAX(ROW(E$1:E1477)*(E1478=E$1:E1477)))))</f>
        <v> </v>
      </c>
      <c r="L1478" s="26"/>
    </row>
    <row r="1479" spans="1:12">
      <c r="A1479" s="20" t="s">
        <v>668</v>
      </c>
      <c r="B1479" s="27" t="s">
        <v>547</v>
      </c>
      <c r="C1479" s="27" t="s">
        <v>635</v>
      </c>
      <c r="D1479" s="27" t="s">
        <v>483</v>
      </c>
      <c r="E1479" s="21">
        <f>IF(D1479="?OLD","!!!","")</f>
        <v/>
      </c>
      <c r="F1479" s="22" t="str">
        <f>IF(OR(E1479="",E1479="!!!"),"",IF(NOT(ISNA(VLOOKUP(E1479,E$1:E1478,1,FALSE()))),"OLD",IF(AND(E1479&lt;&gt;"",E1479&lt;&gt;"!!!"),"NEW","")))</f>
        <v> </v>
      </c>
      <c r="G1479" s="23" t="str">
        <f>IF(OR(E1479="",E1479="!!!"),"",IF(OR(J1479=0,AND(J1479=1,K1479=1),AND(J1479=1,I1479="SBJ"),AND(J1479=1,I1479=0)),"?IN_FOCUS",IF(J1479&lt;=2,"?ACTIVATED",IF(J1479&lt;&gt;"","?FAMILIAR",IF(F1479="NEW",IF(ISNA(VLOOKUP(E1479,#REF!,1,FALSE())),"?TYPE_IDENTIFIABLE","?REFERENTIAL"),"_")))))</f>
        <v> </v>
      </c>
      <c r="H1479" s="24" t="str">
        <f>IF(J1479&lt;&gt;1,"",IF(I1479="SBJ","CB","?"))</f>
        <v> </v>
      </c>
      <c r="I1479" s="25" t="str">
        <f>IF(OR(E1479="",E1479="!!!",F1479="NEW"),"",INDEX(B1478:B$2,-1+SUMPRODUCT(MAX(ROW(E1478:E$2)*(E1479=E1478:E$2)))))</f>
        <v> </v>
      </c>
      <c r="J1479" s="25" t="str">
        <f>IF(OR(E1479="",E1479="!!!",F1479="NEW"),"",COUNTBLANK(OFFSET(A$1,,,SUMPRODUCT(MAX(ROW(E$2:E1479)*(E1479=E$2:E1479)))))-COUNTBLANK(OFFSET(A$1,,,SUMPRODUCT(MAX(ROW(E$1:E1478)*(E2=E$1:E1478))))))</f>
        <v> </v>
      </c>
      <c r="K1479" s="25" t="str">
        <f>IF(OR(E1479="",E1479="!!!",F1479="NEW"),"",INDEX(J$1:J1478,SUMPRODUCT(MAX(ROW(E$1:E1478)*(E1479=E$1:E1478)))))</f>
        <v> </v>
      </c>
      <c r="L1479" s="26"/>
    </row>
    <row r="1480" spans="1:12">
      <c r="A1480" s="20" t="s">
        <v>997</v>
      </c>
      <c r="B1480" s="27" t="s">
        <v>540</v>
      </c>
      <c r="C1480" s="27" t="s">
        <v>487</v>
      </c>
      <c r="D1480" s="27" t="s">
        <v>483</v>
      </c>
      <c r="E1480" s="21">
        <f>IF(D1480="?OLD","!!!","")</f>
        <v/>
      </c>
      <c r="F1480" s="22" t="str">
        <f>IF(OR(E1480="",E1480="!!!"),"",IF(NOT(ISNA(VLOOKUP(E1480,E$1:E1479,1,FALSE()))),"OLD",IF(AND(E1480&lt;&gt;"",E1480&lt;&gt;"!!!"),"NEW","")))</f>
        <v> </v>
      </c>
      <c r="G1480" s="23" t="str">
        <f>IF(OR(E1480="",E1480="!!!"),"",IF(OR(J1480=0,AND(J1480=1,K1480=1),AND(J1480=1,I1480="SBJ"),AND(J1480=1,I1480=0)),"?IN_FOCUS",IF(J1480&lt;=2,"?ACTIVATED",IF(J1480&lt;&gt;"","?FAMILIAR",IF(F1480="NEW",IF(ISNA(VLOOKUP(E1480,#REF!,1,FALSE())),"?TYPE_IDENTIFIABLE","?REFERENTIAL"),"_")))))</f>
        <v> </v>
      </c>
      <c r="H1480" s="24" t="str">
        <f>IF(J1480&lt;&gt;1,"",IF(I1480="SBJ","CB","?"))</f>
        <v> </v>
      </c>
      <c r="I1480" s="25" t="str">
        <f>IF(OR(E1480="",E1480="!!!",F1480="NEW"),"",INDEX(B1479:B$2,-1+SUMPRODUCT(MAX(ROW(E1479:E$2)*(E1480=E1479:E$2)))))</f>
        <v> </v>
      </c>
      <c r="J1480" s="25" t="str">
        <f>IF(OR(E1480="",E1480="!!!",F1480="NEW"),"",COUNTBLANK(OFFSET(A$1,,,SUMPRODUCT(MAX(ROW(E$2:E1480)*(E1480=E$2:E1480)))))-COUNTBLANK(OFFSET(A$1,,,SUMPRODUCT(MAX(ROW(E$1:E1479)*(E2=E$1:E1479))))))</f>
        <v> </v>
      </c>
      <c r="K1480" s="25" t="str">
        <f>IF(OR(E1480="",E1480="!!!",F1480="NEW"),"",INDEX(J$1:J1479,SUMPRODUCT(MAX(ROW(E$1:E1479)*(E1480=E$1:E1479)))))</f>
        <v> </v>
      </c>
      <c r="L1480" s="26"/>
    </row>
    <row r="1481" spans="1:12">
      <c r="A1481" s="20" t="s">
        <v>489</v>
      </c>
      <c r="E1481" s="21">
        <f>IF(D1481="?OLD","!!!","")</f>
        <v/>
      </c>
      <c r="F1481" s="22" t="str">
        <f>IF(OR(E1481="",E1481="!!!"),"",IF(NOT(ISNA(VLOOKUP(E1481,E$1:E1480,1,FALSE()))),"OLD",IF(AND(E1481&lt;&gt;"",E1481&lt;&gt;"!!!"),"NEW","")))</f>
        <v> </v>
      </c>
      <c r="G1481" s="23" t="str">
        <f>IF(OR(E1481="",E1481="!!!"),"",IF(OR(J1481=0,AND(J1481=1,K1481=1),AND(J1481=1,I1481="SBJ"),AND(J1481=1,I1481=0)),"?IN_FOCUS",IF(J1481&lt;=2,"?ACTIVATED",IF(J1481&lt;&gt;"","?FAMILIAR",IF(F1481="NEW",IF(ISNA(VLOOKUP(E1481,#REF!,1,FALSE())),"?TYPE_IDENTIFIABLE","?REFERENTIAL"),"_")))))</f>
        <v> </v>
      </c>
      <c r="H1481" s="24" t="str">
        <f>IF(J1481&lt;&gt;1,"",IF(I1481="SBJ","CB","?"))</f>
        <v> </v>
      </c>
      <c r="I1481" s="25" t="str">
        <f>IF(OR(E1481="",E1481="!!!",F1481="NEW"),"",INDEX(B1480:B$2,-1+SUMPRODUCT(MAX(ROW(E1480:E$2)*(E1481=E1480:E$2)))))</f>
        <v> </v>
      </c>
      <c r="J1481" s="25" t="str">
        <f>IF(OR(E1481="",E1481="!!!",F1481="NEW"),"",COUNTBLANK(OFFSET(A$1,,,SUMPRODUCT(MAX(ROW(E$2:E1481)*(E1481=E$2:E1481)))))-COUNTBLANK(OFFSET(A$1,,,SUMPRODUCT(MAX(ROW(E$1:E1480)*(E2=E$1:E1480))))))</f>
        <v> </v>
      </c>
      <c r="K1481" s="25" t="str">
        <f>IF(OR(E1481="",E1481="!!!",F1481="NEW"),"",INDEX(J$1:J1480,SUMPRODUCT(MAX(ROW(E$1:E1480)*(E1481=E$1:E1480)))))</f>
        <v> </v>
      </c>
      <c r="L1481" s="26"/>
    </row>
    <row r="1482" spans="1:12">
      <c r="A1482" s="20" t="s">
        <v>998</v>
      </c>
      <c r="E1482" s="21">
        <f>IF(D1482="?OLD","!!!","")</f>
        <v/>
      </c>
      <c r="F1482" s="22" t="str">
        <f>IF(OR(E1482="",E1482="!!!"),"",IF(NOT(ISNA(VLOOKUP(E1482,E$1:E1481,1,FALSE()))),"OLD",IF(AND(E1482&lt;&gt;"",E1482&lt;&gt;"!!!"),"NEW","")))</f>
        <v> </v>
      </c>
      <c r="G1482" s="23" t="str">
        <f>IF(OR(E1482="",E1482="!!!"),"",IF(OR(J1482=0,AND(J1482=1,K1482=1),AND(J1482=1,I1482="SBJ"),AND(J1482=1,I1482=0)),"?IN_FOCUS",IF(J1482&lt;=2,"?ACTIVATED",IF(J1482&lt;&gt;"","?FAMILIAR",IF(F1482="NEW",IF(ISNA(VLOOKUP(E1482,#REF!,1,FALSE())),"?TYPE_IDENTIFIABLE","?REFERENTIAL"),"_")))))</f>
        <v> </v>
      </c>
      <c r="H1482" s="24" t="str">
        <f>IF(J1482&lt;&gt;1,"",IF(I1482="SBJ","CB","?"))</f>
        <v> </v>
      </c>
      <c r="I1482" s="25" t="str">
        <f>IF(OR(E1482="",E1482="!!!",F1482="NEW"),"",INDEX(B1481:B$2,-1+SUMPRODUCT(MAX(ROW(E1481:E$2)*(E1482=E1481:E$2)))))</f>
        <v> </v>
      </c>
      <c r="J1482" s="25" t="str">
        <f>IF(OR(E1482="",E1482="!!!",F1482="NEW"),"",COUNTBLANK(OFFSET(A$1,,,SUMPRODUCT(MAX(ROW(E$2:E1482)*(E1482=E$2:E1482)))))-COUNTBLANK(OFFSET(A$1,,,SUMPRODUCT(MAX(ROW(E$1:E1481)*(E2=E$1:E1481))))))</f>
        <v> </v>
      </c>
      <c r="K1482" s="25" t="str">
        <f>IF(OR(E1482="",E1482="!!!",F1482="NEW"),"",INDEX(J$1:J1481,SUMPRODUCT(MAX(ROW(E$1:E1481)*(E1482=E$1:E1481)))))</f>
        <v> </v>
      </c>
      <c r="L1482" s="26"/>
    </row>
    <row r="1483" spans="1:12">
      <c r="A1483" s="20" t="s">
        <v>380</v>
      </c>
      <c r="E1483" s="21">
        <f>IF(D1483="?OLD","!!!","")</f>
        <v/>
      </c>
      <c r="F1483" s="22" t="str">
        <f>IF(OR(E1483="",E1483="!!!"),"",IF(NOT(ISNA(VLOOKUP(E1483,E$1:E1482,1,FALSE()))),"OLD",IF(AND(E1483&lt;&gt;"",E1483&lt;&gt;"!!!"),"NEW","")))</f>
        <v> </v>
      </c>
      <c r="G1483" s="23" t="str">
        <f>IF(OR(E1483="",E1483="!!!"),"",IF(OR(J1483=0,AND(J1483=1,K1483=1),AND(J1483=1,I1483="SBJ"),AND(J1483=1,I1483=0)),"?IN_FOCUS",IF(J1483&lt;=2,"?ACTIVATED",IF(J1483&lt;&gt;"","?FAMILIAR",IF(F1483="NEW",IF(ISNA(VLOOKUP(E1483,#REF!,1,FALSE())),"?TYPE_IDENTIFIABLE","?REFERENTIAL"),"_")))))</f>
        <v> </v>
      </c>
      <c r="H1483" s="24" t="str">
        <f>IF(J1483&lt;&gt;1,"",IF(I1483="SBJ","CB","?"))</f>
        <v> </v>
      </c>
      <c r="I1483" s="25" t="str">
        <f>IF(OR(E1483="",E1483="!!!",F1483="NEW"),"",INDEX(B1482:B$2,-1+SUMPRODUCT(MAX(ROW(E1482:E$2)*(E1483=E1482:E$2)))))</f>
        <v> </v>
      </c>
      <c r="J1483" s="25" t="str">
        <f>IF(OR(E1483="",E1483="!!!",F1483="NEW"),"",COUNTBLANK(OFFSET(A$1,,,SUMPRODUCT(MAX(ROW(E$2:E1483)*(E1483=E$2:E1483)))))-COUNTBLANK(OFFSET(A$1,,,SUMPRODUCT(MAX(ROW(E$1:E1482)*(E2=E$1:E1482))))))</f>
        <v> </v>
      </c>
      <c r="K1483" s="25" t="str">
        <f>IF(OR(E1483="",E1483="!!!",F1483="NEW"),"",INDEX(J$1:J1482,SUMPRODUCT(MAX(ROW(E$1:E1482)*(E1483=E$1:E1482)))))</f>
        <v> </v>
      </c>
      <c r="L1483" s="26"/>
    </row>
    <row r="1484" spans="1:12">
      <c r="A1484" s="20" t="s">
        <v>833</v>
      </c>
      <c r="E1484" s="21">
        <f>IF(D1484="?OLD","!!!","")</f>
        <v/>
      </c>
      <c r="F1484" s="22" t="str">
        <f>IF(OR(E1484="",E1484="!!!"),"",IF(NOT(ISNA(VLOOKUP(E1484,E$1:E1483,1,FALSE()))),"OLD",IF(AND(E1484&lt;&gt;"",E1484&lt;&gt;"!!!"),"NEW","")))</f>
        <v> </v>
      </c>
      <c r="G1484" s="23" t="str">
        <f>IF(OR(E1484="",E1484="!!!"),"",IF(OR(J1484=0,AND(J1484=1,K1484=1),AND(J1484=1,I1484="SBJ"),AND(J1484=1,I1484=0)),"?IN_FOCUS",IF(J1484&lt;=2,"?ACTIVATED",IF(J1484&lt;&gt;"","?FAMILIAR",IF(F1484="NEW",IF(ISNA(VLOOKUP(E1484,#REF!,1,FALSE())),"?TYPE_IDENTIFIABLE","?REFERENTIAL"),"_")))))</f>
        <v> </v>
      </c>
      <c r="H1484" s="24" t="str">
        <f>IF(J1484&lt;&gt;1,"",IF(I1484="SBJ","CB","?"))</f>
        <v> </v>
      </c>
      <c r="I1484" s="25" t="str">
        <f>IF(OR(E1484="",E1484="!!!",F1484="NEW"),"",INDEX(B1483:B$2,-1+SUMPRODUCT(MAX(ROW(E1483:E$2)*(E1484=E1483:E$2)))))</f>
        <v> </v>
      </c>
      <c r="J1484" s="25" t="str">
        <f>IF(OR(E1484="",E1484="!!!",F1484="NEW"),"",COUNTBLANK(OFFSET(A$1,,,SUMPRODUCT(MAX(ROW(E$2:E1484)*(E1484=E$2:E1484)))))-COUNTBLANK(OFFSET(A$1,,,SUMPRODUCT(MAX(ROW(E$1:E1483)*(E2=E$1:E1483))))))</f>
        <v> </v>
      </c>
      <c r="K1484" s="25" t="str">
        <f>IF(OR(E1484="",E1484="!!!",F1484="NEW"),"",INDEX(J$1:J1483,SUMPRODUCT(MAX(ROW(E$1:E1483)*(E1484=E$1:E1483)))))</f>
        <v> </v>
      </c>
      <c r="L1484" s="26"/>
    </row>
    <row r="1485" spans="1:12">
      <c r="A1485" s="20" t="s">
        <v>999</v>
      </c>
      <c r="B1485" s="27" t="s">
        <v>578</v>
      </c>
      <c r="C1485" s="27" t="s">
        <v>498</v>
      </c>
      <c r="E1485" s="21">
        <f>IF(D1485="?OLD","!!!","")</f>
        <v/>
      </c>
      <c r="F1485" s="22" t="str">
        <f>IF(OR(E1485="",E1485="!!!"),"",IF(NOT(ISNA(VLOOKUP(E1485,E$1:E1484,1,FALSE()))),"OLD",IF(AND(E1485&lt;&gt;"",E1485&lt;&gt;"!!!"),"NEW","")))</f>
        <v> </v>
      </c>
      <c r="G1485" s="23" t="str">
        <f>IF(OR(E1485="",E1485="!!!"),"",IF(OR(J1485=0,AND(J1485=1,K1485=1),AND(J1485=1,I1485="SBJ"),AND(J1485=1,I1485=0)),"?IN_FOCUS",IF(J1485&lt;=2,"?ACTIVATED",IF(J1485&lt;&gt;"","?FAMILIAR",IF(F1485="NEW",IF(ISNA(VLOOKUP(E1485,#REF!,1,FALSE())),"?TYPE_IDENTIFIABLE","?REFERENTIAL"),"_")))))</f>
        <v> </v>
      </c>
      <c r="H1485" s="24" t="str">
        <f>IF(J1485&lt;&gt;1,"",IF(I1485="SBJ","CB","?"))</f>
        <v> </v>
      </c>
      <c r="I1485" s="25" t="str">
        <f>IF(OR(E1485="",E1485="!!!",F1485="NEW"),"",INDEX(B1484:B$2,-1+SUMPRODUCT(MAX(ROW(E1484:E$2)*(E1485=E1484:E$2)))))</f>
        <v> </v>
      </c>
      <c r="J1485" s="25" t="str">
        <f>IF(OR(E1485="",E1485="!!!",F1485="NEW"),"",COUNTBLANK(OFFSET(A$1,,,SUMPRODUCT(MAX(ROW(E$2:E1485)*(E1485=E$2:E1485)))))-COUNTBLANK(OFFSET(A$1,,,SUMPRODUCT(MAX(ROW(E$1:E1484)*(E2=E$1:E1484))))))</f>
        <v> </v>
      </c>
      <c r="K1485" s="25" t="str">
        <f>IF(OR(E1485="",E1485="!!!",F1485="NEW"),"",INDEX(J$1:J1484,SUMPRODUCT(MAX(ROW(E$1:E1484)*(E1485=E$1:E1484)))))</f>
        <v> </v>
      </c>
      <c r="L1485" s="26"/>
    </row>
    <row r="1486" spans="1:12">
      <c r="A1486" s="20" t="s">
        <v>531</v>
      </c>
      <c r="E1486" s="21">
        <f>IF(D1486="?OLD","!!!","")</f>
        <v/>
      </c>
      <c r="F1486" s="22" t="str">
        <f>IF(OR(E1486="",E1486="!!!"),"",IF(NOT(ISNA(VLOOKUP(E1486,E$1:E1485,1,FALSE()))),"OLD",IF(AND(E1486&lt;&gt;"",E1486&lt;&gt;"!!!"),"NEW","")))</f>
        <v> </v>
      </c>
      <c r="G1486" s="23" t="str">
        <f>IF(OR(E1486="",E1486="!!!"),"",IF(OR(J1486=0,AND(J1486=1,K1486=1),AND(J1486=1,I1486="SBJ"),AND(J1486=1,I1486=0)),"?IN_FOCUS",IF(J1486&lt;=2,"?ACTIVATED",IF(J1486&lt;&gt;"","?FAMILIAR",IF(F1486="NEW",IF(ISNA(VLOOKUP(E1486,#REF!,1,FALSE())),"?TYPE_IDENTIFIABLE","?REFERENTIAL"),"_")))))</f>
        <v> </v>
      </c>
      <c r="H1486" s="24" t="str">
        <f>IF(J1486&lt;&gt;1,"",IF(I1486="SBJ","CB","?"))</f>
        <v> </v>
      </c>
      <c r="I1486" s="25" t="str">
        <f>IF(OR(E1486="",E1486="!!!",F1486="NEW"),"",INDEX(B1485:B$2,-1+SUMPRODUCT(MAX(ROW(E1485:E$2)*(E1486=E1485:E$2)))))</f>
        <v> </v>
      </c>
      <c r="J1486" s="25" t="str">
        <f>IF(OR(E1486="",E1486="!!!",F1486="NEW"),"",COUNTBLANK(OFFSET(A$1,,,SUMPRODUCT(MAX(ROW(E$2:E1486)*(E1486=E$2:E1486)))))-COUNTBLANK(OFFSET(A$1,,,SUMPRODUCT(MAX(ROW(E$1:E1485)*(E2=E$1:E1485))))))</f>
        <v> </v>
      </c>
      <c r="K1486" s="25" t="str">
        <f>IF(OR(E1486="",E1486="!!!",F1486="NEW"),"",INDEX(J$1:J1485,SUMPRODUCT(MAX(ROW(E$1:E1485)*(E1486=E$1:E1485)))))</f>
        <v> </v>
      </c>
      <c r="L1486" s="26"/>
    </row>
    <row r="1487" spans="1:12">
      <c r="A1487" s="20"/>
    </row>
    <row r="1488" spans="1:12">
      <c r="A1488" s="20" t="s">
        <v>1000</v>
      </c>
    </row>
    <row r="1489" spans="1:12">
      <c r="A1489" s="20" t="s">
        <v>1001</v>
      </c>
      <c r="B1489" s="27" t="s">
        <v>477</v>
      </c>
      <c r="C1489" s="27" t="s">
        <v>516</v>
      </c>
      <c r="E1489" s="21">
        <f>IF(D1489="?OLD","!!!","")</f>
        <v/>
      </c>
      <c r="F1489" s="22" t="str">
        <f>IF(OR(E1489="",E1489="!!!"),"",IF(NOT(ISNA(VLOOKUP(E1489,E$1:E1488,1,FALSE()))),"OLD",IF(AND(E1489&lt;&gt;"",E1489&lt;&gt;"!!!"),"NEW","")))</f>
        <v> </v>
      </c>
      <c r="G1489" s="23" t="str">
        <f>IF(OR(E1489="",E1489="!!!"),"",IF(OR(J1489=0,AND(J1489=1,K1489=1),AND(J1489=1,I1489="SBJ"),AND(J1489=1,I1489=0)),"?IN_FOCUS",IF(J1489&lt;=2,"?ACTIVATED",IF(J1489&lt;&gt;"","?FAMILIAR",IF(F1489="NEW",IF(ISNA(VLOOKUP(E1489,#REF!,1,FALSE())),"?TYPE_IDENTIFIABLE","?REFERENTIAL"),"_")))))</f>
        <v> </v>
      </c>
      <c r="H1489" s="24" t="str">
        <f>IF(J1489&lt;&gt;1,"",IF(I1489="SBJ","CB","?"))</f>
        <v> </v>
      </c>
      <c r="I1489" s="25" t="str">
        <f>IF(OR(E1489="",E1489="!!!",F1489="NEW"),"",INDEX(B1488:B$2,-1+SUMPRODUCT(MAX(ROW(E1488:E$2)*(E1489=E1488:E$2)))))</f>
        <v> </v>
      </c>
      <c r="J1489" s="25" t="str">
        <f>IF(OR(E1489="",E1489="!!!",F1489="NEW"),"",COUNTBLANK(OFFSET(A$1,,,SUMPRODUCT(MAX(ROW(E$2:E1489)*(E1489=E$2:E1489)))))-COUNTBLANK(OFFSET(A$1,,,SUMPRODUCT(MAX(ROW(E$1:E1488)*(E2=E$1:E1488))))))</f>
        <v> </v>
      </c>
      <c r="K1489" s="25" t="str">
        <f>IF(OR(E1489="",E1489="!!!",F1489="NEW"),"",INDEX(J$1:J1488,SUMPRODUCT(MAX(ROW(E$1:E1488)*(E1489=E$1:E1488)))))</f>
        <v> </v>
      </c>
      <c r="L1489" s="26"/>
    </row>
    <row r="1490" spans="1:12">
      <c r="A1490" s="20" t="s">
        <v>531</v>
      </c>
      <c r="E1490" s="21">
        <f>IF(D1490="?OLD","!!!","")</f>
        <v/>
      </c>
      <c r="F1490" s="22" t="str">
        <f>IF(OR(E1490="",E1490="!!!"),"",IF(NOT(ISNA(VLOOKUP(E1490,E$1:E1489,1,FALSE()))),"OLD",IF(AND(E1490&lt;&gt;"",E1490&lt;&gt;"!!!"),"NEW","")))</f>
        <v> </v>
      </c>
      <c r="G1490" s="23" t="str">
        <f>IF(OR(E1490="",E1490="!!!"),"",IF(OR(J1490=0,AND(J1490=1,K1490=1),AND(J1490=1,I1490="SBJ"),AND(J1490=1,I1490=0)),"?IN_FOCUS",IF(J1490&lt;=2,"?ACTIVATED",IF(J1490&lt;&gt;"","?FAMILIAR",IF(F1490="NEW",IF(ISNA(VLOOKUP(E1490,#REF!,1,FALSE())),"?TYPE_IDENTIFIABLE","?REFERENTIAL"),"_")))))</f>
        <v> </v>
      </c>
      <c r="H1490" s="24" t="str">
        <f>IF(J1490&lt;&gt;1,"",IF(I1490="SBJ","CB","?"))</f>
        <v> </v>
      </c>
      <c r="I1490" s="25" t="str">
        <f>IF(OR(E1490="",E1490="!!!",F1490="NEW"),"",INDEX(B1489:B$2,-1+SUMPRODUCT(MAX(ROW(E1489:E$2)*(E1490=E1489:E$2)))))</f>
        <v> </v>
      </c>
      <c r="J1490" s="25" t="str">
        <f>IF(OR(E1490="",E1490="!!!",F1490="NEW"),"",COUNTBLANK(OFFSET(A$1,,,SUMPRODUCT(MAX(ROW(E$2:E1490)*(E1490=E$2:E1490)))))-COUNTBLANK(OFFSET(A$1,,,SUMPRODUCT(MAX(ROW(E$1:E1489)*(E2=E$1:E1489))))))</f>
        <v> </v>
      </c>
      <c r="K1490" s="25" t="str">
        <f>IF(OR(E1490="",E1490="!!!",F1490="NEW"),"",INDEX(J$1:J1489,SUMPRODUCT(MAX(ROW(E$1:E1489)*(E1490=E$1:E1489)))))</f>
        <v> </v>
      </c>
      <c r="L1490" s="26"/>
    </row>
    <row r="1491" spans="1:12">
      <c r="A1491" s="20"/>
    </row>
    <row r="1492" spans="1:12">
      <c r="A1492" s="20" t="s">
        <v>1002</v>
      </c>
    </row>
    <row r="1493" spans="1:12">
      <c r="A1493" s="20" t="s">
        <v>1003</v>
      </c>
      <c r="E1493" s="21">
        <f>IF(D1493="?OLD","!!!","")</f>
        <v/>
      </c>
      <c r="F1493" s="22" t="str">
        <f>IF(OR(E1493="",E1493="!!!"),"",IF(NOT(ISNA(VLOOKUP(E1493,E$1:E1492,1,FALSE()))),"OLD",IF(AND(E1493&lt;&gt;"",E1493&lt;&gt;"!!!"),"NEW","")))</f>
        <v> </v>
      </c>
      <c r="G1493" s="23" t="str">
        <f>IF(OR(E1493="",E1493="!!!"),"",IF(OR(J1493=0,AND(J1493=1,K1493=1),AND(J1493=1,I1493="SBJ"),AND(J1493=1,I1493=0)),"?IN_FOCUS",IF(J1493&lt;=2,"?ACTIVATED",IF(J1493&lt;&gt;"","?FAMILIAR",IF(F1493="NEW",IF(ISNA(VLOOKUP(E1493,#REF!,1,FALSE())),"?TYPE_IDENTIFIABLE","?REFERENTIAL"),"_")))))</f>
        <v> </v>
      </c>
      <c r="H1493" s="24" t="str">
        <f>IF(J1493&lt;&gt;1,"",IF(I1493="SBJ","CB","?"))</f>
        <v> </v>
      </c>
      <c r="I1493" s="25" t="str">
        <f>IF(OR(E1493="",E1493="!!!",F1493="NEW"),"",INDEX(B1492:B$2,-1+SUMPRODUCT(MAX(ROW(E1492:E$2)*(E1493=E1492:E$2)))))</f>
        <v> </v>
      </c>
      <c r="J1493" s="25" t="str">
        <f>IF(OR(E1493="",E1493="!!!",F1493="NEW"),"",COUNTBLANK(OFFSET(A$1,,,SUMPRODUCT(MAX(ROW(E$2:E1493)*(E1493=E$2:E1493)))))-COUNTBLANK(OFFSET(A$1,,,SUMPRODUCT(MAX(ROW(E$1:E1492)*(E2=E$1:E1492))))))</f>
        <v> </v>
      </c>
      <c r="K1493" s="25" t="str">
        <f>IF(OR(E1493="",E1493="!!!",F1493="NEW"),"",INDEX(J$1:J1492,SUMPRODUCT(MAX(ROW(E$1:E1492)*(E1493=E$1:E1492)))))</f>
        <v> </v>
      </c>
      <c r="L1493" s="26"/>
    </row>
    <row r="1494" spans="1:12">
      <c r="A1494" s="20" t="s">
        <v>503</v>
      </c>
      <c r="E1494" s="21">
        <f>IF(D1494="?OLD","!!!","")</f>
        <v/>
      </c>
      <c r="F1494" s="22" t="str">
        <f>IF(OR(E1494="",E1494="!!!"),"",IF(NOT(ISNA(VLOOKUP(E1494,E$1:E1493,1,FALSE()))),"OLD",IF(AND(E1494&lt;&gt;"",E1494&lt;&gt;"!!!"),"NEW","")))</f>
        <v> </v>
      </c>
      <c r="G1494" s="23" t="str">
        <f>IF(OR(E1494="",E1494="!!!"),"",IF(OR(J1494=0,AND(J1494=1,K1494=1),AND(J1494=1,I1494="SBJ"),AND(J1494=1,I1494=0)),"?IN_FOCUS",IF(J1494&lt;=2,"?ACTIVATED",IF(J1494&lt;&gt;"","?FAMILIAR",IF(F1494="NEW",IF(ISNA(VLOOKUP(E1494,#REF!,1,FALSE())),"?TYPE_IDENTIFIABLE","?REFERENTIAL"),"_")))))</f>
        <v> </v>
      </c>
      <c r="H1494" s="24" t="str">
        <f>IF(J1494&lt;&gt;1,"",IF(I1494="SBJ","CB","?"))</f>
        <v> </v>
      </c>
      <c r="I1494" s="25" t="str">
        <f>IF(OR(E1494="",E1494="!!!",F1494="NEW"),"",INDEX(B1493:B$2,-1+SUMPRODUCT(MAX(ROW(E1493:E$2)*(E1494=E1493:E$2)))))</f>
        <v> </v>
      </c>
      <c r="J1494" s="25" t="str">
        <f>IF(OR(E1494="",E1494="!!!",F1494="NEW"),"",COUNTBLANK(OFFSET(A$1,,,SUMPRODUCT(MAX(ROW(E$2:E1494)*(E1494=E$2:E1494)))))-COUNTBLANK(OFFSET(A$1,,,SUMPRODUCT(MAX(ROW(E$1:E1493)*(E2=E$1:E1493))))))</f>
        <v> </v>
      </c>
      <c r="K1494" s="25" t="str">
        <f>IF(OR(E1494="",E1494="!!!",F1494="NEW"),"",INDEX(J$1:J1493,SUMPRODUCT(MAX(ROW(E$1:E1493)*(E1494=E$1:E1493)))))</f>
        <v> </v>
      </c>
      <c r="L1494" s="26"/>
    </row>
    <row r="1495" spans="1:12">
      <c r="A1495" s="20" t="s">
        <v>357</v>
      </c>
      <c r="E1495" s="21">
        <f>IF(D1495="?OLD","!!!","")</f>
        <v/>
      </c>
      <c r="F1495" s="22" t="str">
        <f>IF(OR(E1495="",E1495="!!!"),"",IF(NOT(ISNA(VLOOKUP(E1495,E$1:E1494,1,FALSE()))),"OLD",IF(AND(E1495&lt;&gt;"",E1495&lt;&gt;"!!!"),"NEW","")))</f>
        <v> </v>
      </c>
      <c r="G1495" s="23" t="str">
        <f>IF(OR(E1495="",E1495="!!!"),"",IF(OR(J1495=0,AND(J1495=1,K1495=1),AND(J1495=1,I1495="SBJ"),AND(J1495=1,I1495=0)),"?IN_FOCUS",IF(J1495&lt;=2,"?ACTIVATED",IF(J1495&lt;&gt;"","?FAMILIAR",IF(F1495="NEW",IF(ISNA(VLOOKUP(E1495,#REF!,1,FALSE())),"?TYPE_IDENTIFIABLE","?REFERENTIAL"),"_")))))</f>
        <v> </v>
      </c>
      <c r="H1495" s="24" t="str">
        <f>IF(J1495&lt;&gt;1,"",IF(I1495="SBJ","CB","?"))</f>
        <v> </v>
      </c>
      <c r="I1495" s="25" t="str">
        <f>IF(OR(E1495="",E1495="!!!",F1495="NEW"),"",INDEX(B1494:B$2,-1+SUMPRODUCT(MAX(ROW(E1494:E$2)*(E1495=E1494:E$2)))))</f>
        <v> </v>
      </c>
      <c r="J1495" s="25" t="str">
        <f>IF(OR(E1495="",E1495="!!!",F1495="NEW"),"",COUNTBLANK(OFFSET(A$1,,,SUMPRODUCT(MAX(ROW(E$2:E1495)*(E1495=E$2:E1495)))))-COUNTBLANK(OFFSET(A$1,,,SUMPRODUCT(MAX(ROW(E$1:E1494)*(E2=E$1:E1494))))))</f>
        <v> </v>
      </c>
      <c r="K1495" s="25" t="str">
        <f>IF(OR(E1495="",E1495="!!!",F1495="NEW"),"",INDEX(J$1:J1494,SUMPRODUCT(MAX(ROW(E$1:E1494)*(E1495=E$1:E1494)))))</f>
        <v> </v>
      </c>
      <c r="L1495" s="26"/>
    </row>
    <row r="1496" spans="1:12">
      <c r="A1496" s="20" t="s">
        <v>1004</v>
      </c>
      <c r="B1496" s="27" t="s">
        <v>481</v>
      </c>
      <c r="C1496" s="27" t="s">
        <v>482</v>
      </c>
      <c r="D1496" s="27" t="s">
        <v>483</v>
      </c>
      <c r="E1496" s="21">
        <f>IF(D1496="?OLD","!!!","")</f>
        <v/>
      </c>
      <c r="F1496" s="22" t="str">
        <f>IF(OR(E1496="",E1496="!!!"),"",IF(NOT(ISNA(VLOOKUP(E1496,E$1:E1495,1,FALSE()))),"OLD",IF(AND(E1496&lt;&gt;"",E1496&lt;&gt;"!!!"),"NEW","")))</f>
        <v> </v>
      </c>
      <c r="G1496" s="23" t="str">
        <f>IF(OR(E1496="",E1496="!!!"),"",IF(OR(J1496=0,AND(J1496=1,K1496=1),AND(J1496=1,I1496="SBJ"),AND(J1496=1,I1496=0)),"?IN_FOCUS",IF(J1496&lt;=2,"?ACTIVATED",IF(J1496&lt;&gt;"","?FAMILIAR",IF(F1496="NEW",IF(ISNA(VLOOKUP(E1496,#REF!,1,FALSE())),"?TYPE_IDENTIFIABLE","?REFERENTIAL"),"_")))))</f>
        <v> </v>
      </c>
      <c r="H1496" s="24" t="str">
        <f>IF(J1496&lt;&gt;1,"",IF(I1496="SBJ","CB","?"))</f>
        <v> </v>
      </c>
      <c r="I1496" s="25" t="str">
        <f>IF(OR(E1496="",E1496="!!!",F1496="NEW"),"",INDEX(B1495:B$2,-1+SUMPRODUCT(MAX(ROW(E1495:E$2)*(E1496=E1495:E$2)))))</f>
        <v> </v>
      </c>
      <c r="J1496" s="25" t="str">
        <f>IF(OR(E1496="",E1496="!!!",F1496="NEW"),"",COUNTBLANK(OFFSET(A$1,,,SUMPRODUCT(MAX(ROW(E$2:E1496)*(E1496=E$2:E1496)))))-COUNTBLANK(OFFSET(A$1,,,SUMPRODUCT(MAX(ROW(E$1:E1495)*(E2=E$1:E1495))))))</f>
        <v> </v>
      </c>
      <c r="K1496" s="25" t="str">
        <f>IF(OR(E1496="",E1496="!!!",F1496="NEW"),"",INDEX(J$1:J1495,SUMPRODUCT(MAX(ROW(E$1:E1495)*(E1496=E$1:E1495)))))</f>
        <v> </v>
      </c>
      <c r="L1496" s="26"/>
    </row>
    <row r="1497" spans="1:12">
      <c r="A1497" s="20" t="s">
        <v>750</v>
      </c>
      <c r="E1497" s="21">
        <f>IF(D1497="?OLD","!!!","")</f>
        <v/>
      </c>
      <c r="F1497" s="22" t="str">
        <f>IF(OR(E1497="",E1497="!!!"),"",IF(NOT(ISNA(VLOOKUP(E1497,E$1:E1496,1,FALSE()))),"OLD",IF(AND(E1497&lt;&gt;"",E1497&lt;&gt;"!!!"),"NEW","")))</f>
        <v> </v>
      </c>
      <c r="G1497" s="23" t="str">
        <f>IF(OR(E1497="",E1497="!!!"),"",IF(OR(J1497=0,AND(J1497=1,K1497=1),AND(J1497=1,I1497="SBJ"),AND(J1497=1,I1497=0)),"?IN_FOCUS",IF(J1497&lt;=2,"?ACTIVATED",IF(J1497&lt;&gt;"","?FAMILIAR",IF(F1497="NEW",IF(ISNA(VLOOKUP(E1497,#REF!,1,FALSE())),"?TYPE_IDENTIFIABLE","?REFERENTIAL"),"_")))))</f>
        <v> </v>
      </c>
      <c r="H1497" s="24" t="str">
        <f>IF(J1497&lt;&gt;1,"",IF(I1497="SBJ","CB","?"))</f>
        <v> </v>
      </c>
      <c r="I1497" s="25" t="str">
        <f>IF(OR(E1497="",E1497="!!!",F1497="NEW"),"",INDEX(B1496:B$2,-1+SUMPRODUCT(MAX(ROW(E1496:E$2)*(E1497=E1496:E$2)))))</f>
        <v> </v>
      </c>
      <c r="J1497" s="25" t="str">
        <f>IF(OR(E1497="",E1497="!!!",F1497="NEW"),"",COUNTBLANK(OFFSET(A$1,,,SUMPRODUCT(MAX(ROW(E$2:E1497)*(E1497=E$2:E1497)))))-COUNTBLANK(OFFSET(A$1,,,SUMPRODUCT(MAX(ROW(E$1:E1496)*(E2=E$1:E1496))))))</f>
        <v> </v>
      </c>
      <c r="K1497" s="25" t="str">
        <f>IF(OR(E1497="",E1497="!!!",F1497="NEW"),"",INDEX(J$1:J1496,SUMPRODUCT(MAX(ROW(E$1:E1496)*(E1497=E$1:E1496)))))</f>
        <v> </v>
      </c>
      <c r="L1497" s="26"/>
    </row>
    <row r="1498" spans="1:12">
      <c r="A1498" s="20"/>
    </row>
    <row r="1499" spans="1:12">
      <c r="A1499" s="20" t="s">
        <v>1005</v>
      </c>
    </row>
    <row r="1500" spans="1:12">
      <c r="A1500" s="20" t="s">
        <v>779</v>
      </c>
      <c r="E1500" s="21">
        <f>IF(D1500="?OLD","!!!","")</f>
        <v/>
      </c>
      <c r="F1500" s="22" t="str">
        <f>IF(OR(E1500="",E1500="!!!"),"",IF(NOT(ISNA(VLOOKUP(E1500,E$1:E1499,1,FALSE()))),"OLD",IF(AND(E1500&lt;&gt;"",E1500&lt;&gt;"!!!"),"NEW","")))</f>
        <v> </v>
      </c>
      <c r="G1500" s="23" t="str">
        <f>IF(OR(E1500="",E1500="!!!"),"",IF(OR(J1500=0,AND(J1500=1,K1500=1),AND(J1500=1,I1500="SBJ"),AND(J1500=1,I1500=0)),"?IN_FOCUS",IF(J1500&lt;=2,"?ACTIVATED",IF(J1500&lt;&gt;"","?FAMILIAR",IF(F1500="NEW",IF(ISNA(VLOOKUP(E1500,#REF!,1,FALSE())),"?TYPE_IDENTIFIABLE","?REFERENTIAL"),"_")))))</f>
        <v> </v>
      </c>
      <c r="H1500" s="24" t="str">
        <f>IF(J1500&lt;&gt;1,"",IF(I1500="SBJ","CB","?"))</f>
        <v> </v>
      </c>
      <c r="I1500" s="25" t="str">
        <f>IF(OR(E1500="",E1500="!!!",F1500="NEW"),"",INDEX(B1499:B$2,-1+SUMPRODUCT(MAX(ROW(E1499:E$2)*(E1500=E1499:E$2)))))</f>
        <v> </v>
      </c>
      <c r="J1500" s="25" t="str">
        <f>IF(OR(E1500="",E1500="!!!",F1500="NEW"),"",COUNTBLANK(OFFSET(A$1,,,SUMPRODUCT(MAX(ROW(E$2:E1500)*(E1500=E$2:E1500)))))-COUNTBLANK(OFFSET(A$1,,,SUMPRODUCT(MAX(ROW(E$1:E1499)*(E2=E$1:E1499))))))</f>
        <v> </v>
      </c>
      <c r="K1500" s="25" t="str">
        <f>IF(OR(E1500="",E1500="!!!",F1500="NEW"),"",INDEX(J$1:J1499,SUMPRODUCT(MAX(ROW(E$1:E1499)*(E1500=E$1:E1499)))))</f>
        <v> </v>
      </c>
      <c r="L1500" s="26"/>
    </row>
    <row r="1501" spans="1:12">
      <c r="A1501" s="20" t="s">
        <v>489</v>
      </c>
      <c r="E1501" s="21">
        <f>IF(D1501="?OLD","!!!","")</f>
        <v/>
      </c>
      <c r="F1501" s="22" t="str">
        <f>IF(OR(E1501="",E1501="!!!"),"",IF(NOT(ISNA(VLOOKUP(E1501,E$1:E1500,1,FALSE()))),"OLD",IF(AND(E1501&lt;&gt;"",E1501&lt;&gt;"!!!"),"NEW","")))</f>
        <v> </v>
      </c>
      <c r="G1501" s="23" t="str">
        <f>IF(OR(E1501="",E1501="!!!"),"",IF(OR(J1501=0,AND(J1501=1,K1501=1),AND(J1501=1,I1501="SBJ"),AND(J1501=1,I1501=0)),"?IN_FOCUS",IF(J1501&lt;=2,"?ACTIVATED",IF(J1501&lt;&gt;"","?FAMILIAR",IF(F1501="NEW",IF(ISNA(VLOOKUP(E1501,#REF!,1,FALSE())),"?TYPE_IDENTIFIABLE","?REFERENTIAL"),"_")))))</f>
        <v> </v>
      </c>
      <c r="H1501" s="24" t="str">
        <f>IF(J1501&lt;&gt;1,"",IF(I1501="SBJ","CB","?"))</f>
        <v> </v>
      </c>
      <c r="I1501" s="25" t="str">
        <f>IF(OR(E1501="",E1501="!!!",F1501="NEW"),"",INDEX(B1500:B$2,-1+SUMPRODUCT(MAX(ROW(E1500:E$2)*(E1501=E1500:E$2)))))</f>
        <v> </v>
      </c>
      <c r="J1501" s="25" t="str">
        <f>IF(OR(E1501="",E1501="!!!",F1501="NEW"),"",COUNTBLANK(OFFSET(A$1,,,SUMPRODUCT(MAX(ROW(E$2:E1501)*(E1501=E$2:E1501)))))-COUNTBLANK(OFFSET(A$1,,,SUMPRODUCT(MAX(ROW(E$1:E1500)*(E2=E$1:E1500))))))</f>
        <v> </v>
      </c>
      <c r="K1501" s="25" t="str">
        <f>IF(OR(E1501="",E1501="!!!",F1501="NEW"),"",INDEX(J$1:J1500,SUMPRODUCT(MAX(ROW(E$1:E1500)*(E1501=E$1:E1500)))))</f>
        <v> </v>
      </c>
      <c r="L1501" s="26"/>
    </row>
    <row r="1502" spans="1:12">
      <c r="A1502" s="20" t="s">
        <v>380</v>
      </c>
      <c r="E1502" s="21">
        <f>IF(D1502="?OLD","!!!","")</f>
        <v/>
      </c>
      <c r="F1502" s="22" t="str">
        <f>IF(OR(E1502="",E1502="!!!"),"",IF(NOT(ISNA(VLOOKUP(E1502,E$1:E1501,1,FALSE()))),"OLD",IF(AND(E1502&lt;&gt;"",E1502&lt;&gt;"!!!"),"NEW","")))</f>
        <v> </v>
      </c>
      <c r="G1502" s="23" t="str">
        <f>IF(OR(E1502="",E1502="!!!"),"",IF(OR(J1502=0,AND(J1502=1,K1502=1),AND(J1502=1,I1502="SBJ"),AND(J1502=1,I1502=0)),"?IN_FOCUS",IF(J1502&lt;=2,"?ACTIVATED",IF(J1502&lt;&gt;"","?FAMILIAR",IF(F1502="NEW",IF(ISNA(VLOOKUP(E1502,#REF!,1,FALSE())),"?TYPE_IDENTIFIABLE","?REFERENTIAL"),"_")))))</f>
        <v> </v>
      </c>
      <c r="H1502" s="24" t="str">
        <f>IF(J1502&lt;&gt;1,"",IF(I1502="SBJ","CB","?"))</f>
        <v> </v>
      </c>
      <c r="I1502" s="25" t="str">
        <f>IF(OR(E1502="",E1502="!!!",F1502="NEW"),"",INDEX(B1501:B$2,-1+SUMPRODUCT(MAX(ROW(E1501:E$2)*(E1502=E1501:E$2)))))</f>
        <v> </v>
      </c>
      <c r="J1502" s="25" t="str">
        <f>IF(OR(E1502="",E1502="!!!",F1502="NEW"),"",COUNTBLANK(OFFSET(A$1,,,SUMPRODUCT(MAX(ROW(E$2:E1502)*(E1502=E$2:E1502)))))-COUNTBLANK(OFFSET(A$1,,,SUMPRODUCT(MAX(ROW(E$1:E1501)*(E2=E$1:E1501))))))</f>
        <v> </v>
      </c>
      <c r="K1502" s="25" t="str">
        <f>IF(OR(E1502="",E1502="!!!",F1502="NEW"),"",INDEX(J$1:J1501,SUMPRODUCT(MAX(ROW(E$1:E1501)*(E1502=E$1:E1501)))))</f>
        <v> </v>
      </c>
      <c r="L1502" s="26"/>
    </row>
    <row r="1503" spans="1:12">
      <c r="A1503" s="20" t="s">
        <v>948</v>
      </c>
      <c r="B1503" s="27" t="s">
        <v>549</v>
      </c>
      <c r="C1503" s="27" t="s">
        <v>498</v>
      </c>
      <c r="E1503" s="21">
        <f>IF(D1503="?OLD","!!!","")</f>
        <v/>
      </c>
      <c r="F1503" s="22" t="str">
        <f>IF(OR(E1503="",E1503="!!!"),"",IF(NOT(ISNA(VLOOKUP(E1503,E$1:E1502,1,FALSE()))),"OLD",IF(AND(E1503&lt;&gt;"",E1503&lt;&gt;"!!!"),"NEW","")))</f>
        <v> </v>
      </c>
      <c r="G1503" s="23" t="str">
        <f>IF(OR(E1503="",E1503="!!!"),"",IF(OR(J1503=0,AND(J1503=1,K1503=1),AND(J1503=1,I1503="SBJ"),AND(J1503=1,I1503=0)),"?IN_FOCUS",IF(J1503&lt;=2,"?ACTIVATED",IF(J1503&lt;&gt;"","?FAMILIAR",IF(F1503="NEW",IF(ISNA(VLOOKUP(E1503,#REF!,1,FALSE())),"?TYPE_IDENTIFIABLE","?REFERENTIAL"),"_")))))</f>
        <v> </v>
      </c>
      <c r="H1503" s="24" t="str">
        <f>IF(J1503&lt;&gt;1,"",IF(I1503="SBJ","CB","?"))</f>
        <v> </v>
      </c>
      <c r="I1503" s="25" t="str">
        <f>IF(OR(E1503="",E1503="!!!",F1503="NEW"),"",INDEX(B1502:B$2,-1+SUMPRODUCT(MAX(ROW(E1502:E$2)*(E1503=E1502:E$2)))))</f>
        <v> </v>
      </c>
      <c r="J1503" s="25" t="str">
        <f>IF(OR(E1503="",E1503="!!!",F1503="NEW"),"",COUNTBLANK(OFFSET(A$1,,,SUMPRODUCT(MAX(ROW(E$2:E1503)*(E1503=E$2:E1503)))))-COUNTBLANK(OFFSET(A$1,,,SUMPRODUCT(MAX(ROW(E$1:E1502)*(E2=E$1:E1502))))))</f>
        <v> </v>
      </c>
      <c r="K1503" s="25" t="str">
        <f>IF(OR(E1503="",E1503="!!!",F1503="NEW"),"",INDEX(J$1:J1502,SUMPRODUCT(MAX(ROW(E$1:E1502)*(E1503=E$1:E1502)))))</f>
        <v> </v>
      </c>
      <c r="L1503" s="26"/>
    </row>
    <row r="1504" spans="1:12">
      <c r="A1504" s="20" t="s">
        <v>784</v>
      </c>
      <c r="E1504" s="21">
        <f>IF(D1504="?OLD","!!!","")</f>
        <v/>
      </c>
      <c r="F1504" s="22" t="str">
        <f>IF(OR(E1504="",E1504="!!!"),"",IF(NOT(ISNA(VLOOKUP(E1504,E$1:E1503,1,FALSE()))),"OLD",IF(AND(E1504&lt;&gt;"",E1504&lt;&gt;"!!!"),"NEW","")))</f>
        <v> </v>
      </c>
      <c r="G1504" s="23" t="str">
        <f>IF(OR(E1504="",E1504="!!!"),"",IF(OR(J1504=0,AND(J1504=1,K1504=1),AND(J1504=1,I1504="SBJ"),AND(J1504=1,I1504=0)),"?IN_FOCUS",IF(J1504&lt;=2,"?ACTIVATED",IF(J1504&lt;&gt;"","?FAMILIAR",IF(F1504="NEW",IF(ISNA(VLOOKUP(E1504,#REF!,1,FALSE())),"?TYPE_IDENTIFIABLE","?REFERENTIAL"),"_")))))</f>
        <v> </v>
      </c>
      <c r="H1504" s="24" t="str">
        <f>IF(J1504&lt;&gt;1,"",IF(I1504="SBJ","CB","?"))</f>
        <v> </v>
      </c>
      <c r="I1504" s="25" t="str">
        <f>IF(OR(E1504="",E1504="!!!",F1504="NEW"),"",INDEX(B1503:B$2,-1+SUMPRODUCT(MAX(ROW(E1503:E$2)*(E1504=E1503:E$2)))))</f>
        <v> </v>
      </c>
      <c r="J1504" s="25" t="str">
        <f>IF(OR(E1504="",E1504="!!!",F1504="NEW"),"",COUNTBLANK(OFFSET(A$1,,,SUMPRODUCT(MAX(ROW(E$2:E1504)*(E1504=E$2:E1504)))))-COUNTBLANK(OFFSET(A$1,,,SUMPRODUCT(MAX(ROW(E$1:E1503)*(E2=E$1:E1503))))))</f>
        <v> </v>
      </c>
      <c r="K1504" s="25" t="str">
        <f>IF(OR(E1504="",E1504="!!!",F1504="NEW"),"",INDEX(J$1:J1503,SUMPRODUCT(MAX(ROW(E$1:E1503)*(E1504=E$1:E1503)))))</f>
        <v> </v>
      </c>
      <c r="L1504" s="26"/>
    </row>
    <row r="1505" spans="1:12">
      <c r="A1505" s="20" t="s">
        <v>528</v>
      </c>
      <c r="E1505" s="21">
        <f>IF(D1505="?OLD","!!!","")</f>
        <v/>
      </c>
      <c r="F1505" s="22" t="str">
        <f>IF(OR(E1505="",E1505="!!!"),"",IF(NOT(ISNA(VLOOKUP(E1505,E$1:E1504,1,FALSE()))),"OLD",IF(AND(E1505&lt;&gt;"",E1505&lt;&gt;"!!!"),"NEW","")))</f>
        <v> </v>
      </c>
      <c r="G1505" s="23" t="str">
        <f>IF(OR(E1505="",E1505="!!!"),"",IF(OR(J1505=0,AND(J1505=1,K1505=1),AND(J1505=1,I1505="SBJ"),AND(J1505=1,I1505=0)),"?IN_FOCUS",IF(J1505&lt;=2,"?ACTIVATED",IF(J1505&lt;&gt;"","?FAMILIAR",IF(F1505="NEW",IF(ISNA(VLOOKUP(E1505,#REF!,1,FALSE())),"?TYPE_IDENTIFIABLE","?REFERENTIAL"),"_")))))</f>
        <v> </v>
      </c>
      <c r="H1505" s="24" t="str">
        <f>IF(J1505&lt;&gt;1,"",IF(I1505="SBJ","CB","?"))</f>
        <v> </v>
      </c>
      <c r="I1505" s="25" t="str">
        <f>IF(OR(E1505="",E1505="!!!",F1505="NEW"),"",INDEX(B1504:B$2,-1+SUMPRODUCT(MAX(ROW(E1504:E$2)*(E1505=E1504:E$2)))))</f>
        <v> </v>
      </c>
      <c r="J1505" s="25" t="str">
        <f>IF(OR(E1505="",E1505="!!!",F1505="NEW"),"",COUNTBLANK(OFFSET(A$1,,,SUMPRODUCT(MAX(ROW(E$2:E1505)*(E1505=E$2:E1505)))))-COUNTBLANK(OFFSET(A$1,,,SUMPRODUCT(MAX(ROW(E$1:E1504)*(E2=E$1:E1504))))))</f>
        <v> </v>
      </c>
      <c r="K1505" s="25" t="str">
        <f>IF(OR(E1505="",E1505="!!!",F1505="NEW"),"",INDEX(J$1:J1504,SUMPRODUCT(MAX(ROW(E$1:E1504)*(E1505=E$1:E1504)))))</f>
        <v> </v>
      </c>
      <c r="L1505" s="26"/>
    </row>
    <row r="1506" spans="1:12">
      <c r="A1506" s="20" t="s">
        <v>503</v>
      </c>
      <c r="E1506" s="21">
        <f>IF(D1506="?OLD","!!!","")</f>
        <v/>
      </c>
      <c r="F1506" s="22" t="str">
        <f>IF(OR(E1506="",E1506="!!!"),"",IF(NOT(ISNA(VLOOKUP(E1506,E$1:E1505,1,FALSE()))),"OLD",IF(AND(E1506&lt;&gt;"",E1506&lt;&gt;"!!!"),"NEW","")))</f>
        <v> </v>
      </c>
      <c r="G1506" s="23" t="str">
        <f>IF(OR(E1506="",E1506="!!!"),"",IF(OR(J1506=0,AND(J1506=1,K1506=1),AND(J1506=1,I1506="SBJ"),AND(J1506=1,I1506=0)),"?IN_FOCUS",IF(J1506&lt;=2,"?ACTIVATED",IF(J1506&lt;&gt;"","?FAMILIAR",IF(F1506="NEW",IF(ISNA(VLOOKUP(E1506,#REF!,1,FALSE())),"?TYPE_IDENTIFIABLE","?REFERENTIAL"),"_")))))</f>
        <v> </v>
      </c>
      <c r="H1506" s="24" t="str">
        <f>IF(J1506&lt;&gt;1,"",IF(I1506="SBJ","CB","?"))</f>
        <v> </v>
      </c>
      <c r="I1506" s="25" t="str">
        <f>IF(OR(E1506="",E1506="!!!",F1506="NEW"),"",INDEX(B1505:B$2,-1+SUMPRODUCT(MAX(ROW(E1505:E$2)*(E1506=E1505:E$2)))))</f>
        <v> </v>
      </c>
      <c r="J1506" s="25" t="str">
        <f>IF(OR(E1506="",E1506="!!!",F1506="NEW"),"",COUNTBLANK(OFFSET(A$1,,,SUMPRODUCT(MAX(ROW(E$2:E1506)*(E1506=E$2:E1506)))))-COUNTBLANK(OFFSET(A$1,,,SUMPRODUCT(MAX(ROW(E$1:E1505)*(E2=E$1:E1505))))))</f>
        <v> </v>
      </c>
      <c r="K1506" s="25" t="str">
        <f>IF(OR(E1506="",E1506="!!!",F1506="NEW"),"",INDEX(J$1:J1505,SUMPRODUCT(MAX(ROW(E$1:E1505)*(E1506=E$1:E1505)))))</f>
        <v> </v>
      </c>
      <c r="L1506" s="26"/>
    </row>
    <row r="1507" spans="1:12">
      <c r="A1507" s="20" t="s">
        <v>634</v>
      </c>
      <c r="B1507" s="27" t="s">
        <v>547</v>
      </c>
      <c r="C1507" s="27" t="s">
        <v>635</v>
      </c>
      <c r="D1507" s="27" t="s">
        <v>483</v>
      </c>
      <c r="E1507" s="21">
        <f>IF(D1507="?OLD","!!!","")</f>
        <v/>
      </c>
      <c r="F1507" s="22" t="str">
        <f>IF(OR(E1507="",E1507="!!!"),"",IF(NOT(ISNA(VLOOKUP(E1507,E$1:E1506,1,FALSE()))),"OLD",IF(AND(E1507&lt;&gt;"",E1507&lt;&gt;"!!!"),"NEW","")))</f>
        <v> </v>
      </c>
      <c r="G1507" s="23" t="str">
        <f>IF(OR(E1507="",E1507="!!!"),"",IF(OR(J1507=0,AND(J1507=1,K1507=1),AND(J1507=1,I1507="SBJ"),AND(J1507=1,I1507=0)),"?IN_FOCUS",IF(J1507&lt;=2,"?ACTIVATED",IF(J1507&lt;&gt;"","?FAMILIAR",IF(F1507="NEW",IF(ISNA(VLOOKUP(E1507,#REF!,1,FALSE())),"?TYPE_IDENTIFIABLE","?REFERENTIAL"),"_")))))</f>
        <v> </v>
      </c>
      <c r="H1507" s="24" t="str">
        <f>IF(J1507&lt;&gt;1,"",IF(I1507="SBJ","CB","?"))</f>
        <v> </v>
      </c>
      <c r="I1507" s="25" t="str">
        <f>IF(OR(E1507="",E1507="!!!",F1507="NEW"),"",INDEX(B1506:B$2,-1+SUMPRODUCT(MAX(ROW(E1506:E$2)*(E1507=E1506:E$2)))))</f>
        <v> </v>
      </c>
      <c r="J1507" s="25" t="str">
        <f>IF(OR(E1507="",E1507="!!!",F1507="NEW"),"",COUNTBLANK(OFFSET(A$1,,,SUMPRODUCT(MAX(ROW(E$2:E1507)*(E1507=E$2:E1507)))))-COUNTBLANK(OFFSET(A$1,,,SUMPRODUCT(MAX(ROW(E$1:E1506)*(E2=E$1:E1506))))))</f>
        <v> </v>
      </c>
      <c r="K1507" s="25" t="str">
        <f>IF(OR(E1507="",E1507="!!!",F1507="NEW"),"",INDEX(J$1:J1506,SUMPRODUCT(MAX(ROW(E$1:E1506)*(E1507=E$1:E1506)))))</f>
        <v> </v>
      </c>
      <c r="L1507" s="26"/>
    </row>
    <row r="1508" spans="1:12">
      <c r="A1508" s="20" t="s">
        <v>955</v>
      </c>
      <c r="B1508" s="27" t="s">
        <v>540</v>
      </c>
      <c r="C1508" s="27" t="s">
        <v>487</v>
      </c>
      <c r="D1508" s="27" t="s">
        <v>483</v>
      </c>
      <c r="E1508" s="21">
        <f>IF(D1508="?OLD","!!!","")</f>
        <v/>
      </c>
      <c r="F1508" s="22" t="str">
        <f>IF(OR(E1508="",E1508="!!!"),"",IF(NOT(ISNA(VLOOKUP(E1508,E$1:E1507,1,FALSE()))),"OLD",IF(AND(E1508&lt;&gt;"",E1508&lt;&gt;"!!!"),"NEW","")))</f>
        <v> </v>
      </c>
      <c r="G1508" s="23" t="str">
        <f>IF(OR(E1508="",E1508="!!!"),"",IF(OR(J1508=0,AND(J1508=1,K1508=1),AND(J1508=1,I1508="SBJ"),AND(J1508=1,I1508=0)),"?IN_FOCUS",IF(J1508&lt;=2,"?ACTIVATED",IF(J1508&lt;&gt;"","?FAMILIAR",IF(F1508="NEW",IF(ISNA(VLOOKUP(E1508,#REF!,1,FALSE())),"?TYPE_IDENTIFIABLE","?REFERENTIAL"),"_")))))</f>
        <v> </v>
      </c>
      <c r="H1508" s="24" t="str">
        <f>IF(J1508&lt;&gt;1,"",IF(I1508="SBJ","CB","?"))</f>
        <v> </v>
      </c>
      <c r="I1508" s="25" t="str">
        <f>IF(OR(E1508="",E1508="!!!",F1508="NEW"),"",INDEX(B1507:B$2,-1+SUMPRODUCT(MAX(ROW(E1507:E$2)*(E1508=E1507:E$2)))))</f>
        <v> </v>
      </c>
      <c r="J1508" s="25" t="str">
        <f>IF(OR(E1508="",E1508="!!!",F1508="NEW"),"",COUNTBLANK(OFFSET(A$1,,,SUMPRODUCT(MAX(ROW(E$2:E1508)*(E1508=E$2:E1508)))))-COUNTBLANK(OFFSET(A$1,,,SUMPRODUCT(MAX(ROW(E$1:E1507)*(E2=E$1:E1507))))))</f>
        <v> </v>
      </c>
      <c r="K1508" s="25" t="str">
        <f>IF(OR(E1508="",E1508="!!!",F1508="NEW"),"",INDEX(J$1:J1507,SUMPRODUCT(MAX(ROW(E$1:E1507)*(E1508=E$1:E1507)))))</f>
        <v> </v>
      </c>
      <c r="L1508" s="26"/>
    </row>
    <row r="1509" spans="1:12">
      <c r="A1509" s="20" t="s">
        <v>489</v>
      </c>
      <c r="E1509" s="21">
        <f>IF(D1509="?OLD","!!!","")</f>
        <v/>
      </c>
      <c r="F1509" s="22" t="str">
        <f>IF(OR(E1509="",E1509="!!!"),"",IF(NOT(ISNA(VLOOKUP(E1509,E$1:E1508,1,FALSE()))),"OLD",IF(AND(E1509&lt;&gt;"",E1509&lt;&gt;"!!!"),"NEW","")))</f>
        <v> </v>
      </c>
      <c r="G1509" s="23" t="str">
        <f>IF(OR(E1509="",E1509="!!!"),"",IF(OR(J1509=0,AND(J1509=1,K1509=1),AND(J1509=1,I1509="SBJ"),AND(J1509=1,I1509=0)),"?IN_FOCUS",IF(J1509&lt;=2,"?ACTIVATED",IF(J1509&lt;&gt;"","?FAMILIAR",IF(F1509="NEW",IF(ISNA(VLOOKUP(E1509,#REF!,1,FALSE())),"?TYPE_IDENTIFIABLE","?REFERENTIAL"),"_")))))</f>
        <v> </v>
      </c>
      <c r="H1509" s="24" t="str">
        <f>IF(J1509&lt;&gt;1,"",IF(I1509="SBJ","CB","?"))</f>
        <v> </v>
      </c>
      <c r="I1509" s="25" t="str">
        <f>IF(OR(E1509="",E1509="!!!",F1509="NEW"),"",INDEX(B1508:B$2,-1+SUMPRODUCT(MAX(ROW(E1508:E$2)*(E1509=E1508:E$2)))))</f>
        <v> </v>
      </c>
      <c r="J1509" s="25" t="str">
        <f>IF(OR(E1509="",E1509="!!!",F1509="NEW"),"",COUNTBLANK(OFFSET(A$1,,,SUMPRODUCT(MAX(ROW(E$2:E1509)*(E1509=E$2:E1509)))))-COUNTBLANK(OFFSET(A$1,,,SUMPRODUCT(MAX(ROW(E$1:E1508)*(E2=E$1:E1508))))))</f>
        <v> </v>
      </c>
      <c r="K1509" s="25" t="str">
        <f>IF(OR(E1509="",E1509="!!!",F1509="NEW"),"",INDEX(J$1:J1508,SUMPRODUCT(MAX(ROW(E$1:E1508)*(E1509=E$1:E1508)))))</f>
        <v> </v>
      </c>
      <c r="L1509" s="26"/>
    </row>
    <row r="1510" spans="1:12">
      <c r="A1510" s="20" t="s">
        <v>592</v>
      </c>
      <c r="E1510" s="21">
        <f>IF(D1510="?OLD","!!!","")</f>
        <v/>
      </c>
      <c r="F1510" s="22" t="str">
        <f>IF(OR(E1510="",E1510="!!!"),"",IF(NOT(ISNA(VLOOKUP(E1510,E$1:E1509,1,FALSE()))),"OLD",IF(AND(E1510&lt;&gt;"",E1510&lt;&gt;"!!!"),"NEW","")))</f>
        <v> </v>
      </c>
      <c r="G1510" s="23" t="str">
        <f>IF(OR(E1510="",E1510="!!!"),"",IF(OR(J1510=0,AND(J1510=1,K1510=1),AND(J1510=1,I1510="SBJ"),AND(J1510=1,I1510=0)),"?IN_FOCUS",IF(J1510&lt;=2,"?ACTIVATED",IF(J1510&lt;&gt;"","?FAMILIAR",IF(F1510="NEW",IF(ISNA(VLOOKUP(E1510,#REF!,1,FALSE())),"?TYPE_IDENTIFIABLE","?REFERENTIAL"),"_")))))</f>
        <v> </v>
      </c>
      <c r="H1510" s="24" t="str">
        <f>IF(J1510&lt;&gt;1,"",IF(I1510="SBJ","CB","?"))</f>
        <v> </v>
      </c>
      <c r="I1510" s="25" t="str">
        <f>IF(OR(E1510="",E1510="!!!",F1510="NEW"),"",INDEX(B1509:B$2,-1+SUMPRODUCT(MAX(ROW(E1509:E$2)*(E1510=E1509:E$2)))))</f>
        <v> </v>
      </c>
      <c r="J1510" s="25" t="str">
        <f>IF(OR(E1510="",E1510="!!!",F1510="NEW"),"",COUNTBLANK(OFFSET(A$1,,,SUMPRODUCT(MAX(ROW(E$2:E1510)*(E1510=E$2:E1510)))))-COUNTBLANK(OFFSET(A$1,,,SUMPRODUCT(MAX(ROW(E$1:E1509)*(E2=E$1:E1509))))))</f>
        <v> </v>
      </c>
      <c r="K1510" s="25" t="str">
        <f>IF(OR(E1510="",E1510="!!!",F1510="NEW"),"",INDEX(J$1:J1509,SUMPRODUCT(MAX(ROW(E$1:E1509)*(E1510=E$1:E1509)))))</f>
        <v> </v>
      </c>
      <c r="L1510" s="26"/>
    </row>
    <row r="1511" spans="1:12">
      <c r="A1511" s="20" t="s">
        <v>681</v>
      </c>
      <c r="E1511" s="21">
        <f>IF(D1511="?OLD","!!!","")</f>
        <v/>
      </c>
      <c r="F1511" s="22" t="str">
        <f>IF(OR(E1511="",E1511="!!!"),"",IF(NOT(ISNA(VLOOKUP(E1511,E$1:E1510,1,FALSE()))),"OLD",IF(AND(E1511&lt;&gt;"",E1511&lt;&gt;"!!!"),"NEW","")))</f>
        <v> </v>
      </c>
      <c r="G1511" s="23" t="str">
        <f>IF(OR(E1511="",E1511="!!!"),"",IF(OR(J1511=0,AND(J1511=1,K1511=1),AND(J1511=1,I1511="SBJ"),AND(J1511=1,I1511=0)),"?IN_FOCUS",IF(J1511&lt;=2,"?ACTIVATED",IF(J1511&lt;&gt;"","?FAMILIAR",IF(F1511="NEW",IF(ISNA(VLOOKUP(E1511,#REF!,1,FALSE())),"?TYPE_IDENTIFIABLE","?REFERENTIAL"),"_")))))</f>
        <v> </v>
      </c>
      <c r="H1511" s="24" t="str">
        <f>IF(J1511&lt;&gt;1,"",IF(I1511="SBJ","CB","?"))</f>
        <v> </v>
      </c>
      <c r="I1511" s="25" t="str">
        <f>IF(OR(E1511="",E1511="!!!",F1511="NEW"),"",INDEX(B1510:B$2,-1+SUMPRODUCT(MAX(ROW(E1510:E$2)*(E1511=E1510:E$2)))))</f>
        <v> </v>
      </c>
      <c r="J1511" s="25" t="str">
        <f>IF(OR(E1511="",E1511="!!!",F1511="NEW"),"",COUNTBLANK(OFFSET(A$1,,,SUMPRODUCT(MAX(ROW(E$2:E1511)*(E1511=E$2:E1511)))))-COUNTBLANK(OFFSET(A$1,,,SUMPRODUCT(MAX(ROW(E$1:E1510)*(E2=E$1:E1510))))))</f>
        <v> </v>
      </c>
      <c r="K1511" s="25" t="str">
        <f>IF(OR(E1511="",E1511="!!!",F1511="NEW"),"",INDEX(J$1:J1510,SUMPRODUCT(MAX(ROW(E$1:E1510)*(E1511=E$1:E1510)))))</f>
        <v> </v>
      </c>
      <c r="L1511" s="26"/>
    </row>
    <row r="1512" spans="1:12">
      <c r="A1512" s="20" t="s">
        <v>528</v>
      </c>
      <c r="E1512" s="21">
        <f>IF(D1512="?OLD","!!!","")</f>
        <v/>
      </c>
      <c r="F1512" s="22" t="str">
        <f>IF(OR(E1512="",E1512="!!!"),"",IF(NOT(ISNA(VLOOKUP(E1512,E$1:E1511,1,FALSE()))),"OLD",IF(AND(E1512&lt;&gt;"",E1512&lt;&gt;"!!!"),"NEW","")))</f>
        <v> </v>
      </c>
      <c r="G1512" s="23" t="str">
        <f>IF(OR(E1512="",E1512="!!!"),"",IF(OR(J1512=0,AND(J1512=1,K1512=1),AND(J1512=1,I1512="SBJ"),AND(J1512=1,I1512=0)),"?IN_FOCUS",IF(J1512&lt;=2,"?ACTIVATED",IF(J1512&lt;&gt;"","?FAMILIAR",IF(F1512="NEW",IF(ISNA(VLOOKUP(E1512,#REF!,1,FALSE())),"?TYPE_IDENTIFIABLE","?REFERENTIAL"),"_")))))</f>
        <v> </v>
      </c>
      <c r="H1512" s="24" t="str">
        <f>IF(J1512&lt;&gt;1,"",IF(I1512="SBJ","CB","?"))</f>
        <v> </v>
      </c>
      <c r="I1512" s="25" t="str">
        <f>IF(OR(E1512="",E1512="!!!",F1512="NEW"),"",INDEX(B1511:B$2,-1+SUMPRODUCT(MAX(ROW(E1511:E$2)*(E1512=E1511:E$2)))))</f>
        <v> </v>
      </c>
      <c r="J1512" s="25" t="str">
        <f>IF(OR(E1512="",E1512="!!!",F1512="NEW"),"",COUNTBLANK(OFFSET(A$1,,,SUMPRODUCT(MAX(ROW(E$2:E1512)*(E1512=E$2:E1512)))))-COUNTBLANK(OFFSET(A$1,,,SUMPRODUCT(MAX(ROW(E$1:E1511)*(E2=E$1:E1511))))))</f>
        <v> </v>
      </c>
      <c r="K1512" s="25" t="str">
        <f>IF(OR(E1512="",E1512="!!!",F1512="NEW"),"",INDEX(J$1:J1511,SUMPRODUCT(MAX(ROW(E$1:E1511)*(E1512=E$1:E1511)))))</f>
        <v> </v>
      </c>
      <c r="L1512" s="26"/>
    </row>
    <row r="1513" spans="1:12">
      <c r="A1513" s="20" t="s">
        <v>485</v>
      </c>
      <c r="E1513" s="21">
        <f>IF(D1513="?OLD","!!!","")</f>
        <v/>
      </c>
      <c r="F1513" s="22" t="str">
        <f>IF(OR(E1513="",E1513="!!!"),"",IF(NOT(ISNA(VLOOKUP(E1513,E$1:E1512,1,FALSE()))),"OLD",IF(AND(E1513&lt;&gt;"",E1513&lt;&gt;"!!!"),"NEW","")))</f>
        <v> </v>
      </c>
      <c r="G1513" s="23" t="str">
        <f>IF(OR(E1513="",E1513="!!!"),"",IF(OR(J1513=0,AND(J1513=1,K1513=1),AND(J1513=1,I1513="SBJ"),AND(J1513=1,I1513=0)),"?IN_FOCUS",IF(J1513&lt;=2,"?ACTIVATED",IF(J1513&lt;&gt;"","?FAMILIAR",IF(F1513="NEW",IF(ISNA(VLOOKUP(E1513,#REF!,1,FALSE())),"?TYPE_IDENTIFIABLE","?REFERENTIAL"),"_")))))</f>
        <v> </v>
      </c>
      <c r="H1513" s="24" t="str">
        <f>IF(J1513&lt;&gt;1,"",IF(I1513="SBJ","CB","?"))</f>
        <v> </v>
      </c>
      <c r="I1513" s="25" t="str">
        <f>IF(OR(E1513="",E1513="!!!",F1513="NEW"),"",INDEX(B1512:B$2,-1+SUMPRODUCT(MAX(ROW(E1512:E$2)*(E1513=E1512:E$2)))))</f>
        <v> </v>
      </c>
      <c r="J1513" s="25" t="str">
        <f>IF(OR(E1513="",E1513="!!!",F1513="NEW"),"",COUNTBLANK(OFFSET(A$1,,,SUMPRODUCT(MAX(ROW(E$2:E1513)*(E1513=E$2:E1513)))))-COUNTBLANK(OFFSET(A$1,,,SUMPRODUCT(MAX(ROW(E$1:E1512)*(E2=E$1:E1512))))))</f>
        <v> </v>
      </c>
      <c r="K1513" s="25" t="str">
        <f>IF(OR(E1513="",E1513="!!!",F1513="NEW"),"",INDEX(J$1:J1512,SUMPRODUCT(MAX(ROW(E$1:E1512)*(E1513=E$1:E1512)))))</f>
        <v> </v>
      </c>
      <c r="L1513" s="26"/>
    </row>
    <row r="1514" spans="1:12">
      <c r="A1514" s="20" t="s">
        <v>962</v>
      </c>
      <c r="E1514" s="21">
        <f>IF(D1514="?OLD","!!!","")</f>
        <v/>
      </c>
      <c r="F1514" s="22" t="str">
        <f>IF(OR(E1514="",E1514="!!!"),"",IF(NOT(ISNA(VLOOKUP(E1514,E$1:E1513,1,FALSE()))),"OLD",IF(AND(E1514&lt;&gt;"",E1514&lt;&gt;"!!!"),"NEW","")))</f>
        <v> </v>
      </c>
      <c r="G1514" s="23" t="str">
        <f>IF(OR(E1514="",E1514="!!!"),"",IF(OR(J1514=0,AND(J1514=1,K1514=1),AND(J1514=1,I1514="SBJ"),AND(J1514=1,I1514=0)),"?IN_FOCUS",IF(J1514&lt;=2,"?ACTIVATED",IF(J1514&lt;&gt;"","?FAMILIAR",IF(F1514="NEW",IF(ISNA(VLOOKUP(E1514,#REF!,1,FALSE())),"?TYPE_IDENTIFIABLE","?REFERENTIAL"),"_")))))</f>
        <v> </v>
      </c>
      <c r="H1514" s="24" t="str">
        <f>IF(J1514&lt;&gt;1,"",IF(I1514="SBJ","CB","?"))</f>
        <v> </v>
      </c>
      <c r="I1514" s="25" t="str">
        <f>IF(OR(E1514="",E1514="!!!",F1514="NEW"),"",INDEX(B1513:B$2,-1+SUMPRODUCT(MAX(ROW(E1513:E$2)*(E1514=E1513:E$2)))))</f>
        <v> </v>
      </c>
      <c r="J1514" s="25" t="str">
        <f>IF(OR(E1514="",E1514="!!!",F1514="NEW"),"",COUNTBLANK(OFFSET(A$1,,,SUMPRODUCT(MAX(ROW(E$2:E1514)*(E1514=E$2:E1514)))))-COUNTBLANK(OFFSET(A$1,,,SUMPRODUCT(MAX(ROW(E$1:E1513)*(E2=E$1:E1513))))))</f>
        <v> </v>
      </c>
      <c r="K1514" s="25" t="str">
        <f>IF(OR(E1514="",E1514="!!!",F1514="NEW"),"",INDEX(J$1:J1513,SUMPRODUCT(MAX(ROW(E$1:E1513)*(E1514=E$1:E1513)))))</f>
        <v> </v>
      </c>
      <c r="L1514" s="26"/>
    </row>
    <row r="1515" spans="1:12">
      <c r="A1515" s="20" t="s">
        <v>963</v>
      </c>
      <c r="B1515" s="27" t="s">
        <v>477</v>
      </c>
      <c r="C1515" s="27" t="s">
        <v>487</v>
      </c>
      <c r="D1515" s="27" t="s">
        <v>483</v>
      </c>
      <c r="E1515" s="21">
        <f>IF(D1515="?OLD","!!!","")</f>
        <v/>
      </c>
      <c r="F1515" s="22" t="str">
        <f>IF(OR(E1515="",E1515="!!!"),"",IF(NOT(ISNA(VLOOKUP(E1515,E$1:E1514,1,FALSE()))),"OLD",IF(AND(E1515&lt;&gt;"",E1515&lt;&gt;"!!!"),"NEW","")))</f>
        <v> </v>
      </c>
      <c r="G1515" s="23" t="str">
        <f>IF(OR(E1515="",E1515="!!!"),"",IF(OR(J1515=0,AND(J1515=1,K1515=1),AND(J1515=1,I1515="SBJ"),AND(J1515=1,I1515=0)),"?IN_FOCUS",IF(J1515&lt;=2,"?ACTIVATED",IF(J1515&lt;&gt;"","?FAMILIAR",IF(F1515="NEW",IF(ISNA(VLOOKUP(E1515,#REF!,1,FALSE())),"?TYPE_IDENTIFIABLE","?REFERENTIAL"),"_")))))</f>
        <v> </v>
      </c>
      <c r="H1515" s="24" t="str">
        <f>IF(J1515&lt;&gt;1,"",IF(I1515="SBJ","CB","?"))</f>
        <v> </v>
      </c>
      <c r="I1515" s="25" t="str">
        <f>IF(OR(E1515="",E1515="!!!",F1515="NEW"),"",INDEX(B1514:B$2,-1+SUMPRODUCT(MAX(ROW(E1514:E$2)*(E1515=E1514:E$2)))))</f>
        <v> </v>
      </c>
      <c r="J1515" s="25" t="str">
        <f>IF(OR(E1515="",E1515="!!!",F1515="NEW"),"",COUNTBLANK(OFFSET(A$1,,,SUMPRODUCT(MAX(ROW(E$2:E1515)*(E1515=E$2:E1515)))))-COUNTBLANK(OFFSET(A$1,,,SUMPRODUCT(MAX(ROW(E$1:E1514)*(E2=E$1:E1514))))))</f>
        <v> </v>
      </c>
      <c r="K1515" s="25" t="str">
        <f>IF(OR(E1515="",E1515="!!!",F1515="NEW"),"",INDEX(J$1:J1514,SUMPRODUCT(MAX(ROW(E$1:E1514)*(E1515=E$1:E1514)))))</f>
        <v> </v>
      </c>
      <c r="L1515" s="26"/>
    </row>
    <row r="1516" spans="1:12">
      <c r="A1516" s="20" t="s">
        <v>489</v>
      </c>
      <c r="E1516" s="21">
        <f>IF(D1516="?OLD","!!!","")</f>
        <v/>
      </c>
      <c r="F1516" s="22" t="str">
        <f>IF(OR(E1516="",E1516="!!!"),"",IF(NOT(ISNA(VLOOKUP(E1516,E$1:E1515,1,FALSE()))),"OLD",IF(AND(E1516&lt;&gt;"",E1516&lt;&gt;"!!!"),"NEW","")))</f>
        <v> </v>
      </c>
      <c r="G1516" s="23" t="str">
        <f>IF(OR(E1516="",E1516="!!!"),"",IF(OR(J1516=0,AND(J1516=1,K1516=1),AND(J1516=1,I1516="SBJ"),AND(J1516=1,I1516=0)),"?IN_FOCUS",IF(J1516&lt;=2,"?ACTIVATED",IF(J1516&lt;&gt;"","?FAMILIAR",IF(F1516="NEW",IF(ISNA(VLOOKUP(E1516,#REF!,1,FALSE())),"?TYPE_IDENTIFIABLE","?REFERENTIAL"),"_")))))</f>
        <v> </v>
      </c>
      <c r="H1516" s="24" t="str">
        <f>IF(J1516&lt;&gt;1,"",IF(I1516="SBJ","CB","?"))</f>
        <v> </v>
      </c>
      <c r="I1516" s="25" t="str">
        <f>IF(OR(E1516="",E1516="!!!",F1516="NEW"),"",INDEX(B1515:B$2,-1+SUMPRODUCT(MAX(ROW(E1515:E$2)*(E1516=E1515:E$2)))))</f>
        <v> </v>
      </c>
      <c r="J1516" s="25" t="str">
        <f>IF(OR(E1516="",E1516="!!!",F1516="NEW"),"",COUNTBLANK(OFFSET(A$1,,,SUMPRODUCT(MAX(ROW(E$2:E1516)*(E1516=E$2:E1516)))))-COUNTBLANK(OFFSET(A$1,,,SUMPRODUCT(MAX(ROW(E$1:E1515)*(E2=E$1:E1515))))))</f>
        <v> </v>
      </c>
      <c r="K1516" s="25" t="str">
        <f>IF(OR(E1516="",E1516="!!!",F1516="NEW"),"",INDEX(J$1:J1515,SUMPRODUCT(MAX(ROW(E$1:E1515)*(E1516=E$1:E1515)))))</f>
        <v> </v>
      </c>
      <c r="L1516" s="26"/>
    </row>
    <row r="1517" spans="1:12">
      <c r="A1517" s="20" t="s">
        <v>628</v>
      </c>
      <c r="E1517" s="21">
        <f>IF(D1517="?OLD","!!!","")</f>
        <v/>
      </c>
      <c r="F1517" s="22" t="str">
        <f>IF(OR(E1517="",E1517="!!!"),"",IF(NOT(ISNA(VLOOKUP(E1517,E$1:E1516,1,FALSE()))),"OLD",IF(AND(E1517&lt;&gt;"",E1517&lt;&gt;"!!!"),"NEW","")))</f>
        <v> </v>
      </c>
      <c r="G1517" s="23" t="str">
        <f>IF(OR(E1517="",E1517="!!!"),"",IF(OR(J1517=0,AND(J1517=1,K1517=1),AND(J1517=1,I1517="SBJ"),AND(J1517=1,I1517=0)),"?IN_FOCUS",IF(J1517&lt;=2,"?ACTIVATED",IF(J1517&lt;&gt;"","?FAMILIAR",IF(F1517="NEW",IF(ISNA(VLOOKUP(E1517,#REF!,1,FALSE())),"?TYPE_IDENTIFIABLE","?REFERENTIAL"),"_")))))</f>
        <v> </v>
      </c>
      <c r="H1517" s="24" t="str">
        <f>IF(J1517&lt;&gt;1,"",IF(I1517="SBJ","CB","?"))</f>
        <v> </v>
      </c>
      <c r="I1517" s="25" t="str">
        <f>IF(OR(E1517="",E1517="!!!",F1517="NEW"),"",INDEX(B1516:B$2,-1+SUMPRODUCT(MAX(ROW(E1516:E$2)*(E1517=E1516:E$2)))))</f>
        <v> </v>
      </c>
      <c r="J1517" s="25" t="str">
        <f>IF(OR(E1517="",E1517="!!!",F1517="NEW"),"",COUNTBLANK(OFFSET(A$1,,,SUMPRODUCT(MAX(ROW(E$2:E1517)*(E1517=E$2:E1517)))))-COUNTBLANK(OFFSET(A$1,,,SUMPRODUCT(MAX(ROW(E$1:E1516)*(E2=E$1:E1516))))))</f>
        <v> </v>
      </c>
      <c r="K1517" s="25" t="str">
        <f>IF(OR(E1517="",E1517="!!!",F1517="NEW"),"",INDEX(J$1:J1516,SUMPRODUCT(MAX(ROW(E$1:E1516)*(E1517=E$1:E1516)))))</f>
        <v> </v>
      </c>
      <c r="L1517" s="26"/>
    </row>
    <row r="1518" spans="1:12">
      <c r="A1518" s="20" t="s">
        <v>531</v>
      </c>
      <c r="E1518" s="21">
        <f>IF(D1518="?OLD","!!!","")</f>
        <v/>
      </c>
      <c r="F1518" s="22" t="str">
        <f>IF(OR(E1518="",E1518="!!!"),"",IF(NOT(ISNA(VLOOKUP(E1518,E$1:E1517,1,FALSE()))),"OLD",IF(AND(E1518&lt;&gt;"",E1518&lt;&gt;"!!!"),"NEW","")))</f>
        <v> </v>
      </c>
      <c r="G1518" s="23" t="str">
        <f>IF(OR(E1518="",E1518="!!!"),"",IF(OR(J1518=0,AND(J1518=1,K1518=1),AND(J1518=1,I1518="SBJ"),AND(J1518=1,I1518=0)),"?IN_FOCUS",IF(J1518&lt;=2,"?ACTIVATED",IF(J1518&lt;&gt;"","?FAMILIAR",IF(F1518="NEW",IF(ISNA(VLOOKUP(E1518,#REF!,1,FALSE())),"?TYPE_IDENTIFIABLE","?REFERENTIAL"),"_")))))</f>
        <v> </v>
      </c>
      <c r="H1518" s="24" t="str">
        <f>IF(J1518&lt;&gt;1,"",IF(I1518="SBJ","CB","?"))</f>
        <v> </v>
      </c>
      <c r="I1518" s="25" t="str">
        <f>IF(OR(E1518="",E1518="!!!",F1518="NEW"),"",INDEX(B1517:B$2,-1+SUMPRODUCT(MAX(ROW(E1517:E$2)*(E1518=E1517:E$2)))))</f>
        <v> </v>
      </c>
      <c r="J1518" s="25" t="str">
        <f>IF(OR(E1518="",E1518="!!!",F1518="NEW"),"",COUNTBLANK(OFFSET(A$1,,,SUMPRODUCT(MAX(ROW(E$2:E1518)*(E1518=E$2:E1518)))))-COUNTBLANK(OFFSET(A$1,,,SUMPRODUCT(MAX(ROW(E$1:E1517)*(E2=E$1:E1517))))))</f>
        <v> </v>
      </c>
      <c r="K1518" s="25" t="str">
        <f>IF(OR(E1518="",E1518="!!!",F1518="NEW"),"",INDEX(J$1:J1517,SUMPRODUCT(MAX(ROW(E$1:E1517)*(E1518=E$1:E1517)))))</f>
        <v> </v>
      </c>
      <c r="L1518" s="26"/>
    </row>
    <row r="1519" spans="1:12">
      <c r="A1519" s="20"/>
    </row>
    <row r="1520" spans="1:12">
      <c r="A1520" s="20" t="s">
        <v>1006</v>
      </c>
    </row>
    <row r="1521" spans="1:12">
      <c r="A1521" s="20" t="s">
        <v>1007</v>
      </c>
      <c r="E1521" s="21">
        <f>IF(D1521="?OLD","!!!","")</f>
        <v/>
      </c>
      <c r="F1521" s="22" t="str">
        <f>IF(OR(E1521="",E1521="!!!"),"",IF(NOT(ISNA(VLOOKUP(E1521,E$1:E1520,1,FALSE()))),"OLD",IF(AND(E1521&lt;&gt;"",E1521&lt;&gt;"!!!"),"NEW","")))</f>
        <v> </v>
      </c>
      <c r="G1521" s="23" t="str">
        <f>IF(OR(E1521="",E1521="!!!"),"",IF(OR(J1521=0,AND(J1521=1,K1521=1),AND(J1521=1,I1521="SBJ"),AND(J1521=1,I1521=0)),"?IN_FOCUS",IF(J1521&lt;=2,"?ACTIVATED",IF(J1521&lt;&gt;"","?FAMILIAR",IF(F1521="NEW",IF(ISNA(VLOOKUP(E1521,#REF!,1,FALSE())),"?TYPE_IDENTIFIABLE","?REFERENTIAL"),"_")))))</f>
        <v> </v>
      </c>
      <c r="H1521" s="24" t="str">
        <f>IF(J1521&lt;&gt;1,"",IF(I1521="SBJ","CB","?"))</f>
        <v> </v>
      </c>
      <c r="I1521" s="25" t="str">
        <f>IF(OR(E1521="",E1521="!!!",F1521="NEW"),"",INDEX(B1520:B$2,-1+SUMPRODUCT(MAX(ROW(E1520:E$2)*(E1521=E1520:E$2)))))</f>
        <v> </v>
      </c>
      <c r="J1521" s="25" t="str">
        <f>IF(OR(E1521="",E1521="!!!",F1521="NEW"),"",COUNTBLANK(OFFSET(A$1,,,SUMPRODUCT(MAX(ROW(E$2:E1521)*(E1521=E$2:E1521)))))-COUNTBLANK(OFFSET(A$1,,,SUMPRODUCT(MAX(ROW(E$1:E1520)*(E2=E$1:E1520))))))</f>
        <v> </v>
      </c>
      <c r="K1521" s="25" t="str">
        <f>IF(OR(E1521="",E1521="!!!",F1521="NEW"),"",INDEX(J$1:J1520,SUMPRODUCT(MAX(ROW(E$1:E1520)*(E1521=E$1:E1520)))))</f>
        <v> </v>
      </c>
      <c r="L1521" s="26"/>
    </row>
    <row r="1522" spans="1:12">
      <c r="A1522" s="20" t="s">
        <v>384</v>
      </c>
      <c r="E1522" s="21">
        <f>IF(D1522="?OLD","!!!","")</f>
        <v/>
      </c>
      <c r="F1522" s="22" t="str">
        <f>IF(OR(E1522="",E1522="!!!"),"",IF(NOT(ISNA(VLOOKUP(E1522,E$1:E1521,1,FALSE()))),"OLD",IF(AND(E1522&lt;&gt;"",E1522&lt;&gt;"!!!"),"NEW","")))</f>
        <v> </v>
      </c>
      <c r="G1522" s="23" t="str">
        <f>IF(OR(E1522="",E1522="!!!"),"",IF(OR(J1522=0,AND(J1522=1,K1522=1),AND(J1522=1,I1522="SBJ"),AND(J1522=1,I1522=0)),"?IN_FOCUS",IF(J1522&lt;=2,"?ACTIVATED",IF(J1522&lt;&gt;"","?FAMILIAR",IF(F1522="NEW",IF(ISNA(VLOOKUP(E1522,#REF!,1,FALSE())),"?TYPE_IDENTIFIABLE","?REFERENTIAL"),"_")))))</f>
        <v> </v>
      </c>
      <c r="H1522" s="24" t="str">
        <f>IF(J1522&lt;&gt;1,"",IF(I1522="SBJ","CB","?"))</f>
        <v> </v>
      </c>
      <c r="I1522" s="25" t="str">
        <f>IF(OR(E1522="",E1522="!!!",F1522="NEW"),"",INDEX(B1521:B$2,-1+SUMPRODUCT(MAX(ROW(E1521:E$2)*(E1522=E1521:E$2)))))</f>
        <v> </v>
      </c>
      <c r="J1522" s="25" t="str">
        <f>IF(OR(E1522="",E1522="!!!",F1522="NEW"),"",COUNTBLANK(OFFSET(A$1,,,SUMPRODUCT(MAX(ROW(E$2:E1522)*(E1522=E$2:E1522)))))-COUNTBLANK(OFFSET(A$1,,,SUMPRODUCT(MAX(ROW(E$1:E1521)*(E2=E$1:E1521))))))</f>
        <v> </v>
      </c>
      <c r="K1522" s="25" t="str">
        <f>IF(OR(E1522="",E1522="!!!",F1522="NEW"),"",INDEX(J$1:J1521,SUMPRODUCT(MAX(ROW(E$1:E1521)*(E1522=E$1:E1521)))))</f>
        <v> </v>
      </c>
      <c r="L1522" s="26"/>
    </row>
    <row r="1523" spans="1:12">
      <c r="A1523" s="20" t="s">
        <v>489</v>
      </c>
      <c r="E1523" s="21">
        <f>IF(D1523="?OLD","!!!","")</f>
        <v/>
      </c>
      <c r="F1523" s="22" t="str">
        <f>IF(OR(E1523="",E1523="!!!"),"",IF(NOT(ISNA(VLOOKUP(E1523,E$1:E1522,1,FALSE()))),"OLD",IF(AND(E1523&lt;&gt;"",E1523&lt;&gt;"!!!"),"NEW","")))</f>
        <v> </v>
      </c>
      <c r="G1523" s="23" t="str">
        <f>IF(OR(E1523="",E1523="!!!"),"",IF(OR(J1523=0,AND(J1523=1,K1523=1),AND(J1523=1,I1523="SBJ"),AND(J1523=1,I1523=0)),"?IN_FOCUS",IF(J1523&lt;=2,"?ACTIVATED",IF(J1523&lt;&gt;"","?FAMILIAR",IF(F1523="NEW",IF(ISNA(VLOOKUP(E1523,#REF!,1,FALSE())),"?TYPE_IDENTIFIABLE","?REFERENTIAL"),"_")))))</f>
        <v> </v>
      </c>
      <c r="H1523" s="24" t="str">
        <f>IF(J1523&lt;&gt;1,"",IF(I1523="SBJ","CB","?"))</f>
        <v> </v>
      </c>
      <c r="I1523" s="25" t="str">
        <f>IF(OR(E1523="",E1523="!!!",F1523="NEW"),"",INDEX(B1522:B$2,-1+SUMPRODUCT(MAX(ROW(E1522:E$2)*(E1523=E1522:E$2)))))</f>
        <v> </v>
      </c>
      <c r="J1523" s="25" t="str">
        <f>IF(OR(E1523="",E1523="!!!",F1523="NEW"),"",COUNTBLANK(OFFSET(A$1,,,SUMPRODUCT(MAX(ROW(E$2:E1523)*(E1523=E$2:E1523)))))-COUNTBLANK(OFFSET(A$1,,,SUMPRODUCT(MAX(ROW(E$1:E1522)*(E2=E$1:E1522))))))</f>
        <v> </v>
      </c>
      <c r="K1523" s="25" t="str">
        <f>IF(OR(E1523="",E1523="!!!",F1523="NEW"),"",INDEX(J$1:J1522,SUMPRODUCT(MAX(ROW(E$1:E1522)*(E1523=E$1:E1522)))))</f>
        <v> </v>
      </c>
      <c r="L1523" s="26"/>
    </row>
    <row r="1524" spans="1:12">
      <c r="A1524" s="20" t="s">
        <v>1008</v>
      </c>
      <c r="E1524" s="21">
        <f>IF(D1524="?OLD","!!!","")</f>
        <v/>
      </c>
      <c r="F1524" s="22" t="str">
        <f>IF(OR(E1524="",E1524="!!!"),"",IF(NOT(ISNA(VLOOKUP(E1524,E$1:E1523,1,FALSE()))),"OLD",IF(AND(E1524&lt;&gt;"",E1524&lt;&gt;"!!!"),"NEW","")))</f>
        <v> </v>
      </c>
      <c r="G1524" s="23" t="str">
        <f>IF(OR(E1524="",E1524="!!!"),"",IF(OR(J1524=0,AND(J1524=1,K1524=1),AND(J1524=1,I1524="SBJ"),AND(J1524=1,I1524=0)),"?IN_FOCUS",IF(J1524&lt;=2,"?ACTIVATED",IF(J1524&lt;&gt;"","?FAMILIAR",IF(F1524="NEW",IF(ISNA(VLOOKUP(E1524,#REF!,1,FALSE())),"?TYPE_IDENTIFIABLE","?REFERENTIAL"),"_")))))</f>
        <v> </v>
      </c>
      <c r="H1524" s="24" t="str">
        <f>IF(J1524&lt;&gt;1,"",IF(I1524="SBJ","CB","?"))</f>
        <v> </v>
      </c>
      <c r="I1524" s="25" t="str">
        <f>IF(OR(E1524="",E1524="!!!",F1524="NEW"),"",INDEX(B1523:B$2,-1+SUMPRODUCT(MAX(ROW(E1523:E$2)*(E1524=E1523:E$2)))))</f>
        <v> </v>
      </c>
      <c r="J1524" s="25" t="str">
        <f>IF(OR(E1524="",E1524="!!!",F1524="NEW"),"",COUNTBLANK(OFFSET(A$1,,,SUMPRODUCT(MAX(ROW(E$2:E1524)*(E1524=E$2:E1524)))))-COUNTBLANK(OFFSET(A$1,,,SUMPRODUCT(MAX(ROW(E$1:E1523)*(E2=E$1:E1523))))))</f>
        <v> </v>
      </c>
      <c r="K1524" s="25" t="str">
        <f>IF(OR(E1524="",E1524="!!!",F1524="NEW"),"",INDEX(J$1:J1523,SUMPRODUCT(MAX(ROW(E$1:E1523)*(E1524=E$1:E1523)))))</f>
        <v> </v>
      </c>
      <c r="L1524" s="26"/>
    </row>
    <row r="1525" spans="1:12">
      <c r="A1525" s="20" t="s">
        <v>507</v>
      </c>
      <c r="E1525" s="21">
        <f>IF(D1525="?OLD","!!!","")</f>
        <v/>
      </c>
      <c r="F1525" s="22" t="str">
        <f>IF(OR(E1525="",E1525="!!!"),"",IF(NOT(ISNA(VLOOKUP(E1525,E$1:E1524,1,FALSE()))),"OLD",IF(AND(E1525&lt;&gt;"",E1525&lt;&gt;"!!!"),"NEW","")))</f>
        <v> </v>
      </c>
      <c r="G1525" s="23" t="str">
        <f>IF(OR(E1525="",E1525="!!!"),"",IF(OR(J1525=0,AND(J1525=1,K1525=1),AND(J1525=1,I1525="SBJ"),AND(J1525=1,I1525=0)),"?IN_FOCUS",IF(J1525&lt;=2,"?ACTIVATED",IF(J1525&lt;&gt;"","?FAMILIAR",IF(F1525="NEW",IF(ISNA(VLOOKUP(E1525,#REF!,1,FALSE())),"?TYPE_IDENTIFIABLE","?REFERENTIAL"),"_")))))</f>
        <v> </v>
      </c>
      <c r="H1525" s="24" t="str">
        <f>IF(J1525&lt;&gt;1,"",IF(I1525="SBJ","CB","?"))</f>
        <v> </v>
      </c>
      <c r="I1525" s="25" t="str">
        <f>IF(OR(E1525="",E1525="!!!",F1525="NEW"),"",INDEX(B1524:B$2,-1+SUMPRODUCT(MAX(ROW(E1524:E$2)*(E1525=E1524:E$2)))))</f>
        <v> </v>
      </c>
      <c r="J1525" s="25" t="str">
        <f>IF(OR(E1525="",E1525="!!!",F1525="NEW"),"",COUNTBLANK(OFFSET(A$1,,,SUMPRODUCT(MAX(ROW(E$2:E1525)*(E1525=E$2:E1525)))))-COUNTBLANK(OFFSET(A$1,,,SUMPRODUCT(MAX(ROW(E$1:E1524)*(E2=E$1:E1524))))))</f>
        <v> </v>
      </c>
      <c r="K1525" s="25" t="str">
        <f>IF(OR(E1525="",E1525="!!!",F1525="NEW"),"",INDEX(J$1:J1524,SUMPRODUCT(MAX(ROW(E$1:E1524)*(E1525=E$1:E1524)))))</f>
        <v> </v>
      </c>
      <c r="L1525" s="26"/>
    </row>
    <row r="1526" spans="1:12">
      <c r="A1526" s="20" t="s">
        <v>503</v>
      </c>
      <c r="E1526" s="21">
        <f>IF(D1526="?OLD","!!!","")</f>
        <v/>
      </c>
      <c r="F1526" s="22" t="str">
        <f>IF(OR(E1526="",E1526="!!!"),"",IF(NOT(ISNA(VLOOKUP(E1526,E$1:E1525,1,FALSE()))),"OLD",IF(AND(E1526&lt;&gt;"",E1526&lt;&gt;"!!!"),"NEW","")))</f>
        <v> </v>
      </c>
      <c r="G1526" s="23" t="str">
        <f>IF(OR(E1526="",E1526="!!!"),"",IF(OR(J1526=0,AND(J1526=1,K1526=1),AND(J1526=1,I1526="SBJ"),AND(J1526=1,I1526=0)),"?IN_FOCUS",IF(J1526&lt;=2,"?ACTIVATED",IF(J1526&lt;&gt;"","?FAMILIAR",IF(F1526="NEW",IF(ISNA(VLOOKUP(E1526,#REF!,1,FALSE())),"?TYPE_IDENTIFIABLE","?REFERENTIAL"),"_")))))</f>
        <v> </v>
      </c>
      <c r="H1526" s="24" t="str">
        <f>IF(J1526&lt;&gt;1,"",IF(I1526="SBJ","CB","?"))</f>
        <v> </v>
      </c>
      <c r="I1526" s="25" t="str">
        <f>IF(OR(E1526="",E1526="!!!",F1526="NEW"),"",INDEX(B1525:B$2,-1+SUMPRODUCT(MAX(ROW(E1525:E$2)*(E1526=E1525:E$2)))))</f>
        <v> </v>
      </c>
      <c r="J1526" s="25" t="str">
        <f>IF(OR(E1526="",E1526="!!!",F1526="NEW"),"",COUNTBLANK(OFFSET(A$1,,,SUMPRODUCT(MAX(ROW(E$2:E1526)*(E1526=E$2:E1526)))))-COUNTBLANK(OFFSET(A$1,,,SUMPRODUCT(MAX(ROW(E$1:E1525)*(E2=E$1:E1525))))))</f>
        <v> </v>
      </c>
      <c r="K1526" s="25" t="str">
        <f>IF(OR(E1526="",E1526="!!!",F1526="NEW"),"",INDEX(J$1:J1525,SUMPRODUCT(MAX(ROW(E$1:E1525)*(E1526=E$1:E1525)))))</f>
        <v> </v>
      </c>
      <c r="L1526" s="26"/>
    </row>
    <row r="1527" spans="1:12">
      <c r="A1527" s="20" t="s">
        <v>788</v>
      </c>
      <c r="E1527" s="21">
        <f>IF(D1527="?OLD","!!!","")</f>
        <v/>
      </c>
      <c r="F1527" s="22" t="str">
        <f>IF(OR(E1527="",E1527="!!!"),"",IF(NOT(ISNA(VLOOKUP(E1527,E$1:E1526,1,FALSE()))),"OLD",IF(AND(E1527&lt;&gt;"",E1527&lt;&gt;"!!!"),"NEW","")))</f>
        <v> </v>
      </c>
      <c r="G1527" s="23" t="str">
        <f>IF(OR(E1527="",E1527="!!!"),"",IF(OR(J1527=0,AND(J1527=1,K1527=1),AND(J1527=1,I1527="SBJ"),AND(J1527=1,I1527=0)),"?IN_FOCUS",IF(J1527&lt;=2,"?ACTIVATED",IF(J1527&lt;&gt;"","?FAMILIAR",IF(F1527="NEW",IF(ISNA(VLOOKUP(E1527,#REF!,1,FALSE())),"?TYPE_IDENTIFIABLE","?REFERENTIAL"),"_")))))</f>
        <v> </v>
      </c>
      <c r="H1527" s="24" t="str">
        <f>IF(J1527&lt;&gt;1,"",IF(I1527="SBJ","CB","?"))</f>
        <v> </v>
      </c>
      <c r="I1527" s="25" t="str">
        <f>IF(OR(E1527="",E1527="!!!",F1527="NEW"),"",INDEX(B1526:B$2,-1+SUMPRODUCT(MAX(ROW(E1526:E$2)*(E1527=E1526:E$2)))))</f>
        <v> </v>
      </c>
      <c r="J1527" s="25" t="str">
        <f>IF(OR(E1527="",E1527="!!!",F1527="NEW"),"",COUNTBLANK(OFFSET(A$1,,,SUMPRODUCT(MAX(ROW(E$2:E1527)*(E1527=E$2:E1527)))))-COUNTBLANK(OFFSET(A$1,,,SUMPRODUCT(MAX(ROW(E$1:E1526)*(E2=E$1:E1526))))))</f>
        <v> </v>
      </c>
      <c r="K1527" s="25" t="str">
        <f>IF(OR(E1527="",E1527="!!!",F1527="NEW"),"",INDEX(J$1:J1526,SUMPRODUCT(MAX(ROW(E$1:E1526)*(E1527=E$1:E1526)))))</f>
        <v> </v>
      </c>
      <c r="L1527" s="26"/>
    </row>
    <row r="1528" spans="1:12">
      <c r="A1528" s="20" t="s">
        <v>735</v>
      </c>
      <c r="B1528" s="27" t="s">
        <v>477</v>
      </c>
      <c r="C1528" s="27" t="s">
        <v>538</v>
      </c>
      <c r="D1528" s="27" t="s">
        <v>483</v>
      </c>
      <c r="E1528" s="21">
        <f>IF(D1528="?OLD","!!!","")</f>
        <v/>
      </c>
      <c r="F1528" s="22" t="str">
        <f>IF(OR(E1528="",E1528="!!!"),"",IF(NOT(ISNA(VLOOKUP(E1528,E$1:E1527,1,FALSE()))),"OLD",IF(AND(E1528&lt;&gt;"",E1528&lt;&gt;"!!!"),"NEW","")))</f>
        <v> </v>
      </c>
      <c r="G1528" s="23" t="str">
        <f>IF(OR(E1528="",E1528="!!!"),"",IF(OR(J1528=0,AND(J1528=1,K1528=1),AND(J1528=1,I1528="SBJ"),AND(J1528=1,I1528=0)),"?IN_FOCUS",IF(J1528&lt;=2,"?ACTIVATED",IF(J1528&lt;&gt;"","?FAMILIAR",IF(F1528="NEW",IF(ISNA(VLOOKUP(E1528,#REF!,1,FALSE())),"?TYPE_IDENTIFIABLE","?REFERENTIAL"),"_")))))</f>
        <v> </v>
      </c>
      <c r="H1528" s="24" t="str">
        <f>IF(J1528&lt;&gt;1,"",IF(I1528="SBJ","CB","?"))</f>
        <v> </v>
      </c>
      <c r="I1528" s="25" t="str">
        <f>IF(OR(E1528="",E1528="!!!",F1528="NEW"),"",INDEX(B1527:B$2,-1+SUMPRODUCT(MAX(ROW(E1527:E$2)*(E1528=E1527:E$2)))))</f>
        <v> </v>
      </c>
      <c r="J1528" s="25" t="str">
        <f>IF(OR(E1528="",E1528="!!!",F1528="NEW"),"",COUNTBLANK(OFFSET(A$1,,,SUMPRODUCT(MAX(ROW(E$2:E1528)*(E1528=E$2:E1528)))))-COUNTBLANK(OFFSET(A$1,,,SUMPRODUCT(MAX(ROW(E$1:E1527)*(E2=E$1:E1527))))))</f>
        <v> </v>
      </c>
      <c r="K1528" s="25" t="str">
        <f>IF(OR(E1528="",E1528="!!!",F1528="NEW"),"",INDEX(J$1:J1527,SUMPRODUCT(MAX(ROW(E$1:E1527)*(E1528=E$1:E1527)))))</f>
        <v> </v>
      </c>
      <c r="L1528" s="26"/>
    </row>
    <row r="1529" spans="1:12">
      <c r="A1529" s="20" t="s">
        <v>507</v>
      </c>
      <c r="E1529" s="21">
        <f>IF(D1529="?OLD","!!!","")</f>
        <v/>
      </c>
      <c r="F1529" s="22" t="str">
        <f>IF(OR(E1529="",E1529="!!!"),"",IF(NOT(ISNA(VLOOKUP(E1529,E$1:E1528,1,FALSE()))),"OLD",IF(AND(E1529&lt;&gt;"",E1529&lt;&gt;"!!!"),"NEW","")))</f>
        <v> </v>
      </c>
      <c r="G1529" s="23" t="str">
        <f>IF(OR(E1529="",E1529="!!!"),"",IF(OR(J1529=0,AND(J1529=1,K1529=1),AND(J1529=1,I1529="SBJ"),AND(J1529=1,I1529=0)),"?IN_FOCUS",IF(J1529&lt;=2,"?ACTIVATED",IF(J1529&lt;&gt;"","?FAMILIAR",IF(F1529="NEW",IF(ISNA(VLOOKUP(E1529,#REF!,1,FALSE())),"?TYPE_IDENTIFIABLE","?REFERENTIAL"),"_")))))</f>
        <v> </v>
      </c>
      <c r="H1529" s="24" t="str">
        <f>IF(J1529&lt;&gt;1,"",IF(I1529="SBJ","CB","?"))</f>
        <v> </v>
      </c>
      <c r="I1529" s="25" t="str">
        <f>IF(OR(E1529="",E1529="!!!",F1529="NEW"),"",INDEX(B1528:B$2,-1+SUMPRODUCT(MAX(ROW(E1528:E$2)*(E1529=E1528:E$2)))))</f>
        <v> </v>
      </c>
      <c r="J1529" s="25" t="str">
        <f>IF(OR(E1529="",E1529="!!!",F1529="NEW"),"",COUNTBLANK(OFFSET(A$1,,,SUMPRODUCT(MAX(ROW(E$2:E1529)*(E1529=E$2:E1529)))))-COUNTBLANK(OFFSET(A$1,,,SUMPRODUCT(MAX(ROW(E$1:E1528)*(E2=E$1:E1528))))))</f>
        <v> </v>
      </c>
      <c r="K1529" s="25" t="str">
        <f>IF(OR(E1529="",E1529="!!!",F1529="NEW"),"",INDEX(J$1:J1528,SUMPRODUCT(MAX(ROW(E$1:E1528)*(E1529=E$1:E1528)))))</f>
        <v> </v>
      </c>
      <c r="L1529" s="26"/>
    </row>
    <row r="1530" spans="1:12">
      <c r="A1530" s="20" t="s">
        <v>492</v>
      </c>
      <c r="E1530" s="21">
        <f>IF(D1530="?OLD","!!!","")</f>
        <v/>
      </c>
      <c r="F1530" s="22" t="str">
        <f>IF(OR(E1530="",E1530="!!!"),"",IF(NOT(ISNA(VLOOKUP(E1530,E$1:E1529,1,FALSE()))),"OLD",IF(AND(E1530&lt;&gt;"",E1530&lt;&gt;"!!!"),"NEW","")))</f>
        <v> </v>
      </c>
      <c r="G1530" s="23" t="str">
        <f>IF(OR(E1530="",E1530="!!!"),"",IF(OR(J1530=0,AND(J1530=1,K1530=1),AND(J1530=1,I1530="SBJ"),AND(J1530=1,I1530=0)),"?IN_FOCUS",IF(J1530&lt;=2,"?ACTIVATED",IF(J1530&lt;&gt;"","?FAMILIAR",IF(F1530="NEW",IF(ISNA(VLOOKUP(E1530,#REF!,1,FALSE())),"?TYPE_IDENTIFIABLE","?REFERENTIAL"),"_")))))</f>
        <v> </v>
      </c>
      <c r="H1530" s="24" t="str">
        <f>IF(J1530&lt;&gt;1,"",IF(I1530="SBJ","CB","?"))</f>
        <v> </v>
      </c>
      <c r="I1530" s="25" t="str">
        <f>IF(OR(E1530="",E1530="!!!",F1530="NEW"),"",INDEX(B1529:B$2,-1+SUMPRODUCT(MAX(ROW(E1529:E$2)*(E1530=E1529:E$2)))))</f>
        <v> </v>
      </c>
      <c r="J1530" s="25" t="str">
        <f>IF(OR(E1530="",E1530="!!!",F1530="NEW"),"",COUNTBLANK(OFFSET(A$1,,,SUMPRODUCT(MAX(ROW(E$2:E1530)*(E1530=E$2:E1530)))))-COUNTBLANK(OFFSET(A$1,,,SUMPRODUCT(MAX(ROW(E$1:E1529)*(E2=E$1:E1529))))))</f>
        <v> </v>
      </c>
      <c r="K1530" s="25" t="str">
        <f>IF(OR(E1530="",E1530="!!!",F1530="NEW"),"",INDEX(J$1:J1529,SUMPRODUCT(MAX(ROW(E$1:E1529)*(E1530=E$1:E1529)))))</f>
        <v> </v>
      </c>
      <c r="L1530" s="26"/>
    </row>
    <row r="1531" spans="1:12">
      <c r="A1531" s="20" t="s">
        <v>1009</v>
      </c>
      <c r="E1531" s="21">
        <f>IF(D1531="?OLD","!!!","")</f>
        <v/>
      </c>
      <c r="F1531" s="22" t="str">
        <f>IF(OR(E1531="",E1531="!!!"),"",IF(NOT(ISNA(VLOOKUP(E1531,E$1:E1530,1,FALSE()))),"OLD",IF(AND(E1531&lt;&gt;"",E1531&lt;&gt;"!!!"),"NEW","")))</f>
        <v> </v>
      </c>
      <c r="G1531" s="23" t="str">
        <f>IF(OR(E1531="",E1531="!!!"),"",IF(OR(J1531=0,AND(J1531=1,K1531=1),AND(J1531=1,I1531="SBJ"),AND(J1531=1,I1531=0)),"?IN_FOCUS",IF(J1531&lt;=2,"?ACTIVATED",IF(J1531&lt;&gt;"","?FAMILIAR",IF(F1531="NEW",IF(ISNA(VLOOKUP(E1531,#REF!,1,FALSE())),"?TYPE_IDENTIFIABLE","?REFERENTIAL"),"_")))))</f>
        <v> </v>
      </c>
      <c r="H1531" s="24" t="str">
        <f>IF(J1531&lt;&gt;1,"",IF(I1531="SBJ","CB","?"))</f>
        <v> </v>
      </c>
      <c r="I1531" s="25" t="str">
        <f>IF(OR(E1531="",E1531="!!!",F1531="NEW"),"",INDEX(B1530:B$2,-1+SUMPRODUCT(MAX(ROW(E1530:E$2)*(E1531=E1530:E$2)))))</f>
        <v> </v>
      </c>
      <c r="J1531" s="25" t="str">
        <f>IF(OR(E1531="",E1531="!!!",F1531="NEW"),"",COUNTBLANK(OFFSET(A$1,,,SUMPRODUCT(MAX(ROW(E$2:E1531)*(E1531=E$2:E1531)))))-COUNTBLANK(OFFSET(A$1,,,SUMPRODUCT(MAX(ROW(E$1:E1530)*(E2=E$1:E1530))))))</f>
        <v> </v>
      </c>
      <c r="K1531" s="25" t="str">
        <f>IF(OR(E1531="",E1531="!!!",F1531="NEW"),"",INDEX(J$1:J1530,SUMPRODUCT(MAX(ROW(E$1:E1530)*(E1531=E$1:E1530)))))</f>
        <v> </v>
      </c>
      <c r="L1531" s="26"/>
    </row>
    <row r="1532" spans="1:12">
      <c r="A1532" s="20" t="s">
        <v>805</v>
      </c>
      <c r="E1532" s="21">
        <f>IF(D1532="?OLD","!!!","")</f>
        <v/>
      </c>
      <c r="F1532" s="22" t="str">
        <f>IF(OR(E1532="",E1532="!!!"),"",IF(NOT(ISNA(VLOOKUP(E1532,E$1:E1531,1,FALSE()))),"OLD",IF(AND(E1532&lt;&gt;"",E1532&lt;&gt;"!!!"),"NEW","")))</f>
        <v> </v>
      </c>
      <c r="G1532" s="23" t="str">
        <f>IF(OR(E1532="",E1532="!!!"),"",IF(OR(J1532=0,AND(J1532=1,K1532=1),AND(J1532=1,I1532="SBJ"),AND(J1532=1,I1532=0)),"?IN_FOCUS",IF(J1532&lt;=2,"?ACTIVATED",IF(J1532&lt;&gt;"","?FAMILIAR",IF(F1532="NEW",IF(ISNA(VLOOKUP(E1532,#REF!,1,FALSE())),"?TYPE_IDENTIFIABLE","?REFERENTIAL"),"_")))))</f>
        <v> </v>
      </c>
      <c r="H1532" s="24" t="str">
        <f>IF(J1532&lt;&gt;1,"",IF(I1532="SBJ","CB","?"))</f>
        <v> </v>
      </c>
      <c r="I1532" s="25" t="str">
        <f>IF(OR(E1532="",E1532="!!!",F1532="NEW"),"",INDEX(B1531:B$2,-1+SUMPRODUCT(MAX(ROW(E1531:E$2)*(E1532=E1531:E$2)))))</f>
        <v> </v>
      </c>
      <c r="J1532" s="25" t="str">
        <f>IF(OR(E1532="",E1532="!!!",F1532="NEW"),"",COUNTBLANK(OFFSET(A$1,,,SUMPRODUCT(MAX(ROW(E$2:E1532)*(E1532=E$2:E1532)))))-COUNTBLANK(OFFSET(A$1,,,SUMPRODUCT(MAX(ROW(E$1:E1531)*(E2=E$1:E1531))))))</f>
        <v> </v>
      </c>
      <c r="K1532" s="25" t="str">
        <f>IF(OR(E1532="",E1532="!!!",F1532="NEW"),"",INDEX(J$1:J1531,SUMPRODUCT(MAX(ROW(E$1:E1531)*(E1532=E$1:E1531)))))</f>
        <v> </v>
      </c>
      <c r="L1532" s="26"/>
    </row>
    <row r="1533" spans="1:12">
      <c r="A1533" s="20" t="s">
        <v>485</v>
      </c>
      <c r="E1533" s="21">
        <f>IF(D1533="?OLD","!!!","")</f>
        <v/>
      </c>
      <c r="F1533" s="22" t="str">
        <f>IF(OR(E1533="",E1533="!!!"),"",IF(NOT(ISNA(VLOOKUP(E1533,E$1:E1532,1,FALSE()))),"OLD",IF(AND(E1533&lt;&gt;"",E1533&lt;&gt;"!!!"),"NEW","")))</f>
        <v> </v>
      </c>
      <c r="G1533" s="23" t="str">
        <f>IF(OR(E1533="",E1533="!!!"),"",IF(OR(J1533=0,AND(J1533=1,K1533=1),AND(J1533=1,I1533="SBJ"),AND(J1533=1,I1533=0)),"?IN_FOCUS",IF(J1533&lt;=2,"?ACTIVATED",IF(J1533&lt;&gt;"","?FAMILIAR",IF(F1533="NEW",IF(ISNA(VLOOKUP(E1533,#REF!,1,FALSE())),"?TYPE_IDENTIFIABLE","?REFERENTIAL"),"_")))))</f>
        <v> </v>
      </c>
      <c r="H1533" s="24" t="str">
        <f>IF(J1533&lt;&gt;1,"",IF(I1533="SBJ","CB","?"))</f>
        <v> </v>
      </c>
      <c r="I1533" s="25" t="str">
        <f>IF(OR(E1533="",E1533="!!!",F1533="NEW"),"",INDEX(B1532:B$2,-1+SUMPRODUCT(MAX(ROW(E1532:E$2)*(E1533=E1532:E$2)))))</f>
        <v> </v>
      </c>
      <c r="J1533" s="25" t="str">
        <f>IF(OR(E1533="",E1533="!!!",F1533="NEW"),"",COUNTBLANK(OFFSET(A$1,,,SUMPRODUCT(MAX(ROW(E$2:E1533)*(E1533=E$2:E1533)))))-COUNTBLANK(OFFSET(A$1,,,SUMPRODUCT(MAX(ROW(E$1:E1532)*(E2=E$1:E1532))))))</f>
        <v> </v>
      </c>
      <c r="K1533" s="25" t="str">
        <f>IF(OR(E1533="",E1533="!!!",F1533="NEW"),"",INDEX(J$1:J1532,SUMPRODUCT(MAX(ROW(E$1:E1532)*(E1533=E$1:E1532)))))</f>
        <v> </v>
      </c>
      <c r="L1533" s="26"/>
    </row>
    <row r="1534" spans="1:12">
      <c r="A1534" s="20" t="s">
        <v>586</v>
      </c>
      <c r="B1534" s="27" t="s">
        <v>477</v>
      </c>
      <c r="C1534" s="27" t="s">
        <v>538</v>
      </c>
      <c r="D1534" s="27" t="s">
        <v>483</v>
      </c>
      <c r="E1534" s="21">
        <f>IF(D1534="?OLD","!!!","")</f>
        <v/>
      </c>
      <c r="F1534" s="22" t="str">
        <f>IF(OR(E1534="",E1534="!!!"),"",IF(NOT(ISNA(VLOOKUP(E1534,E$1:E1533,1,FALSE()))),"OLD",IF(AND(E1534&lt;&gt;"",E1534&lt;&gt;"!!!"),"NEW","")))</f>
        <v> </v>
      </c>
      <c r="G1534" s="23" t="str">
        <f>IF(OR(E1534="",E1534="!!!"),"",IF(OR(J1534=0,AND(J1534=1,K1534=1),AND(J1534=1,I1534="SBJ"),AND(J1534=1,I1534=0)),"?IN_FOCUS",IF(J1534&lt;=2,"?ACTIVATED",IF(J1534&lt;&gt;"","?FAMILIAR",IF(F1534="NEW",IF(ISNA(VLOOKUP(E1534,#REF!,1,FALSE())),"?TYPE_IDENTIFIABLE","?REFERENTIAL"),"_")))))</f>
        <v> </v>
      </c>
      <c r="H1534" s="24" t="str">
        <f>IF(J1534&lt;&gt;1,"",IF(I1534="SBJ","CB","?"))</f>
        <v> </v>
      </c>
      <c r="I1534" s="25" t="str">
        <f>IF(OR(E1534="",E1534="!!!",F1534="NEW"),"",INDEX(B1533:B$2,-1+SUMPRODUCT(MAX(ROW(E1533:E$2)*(E1534=E1533:E$2)))))</f>
        <v> </v>
      </c>
      <c r="J1534" s="25" t="str">
        <f>IF(OR(E1534="",E1534="!!!",F1534="NEW"),"",COUNTBLANK(OFFSET(A$1,,,SUMPRODUCT(MAX(ROW(E$2:E1534)*(E1534=E$2:E1534)))))-COUNTBLANK(OFFSET(A$1,,,SUMPRODUCT(MAX(ROW(E$1:E1533)*(E2=E$1:E1533))))))</f>
        <v> </v>
      </c>
      <c r="K1534" s="25" t="str">
        <f>IF(OR(E1534="",E1534="!!!",F1534="NEW"),"",INDEX(J$1:J1533,SUMPRODUCT(MAX(ROW(E$1:E1533)*(E1534=E$1:E1533)))))</f>
        <v> </v>
      </c>
      <c r="L1534" s="26"/>
    </row>
    <row r="1535" spans="1:12">
      <c r="A1535" s="20" t="s">
        <v>528</v>
      </c>
      <c r="E1535" s="21">
        <f>IF(D1535="?OLD","!!!","")</f>
        <v/>
      </c>
      <c r="F1535" s="22" t="str">
        <f>IF(OR(E1535="",E1535="!!!"),"",IF(NOT(ISNA(VLOOKUP(E1535,E$1:E1534,1,FALSE()))),"OLD",IF(AND(E1535&lt;&gt;"",E1535&lt;&gt;"!!!"),"NEW","")))</f>
        <v> </v>
      </c>
      <c r="G1535" s="23" t="str">
        <f>IF(OR(E1535="",E1535="!!!"),"",IF(OR(J1535=0,AND(J1535=1,K1535=1),AND(J1535=1,I1535="SBJ"),AND(J1535=1,I1535=0)),"?IN_FOCUS",IF(J1535&lt;=2,"?ACTIVATED",IF(J1535&lt;&gt;"","?FAMILIAR",IF(F1535="NEW",IF(ISNA(VLOOKUP(E1535,#REF!,1,FALSE())),"?TYPE_IDENTIFIABLE","?REFERENTIAL"),"_")))))</f>
        <v> </v>
      </c>
      <c r="H1535" s="24" t="str">
        <f>IF(J1535&lt;&gt;1,"",IF(I1535="SBJ","CB","?"))</f>
        <v> </v>
      </c>
      <c r="I1535" s="25" t="str">
        <f>IF(OR(E1535="",E1535="!!!",F1535="NEW"),"",INDEX(B1534:B$2,-1+SUMPRODUCT(MAX(ROW(E1534:E$2)*(E1535=E1534:E$2)))))</f>
        <v> </v>
      </c>
      <c r="J1535" s="25" t="str">
        <f>IF(OR(E1535="",E1535="!!!",F1535="NEW"),"",COUNTBLANK(OFFSET(A$1,,,SUMPRODUCT(MAX(ROW(E$2:E1535)*(E1535=E$2:E1535)))))-COUNTBLANK(OFFSET(A$1,,,SUMPRODUCT(MAX(ROW(E$1:E1534)*(E2=E$1:E1534))))))</f>
        <v> </v>
      </c>
      <c r="K1535" s="25" t="str">
        <f>IF(OR(E1535="",E1535="!!!",F1535="NEW"),"",INDEX(J$1:J1534,SUMPRODUCT(MAX(ROW(E$1:E1534)*(E1535=E$1:E1534)))))</f>
        <v> </v>
      </c>
      <c r="L1535" s="26"/>
    </row>
    <row r="1536" spans="1:12">
      <c r="A1536" s="20" t="s">
        <v>503</v>
      </c>
      <c r="E1536" s="21">
        <f>IF(D1536="?OLD","!!!","")</f>
        <v/>
      </c>
      <c r="F1536" s="22" t="str">
        <f>IF(OR(E1536="",E1536="!!!"),"",IF(NOT(ISNA(VLOOKUP(E1536,E$1:E1535,1,FALSE()))),"OLD",IF(AND(E1536&lt;&gt;"",E1536&lt;&gt;"!!!"),"NEW","")))</f>
        <v> </v>
      </c>
      <c r="G1536" s="23" t="str">
        <f>IF(OR(E1536="",E1536="!!!"),"",IF(OR(J1536=0,AND(J1536=1,K1536=1),AND(J1536=1,I1536="SBJ"),AND(J1536=1,I1536=0)),"?IN_FOCUS",IF(J1536&lt;=2,"?ACTIVATED",IF(J1536&lt;&gt;"","?FAMILIAR",IF(F1536="NEW",IF(ISNA(VLOOKUP(E1536,#REF!,1,FALSE())),"?TYPE_IDENTIFIABLE","?REFERENTIAL"),"_")))))</f>
        <v> </v>
      </c>
      <c r="H1536" s="24" t="str">
        <f>IF(J1536&lt;&gt;1,"",IF(I1536="SBJ","CB","?"))</f>
        <v> </v>
      </c>
      <c r="I1536" s="25" t="str">
        <f>IF(OR(E1536="",E1536="!!!",F1536="NEW"),"",INDEX(B1535:B$2,-1+SUMPRODUCT(MAX(ROW(E1535:E$2)*(E1536=E1535:E$2)))))</f>
        <v> </v>
      </c>
      <c r="J1536" s="25" t="str">
        <f>IF(OR(E1536="",E1536="!!!",F1536="NEW"),"",COUNTBLANK(OFFSET(A$1,,,SUMPRODUCT(MAX(ROW(E$2:E1536)*(E1536=E$2:E1536)))))-COUNTBLANK(OFFSET(A$1,,,SUMPRODUCT(MAX(ROW(E$1:E1535)*(E2=E$1:E1535))))))</f>
        <v> </v>
      </c>
      <c r="K1536" s="25" t="str">
        <f>IF(OR(E1536="",E1536="!!!",F1536="NEW"),"",INDEX(J$1:J1535,SUMPRODUCT(MAX(ROW(E$1:E1535)*(E1536=E$1:E1535)))))</f>
        <v> </v>
      </c>
      <c r="L1536" s="26"/>
    </row>
    <row r="1537" spans="1:12">
      <c r="A1537" s="20" t="s">
        <v>61</v>
      </c>
      <c r="B1537" s="27" t="s">
        <v>490</v>
      </c>
      <c r="C1537" s="27" t="s">
        <v>487</v>
      </c>
      <c r="D1537" s="27" t="s">
        <v>483</v>
      </c>
      <c r="E1537" s="21">
        <f>IF(D1537="?OLD","!!!","")</f>
        <v/>
      </c>
      <c r="F1537" s="22" t="str">
        <f>IF(OR(E1537="",E1537="!!!"),"",IF(NOT(ISNA(VLOOKUP(E1537,E$1:E1536,1,FALSE()))),"OLD",IF(AND(E1537&lt;&gt;"",E1537&lt;&gt;"!!!"),"NEW","")))</f>
        <v> </v>
      </c>
      <c r="G1537" s="23" t="str">
        <f>IF(OR(E1537="",E1537="!!!"),"",IF(OR(J1537=0,AND(J1537=1,K1537=1),AND(J1537=1,I1537="SBJ"),AND(J1537=1,I1537=0)),"?IN_FOCUS",IF(J1537&lt;=2,"?ACTIVATED",IF(J1537&lt;&gt;"","?FAMILIAR",IF(F1537="NEW",IF(ISNA(VLOOKUP(E1537,#REF!,1,FALSE())),"?TYPE_IDENTIFIABLE","?REFERENTIAL"),"_")))))</f>
        <v> </v>
      </c>
      <c r="H1537" s="24" t="str">
        <f>IF(J1537&lt;&gt;1,"",IF(I1537="SBJ","CB","?"))</f>
        <v> </v>
      </c>
      <c r="I1537" s="25" t="str">
        <f>IF(OR(E1537="",E1537="!!!",F1537="NEW"),"",INDEX(B1536:B$2,-1+SUMPRODUCT(MAX(ROW(E1536:E$2)*(E1537=E1536:E$2)))))</f>
        <v> </v>
      </c>
      <c r="J1537" s="25" t="str">
        <f>IF(OR(E1537="",E1537="!!!",F1537="NEW"),"",COUNTBLANK(OFFSET(A$1,,,SUMPRODUCT(MAX(ROW(E$2:E1537)*(E1537=E$2:E1537)))))-COUNTBLANK(OFFSET(A$1,,,SUMPRODUCT(MAX(ROW(E$1:E1536)*(E2=E$1:E1536))))))</f>
        <v> </v>
      </c>
      <c r="K1537" s="25" t="str">
        <f>IF(OR(E1537="",E1537="!!!",F1537="NEW"),"",INDEX(J$1:J1536,SUMPRODUCT(MAX(ROW(E$1:E1536)*(E1537=E$1:E1536)))))</f>
        <v> </v>
      </c>
      <c r="L1537" s="26"/>
    </row>
    <row r="1538" spans="1:12">
      <c r="A1538" s="20" t="s">
        <v>531</v>
      </c>
      <c r="E1538" s="21">
        <f>IF(D1538="?OLD","!!!","")</f>
        <v/>
      </c>
      <c r="F1538" s="22" t="str">
        <f>IF(OR(E1538="",E1538="!!!"),"",IF(NOT(ISNA(VLOOKUP(E1538,E$1:E1537,1,FALSE()))),"OLD",IF(AND(E1538&lt;&gt;"",E1538&lt;&gt;"!!!"),"NEW","")))</f>
        <v> </v>
      </c>
      <c r="G1538" s="23" t="str">
        <f>IF(OR(E1538="",E1538="!!!"),"",IF(OR(J1538=0,AND(J1538=1,K1538=1),AND(J1538=1,I1538="SBJ"),AND(J1538=1,I1538=0)),"?IN_FOCUS",IF(J1538&lt;=2,"?ACTIVATED",IF(J1538&lt;&gt;"","?FAMILIAR",IF(F1538="NEW",IF(ISNA(VLOOKUP(E1538,#REF!,1,FALSE())),"?TYPE_IDENTIFIABLE","?REFERENTIAL"),"_")))))</f>
        <v> </v>
      </c>
      <c r="H1538" s="24" t="str">
        <f>IF(J1538&lt;&gt;1,"",IF(I1538="SBJ","CB","?"))</f>
        <v> </v>
      </c>
      <c r="I1538" s="25" t="str">
        <f>IF(OR(E1538="",E1538="!!!",F1538="NEW"),"",INDEX(B1537:B$2,-1+SUMPRODUCT(MAX(ROW(E1537:E$2)*(E1538=E1537:E$2)))))</f>
        <v> </v>
      </c>
      <c r="J1538" s="25" t="str">
        <f>IF(OR(E1538="",E1538="!!!",F1538="NEW"),"",COUNTBLANK(OFFSET(A$1,,,SUMPRODUCT(MAX(ROW(E$2:E1538)*(E1538=E$2:E1538)))))-COUNTBLANK(OFFSET(A$1,,,SUMPRODUCT(MAX(ROW(E$1:E1537)*(E2=E$1:E1537))))))</f>
        <v> </v>
      </c>
      <c r="K1538" s="25" t="str">
        <f>IF(OR(E1538="",E1538="!!!",F1538="NEW"),"",INDEX(J$1:J1537,SUMPRODUCT(MAX(ROW(E$1:E1537)*(E1538=E$1:E1537)))))</f>
        <v> </v>
      </c>
      <c r="L1538" s="26"/>
    </row>
    <row r="1539" spans="1:12">
      <c r="A1539" s="20"/>
    </row>
    <row r="1540" spans="1:12">
      <c r="A1540" s="20" t="s">
        <v>1010</v>
      </c>
    </row>
    <row r="1541" spans="1:12">
      <c r="A1541" s="20" t="s">
        <v>1011</v>
      </c>
      <c r="E1541" s="21">
        <f>IF(D1541="?OLD","!!!","")</f>
        <v/>
      </c>
      <c r="F1541" s="22" t="str">
        <f>IF(OR(E1541="",E1541="!!!"),"",IF(NOT(ISNA(VLOOKUP(E1541,E$1:E1540,1,FALSE()))),"OLD",IF(AND(E1541&lt;&gt;"",E1541&lt;&gt;"!!!"),"NEW","")))</f>
        <v> </v>
      </c>
      <c r="G1541" s="23" t="str">
        <f>IF(OR(E1541="",E1541="!!!"),"",IF(OR(J1541=0,AND(J1541=1,K1541=1),AND(J1541=1,I1541="SBJ"),AND(J1541=1,I1541=0)),"?IN_FOCUS",IF(J1541&lt;=2,"?ACTIVATED",IF(J1541&lt;&gt;"","?FAMILIAR",IF(F1541="NEW",IF(ISNA(VLOOKUP(E1541,#REF!,1,FALSE())),"?TYPE_IDENTIFIABLE","?REFERENTIAL"),"_")))))</f>
        <v> </v>
      </c>
      <c r="H1541" s="24" t="str">
        <f>IF(J1541&lt;&gt;1,"",IF(I1541="SBJ","CB","?"))</f>
        <v> </v>
      </c>
      <c r="I1541" s="25" t="str">
        <f>IF(OR(E1541="",E1541="!!!",F1541="NEW"),"",INDEX(B1540:B$2,-1+SUMPRODUCT(MAX(ROW(E1540:E$2)*(E1541=E1540:E$2)))))</f>
        <v> </v>
      </c>
      <c r="J1541" s="25" t="str">
        <f>IF(OR(E1541="",E1541="!!!",F1541="NEW"),"",COUNTBLANK(OFFSET(A$1,,,SUMPRODUCT(MAX(ROW(E$2:E1541)*(E1541=E$2:E1541)))))-COUNTBLANK(OFFSET(A$1,,,SUMPRODUCT(MAX(ROW(E$1:E1540)*(E2=E$1:E1540))))))</f>
        <v> </v>
      </c>
      <c r="K1541" s="25" t="str">
        <f>IF(OR(E1541="",E1541="!!!",F1541="NEW"),"",INDEX(J$1:J1540,SUMPRODUCT(MAX(ROW(E$1:E1540)*(E1541=E$1:E1540)))))</f>
        <v> </v>
      </c>
      <c r="L1541" s="26"/>
    </row>
    <row r="1542" spans="1:12">
      <c r="A1542" s="20" t="s">
        <v>517</v>
      </c>
      <c r="E1542" s="21">
        <f>IF(D1542="?OLD","!!!","")</f>
        <v/>
      </c>
      <c r="F1542" s="22" t="str">
        <f>IF(OR(E1542="",E1542="!!!"),"",IF(NOT(ISNA(VLOOKUP(E1542,E$1:E1541,1,FALSE()))),"OLD",IF(AND(E1542&lt;&gt;"",E1542&lt;&gt;"!!!"),"NEW","")))</f>
        <v> </v>
      </c>
      <c r="G1542" s="23" t="str">
        <f>IF(OR(E1542="",E1542="!!!"),"",IF(OR(J1542=0,AND(J1542=1,K1542=1),AND(J1542=1,I1542="SBJ"),AND(J1542=1,I1542=0)),"?IN_FOCUS",IF(J1542&lt;=2,"?ACTIVATED",IF(J1542&lt;&gt;"","?FAMILIAR",IF(F1542="NEW",IF(ISNA(VLOOKUP(E1542,#REF!,1,FALSE())),"?TYPE_IDENTIFIABLE","?REFERENTIAL"),"_")))))</f>
        <v> </v>
      </c>
      <c r="H1542" s="24" t="str">
        <f>IF(J1542&lt;&gt;1,"",IF(I1542="SBJ","CB","?"))</f>
        <v> </v>
      </c>
      <c r="I1542" s="25" t="str">
        <f>IF(OR(E1542="",E1542="!!!",F1542="NEW"),"",INDEX(B1541:B$2,-1+SUMPRODUCT(MAX(ROW(E1541:E$2)*(E1542=E1541:E$2)))))</f>
        <v> </v>
      </c>
      <c r="J1542" s="25" t="str">
        <f>IF(OR(E1542="",E1542="!!!",F1542="NEW"),"",COUNTBLANK(OFFSET(A$1,,,SUMPRODUCT(MAX(ROW(E$2:E1542)*(E1542=E$2:E1542)))))-COUNTBLANK(OFFSET(A$1,,,SUMPRODUCT(MAX(ROW(E$1:E1541)*(E2=E$1:E1541))))))</f>
        <v> </v>
      </c>
      <c r="K1542" s="25" t="str">
        <f>IF(OR(E1542="",E1542="!!!",F1542="NEW"),"",INDEX(J$1:J1541,SUMPRODUCT(MAX(ROW(E$1:E1541)*(E1542=E$1:E1541)))))</f>
        <v> </v>
      </c>
      <c r="L1542" s="26"/>
    </row>
    <row r="1543" spans="1:12">
      <c r="A1543" s="20" t="s">
        <v>504</v>
      </c>
      <c r="E1543" s="21">
        <f>IF(D1543="?OLD","!!!","")</f>
        <v/>
      </c>
      <c r="F1543" s="22" t="str">
        <f>IF(OR(E1543="",E1543="!!!"),"",IF(NOT(ISNA(VLOOKUP(E1543,E$1:E1542,1,FALSE()))),"OLD",IF(AND(E1543&lt;&gt;"",E1543&lt;&gt;"!!!"),"NEW","")))</f>
        <v> </v>
      </c>
      <c r="G1543" s="23" t="str">
        <f>IF(OR(E1543="",E1543="!!!"),"",IF(OR(J1543=0,AND(J1543=1,K1543=1),AND(J1543=1,I1543="SBJ"),AND(J1543=1,I1543=0)),"?IN_FOCUS",IF(J1543&lt;=2,"?ACTIVATED",IF(J1543&lt;&gt;"","?FAMILIAR",IF(F1543="NEW",IF(ISNA(VLOOKUP(E1543,#REF!,1,FALSE())),"?TYPE_IDENTIFIABLE","?REFERENTIAL"),"_")))))</f>
        <v> </v>
      </c>
      <c r="H1543" s="24" t="str">
        <f>IF(J1543&lt;&gt;1,"",IF(I1543="SBJ","CB","?"))</f>
        <v> </v>
      </c>
      <c r="I1543" s="25" t="str">
        <f>IF(OR(E1543="",E1543="!!!",F1543="NEW"),"",INDEX(B1542:B$2,-1+SUMPRODUCT(MAX(ROW(E1542:E$2)*(E1543=E1542:E$2)))))</f>
        <v> </v>
      </c>
      <c r="J1543" s="25" t="str">
        <f>IF(OR(E1543="",E1543="!!!",F1543="NEW"),"",COUNTBLANK(OFFSET(A$1,,,SUMPRODUCT(MAX(ROW(E$2:E1543)*(E1543=E$2:E1543)))))-COUNTBLANK(OFFSET(A$1,,,SUMPRODUCT(MAX(ROW(E$1:E1542)*(E2=E$1:E1542))))))</f>
        <v> </v>
      </c>
      <c r="K1543" s="25" t="str">
        <f>IF(OR(E1543="",E1543="!!!",F1543="NEW"),"",INDEX(J$1:J1542,SUMPRODUCT(MAX(ROW(E$1:E1542)*(E1543=E$1:E1542)))))</f>
        <v> </v>
      </c>
      <c r="L1543" s="26"/>
    </row>
    <row r="1544" spans="1:12">
      <c r="A1544" s="20" t="s">
        <v>531</v>
      </c>
      <c r="E1544" s="21">
        <f>IF(D1544="?OLD","!!!","")</f>
        <v/>
      </c>
      <c r="F1544" s="22" t="str">
        <f>IF(OR(E1544="",E1544="!!!"),"",IF(NOT(ISNA(VLOOKUP(E1544,E$1:E1543,1,FALSE()))),"OLD",IF(AND(E1544&lt;&gt;"",E1544&lt;&gt;"!!!"),"NEW","")))</f>
        <v> </v>
      </c>
      <c r="G1544" s="23" t="str">
        <f>IF(OR(E1544="",E1544="!!!"),"",IF(OR(J1544=0,AND(J1544=1,K1544=1),AND(J1544=1,I1544="SBJ"),AND(J1544=1,I1544=0)),"?IN_FOCUS",IF(J1544&lt;=2,"?ACTIVATED",IF(J1544&lt;&gt;"","?FAMILIAR",IF(F1544="NEW",IF(ISNA(VLOOKUP(E1544,#REF!,1,FALSE())),"?TYPE_IDENTIFIABLE","?REFERENTIAL"),"_")))))</f>
        <v> </v>
      </c>
      <c r="H1544" s="24" t="str">
        <f>IF(J1544&lt;&gt;1,"",IF(I1544="SBJ","CB","?"))</f>
        <v> </v>
      </c>
      <c r="I1544" s="25" t="str">
        <f>IF(OR(E1544="",E1544="!!!",F1544="NEW"),"",INDEX(B1543:B$2,-1+SUMPRODUCT(MAX(ROW(E1543:E$2)*(E1544=E1543:E$2)))))</f>
        <v> </v>
      </c>
      <c r="J1544" s="25" t="str">
        <f>IF(OR(E1544="",E1544="!!!",F1544="NEW"),"",COUNTBLANK(OFFSET(A$1,,,SUMPRODUCT(MAX(ROW(E$2:E1544)*(E1544=E$2:E1544)))))-COUNTBLANK(OFFSET(A$1,,,SUMPRODUCT(MAX(ROW(E$1:E1543)*(E2=E$1:E1543))))))</f>
        <v> </v>
      </c>
      <c r="K1544" s="25" t="str">
        <f>IF(OR(E1544="",E1544="!!!",F1544="NEW"),"",INDEX(J$1:J1543,SUMPRODUCT(MAX(ROW(E$1:E1543)*(E1544=E$1:E1543)))))</f>
        <v> </v>
      </c>
      <c r="L1544" s="26"/>
    </row>
    <row r="1545" spans="1:12">
      <c r="A1545" s="20"/>
    </row>
    <row r="1546" spans="1:12">
      <c r="A1546" s="20" t="s">
        <v>1012</v>
      </c>
    </row>
    <row r="1547" spans="1:12">
      <c r="A1547" s="20" t="s">
        <v>776</v>
      </c>
      <c r="E1547" s="21">
        <f>IF(D1547="?OLD","!!!","")</f>
        <v/>
      </c>
      <c r="F1547" s="22" t="str">
        <f>IF(OR(E1547="",E1547="!!!"),"",IF(NOT(ISNA(VLOOKUP(E1547,E$1:E1546,1,FALSE()))),"OLD",IF(AND(E1547&lt;&gt;"",E1547&lt;&gt;"!!!"),"NEW","")))</f>
        <v> </v>
      </c>
      <c r="G1547" s="23" t="str">
        <f>IF(OR(E1547="",E1547="!!!"),"",IF(OR(J1547=0,AND(J1547=1,K1547=1),AND(J1547=1,I1547="SBJ"),AND(J1547=1,I1547=0)),"?IN_FOCUS",IF(J1547&lt;=2,"?ACTIVATED",IF(J1547&lt;&gt;"","?FAMILIAR",IF(F1547="NEW",IF(ISNA(VLOOKUP(E1547,#REF!,1,FALSE())),"?TYPE_IDENTIFIABLE","?REFERENTIAL"),"_")))))</f>
        <v> </v>
      </c>
      <c r="H1547" s="24" t="str">
        <f>IF(J1547&lt;&gt;1,"",IF(I1547="SBJ","CB","?"))</f>
        <v> </v>
      </c>
      <c r="I1547" s="25" t="str">
        <f>IF(OR(E1547="",E1547="!!!",F1547="NEW"),"",INDEX(B1546:B$2,-1+SUMPRODUCT(MAX(ROW(E1546:E$2)*(E1547=E1546:E$2)))))</f>
        <v> </v>
      </c>
      <c r="J1547" s="25" t="str">
        <f>IF(OR(E1547="",E1547="!!!",F1547="NEW"),"",COUNTBLANK(OFFSET(A$1,,,SUMPRODUCT(MAX(ROW(E$2:E1547)*(E1547=E$2:E1547)))))-COUNTBLANK(OFFSET(A$1,,,SUMPRODUCT(MAX(ROW(E$1:E1546)*(E2=E$1:E1546))))))</f>
        <v> </v>
      </c>
      <c r="K1547" s="25" t="str">
        <f>IF(OR(E1547="",E1547="!!!",F1547="NEW"),"",INDEX(J$1:J1546,SUMPRODUCT(MAX(ROW(E$1:E1546)*(E1547=E$1:E1546)))))</f>
        <v> </v>
      </c>
      <c r="L1547" s="26"/>
    </row>
    <row r="1548" spans="1:12">
      <c r="A1548" s="20" t="s">
        <v>620</v>
      </c>
      <c r="E1548" s="21">
        <f>IF(D1548="?OLD","!!!","")</f>
        <v/>
      </c>
      <c r="F1548" s="22" t="str">
        <f>IF(OR(E1548="",E1548="!!!"),"",IF(NOT(ISNA(VLOOKUP(E1548,E$1:E1547,1,FALSE()))),"OLD",IF(AND(E1548&lt;&gt;"",E1548&lt;&gt;"!!!"),"NEW","")))</f>
        <v> </v>
      </c>
      <c r="G1548" s="23" t="str">
        <f>IF(OR(E1548="",E1548="!!!"),"",IF(OR(J1548=0,AND(J1548=1,K1548=1),AND(J1548=1,I1548="SBJ"),AND(J1548=1,I1548=0)),"?IN_FOCUS",IF(J1548&lt;=2,"?ACTIVATED",IF(J1548&lt;&gt;"","?FAMILIAR",IF(F1548="NEW",IF(ISNA(VLOOKUP(E1548,#REF!,1,FALSE())),"?TYPE_IDENTIFIABLE","?REFERENTIAL"),"_")))))</f>
        <v> </v>
      </c>
      <c r="H1548" s="24" t="str">
        <f>IF(J1548&lt;&gt;1,"",IF(I1548="SBJ","CB","?"))</f>
        <v> </v>
      </c>
      <c r="I1548" s="25" t="str">
        <f>IF(OR(E1548="",E1548="!!!",F1548="NEW"),"",INDEX(B1547:B$2,-1+SUMPRODUCT(MAX(ROW(E1547:E$2)*(E1548=E1547:E$2)))))</f>
        <v> </v>
      </c>
      <c r="J1548" s="25" t="str">
        <f>IF(OR(E1548="",E1548="!!!",F1548="NEW"),"",COUNTBLANK(OFFSET(A$1,,,SUMPRODUCT(MAX(ROW(E$2:E1548)*(E1548=E$2:E1548)))))-COUNTBLANK(OFFSET(A$1,,,SUMPRODUCT(MAX(ROW(E$1:E1547)*(E2=E$1:E1547))))))</f>
        <v> </v>
      </c>
      <c r="K1548" s="25" t="str">
        <f>IF(OR(E1548="",E1548="!!!",F1548="NEW"),"",INDEX(J$1:J1547,SUMPRODUCT(MAX(ROW(E$1:E1547)*(E1548=E$1:E1547)))))</f>
        <v> </v>
      </c>
      <c r="L1548" s="26"/>
    </row>
    <row r="1549" spans="1:12">
      <c r="A1549" s="20" t="s">
        <v>1013</v>
      </c>
      <c r="E1549" s="21">
        <f>IF(D1549="?OLD","!!!","")</f>
        <v/>
      </c>
      <c r="F1549" s="22" t="str">
        <f>IF(OR(E1549="",E1549="!!!"),"",IF(NOT(ISNA(VLOOKUP(E1549,E$1:E1548,1,FALSE()))),"OLD",IF(AND(E1549&lt;&gt;"",E1549&lt;&gt;"!!!"),"NEW","")))</f>
        <v> </v>
      </c>
      <c r="G1549" s="23" t="str">
        <f>IF(OR(E1549="",E1549="!!!"),"",IF(OR(J1549=0,AND(J1549=1,K1549=1),AND(J1549=1,I1549="SBJ"),AND(J1549=1,I1549=0)),"?IN_FOCUS",IF(J1549&lt;=2,"?ACTIVATED",IF(J1549&lt;&gt;"","?FAMILIAR",IF(F1549="NEW",IF(ISNA(VLOOKUP(E1549,#REF!,1,FALSE())),"?TYPE_IDENTIFIABLE","?REFERENTIAL"),"_")))))</f>
        <v> </v>
      </c>
      <c r="H1549" s="24" t="str">
        <f>IF(J1549&lt;&gt;1,"",IF(I1549="SBJ","CB","?"))</f>
        <v> </v>
      </c>
      <c r="I1549" s="25" t="str">
        <f>IF(OR(E1549="",E1549="!!!",F1549="NEW"),"",INDEX(B1548:B$2,-1+SUMPRODUCT(MAX(ROW(E1548:E$2)*(E1549=E1548:E$2)))))</f>
        <v> </v>
      </c>
      <c r="J1549" s="25" t="str">
        <f>IF(OR(E1549="",E1549="!!!",F1549="NEW"),"",COUNTBLANK(OFFSET(A$1,,,SUMPRODUCT(MAX(ROW(E$2:E1549)*(E1549=E$2:E1549)))))-COUNTBLANK(OFFSET(A$1,,,SUMPRODUCT(MAX(ROW(E$1:E1548)*(E2=E$1:E1548))))))</f>
        <v> </v>
      </c>
      <c r="K1549" s="25" t="str">
        <f>IF(OR(E1549="",E1549="!!!",F1549="NEW"),"",INDEX(J$1:J1548,SUMPRODUCT(MAX(ROW(E$1:E1548)*(E1549=E$1:E1548)))))</f>
        <v> </v>
      </c>
      <c r="L1549" s="26"/>
    </row>
    <row r="1550" spans="1:12">
      <c r="A1550" s="20" t="s">
        <v>1014</v>
      </c>
      <c r="E1550" s="21">
        <f>IF(D1550="?OLD","!!!","")</f>
        <v/>
      </c>
      <c r="F1550" s="22" t="str">
        <f>IF(OR(E1550="",E1550="!!!"),"",IF(NOT(ISNA(VLOOKUP(E1550,E$1:E1549,1,FALSE()))),"OLD",IF(AND(E1550&lt;&gt;"",E1550&lt;&gt;"!!!"),"NEW","")))</f>
        <v> </v>
      </c>
      <c r="G1550" s="23" t="str">
        <f>IF(OR(E1550="",E1550="!!!"),"",IF(OR(J1550=0,AND(J1550=1,K1550=1),AND(J1550=1,I1550="SBJ"),AND(J1550=1,I1550=0)),"?IN_FOCUS",IF(J1550&lt;=2,"?ACTIVATED",IF(J1550&lt;&gt;"","?FAMILIAR",IF(F1550="NEW",IF(ISNA(VLOOKUP(E1550,#REF!,1,FALSE())),"?TYPE_IDENTIFIABLE","?REFERENTIAL"),"_")))))</f>
        <v> </v>
      </c>
      <c r="H1550" s="24" t="str">
        <f>IF(J1550&lt;&gt;1,"",IF(I1550="SBJ","CB","?"))</f>
        <v> </v>
      </c>
      <c r="I1550" s="25" t="str">
        <f>IF(OR(E1550="",E1550="!!!",F1550="NEW"),"",INDEX(B1549:B$2,-1+SUMPRODUCT(MAX(ROW(E1549:E$2)*(E1550=E1549:E$2)))))</f>
        <v> </v>
      </c>
      <c r="J1550" s="25" t="str">
        <f>IF(OR(E1550="",E1550="!!!",F1550="NEW"),"",COUNTBLANK(OFFSET(A$1,,,SUMPRODUCT(MAX(ROW(E$2:E1550)*(E1550=E$2:E1550)))))-COUNTBLANK(OFFSET(A$1,,,SUMPRODUCT(MAX(ROW(E$1:E1549)*(E2=E$1:E1549))))))</f>
        <v> </v>
      </c>
      <c r="K1550" s="25" t="str">
        <f>IF(OR(E1550="",E1550="!!!",F1550="NEW"),"",INDEX(J$1:J1549,SUMPRODUCT(MAX(ROW(E$1:E1549)*(E1550=E$1:E1549)))))</f>
        <v> </v>
      </c>
      <c r="L1550" s="26"/>
    </row>
    <row r="1551" spans="1:12">
      <c r="A1551" s="20" t="s">
        <v>508</v>
      </c>
      <c r="E1551" s="21">
        <f>IF(D1551="?OLD","!!!","")</f>
        <v/>
      </c>
      <c r="F1551" s="22" t="str">
        <f>IF(OR(E1551="",E1551="!!!"),"",IF(NOT(ISNA(VLOOKUP(E1551,E$1:E1550,1,FALSE()))),"OLD",IF(AND(E1551&lt;&gt;"",E1551&lt;&gt;"!!!"),"NEW","")))</f>
        <v> </v>
      </c>
      <c r="G1551" s="23" t="str">
        <f>IF(OR(E1551="",E1551="!!!"),"",IF(OR(J1551=0,AND(J1551=1,K1551=1),AND(J1551=1,I1551="SBJ"),AND(J1551=1,I1551=0)),"?IN_FOCUS",IF(J1551&lt;=2,"?ACTIVATED",IF(J1551&lt;&gt;"","?FAMILIAR",IF(F1551="NEW",IF(ISNA(VLOOKUP(E1551,#REF!,1,FALSE())),"?TYPE_IDENTIFIABLE","?REFERENTIAL"),"_")))))</f>
        <v> </v>
      </c>
      <c r="H1551" s="24" t="str">
        <f>IF(J1551&lt;&gt;1,"",IF(I1551="SBJ","CB","?"))</f>
        <v> </v>
      </c>
      <c r="I1551" s="25" t="str">
        <f>IF(OR(E1551="",E1551="!!!",F1551="NEW"),"",INDEX(B1550:B$2,-1+SUMPRODUCT(MAX(ROW(E1550:E$2)*(E1551=E1550:E$2)))))</f>
        <v> </v>
      </c>
      <c r="J1551" s="25" t="str">
        <f>IF(OR(E1551="",E1551="!!!",F1551="NEW"),"",COUNTBLANK(OFFSET(A$1,,,SUMPRODUCT(MAX(ROW(E$2:E1551)*(E1551=E$2:E1551)))))-COUNTBLANK(OFFSET(A$1,,,SUMPRODUCT(MAX(ROW(E$1:E1550)*(E2=E$1:E1550))))))</f>
        <v> </v>
      </c>
      <c r="K1551" s="25" t="str">
        <f>IF(OR(E1551="",E1551="!!!",F1551="NEW"),"",INDEX(J$1:J1550,SUMPRODUCT(MAX(ROW(E$1:E1550)*(E1551=E$1:E1550)))))</f>
        <v> </v>
      </c>
      <c r="L1551" s="26"/>
    </row>
    <row r="1552" spans="1:12">
      <c r="A1552" s="20" t="s">
        <v>1015</v>
      </c>
      <c r="B1552" s="27" t="s">
        <v>547</v>
      </c>
      <c r="C1552" s="27" t="s">
        <v>635</v>
      </c>
      <c r="D1552" s="27" t="s">
        <v>483</v>
      </c>
      <c r="E1552" s="21">
        <f>IF(D1552="?OLD","!!!","")</f>
        <v/>
      </c>
      <c r="F1552" s="22" t="str">
        <f>IF(OR(E1552="",E1552="!!!"),"",IF(NOT(ISNA(VLOOKUP(E1552,E$1:E1551,1,FALSE()))),"OLD",IF(AND(E1552&lt;&gt;"",E1552&lt;&gt;"!!!"),"NEW","")))</f>
        <v> </v>
      </c>
      <c r="G1552" s="23" t="str">
        <f>IF(OR(E1552="",E1552="!!!"),"",IF(OR(J1552=0,AND(J1552=1,K1552=1),AND(J1552=1,I1552="SBJ"),AND(J1552=1,I1552=0)),"?IN_FOCUS",IF(J1552&lt;=2,"?ACTIVATED",IF(J1552&lt;&gt;"","?FAMILIAR",IF(F1552="NEW",IF(ISNA(VLOOKUP(E1552,#REF!,1,FALSE())),"?TYPE_IDENTIFIABLE","?REFERENTIAL"),"_")))))</f>
        <v> </v>
      </c>
      <c r="H1552" s="24" t="str">
        <f>IF(J1552&lt;&gt;1,"",IF(I1552="SBJ","CB","?"))</f>
        <v> </v>
      </c>
      <c r="I1552" s="25" t="str">
        <f>IF(OR(E1552="",E1552="!!!",F1552="NEW"),"",INDEX(B1551:B$2,-1+SUMPRODUCT(MAX(ROW(E1551:E$2)*(E1552=E1551:E$2)))))</f>
        <v> </v>
      </c>
      <c r="J1552" s="25" t="str">
        <f>IF(OR(E1552="",E1552="!!!",F1552="NEW"),"",COUNTBLANK(OFFSET(A$1,,,SUMPRODUCT(MAX(ROW(E$2:E1552)*(E1552=E$2:E1552)))))-COUNTBLANK(OFFSET(A$1,,,SUMPRODUCT(MAX(ROW(E$1:E1551)*(E2=E$1:E1551))))))</f>
        <v> </v>
      </c>
      <c r="K1552" s="25" t="str">
        <f>IF(OR(E1552="",E1552="!!!",F1552="NEW"),"",INDEX(J$1:J1551,SUMPRODUCT(MAX(ROW(E$1:E1551)*(E1552=E$1:E1551)))))</f>
        <v> </v>
      </c>
      <c r="L1552" s="26"/>
    </row>
    <row r="1553" spans="1:12">
      <c r="A1553" s="20" t="s">
        <v>763</v>
      </c>
      <c r="B1553" s="27" t="s">
        <v>578</v>
      </c>
      <c r="C1553" s="27" t="s">
        <v>487</v>
      </c>
      <c r="D1553" s="27" t="s">
        <v>483</v>
      </c>
      <c r="E1553" s="21">
        <f>IF(D1553="?OLD","!!!","")</f>
        <v/>
      </c>
      <c r="F1553" s="22" t="str">
        <f>IF(OR(E1553="",E1553="!!!"),"",IF(NOT(ISNA(VLOOKUP(E1553,E$1:E1552,1,FALSE()))),"OLD",IF(AND(E1553&lt;&gt;"",E1553&lt;&gt;"!!!"),"NEW","")))</f>
        <v> </v>
      </c>
      <c r="G1553" s="23" t="str">
        <f>IF(OR(E1553="",E1553="!!!"),"",IF(OR(J1553=0,AND(J1553=1,K1553=1),AND(J1553=1,I1553="SBJ"),AND(J1553=1,I1553=0)),"?IN_FOCUS",IF(J1553&lt;=2,"?ACTIVATED",IF(J1553&lt;&gt;"","?FAMILIAR",IF(F1553="NEW",IF(ISNA(VLOOKUP(E1553,#REF!,1,FALSE())),"?TYPE_IDENTIFIABLE","?REFERENTIAL"),"_")))))</f>
        <v> </v>
      </c>
      <c r="H1553" s="24" t="str">
        <f>IF(J1553&lt;&gt;1,"",IF(I1553="SBJ","CB","?"))</f>
        <v> </v>
      </c>
      <c r="I1553" s="25" t="str">
        <f>IF(OR(E1553="",E1553="!!!",F1553="NEW"),"",INDEX(B1552:B$2,-1+SUMPRODUCT(MAX(ROW(E1552:E$2)*(E1553=E1552:E$2)))))</f>
        <v> </v>
      </c>
      <c r="J1553" s="25" t="str">
        <f>IF(OR(E1553="",E1553="!!!",F1553="NEW"),"",COUNTBLANK(OFFSET(A$1,,,SUMPRODUCT(MAX(ROW(E$2:E1553)*(E1553=E$2:E1553)))))-COUNTBLANK(OFFSET(A$1,,,SUMPRODUCT(MAX(ROW(E$1:E1552)*(E2=E$1:E1552))))))</f>
        <v> </v>
      </c>
      <c r="K1553" s="25" t="str">
        <f>IF(OR(E1553="",E1553="!!!",F1553="NEW"),"",INDEX(J$1:J1552,SUMPRODUCT(MAX(ROW(E$1:E1552)*(E1553=E$1:E1552)))))</f>
        <v> </v>
      </c>
      <c r="L1553" s="26"/>
    </row>
    <row r="1554" spans="1:12">
      <c r="A1554" s="20" t="s">
        <v>489</v>
      </c>
      <c r="E1554" s="21">
        <f>IF(D1554="?OLD","!!!","")</f>
        <v/>
      </c>
      <c r="F1554" s="22" t="str">
        <f>IF(OR(E1554="",E1554="!!!"),"",IF(NOT(ISNA(VLOOKUP(E1554,E$1:E1553,1,FALSE()))),"OLD",IF(AND(E1554&lt;&gt;"",E1554&lt;&gt;"!!!"),"NEW","")))</f>
        <v> </v>
      </c>
      <c r="G1554" s="23" t="str">
        <f>IF(OR(E1554="",E1554="!!!"),"",IF(OR(J1554=0,AND(J1554=1,K1554=1),AND(J1554=1,I1554="SBJ"),AND(J1554=1,I1554=0)),"?IN_FOCUS",IF(J1554&lt;=2,"?ACTIVATED",IF(J1554&lt;&gt;"","?FAMILIAR",IF(F1554="NEW",IF(ISNA(VLOOKUP(E1554,#REF!,1,FALSE())),"?TYPE_IDENTIFIABLE","?REFERENTIAL"),"_")))))</f>
        <v> </v>
      </c>
      <c r="H1554" s="24" t="str">
        <f>IF(J1554&lt;&gt;1,"",IF(I1554="SBJ","CB","?"))</f>
        <v> </v>
      </c>
      <c r="I1554" s="25" t="str">
        <f>IF(OR(E1554="",E1554="!!!",F1554="NEW"),"",INDEX(B1553:B$2,-1+SUMPRODUCT(MAX(ROW(E1553:E$2)*(E1554=E1553:E$2)))))</f>
        <v> </v>
      </c>
      <c r="J1554" s="25" t="str">
        <f>IF(OR(E1554="",E1554="!!!",F1554="NEW"),"",COUNTBLANK(OFFSET(A$1,,,SUMPRODUCT(MAX(ROW(E$2:E1554)*(E1554=E$2:E1554)))))-COUNTBLANK(OFFSET(A$1,,,SUMPRODUCT(MAX(ROW(E$1:E1553)*(E2=E$1:E1553))))))</f>
        <v> </v>
      </c>
      <c r="K1554" s="25" t="str">
        <f>IF(OR(E1554="",E1554="!!!",F1554="NEW"),"",INDEX(J$1:J1553,SUMPRODUCT(MAX(ROW(E$1:E1553)*(E1554=E$1:E1553)))))</f>
        <v> </v>
      </c>
      <c r="L1554" s="26"/>
    </row>
    <row r="1555" spans="1:12">
      <c r="A1555" s="20" t="s">
        <v>680</v>
      </c>
      <c r="E1555" s="21">
        <f>IF(D1555="?OLD","!!!","")</f>
        <v/>
      </c>
      <c r="F1555" s="22" t="str">
        <f>IF(OR(E1555="",E1555="!!!"),"",IF(NOT(ISNA(VLOOKUP(E1555,E$1:E1554,1,FALSE()))),"OLD",IF(AND(E1555&lt;&gt;"",E1555&lt;&gt;"!!!"),"NEW","")))</f>
        <v> </v>
      </c>
      <c r="G1555" s="23" t="str">
        <f>IF(OR(E1555="",E1555="!!!"),"",IF(OR(J1555=0,AND(J1555=1,K1555=1),AND(J1555=1,I1555="SBJ"),AND(J1555=1,I1555=0)),"?IN_FOCUS",IF(J1555&lt;=2,"?ACTIVATED",IF(J1555&lt;&gt;"","?FAMILIAR",IF(F1555="NEW",IF(ISNA(VLOOKUP(E1555,#REF!,1,FALSE())),"?TYPE_IDENTIFIABLE","?REFERENTIAL"),"_")))))</f>
        <v> </v>
      </c>
      <c r="H1555" s="24" t="str">
        <f>IF(J1555&lt;&gt;1,"",IF(I1555="SBJ","CB","?"))</f>
        <v> </v>
      </c>
      <c r="I1555" s="25" t="str">
        <f>IF(OR(E1555="",E1555="!!!",F1555="NEW"),"",INDEX(B1554:B$2,-1+SUMPRODUCT(MAX(ROW(E1554:E$2)*(E1555=E1554:E$2)))))</f>
        <v> </v>
      </c>
      <c r="J1555" s="25" t="str">
        <f>IF(OR(E1555="",E1555="!!!",F1555="NEW"),"",COUNTBLANK(OFFSET(A$1,,,SUMPRODUCT(MAX(ROW(E$2:E1555)*(E1555=E$2:E1555)))))-COUNTBLANK(OFFSET(A$1,,,SUMPRODUCT(MAX(ROW(E$1:E1554)*(E2=E$1:E1554))))))</f>
        <v> </v>
      </c>
      <c r="K1555" s="25" t="str">
        <f>IF(OR(E1555="",E1555="!!!",F1555="NEW"),"",INDEX(J$1:J1554,SUMPRODUCT(MAX(ROW(E$1:E1554)*(E1555=E$1:E1554)))))</f>
        <v> </v>
      </c>
      <c r="L1555" s="26"/>
    </row>
    <row r="1556" spans="1:12">
      <c r="A1556" s="20" t="s">
        <v>1013</v>
      </c>
      <c r="E1556" s="21">
        <f>IF(D1556="?OLD","!!!","")</f>
        <v/>
      </c>
      <c r="F1556" s="22" t="str">
        <f>IF(OR(E1556="",E1556="!!!"),"",IF(NOT(ISNA(VLOOKUP(E1556,E$1:E1555,1,FALSE()))),"OLD",IF(AND(E1556&lt;&gt;"",E1556&lt;&gt;"!!!"),"NEW","")))</f>
        <v> </v>
      </c>
      <c r="G1556" s="23" t="str">
        <f>IF(OR(E1556="",E1556="!!!"),"",IF(OR(J1556=0,AND(J1556=1,K1556=1),AND(J1556=1,I1556="SBJ"),AND(J1556=1,I1556=0)),"?IN_FOCUS",IF(J1556&lt;=2,"?ACTIVATED",IF(J1556&lt;&gt;"","?FAMILIAR",IF(F1556="NEW",IF(ISNA(VLOOKUP(E1556,#REF!,1,FALSE())),"?TYPE_IDENTIFIABLE","?REFERENTIAL"),"_")))))</f>
        <v> </v>
      </c>
      <c r="H1556" s="24" t="str">
        <f>IF(J1556&lt;&gt;1,"",IF(I1556="SBJ","CB","?"))</f>
        <v> </v>
      </c>
      <c r="I1556" s="25" t="str">
        <f>IF(OR(E1556="",E1556="!!!",F1556="NEW"),"",INDEX(B1555:B$2,-1+SUMPRODUCT(MAX(ROW(E1555:E$2)*(E1556=E1555:E$2)))))</f>
        <v> </v>
      </c>
      <c r="J1556" s="25" t="str">
        <f>IF(OR(E1556="",E1556="!!!",F1556="NEW"),"",COUNTBLANK(OFFSET(A$1,,,SUMPRODUCT(MAX(ROW(E$2:E1556)*(E1556=E$2:E1556)))))-COUNTBLANK(OFFSET(A$1,,,SUMPRODUCT(MAX(ROW(E$1:E1555)*(E2=E$1:E1555))))))</f>
        <v> </v>
      </c>
      <c r="K1556" s="25" t="str">
        <f>IF(OR(E1556="",E1556="!!!",F1556="NEW"),"",INDEX(J$1:J1555,SUMPRODUCT(MAX(ROW(E$1:E1555)*(E1556=E$1:E1555)))))</f>
        <v> </v>
      </c>
      <c r="L1556" s="26"/>
    </row>
    <row r="1557" spans="1:12">
      <c r="A1557" s="20" t="s">
        <v>750</v>
      </c>
      <c r="E1557" s="21">
        <f>IF(D1557="?OLD","!!!","")</f>
        <v/>
      </c>
      <c r="F1557" s="22" t="str">
        <f>IF(OR(E1557="",E1557="!!!"),"",IF(NOT(ISNA(VLOOKUP(E1557,E$1:E1556,1,FALSE()))),"OLD",IF(AND(E1557&lt;&gt;"",E1557&lt;&gt;"!!!"),"NEW","")))</f>
        <v> </v>
      </c>
      <c r="G1557" s="23" t="str">
        <f>IF(OR(E1557="",E1557="!!!"),"",IF(OR(J1557=0,AND(J1557=1,K1557=1),AND(J1557=1,I1557="SBJ"),AND(J1557=1,I1557=0)),"?IN_FOCUS",IF(J1557&lt;=2,"?ACTIVATED",IF(J1557&lt;&gt;"","?FAMILIAR",IF(F1557="NEW",IF(ISNA(VLOOKUP(E1557,#REF!,1,FALSE())),"?TYPE_IDENTIFIABLE","?REFERENTIAL"),"_")))))</f>
        <v> </v>
      </c>
      <c r="H1557" s="24" t="str">
        <f>IF(J1557&lt;&gt;1,"",IF(I1557="SBJ","CB","?"))</f>
        <v> </v>
      </c>
      <c r="I1557" s="25" t="str">
        <f>IF(OR(E1557="",E1557="!!!",F1557="NEW"),"",INDEX(B1556:B$2,-1+SUMPRODUCT(MAX(ROW(E1556:E$2)*(E1557=E1556:E$2)))))</f>
        <v> </v>
      </c>
      <c r="J1557" s="25" t="str">
        <f>IF(OR(E1557="",E1557="!!!",F1557="NEW"),"",COUNTBLANK(OFFSET(A$1,,,SUMPRODUCT(MAX(ROW(E$2:E1557)*(E1557=E$2:E1557)))))-COUNTBLANK(OFFSET(A$1,,,SUMPRODUCT(MAX(ROW(E$1:E1556)*(E2=E$1:E1556))))))</f>
        <v> </v>
      </c>
      <c r="K1557" s="25" t="str">
        <f>IF(OR(E1557="",E1557="!!!",F1557="NEW"),"",INDEX(J$1:J1556,SUMPRODUCT(MAX(ROW(E$1:E1556)*(E1557=E$1:E1556)))))</f>
        <v> </v>
      </c>
      <c r="L1557" s="26"/>
    </row>
    <row r="1558" spans="1:12">
      <c r="A1558" s="20"/>
    </row>
    <row r="1559" spans="1:12">
      <c r="A1559" s="20" t="s">
        <v>1016</v>
      </c>
    </row>
    <row r="1560" spans="1:12">
      <c r="A1560" s="20" t="s">
        <v>627</v>
      </c>
      <c r="E1560" s="21">
        <f>IF(D1560="?OLD","!!!","")</f>
        <v/>
      </c>
      <c r="F1560" s="22" t="str">
        <f>IF(OR(E1560="",E1560="!!!"),"",IF(NOT(ISNA(VLOOKUP(E1560,E$1:E1559,1,FALSE()))),"OLD",IF(AND(E1560&lt;&gt;"",E1560&lt;&gt;"!!!"),"NEW","")))</f>
        <v> </v>
      </c>
      <c r="G1560" s="23" t="str">
        <f>IF(OR(E1560="",E1560="!!!"),"",IF(OR(J1560=0,AND(J1560=1,K1560=1),AND(J1560=1,I1560="SBJ"),AND(J1560=1,I1560=0)),"?IN_FOCUS",IF(J1560&lt;=2,"?ACTIVATED",IF(J1560&lt;&gt;"","?FAMILIAR",IF(F1560="NEW",IF(ISNA(VLOOKUP(E1560,#REF!,1,FALSE())),"?TYPE_IDENTIFIABLE","?REFERENTIAL"),"_")))))</f>
        <v> </v>
      </c>
      <c r="H1560" s="24" t="str">
        <f>IF(J1560&lt;&gt;1,"",IF(I1560="SBJ","CB","?"))</f>
        <v> </v>
      </c>
      <c r="I1560" s="25" t="str">
        <f>IF(OR(E1560="",E1560="!!!",F1560="NEW"),"",INDEX(B1559:B$2,-1+SUMPRODUCT(MAX(ROW(E1559:E$2)*(E1560=E1559:E$2)))))</f>
        <v> </v>
      </c>
      <c r="J1560" s="25" t="str">
        <f>IF(OR(E1560="",E1560="!!!",F1560="NEW"),"",COUNTBLANK(OFFSET(A$1,,,SUMPRODUCT(MAX(ROW(E$2:E1560)*(E1560=E$2:E1560)))))-COUNTBLANK(OFFSET(A$1,,,SUMPRODUCT(MAX(ROW(E$1:E1559)*(E2=E$1:E1559))))))</f>
        <v> </v>
      </c>
      <c r="K1560" s="25" t="str">
        <f>IF(OR(E1560="",E1560="!!!",F1560="NEW"),"",INDEX(J$1:J1559,SUMPRODUCT(MAX(ROW(E$1:E1559)*(E1560=E$1:E1559)))))</f>
        <v> </v>
      </c>
      <c r="L1560" s="26"/>
    </row>
    <row r="1561" spans="1:12">
      <c r="A1561" s="20" t="s">
        <v>489</v>
      </c>
      <c r="E1561" s="21">
        <f>IF(D1561="?OLD","!!!","")</f>
        <v/>
      </c>
      <c r="F1561" s="22" t="str">
        <f>IF(OR(E1561="",E1561="!!!"),"",IF(NOT(ISNA(VLOOKUP(E1561,E$1:E1560,1,FALSE()))),"OLD",IF(AND(E1561&lt;&gt;"",E1561&lt;&gt;"!!!"),"NEW","")))</f>
        <v> </v>
      </c>
      <c r="G1561" s="23" t="str">
        <f>IF(OR(E1561="",E1561="!!!"),"",IF(OR(J1561=0,AND(J1561=1,K1561=1),AND(J1561=1,I1561="SBJ"),AND(J1561=1,I1561=0)),"?IN_FOCUS",IF(J1561&lt;=2,"?ACTIVATED",IF(J1561&lt;&gt;"","?FAMILIAR",IF(F1561="NEW",IF(ISNA(VLOOKUP(E1561,#REF!,1,FALSE())),"?TYPE_IDENTIFIABLE","?REFERENTIAL"),"_")))))</f>
        <v> </v>
      </c>
      <c r="H1561" s="24" t="str">
        <f>IF(J1561&lt;&gt;1,"",IF(I1561="SBJ","CB","?"))</f>
        <v> </v>
      </c>
      <c r="I1561" s="25" t="str">
        <f>IF(OR(E1561="",E1561="!!!",F1561="NEW"),"",INDEX(B1560:B$2,-1+SUMPRODUCT(MAX(ROW(E1560:E$2)*(E1561=E1560:E$2)))))</f>
        <v> </v>
      </c>
      <c r="J1561" s="25" t="str">
        <f>IF(OR(E1561="",E1561="!!!",F1561="NEW"),"",COUNTBLANK(OFFSET(A$1,,,SUMPRODUCT(MAX(ROW(E$2:E1561)*(E1561=E$2:E1561)))))-COUNTBLANK(OFFSET(A$1,,,SUMPRODUCT(MAX(ROW(E$1:E1560)*(E2=E$1:E1560))))))</f>
        <v> </v>
      </c>
      <c r="K1561" s="25" t="str">
        <f>IF(OR(E1561="",E1561="!!!",F1561="NEW"),"",INDEX(J$1:J1560,SUMPRODUCT(MAX(ROW(E$1:E1560)*(E1561=E$1:E1560)))))</f>
        <v> </v>
      </c>
      <c r="L1561" s="26"/>
    </row>
    <row r="1562" spans="1:12">
      <c r="A1562" s="20" t="s">
        <v>593</v>
      </c>
      <c r="E1562" s="21">
        <f>IF(D1562="?OLD","!!!","")</f>
        <v/>
      </c>
      <c r="F1562" s="22" t="str">
        <f>IF(OR(E1562="",E1562="!!!"),"",IF(NOT(ISNA(VLOOKUP(E1562,E$1:E1561,1,FALSE()))),"OLD",IF(AND(E1562&lt;&gt;"",E1562&lt;&gt;"!!!"),"NEW","")))</f>
        <v> </v>
      </c>
      <c r="G1562" s="23" t="str">
        <f>IF(OR(E1562="",E1562="!!!"),"",IF(OR(J1562=0,AND(J1562=1,K1562=1),AND(J1562=1,I1562="SBJ"),AND(J1562=1,I1562=0)),"?IN_FOCUS",IF(J1562&lt;=2,"?ACTIVATED",IF(J1562&lt;&gt;"","?FAMILIAR",IF(F1562="NEW",IF(ISNA(VLOOKUP(E1562,#REF!,1,FALSE())),"?TYPE_IDENTIFIABLE","?REFERENTIAL"),"_")))))</f>
        <v> </v>
      </c>
      <c r="H1562" s="24" t="str">
        <f>IF(J1562&lt;&gt;1,"",IF(I1562="SBJ","CB","?"))</f>
        <v> </v>
      </c>
      <c r="I1562" s="25" t="str">
        <f>IF(OR(E1562="",E1562="!!!",F1562="NEW"),"",INDEX(B1561:B$2,-1+SUMPRODUCT(MAX(ROW(E1561:E$2)*(E1562=E1561:E$2)))))</f>
        <v> </v>
      </c>
      <c r="J1562" s="25" t="str">
        <f>IF(OR(E1562="",E1562="!!!",F1562="NEW"),"",COUNTBLANK(OFFSET(A$1,,,SUMPRODUCT(MAX(ROW(E$2:E1562)*(E1562=E$2:E1562)))))-COUNTBLANK(OFFSET(A$1,,,SUMPRODUCT(MAX(ROW(E$1:E1561)*(E2=E$1:E1561))))))</f>
        <v> </v>
      </c>
      <c r="K1562" s="25" t="str">
        <f>IF(OR(E1562="",E1562="!!!",F1562="NEW"),"",INDEX(J$1:J1561,SUMPRODUCT(MAX(ROW(E$1:E1561)*(E1562=E$1:E1561)))))</f>
        <v> </v>
      </c>
      <c r="L1562" s="26"/>
    </row>
    <row r="1563" spans="1:12">
      <c r="A1563" s="20" t="s">
        <v>1017</v>
      </c>
      <c r="E1563" s="21">
        <f>IF(D1563="?OLD","!!!","")</f>
        <v/>
      </c>
      <c r="F1563" s="22" t="str">
        <f>IF(OR(E1563="",E1563="!!!"),"",IF(NOT(ISNA(VLOOKUP(E1563,E$1:E1562,1,FALSE()))),"OLD",IF(AND(E1563&lt;&gt;"",E1563&lt;&gt;"!!!"),"NEW","")))</f>
        <v> </v>
      </c>
      <c r="G1563" s="23" t="str">
        <f>IF(OR(E1563="",E1563="!!!"),"",IF(OR(J1563=0,AND(J1563=1,K1563=1),AND(J1563=1,I1563="SBJ"),AND(J1563=1,I1563=0)),"?IN_FOCUS",IF(J1563&lt;=2,"?ACTIVATED",IF(J1563&lt;&gt;"","?FAMILIAR",IF(F1563="NEW",IF(ISNA(VLOOKUP(E1563,#REF!,1,FALSE())),"?TYPE_IDENTIFIABLE","?REFERENTIAL"),"_")))))</f>
        <v> </v>
      </c>
      <c r="H1563" s="24" t="str">
        <f>IF(J1563&lt;&gt;1,"",IF(I1563="SBJ","CB","?"))</f>
        <v> </v>
      </c>
      <c r="I1563" s="25" t="str">
        <f>IF(OR(E1563="",E1563="!!!",F1563="NEW"),"",INDEX(B1562:B$2,-1+SUMPRODUCT(MAX(ROW(E1562:E$2)*(E1563=E1562:E$2)))))</f>
        <v> </v>
      </c>
      <c r="J1563" s="25" t="str">
        <f>IF(OR(E1563="",E1563="!!!",F1563="NEW"),"",COUNTBLANK(OFFSET(A$1,,,SUMPRODUCT(MAX(ROW(E$2:E1563)*(E1563=E$2:E1563)))))-COUNTBLANK(OFFSET(A$1,,,SUMPRODUCT(MAX(ROW(E$1:E1562)*(E2=E$1:E1562))))))</f>
        <v> </v>
      </c>
      <c r="K1563" s="25" t="str">
        <f>IF(OR(E1563="",E1563="!!!",F1563="NEW"),"",INDEX(J$1:J1562,SUMPRODUCT(MAX(ROW(E$1:E1562)*(E1563=E$1:E1562)))))</f>
        <v> </v>
      </c>
      <c r="L1563" s="26"/>
    </row>
    <row r="1564" spans="1:12">
      <c r="A1564" s="20" t="s">
        <v>1018</v>
      </c>
      <c r="B1564" s="27" t="s">
        <v>481</v>
      </c>
      <c r="C1564" s="27" t="s">
        <v>482</v>
      </c>
      <c r="D1564" s="27" t="s">
        <v>483</v>
      </c>
      <c r="E1564" s="21">
        <f>IF(D1564="?OLD","!!!","")</f>
        <v/>
      </c>
      <c r="F1564" s="22" t="str">
        <f>IF(OR(E1564="",E1564="!!!"),"",IF(NOT(ISNA(VLOOKUP(E1564,E$1:E1563,1,FALSE()))),"OLD",IF(AND(E1564&lt;&gt;"",E1564&lt;&gt;"!!!"),"NEW","")))</f>
        <v> </v>
      </c>
      <c r="G1564" s="23" t="str">
        <f>IF(OR(E1564="",E1564="!!!"),"",IF(OR(J1564=0,AND(J1564=1,K1564=1),AND(J1564=1,I1564="SBJ"),AND(J1564=1,I1564=0)),"?IN_FOCUS",IF(J1564&lt;=2,"?ACTIVATED",IF(J1564&lt;&gt;"","?FAMILIAR",IF(F1564="NEW",IF(ISNA(VLOOKUP(E1564,#REF!,1,FALSE())),"?TYPE_IDENTIFIABLE","?REFERENTIAL"),"_")))))</f>
        <v> </v>
      </c>
      <c r="H1564" s="24" t="str">
        <f>IF(J1564&lt;&gt;1,"",IF(I1564="SBJ","CB","?"))</f>
        <v> </v>
      </c>
      <c r="I1564" s="25" t="str">
        <f>IF(OR(E1564="",E1564="!!!",F1564="NEW"),"",INDEX(B1563:B$2,-1+SUMPRODUCT(MAX(ROW(E1563:E$2)*(E1564=E1563:E$2)))))</f>
        <v> </v>
      </c>
      <c r="J1564" s="25" t="str">
        <f>IF(OR(E1564="",E1564="!!!",F1564="NEW"),"",COUNTBLANK(OFFSET(A$1,,,SUMPRODUCT(MAX(ROW(E$2:E1564)*(E1564=E$2:E1564)))))-COUNTBLANK(OFFSET(A$1,,,SUMPRODUCT(MAX(ROW(E$1:E1563)*(E2=E$1:E1563))))))</f>
        <v> </v>
      </c>
      <c r="K1564" s="25" t="str">
        <f>IF(OR(E1564="",E1564="!!!",F1564="NEW"),"",INDEX(J$1:J1563,SUMPRODUCT(MAX(ROW(E$1:E1563)*(E1564=E$1:E1563)))))</f>
        <v> </v>
      </c>
      <c r="L1564" s="26"/>
    </row>
    <row r="1565" spans="1:12">
      <c r="A1565" s="20" t="s">
        <v>531</v>
      </c>
      <c r="E1565" s="21">
        <f>IF(D1565="?OLD","!!!","")</f>
        <v/>
      </c>
      <c r="F1565" s="22" t="str">
        <f>IF(OR(E1565="",E1565="!!!"),"",IF(NOT(ISNA(VLOOKUP(E1565,E$1:E1564,1,FALSE()))),"OLD",IF(AND(E1565&lt;&gt;"",E1565&lt;&gt;"!!!"),"NEW","")))</f>
        <v> </v>
      </c>
      <c r="G1565" s="23" t="str">
        <f>IF(OR(E1565="",E1565="!!!"),"",IF(OR(J1565=0,AND(J1565=1,K1565=1),AND(J1565=1,I1565="SBJ"),AND(J1565=1,I1565=0)),"?IN_FOCUS",IF(J1565&lt;=2,"?ACTIVATED",IF(J1565&lt;&gt;"","?FAMILIAR",IF(F1565="NEW",IF(ISNA(VLOOKUP(E1565,#REF!,1,FALSE())),"?TYPE_IDENTIFIABLE","?REFERENTIAL"),"_")))))</f>
        <v> </v>
      </c>
      <c r="H1565" s="24" t="str">
        <f>IF(J1565&lt;&gt;1,"",IF(I1565="SBJ","CB","?"))</f>
        <v> </v>
      </c>
      <c r="I1565" s="25" t="str">
        <f>IF(OR(E1565="",E1565="!!!",F1565="NEW"),"",INDEX(B1564:B$2,-1+SUMPRODUCT(MAX(ROW(E1564:E$2)*(E1565=E1564:E$2)))))</f>
        <v> </v>
      </c>
      <c r="J1565" s="25" t="str">
        <f>IF(OR(E1565="",E1565="!!!",F1565="NEW"),"",COUNTBLANK(OFFSET(A$1,,,SUMPRODUCT(MAX(ROW(E$2:E1565)*(E1565=E$2:E1565)))))-COUNTBLANK(OFFSET(A$1,,,SUMPRODUCT(MAX(ROW(E$1:E1564)*(E2=E$1:E1564))))))</f>
        <v> </v>
      </c>
      <c r="K1565" s="25" t="str">
        <f>IF(OR(E1565="",E1565="!!!",F1565="NEW"),"",INDEX(J$1:J1564,SUMPRODUCT(MAX(ROW(E$1:E1564)*(E1565=E$1:E1564)))))</f>
        <v> </v>
      </c>
      <c r="L1565" s="26"/>
    </row>
    <row r="1566" spans="1:12">
      <c r="A1566" s="20"/>
    </row>
    <row r="1567" spans="1:12">
      <c r="A1567" s="20" t="s">
        <v>1019</v>
      </c>
    </row>
    <row r="1568" spans="1:12">
      <c r="A1568" s="20" t="s">
        <v>875</v>
      </c>
      <c r="E1568" s="21">
        <f>IF(D1568="?OLD","!!!","")</f>
        <v/>
      </c>
      <c r="F1568" s="22" t="str">
        <f>IF(OR(E1568="",E1568="!!!"),"",IF(NOT(ISNA(VLOOKUP(E1568,E$1:E1567,1,FALSE()))),"OLD",IF(AND(E1568&lt;&gt;"",E1568&lt;&gt;"!!!"),"NEW","")))</f>
        <v> </v>
      </c>
      <c r="G1568" s="23" t="str">
        <f>IF(OR(E1568="",E1568="!!!"),"",IF(OR(J1568=0,AND(J1568=1,K1568=1),AND(J1568=1,I1568="SBJ"),AND(J1568=1,I1568=0)),"?IN_FOCUS",IF(J1568&lt;=2,"?ACTIVATED",IF(J1568&lt;&gt;"","?FAMILIAR",IF(F1568="NEW",IF(ISNA(VLOOKUP(E1568,#REF!,1,FALSE())),"?TYPE_IDENTIFIABLE","?REFERENTIAL"),"_")))))</f>
        <v> </v>
      </c>
      <c r="H1568" s="24" t="str">
        <f>IF(J1568&lt;&gt;1,"",IF(I1568="SBJ","CB","?"))</f>
        <v> </v>
      </c>
      <c r="I1568" s="25" t="str">
        <f>IF(OR(E1568="",E1568="!!!",F1568="NEW"),"",INDEX(B1567:B$2,-1+SUMPRODUCT(MAX(ROW(E1567:E$2)*(E1568=E1567:E$2)))))</f>
        <v> </v>
      </c>
      <c r="J1568" s="25" t="str">
        <f>IF(OR(E1568="",E1568="!!!",F1568="NEW"),"",COUNTBLANK(OFFSET(A$1,,,SUMPRODUCT(MAX(ROW(E$2:E1568)*(E1568=E$2:E1568)))))-COUNTBLANK(OFFSET(A$1,,,SUMPRODUCT(MAX(ROW(E$1:E1567)*(E2=E$1:E1567))))))</f>
        <v> </v>
      </c>
      <c r="K1568" s="25" t="str">
        <f>IF(OR(E1568="",E1568="!!!",F1568="NEW"),"",INDEX(J$1:J1567,SUMPRODUCT(MAX(ROW(E$1:E1567)*(E1568=E$1:E1567)))))</f>
        <v> </v>
      </c>
      <c r="L1568" s="26"/>
    </row>
    <row r="1569" spans="1:12">
      <c r="A1569" s="20" t="s">
        <v>489</v>
      </c>
      <c r="E1569" s="21">
        <f>IF(D1569="?OLD","!!!","")</f>
        <v/>
      </c>
      <c r="F1569" s="22" t="str">
        <f>IF(OR(E1569="",E1569="!!!"),"",IF(NOT(ISNA(VLOOKUP(E1569,E$1:E1568,1,FALSE()))),"OLD",IF(AND(E1569&lt;&gt;"",E1569&lt;&gt;"!!!"),"NEW","")))</f>
        <v> </v>
      </c>
      <c r="G1569" s="23" t="str">
        <f>IF(OR(E1569="",E1569="!!!"),"",IF(OR(J1569=0,AND(J1569=1,K1569=1),AND(J1569=1,I1569="SBJ"),AND(J1569=1,I1569=0)),"?IN_FOCUS",IF(J1569&lt;=2,"?ACTIVATED",IF(J1569&lt;&gt;"","?FAMILIAR",IF(F1569="NEW",IF(ISNA(VLOOKUP(E1569,#REF!,1,FALSE())),"?TYPE_IDENTIFIABLE","?REFERENTIAL"),"_")))))</f>
        <v> </v>
      </c>
      <c r="H1569" s="24" t="str">
        <f>IF(J1569&lt;&gt;1,"",IF(I1569="SBJ","CB","?"))</f>
        <v> </v>
      </c>
      <c r="I1569" s="25" t="str">
        <f>IF(OR(E1569="",E1569="!!!",F1569="NEW"),"",INDEX(B1568:B$2,-1+SUMPRODUCT(MAX(ROW(E1568:E$2)*(E1569=E1568:E$2)))))</f>
        <v> </v>
      </c>
      <c r="J1569" s="25" t="str">
        <f>IF(OR(E1569="",E1569="!!!",F1569="NEW"),"",COUNTBLANK(OFFSET(A$1,,,SUMPRODUCT(MAX(ROW(E$2:E1569)*(E1569=E$2:E1569)))))-COUNTBLANK(OFFSET(A$1,,,SUMPRODUCT(MAX(ROW(E$1:E1568)*(E2=E$1:E1568))))))</f>
        <v> </v>
      </c>
      <c r="K1569" s="25" t="str">
        <f>IF(OR(E1569="",E1569="!!!",F1569="NEW"),"",INDEX(J$1:J1568,SUMPRODUCT(MAX(ROW(E$1:E1568)*(E1569=E$1:E1568)))))</f>
        <v> </v>
      </c>
      <c r="L1569" s="26"/>
    </row>
    <row r="1570" spans="1:12">
      <c r="A1570" s="20" t="s">
        <v>773</v>
      </c>
      <c r="E1570" s="21">
        <f>IF(D1570="?OLD","!!!","")</f>
        <v/>
      </c>
      <c r="F1570" s="22" t="str">
        <f>IF(OR(E1570="",E1570="!!!"),"",IF(NOT(ISNA(VLOOKUP(E1570,E$1:E1569,1,FALSE()))),"OLD",IF(AND(E1570&lt;&gt;"",E1570&lt;&gt;"!!!"),"NEW","")))</f>
        <v> </v>
      </c>
      <c r="G1570" s="23" t="str">
        <f>IF(OR(E1570="",E1570="!!!"),"",IF(OR(J1570=0,AND(J1570=1,K1570=1),AND(J1570=1,I1570="SBJ"),AND(J1570=1,I1570=0)),"?IN_FOCUS",IF(J1570&lt;=2,"?ACTIVATED",IF(J1570&lt;&gt;"","?FAMILIAR",IF(F1570="NEW",IF(ISNA(VLOOKUP(E1570,#REF!,1,FALSE())),"?TYPE_IDENTIFIABLE","?REFERENTIAL"),"_")))))</f>
        <v> </v>
      </c>
      <c r="H1570" s="24" t="str">
        <f>IF(J1570&lt;&gt;1,"",IF(I1570="SBJ","CB","?"))</f>
        <v> </v>
      </c>
      <c r="I1570" s="25" t="str">
        <f>IF(OR(E1570="",E1570="!!!",F1570="NEW"),"",INDEX(B1569:B$2,-1+SUMPRODUCT(MAX(ROW(E1569:E$2)*(E1570=E1569:E$2)))))</f>
        <v> </v>
      </c>
      <c r="J1570" s="25" t="str">
        <f>IF(OR(E1570="",E1570="!!!",F1570="NEW"),"",COUNTBLANK(OFFSET(A$1,,,SUMPRODUCT(MAX(ROW(E$2:E1570)*(E1570=E$2:E1570)))))-COUNTBLANK(OFFSET(A$1,,,SUMPRODUCT(MAX(ROW(E$1:E1569)*(E2=E$1:E1569))))))</f>
        <v> </v>
      </c>
      <c r="K1570" s="25" t="str">
        <f>IF(OR(E1570="",E1570="!!!",F1570="NEW"),"",INDEX(J$1:J1569,SUMPRODUCT(MAX(ROW(E$1:E1569)*(E1570=E$1:E1569)))))</f>
        <v> </v>
      </c>
      <c r="L1570" s="26"/>
    </row>
    <row r="1571" spans="1:12">
      <c r="A1571" s="20" t="s">
        <v>489</v>
      </c>
      <c r="E1571" s="21">
        <f>IF(D1571="?OLD","!!!","")</f>
        <v/>
      </c>
      <c r="F1571" s="22" t="str">
        <f>IF(OR(E1571="",E1571="!!!"),"",IF(NOT(ISNA(VLOOKUP(E1571,E$1:E1570,1,FALSE()))),"OLD",IF(AND(E1571&lt;&gt;"",E1571&lt;&gt;"!!!"),"NEW","")))</f>
        <v> </v>
      </c>
      <c r="G1571" s="23" t="str">
        <f>IF(OR(E1571="",E1571="!!!"),"",IF(OR(J1571=0,AND(J1571=1,K1571=1),AND(J1571=1,I1571="SBJ"),AND(J1571=1,I1571=0)),"?IN_FOCUS",IF(J1571&lt;=2,"?ACTIVATED",IF(J1571&lt;&gt;"","?FAMILIAR",IF(F1571="NEW",IF(ISNA(VLOOKUP(E1571,#REF!,1,FALSE())),"?TYPE_IDENTIFIABLE","?REFERENTIAL"),"_")))))</f>
        <v> </v>
      </c>
      <c r="H1571" s="24" t="str">
        <f>IF(J1571&lt;&gt;1,"",IF(I1571="SBJ","CB","?"))</f>
        <v> </v>
      </c>
      <c r="I1571" s="25" t="str">
        <f>IF(OR(E1571="",E1571="!!!",F1571="NEW"),"",INDEX(B1570:B$2,-1+SUMPRODUCT(MAX(ROW(E1570:E$2)*(E1571=E1570:E$2)))))</f>
        <v> </v>
      </c>
      <c r="J1571" s="25" t="str">
        <f>IF(OR(E1571="",E1571="!!!",F1571="NEW"),"",COUNTBLANK(OFFSET(A$1,,,SUMPRODUCT(MAX(ROW(E$2:E1571)*(E1571=E$2:E1571)))))-COUNTBLANK(OFFSET(A$1,,,SUMPRODUCT(MAX(ROW(E$1:E1570)*(E2=E$1:E1570))))))</f>
        <v> </v>
      </c>
      <c r="K1571" s="25" t="str">
        <f>IF(OR(E1571="",E1571="!!!",F1571="NEW"),"",INDEX(J$1:J1570,SUMPRODUCT(MAX(ROW(E$1:E1570)*(E1571=E$1:E1570)))))</f>
        <v> </v>
      </c>
      <c r="L1571" s="26"/>
    </row>
    <row r="1572" spans="1:12">
      <c r="A1572" s="20" t="s">
        <v>762</v>
      </c>
      <c r="E1572" s="21">
        <f>IF(D1572="?OLD","!!!","")</f>
        <v/>
      </c>
      <c r="F1572" s="22" t="str">
        <f>IF(OR(E1572="",E1572="!!!"),"",IF(NOT(ISNA(VLOOKUP(E1572,E$1:E1571,1,FALSE()))),"OLD",IF(AND(E1572&lt;&gt;"",E1572&lt;&gt;"!!!"),"NEW","")))</f>
        <v> </v>
      </c>
      <c r="G1572" s="23" t="str">
        <f>IF(OR(E1572="",E1572="!!!"),"",IF(OR(J1572=0,AND(J1572=1,K1572=1),AND(J1572=1,I1572="SBJ"),AND(J1572=1,I1572=0)),"?IN_FOCUS",IF(J1572&lt;=2,"?ACTIVATED",IF(J1572&lt;&gt;"","?FAMILIAR",IF(F1572="NEW",IF(ISNA(VLOOKUP(E1572,#REF!,1,FALSE())),"?TYPE_IDENTIFIABLE","?REFERENTIAL"),"_")))))</f>
        <v> </v>
      </c>
      <c r="H1572" s="24" t="str">
        <f>IF(J1572&lt;&gt;1,"",IF(I1572="SBJ","CB","?"))</f>
        <v> </v>
      </c>
      <c r="I1572" s="25" t="str">
        <f>IF(OR(E1572="",E1572="!!!",F1572="NEW"),"",INDEX(B1571:B$2,-1+SUMPRODUCT(MAX(ROW(E1571:E$2)*(E1572=E1571:E$2)))))</f>
        <v> </v>
      </c>
      <c r="J1572" s="25" t="str">
        <f>IF(OR(E1572="",E1572="!!!",F1572="NEW"),"",COUNTBLANK(OFFSET(A$1,,,SUMPRODUCT(MAX(ROW(E$2:E1572)*(E1572=E$2:E1572)))))-COUNTBLANK(OFFSET(A$1,,,SUMPRODUCT(MAX(ROW(E$1:E1571)*(E2=E$1:E1571))))))</f>
        <v> </v>
      </c>
      <c r="K1572" s="25" t="str">
        <f>IF(OR(E1572="",E1572="!!!",F1572="NEW"),"",INDEX(J$1:J1571,SUMPRODUCT(MAX(ROW(E$1:E1571)*(E1572=E$1:E1571)))))</f>
        <v> </v>
      </c>
      <c r="L1572" s="26"/>
    </row>
    <row r="1573" spans="1:12">
      <c r="A1573" s="20" t="s">
        <v>489</v>
      </c>
      <c r="E1573" s="21">
        <f>IF(D1573="?OLD","!!!","")</f>
        <v/>
      </c>
      <c r="F1573" s="22" t="str">
        <f>IF(OR(E1573="",E1573="!!!"),"",IF(NOT(ISNA(VLOOKUP(E1573,E$1:E1572,1,FALSE()))),"OLD",IF(AND(E1573&lt;&gt;"",E1573&lt;&gt;"!!!"),"NEW","")))</f>
        <v> </v>
      </c>
      <c r="G1573" s="23" t="str">
        <f>IF(OR(E1573="",E1573="!!!"),"",IF(OR(J1573=0,AND(J1573=1,K1573=1),AND(J1573=1,I1573="SBJ"),AND(J1573=1,I1573=0)),"?IN_FOCUS",IF(J1573&lt;=2,"?ACTIVATED",IF(J1573&lt;&gt;"","?FAMILIAR",IF(F1573="NEW",IF(ISNA(VLOOKUP(E1573,#REF!,1,FALSE())),"?TYPE_IDENTIFIABLE","?REFERENTIAL"),"_")))))</f>
        <v> </v>
      </c>
      <c r="H1573" s="24" t="str">
        <f>IF(J1573&lt;&gt;1,"",IF(I1573="SBJ","CB","?"))</f>
        <v> </v>
      </c>
      <c r="I1573" s="25" t="str">
        <f>IF(OR(E1573="",E1573="!!!",F1573="NEW"),"",INDEX(B1572:B$2,-1+SUMPRODUCT(MAX(ROW(E1572:E$2)*(E1573=E1572:E$2)))))</f>
        <v> </v>
      </c>
      <c r="J1573" s="25" t="str">
        <f>IF(OR(E1573="",E1573="!!!",F1573="NEW"),"",COUNTBLANK(OFFSET(A$1,,,SUMPRODUCT(MAX(ROW(E$2:E1573)*(E1573=E$2:E1573)))))-COUNTBLANK(OFFSET(A$1,,,SUMPRODUCT(MAX(ROW(E$1:E1572)*(E2=E$1:E1572))))))</f>
        <v> </v>
      </c>
      <c r="K1573" s="25" t="str">
        <f>IF(OR(E1573="",E1573="!!!",F1573="NEW"),"",INDEX(J$1:J1572,SUMPRODUCT(MAX(ROW(E$1:E1572)*(E1573=E$1:E1572)))))</f>
        <v> </v>
      </c>
      <c r="L1573" s="26"/>
    </row>
    <row r="1574" spans="1:12">
      <c r="A1574" s="20" t="s">
        <v>1020</v>
      </c>
      <c r="E1574" s="21">
        <f>IF(D1574="?OLD","!!!","")</f>
        <v/>
      </c>
      <c r="F1574" s="22" t="str">
        <f>IF(OR(E1574="",E1574="!!!"),"",IF(NOT(ISNA(VLOOKUP(E1574,E$1:E1573,1,FALSE()))),"OLD",IF(AND(E1574&lt;&gt;"",E1574&lt;&gt;"!!!"),"NEW","")))</f>
        <v> </v>
      </c>
      <c r="G1574" s="23" t="str">
        <f>IF(OR(E1574="",E1574="!!!"),"",IF(OR(J1574=0,AND(J1574=1,K1574=1),AND(J1574=1,I1574="SBJ"),AND(J1574=1,I1574=0)),"?IN_FOCUS",IF(J1574&lt;=2,"?ACTIVATED",IF(J1574&lt;&gt;"","?FAMILIAR",IF(F1574="NEW",IF(ISNA(VLOOKUP(E1574,#REF!,1,FALSE())),"?TYPE_IDENTIFIABLE","?REFERENTIAL"),"_")))))</f>
        <v> </v>
      </c>
      <c r="H1574" s="24" t="str">
        <f>IF(J1574&lt;&gt;1,"",IF(I1574="SBJ","CB","?"))</f>
        <v> </v>
      </c>
      <c r="I1574" s="25" t="str">
        <f>IF(OR(E1574="",E1574="!!!",F1574="NEW"),"",INDEX(B1573:B$2,-1+SUMPRODUCT(MAX(ROW(E1573:E$2)*(E1574=E1573:E$2)))))</f>
        <v> </v>
      </c>
      <c r="J1574" s="25" t="str">
        <f>IF(OR(E1574="",E1574="!!!",F1574="NEW"),"",COUNTBLANK(OFFSET(A$1,,,SUMPRODUCT(MAX(ROW(E$2:E1574)*(E1574=E$2:E1574)))))-COUNTBLANK(OFFSET(A$1,,,SUMPRODUCT(MAX(ROW(E$1:E1573)*(E2=E$1:E1573))))))</f>
        <v> </v>
      </c>
      <c r="K1574" s="25" t="str">
        <f>IF(OR(E1574="",E1574="!!!",F1574="NEW"),"",INDEX(J$1:J1573,SUMPRODUCT(MAX(ROW(E$1:E1573)*(E1574=E$1:E1573)))))</f>
        <v> </v>
      </c>
      <c r="L1574" s="26"/>
    </row>
    <row r="1575" spans="1:12">
      <c r="A1575" s="20" t="s">
        <v>489</v>
      </c>
      <c r="E1575" s="21">
        <f>IF(D1575="?OLD","!!!","")</f>
        <v/>
      </c>
      <c r="F1575" s="22" t="str">
        <f>IF(OR(E1575="",E1575="!!!"),"",IF(NOT(ISNA(VLOOKUP(E1575,E$1:E1574,1,FALSE()))),"OLD",IF(AND(E1575&lt;&gt;"",E1575&lt;&gt;"!!!"),"NEW","")))</f>
        <v> </v>
      </c>
      <c r="G1575" s="23" t="str">
        <f>IF(OR(E1575="",E1575="!!!"),"",IF(OR(J1575=0,AND(J1575=1,K1575=1),AND(J1575=1,I1575="SBJ"),AND(J1575=1,I1575=0)),"?IN_FOCUS",IF(J1575&lt;=2,"?ACTIVATED",IF(J1575&lt;&gt;"","?FAMILIAR",IF(F1575="NEW",IF(ISNA(VLOOKUP(E1575,#REF!,1,FALSE())),"?TYPE_IDENTIFIABLE","?REFERENTIAL"),"_")))))</f>
        <v> </v>
      </c>
      <c r="H1575" s="24" t="str">
        <f>IF(J1575&lt;&gt;1,"",IF(I1575="SBJ","CB","?"))</f>
        <v> </v>
      </c>
      <c r="I1575" s="25" t="str">
        <f>IF(OR(E1575="",E1575="!!!",F1575="NEW"),"",INDEX(B1574:B$2,-1+SUMPRODUCT(MAX(ROW(E1574:E$2)*(E1575=E1574:E$2)))))</f>
        <v> </v>
      </c>
      <c r="J1575" s="25" t="str">
        <f>IF(OR(E1575="",E1575="!!!",F1575="NEW"),"",COUNTBLANK(OFFSET(A$1,,,SUMPRODUCT(MAX(ROW(E$2:E1575)*(E1575=E$2:E1575)))))-COUNTBLANK(OFFSET(A$1,,,SUMPRODUCT(MAX(ROW(E$1:E1574)*(E2=E$1:E1574))))))</f>
        <v> </v>
      </c>
      <c r="K1575" s="25" t="str">
        <f>IF(OR(E1575="",E1575="!!!",F1575="NEW"),"",INDEX(J$1:J1574,SUMPRODUCT(MAX(ROW(E$1:E1574)*(E1575=E$1:E1574)))))</f>
        <v> </v>
      </c>
      <c r="L1575" s="26"/>
    </row>
    <row r="1576" spans="1:12">
      <c r="A1576" s="20" t="s">
        <v>1021</v>
      </c>
      <c r="E1576" s="21">
        <f>IF(D1576="?OLD","!!!","")</f>
        <v/>
      </c>
      <c r="F1576" s="22" t="str">
        <f>IF(OR(E1576="",E1576="!!!"),"",IF(NOT(ISNA(VLOOKUP(E1576,E$1:E1575,1,FALSE()))),"OLD",IF(AND(E1576&lt;&gt;"",E1576&lt;&gt;"!!!"),"NEW","")))</f>
        <v> </v>
      </c>
      <c r="G1576" s="23" t="str">
        <f>IF(OR(E1576="",E1576="!!!"),"",IF(OR(J1576=0,AND(J1576=1,K1576=1),AND(J1576=1,I1576="SBJ"),AND(J1576=1,I1576=0)),"?IN_FOCUS",IF(J1576&lt;=2,"?ACTIVATED",IF(J1576&lt;&gt;"","?FAMILIAR",IF(F1576="NEW",IF(ISNA(VLOOKUP(E1576,#REF!,1,FALSE())),"?TYPE_IDENTIFIABLE","?REFERENTIAL"),"_")))))</f>
        <v> </v>
      </c>
      <c r="H1576" s="24" t="str">
        <f>IF(J1576&lt;&gt;1,"",IF(I1576="SBJ","CB","?"))</f>
        <v> </v>
      </c>
      <c r="I1576" s="25" t="str">
        <f>IF(OR(E1576="",E1576="!!!",F1576="NEW"),"",INDEX(B1575:B$2,-1+SUMPRODUCT(MAX(ROW(E1575:E$2)*(E1576=E1575:E$2)))))</f>
        <v> </v>
      </c>
      <c r="J1576" s="25" t="str">
        <f>IF(OR(E1576="",E1576="!!!",F1576="NEW"),"",COUNTBLANK(OFFSET(A$1,,,SUMPRODUCT(MAX(ROW(E$2:E1576)*(E1576=E$2:E1576)))))-COUNTBLANK(OFFSET(A$1,,,SUMPRODUCT(MAX(ROW(E$1:E1575)*(E2=E$1:E1575))))))</f>
        <v> </v>
      </c>
      <c r="K1576" s="25" t="str">
        <f>IF(OR(E1576="",E1576="!!!",F1576="NEW"),"",INDEX(J$1:J1575,SUMPRODUCT(MAX(ROW(E$1:E1575)*(E1576=E$1:E1575)))))</f>
        <v> </v>
      </c>
      <c r="L1576" s="26"/>
    </row>
    <row r="1577" spans="1:12">
      <c r="A1577" s="20" t="s">
        <v>531</v>
      </c>
      <c r="E1577" s="21">
        <f>IF(D1577="?OLD","!!!","")</f>
        <v/>
      </c>
      <c r="F1577" s="22" t="str">
        <f>IF(OR(E1577="",E1577="!!!"),"",IF(NOT(ISNA(VLOOKUP(E1577,E$1:E1576,1,FALSE()))),"OLD",IF(AND(E1577&lt;&gt;"",E1577&lt;&gt;"!!!"),"NEW","")))</f>
        <v> </v>
      </c>
      <c r="G1577" s="23" t="str">
        <f>IF(OR(E1577="",E1577="!!!"),"",IF(OR(J1577=0,AND(J1577=1,K1577=1),AND(J1577=1,I1577="SBJ"),AND(J1577=1,I1577=0)),"?IN_FOCUS",IF(J1577&lt;=2,"?ACTIVATED",IF(J1577&lt;&gt;"","?FAMILIAR",IF(F1577="NEW",IF(ISNA(VLOOKUP(E1577,#REF!,1,FALSE())),"?TYPE_IDENTIFIABLE","?REFERENTIAL"),"_")))))</f>
        <v> </v>
      </c>
      <c r="H1577" s="24" t="str">
        <f>IF(J1577&lt;&gt;1,"",IF(I1577="SBJ","CB","?"))</f>
        <v> </v>
      </c>
      <c r="I1577" s="25" t="str">
        <f>IF(OR(E1577="",E1577="!!!",F1577="NEW"),"",INDEX(B1576:B$2,-1+SUMPRODUCT(MAX(ROW(E1576:E$2)*(E1577=E1576:E$2)))))</f>
        <v> </v>
      </c>
      <c r="J1577" s="25" t="str">
        <f>IF(OR(E1577="",E1577="!!!",F1577="NEW"),"",COUNTBLANK(OFFSET(A$1,,,SUMPRODUCT(MAX(ROW(E$2:E1577)*(E1577=E$2:E1577)))))-COUNTBLANK(OFFSET(A$1,,,SUMPRODUCT(MAX(ROW(E$1:E1576)*(E2=E$1:E1576))))))</f>
        <v> </v>
      </c>
      <c r="K1577" s="25" t="str">
        <f>IF(OR(E1577="",E1577="!!!",F1577="NEW"),"",INDEX(J$1:J1576,SUMPRODUCT(MAX(ROW(E$1:E1576)*(E1577=E$1:E1576)))))</f>
        <v> </v>
      </c>
      <c r="L1577" s="26"/>
    </row>
    <row r="1578" spans="1:12">
      <c r="A1578" s="20"/>
    </row>
    <row r="1579" spans="1:12">
      <c r="A1579" s="20" t="s">
        <v>1022</v>
      </c>
    </row>
    <row r="1580" spans="1:12">
      <c r="A1580" s="20" t="s">
        <v>1023</v>
      </c>
      <c r="E1580" s="21">
        <f>IF(D1580="?OLD","!!!","")</f>
        <v/>
      </c>
      <c r="F1580" s="22" t="str">
        <f>IF(OR(E1580="",E1580="!!!"),"",IF(NOT(ISNA(VLOOKUP(E1580,E$1:E1579,1,FALSE()))),"OLD",IF(AND(E1580&lt;&gt;"",E1580&lt;&gt;"!!!"),"NEW","")))</f>
        <v> </v>
      </c>
      <c r="G1580" s="23" t="str">
        <f>IF(OR(E1580="",E1580="!!!"),"",IF(OR(J1580=0,AND(J1580=1,K1580=1),AND(J1580=1,I1580="SBJ"),AND(J1580=1,I1580=0)),"?IN_FOCUS",IF(J1580&lt;=2,"?ACTIVATED",IF(J1580&lt;&gt;"","?FAMILIAR",IF(F1580="NEW",IF(ISNA(VLOOKUP(E1580,#REF!,1,FALSE())),"?TYPE_IDENTIFIABLE","?REFERENTIAL"),"_")))))</f>
        <v> </v>
      </c>
      <c r="H1580" s="24" t="str">
        <f>IF(J1580&lt;&gt;1,"",IF(I1580="SBJ","CB","?"))</f>
        <v> </v>
      </c>
      <c r="I1580" s="25" t="str">
        <f>IF(OR(E1580="",E1580="!!!",F1580="NEW"),"",INDEX(B1579:B$2,-1+SUMPRODUCT(MAX(ROW(E1579:E$2)*(E1580=E1579:E$2)))))</f>
        <v> </v>
      </c>
      <c r="J1580" s="25" t="str">
        <f>IF(OR(E1580="",E1580="!!!",F1580="NEW"),"",COUNTBLANK(OFFSET(A$1,,,SUMPRODUCT(MAX(ROW(E$2:E1580)*(E1580=E$2:E1580)))))-COUNTBLANK(OFFSET(A$1,,,SUMPRODUCT(MAX(ROW(E$1:E1579)*(E2=E$1:E1579))))))</f>
        <v> </v>
      </c>
      <c r="K1580" s="25" t="str">
        <f>IF(OR(E1580="",E1580="!!!",F1580="NEW"),"",INDEX(J$1:J1579,SUMPRODUCT(MAX(ROW(E$1:E1579)*(E1580=E$1:E1579)))))</f>
        <v> </v>
      </c>
      <c r="L1580" s="26"/>
    </row>
    <row r="1581" spans="1:12">
      <c r="A1581" s="20" t="s">
        <v>489</v>
      </c>
      <c r="E1581" s="21">
        <f>IF(D1581="?OLD","!!!","")</f>
        <v/>
      </c>
      <c r="F1581" s="22" t="str">
        <f>IF(OR(E1581="",E1581="!!!"),"",IF(NOT(ISNA(VLOOKUP(E1581,E$1:E1580,1,FALSE()))),"OLD",IF(AND(E1581&lt;&gt;"",E1581&lt;&gt;"!!!"),"NEW","")))</f>
        <v> </v>
      </c>
      <c r="G1581" s="23" t="str">
        <f>IF(OR(E1581="",E1581="!!!"),"",IF(OR(J1581=0,AND(J1581=1,K1581=1),AND(J1581=1,I1581="SBJ"),AND(J1581=1,I1581=0)),"?IN_FOCUS",IF(J1581&lt;=2,"?ACTIVATED",IF(J1581&lt;&gt;"","?FAMILIAR",IF(F1581="NEW",IF(ISNA(VLOOKUP(E1581,#REF!,1,FALSE())),"?TYPE_IDENTIFIABLE","?REFERENTIAL"),"_")))))</f>
        <v> </v>
      </c>
      <c r="H1581" s="24" t="str">
        <f>IF(J1581&lt;&gt;1,"",IF(I1581="SBJ","CB","?"))</f>
        <v> </v>
      </c>
      <c r="I1581" s="25" t="str">
        <f>IF(OR(E1581="",E1581="!!!",F1581="NEW"),"",INDEX(B1580:B$2,-1+SUMPRODUCT(MAX(ROW(E1580:E$2)*(E1581=E1580:E$2)))))</f>
        <v> </v>
      </c>
      <c r="J1581" s="25" t="str">
        <f>IF(OR(E1581="",E1581="!!!",F1581="NEW"),"",COUNTBLANK(OFFSET(A$1,,,SUMPRODUCT(MAX(ROW(E$2:E1581)*(E1581=E$2:E1581)))))-COUNTBLANK(OFFSET(A$1,,,SUMPRODUCT(MAX(ROW(E$1:E1580)*(E2=E$1:E1580))))))</f>
        <v> </v>
      </c>
      <c r="K1581" s="25" t="str">
        <f>IF(OR(E1581="",E1581="!!!",F1581="NEW"),"",INDEX(J$1:J1580,SUMPRODUCT(MAX(ROW(E$1:E1580)*(E1581=E$1:E1580)))))</f>
        <v> </v>
      </c>
      <c r="L1581" s="26"/>
    </row>
    <row r="1582" spans="1:12">
      <c r="A1582" s="20" t="s">
        <v>384</v>
      </c>
      <c r="E1582" s="21">
        <f>IF(D1582="?OLD","!!!","")</f>
        <v/>
      </c>
      <c r="F1582" s="22" t="str">
        <f>IF(OR(E1582="",E1582="!!!"),"",IF(NOT(ISNA(VLOOKUP(E1582,E$1:E1581,1,FALSE()))),"OLD",IF(AND(E1582&lt;&gt;"",E1582&lt;&gt;"!!!"),"NEW","")))</f>
        <v> </v>
      </c>
      <c r="G1582" s="23" t="str">
        <f>IF(OR(E1582="",E1582="!!!"),"",IF(OR(J1582=0,AND(J1582=1,K1582=1),AND(J1582=1,I1582="SBJ"),AND(J1582=1,I1582=0)),"?IN_FOCUS",IF(J1582&lt;=2,"?ACTIVATED",IF(J1582&lt;&gt;"","?FAMILIAR",IF(F1582="NEW",IF(ISNA(VLOOKUP(E1582,#REF!,1,FALSE())),"?TYPE_IDENTIFIABLE","?REFERENTIAL"),"_")))))</f>
        <v> </v>
      </c>
      <c r="H1582" s="24" t="str">
        <f>IF(J1582&lt;&gt;1,"",IF(I1582="SBJ","CB","?"))</f>
        <v> </v>
      </c>
      <c r="I1582" s="25" t="str">
        <f>IF(OR(E1582="",E1582="!!!",F1582="NEW"),"",INDEX(B1581:B$2,-1+SUMPRODUCT(MAX(ROW(E1581:E$2)*(E1582=E1581:E$2)))))</f>
        <v> </v>
      </c>
      <c r="J1582" s="25" t="str">
        <f>IF(OR(E1582="",E1582="!!!",F1582="NEW"),"",COUNTBLANK(OFFSET(A$1,,,SUMPRODUCT(MAX(ROW(E$2:E1582)*(E1582=E$2:E1582)))))-COUNTBLANK(OFFSET(A$1,,,SUMPRODUCT(MAX(ROW(E$1:E1581)*(E2=E$1:E1581))))))</f>
        <v> </v>
      </c>
      <c r="K1582" s="25" t="str">
        <f>IF(OR(E1582="",E1582="!!!",F1582="NEW"),"",INDEX(J$1:J1581,SUMPRODUCT(MAX(ROW(E$1:E1581)*(E1582=E$1:E1581)))))</f>
        <v> </v>
      </c>
      <c r="L1582" s="26"/>
    </row>
    <row r="1583" spans="1:12">
      <c r="A1583" s="20" t="s">
        <v>561</v>
      </c>
      <c r="E1583" s="21">
        <f>IF(D1583="?OLD","!!!","")</f>
        <v/>
      </c>
      <c r="F1583" s="22" t="str">
        <f>IF(OR(E1583="",E1583="!!!"),"",IF(NOT(ISNA(VLOOKUP(E1583,E$1:E1582,1,FALSE()))),"OLD",IF(AND(E1583&lt;&gt;"",E1583&lt;&gt;"!!!"),"NEW","")))</f>
        <v> </v>
      </c>
      <c r="G1583" s="23" t="str">
        <f>IF(OR(E1583="",E1583="!!!"),"",IF(OR(J1583=0,AND(J1583=1,K1583=1),AND(J1583=1,I1583="SBJ"),AND(J1583=1,I1583=0)),"?IN_FOCUS",IF(J1583&lt;=2,"?ACTIVATED",IF(J1583&lt;&gt;"","?FAMILIAR",IF(F1583="NEW",IF(ISNA(VLOOKUP(E1583,#REF!,1,FALSE())),"?TYPE_IDENTIFIABLE","?REFERENTIAL"),"_")))))</f>
        <v> </v>
      </c>
      <c r="H1583" s="24" t="str">
        <f>IF(J1583&lt;&gt;1,"",IF(I1583="SBJ","CB","?"))</f>
        <v> </v>
      </c>
      <c r="I1583" s="25" t="str">
        <f>IF(OR(E1583="",E1583="!!!",F1583="NEW"),"",INDEX(B1582:B$2,-1+SUMPRODUCT(MAX(ROW(E1582:E$2)*(E1583=E1582:E$2)))))</f>
        <v> </v>
      </c>
      <c r="J1583" s="25" t="str">
        <f>IF(OR(E1583="",E1583="!!!",F1583="NEW"),"",COUNTBLANK(OFFSET(A$1,,,SUMPRODUCT(MAX(ROW(E$2:E1583)*(E1583=E$2:E1583)))))-COUNTBLANK(OFFSET(A$1,,,SUMPRODUCT(MAX(ROW(E$1:E1582)*(E2=E$1:E1582))))))</f>
        <v> </v>
      </c>
      <c r="K1583" s="25" t="str">
        <f>IF(OR(E1583="",E1583="!!!",F1583="NEW"),"",INDEX(J$1:J1582,SUMPRODUCT(MAX(ROW(E$1:E1582)*(E1583=E$1:E1582)))))</f>
        <v> </v>
      </c>
      <c r="L1583" s="26"/>
    </row>
    <row r="1584" spans="1:12">
      <c r="A1584" s="20"/>
    </row>
    <row r="1585" spans="1:12">
      <c r="A1585" s="20" t="s">
        <v>606</v>
      </c>
      <c r="E1585" s="21">
        <f>IF(D1585="?OLD","!!!","")</f>
        <v/>
      </c>
      <c r="F1585" s="22" t="str">
        <f>IF(OR(E1585="",E1585="!!!"),"",IF(NOT(ISNA(VLOOKUP(E1585,E$1:E1584,1,FALSE()))),"OLD",IF(AND(E1585&lt;&gt;"",E1585&lt;&gt;"!!!"),"NEW","")))</f>
        <v> </v>
      </c>
      <c r="G1585" s="23" t="str">
        <f>IF(OR(E1585="",E1585="!!!"),"",IF(OR(J1585=0,AND(J1585=1,K1585=1),AND(J1585=1,I1585="SBJ"),AND(J1585=1,I1585=0)),"?IN_FOCUS",IF(J1585&lt;=2,"?ACTIVATED",IF(J1585&lt;&gt;"","?FAMILIAR",IF(F1585="NEW",IF(ISNA(VLOOKUP(E1585,#REF!,1,FALSE())),"?TYPE_IDENTIFIABLE","?REFERENTIAL"),"_")))))</f>
        <v> </v>
      </c>
      <c r="H1585" s="24" t="str">
        <f>IF(J1585&lt;&gt;1,"",IF(I1585="SBJ","CB","?"))</f>
        <v> </v>
      </c>
      <c r="I1585" s="25" t="str">
        <f>IF(OR(E1585="",E1585="!!!",F1585="NEW"),"",INDEX(B1584:B$2,-1+SUMPRODUCT(MAX(ROW(E1584:E$2)*(E1585=E1584:E$2)))))</f>
        <v> </v>
      </c>
      <c r="J1585" s="25" t="str">
        <f>IF(OR(E1585="",E1585="!!!",F1585="NEW"),"",COUNTBLANK(OFFSET(A$1,,,SUMPRODUCT(MAX(ROW(E$2:E1585)*(E1585=E$2:E1585)))))-COUNTBLANK(OFFSET(A$1,,,SUMPRODUCT(MAX(ROW(E$1:E1584)*(E2=E$1:E1584))))))</f>
        <v> </v>
      </c>
      <c r="K1585" s="25" t="str">
        <f>IF(OR(E1585="",E1585="!!!",F1585="NEW"),"",INDEX(J$1:J1584,SUMPRODUCT(MAX(ROW(E$1:E1584)*(E1585=E$1:E1584)))))</f>
        <v> </v>
      </c>
      <c r="L1585" s="26"/>
    </row>
    <row r="1586" spans="1:12">
      <c r="A1586" s="20" t="s">
        <v>1024</v>
      </c>
    </row>
    <row r="1587" spans="1:12">
      <c r="A1587" s="20" t="s">
        <v>608</v>
      </c>
      <c r="B1587" s="27" t="s">
        <v>549</v>
      </c>
      <c r="C1587" s="27" t="s">
        <v>482</v>
      </c>
      <c r="D1587" s="27" t="s">
        <v>483</v>
      </c>
      <c r="E1587" s="21">
        <f>IF(D1587="?OLD","!!!","")</f>
        <v/>
      </c>
      <c r="F1587" s="22" t="str">
        <f>IF(OR(E1587="",E1587="!!!"),"",IF(NOT(ISNA(VLOOKUP(E1587,E$1:E1586,1,FALSE()))),"OLD",IF(AND(E1587&lt;&gt;"",E1587&lt;&gt;"!!!"),"NEW","")))</f>
        <v> </v>
      </c>
      <c r="G1587" s="23" t="str">
        <f>IF(OR(E1587="",E1587="!!!"),"",IF(OR(J1587=0,AND(J1587=1,K1587=1),AND(J1587=1,I1587="SBJ"),AND(J1587=1,I1587=0)),"?IN_FOCUS",IF(J1587&lt;=2,"?ACTIVATED",IF(J1587&lt;&gt;"","?FAMILIAR",IF(F1587="NEW",IF(ISNA(VLOOKUP(E1587,#REF!,1,FALSE())),"?TYPE_IDENTIFIABLE","?REFERENTIAL"),"_")))))</f>
        <v> </v>
      </c>
      <c r="H1587" s="24" t="str">
        <f>IF(J1587&lt;&gt;1,"",IF(I1587="SBJ","CB","?"))</f>
        <v> </v>
      </c>
      <c r="I1587" s="25" t="str">
        <f>IF(OR(E1587="",E1587="!!!",F1587="NEW"),"",INDEX(B1586:B$2,-1+SUMPRODUCT(MAX(ROW(E1586:E$2)*(E1587=E1586:E$2)))))</f>
        <v> </v>
      </c>
      <c r="J1587" s="25" t="str">
        <f>IF(OR(E1587="",E1587="!!!",F1587="NEW"),"",COUNTBLANK(OFFSET(A$1,,,SUMPRODUCT(MAX(ROW(E$2:E1587)*(E1587=E$2:E1587)))))-COUNTBLANK(OFFSET(A$1,,,SUMPRODUCT(MAX(ROW(E$1:E1586)*(E2=E$1:E1586))))))</f>
        <v> </v>
      </c>
      <c r="K1587" s="25" t="str">
        <f>IF(OR(E1587="",E1587="!!!",F1587="NEW"),"",INDEX(J$1:J1586,SUMPRODUCT(MAX(ROW(E$1:E1586)*(E1587=E$1:E1586)))))</f>
        <v> </v>
      </c>
      <c r="L1587" s="26"/>
    </row>
    <row r="1588" spans="1:12">
      <c r="A1588" s="20" t="s">
        <v>1025</v>
      </c>
      <c r="E1588" s="21">
        <f>IF(D1588="?OLD","!!!","")</f>
        <v/>
      </c>
      <c r="F1588" s="22" t="str">
        <f>IF(OR(E1588="",E1588="!!!"),"",IF(NOT(ISNA(VLOOKUP(E1588,E$1:E1587,1,FALSE()))),"OLD",IF(AND(E1588&lt;&gt;"",E1588&lt;&gt;"!!!"),"NEW","")))</f>
        <v> </v>
      </c>
      <c r="G1588" s="23" t="str">
        <f>IF(OR(E1588="",E1588="!!!"),"",IF(OR(J1588=0,AND(J1588=1,K1588=1),AND(J1588=1,I1588="SBJ"),AND(J1588=1,I1588=0)),"?IN_FOCUS",IF(J1588&lt;=2,"?ACTIVATED",IF(J1588&lt;&gt;"","?FAMILIAR",IF(F1588="NEW",IF(ISNA(VLOOKUP(E1588,#REF!,1,FALSE())),"?TYPE_IDENTIFIABLE","?REFERENTIAL"),"_")))))</f>
        <v> </v>
      </c>
      <c r="H1588" s="24" t="str">
        <f>IF(J1588&lt;&gt;1,"",IF(I1588="SBJ","CB","?"))</f>
        <v> </v>
      </c>
      <c r="I1588" s="25" t="str">
        <f>IF(OR(E1588="",E1588="!!!",F1588="NEW"),"",INDEX(B1587:B$2,-1+SUMPRODUCT(MAX(ROW(E1587:E$2)*(E1588=E1587:E$2)))))</f>
        <v> </v>
      </c>
      <c r="J1588" s="25" t="str">
        <f>IF(OR(E1588="",E1588="!!!",F1588="NEW"),"",COUNTBLANK(OFFSET(A$1,,,SUMPRODUCT(MAX(ROW(E$2:E1588)*(E1588=E$2:E1588)))))-COUNTBLANK(OFFSET(A$1,,,SUMPRODUCT(MAX(ROW(E$1:E1587)*(E2=E$1:E1587))))))</f>
        <v> </v>
      </c>
      <c r="K1588" s="25" t="str">
        <f>IF(OR(E1588="",E1588="!!!",F1588="NEW"),"",INDEX(J$1:J1587,SUMPRODUCT(MAX(ROW(E$1:E1587)*(E1588=E$1:E1587)))))</f>
        <v> </v>
      </c>
      <c r="L1588" s="26"/>
    </row>
    <row r="1589" spans="1:12">
      <c r="A1589" s="20" t="s">
        <v>485</v>
      </c>
      <c r="B1589" s="27" t="s">
        <v>481</v>
      </c>
      <c r="C1589" s="27" t="s">
        <v>491</v>
      </c>
      <c r="D1589" s="27" t="s">
        <v>483</v>
      </c>
      <c r="E1589" s="21">
        <f>IF(D1589="?OLD","!!!","")</f>
        <v/>
      </c>
      <c r="F1589" s="22" t="str">
        <f>IF(OR(E1589="",E1589="!!!"),"",IF(NOT(ISNA(VLOOKUP(E1589,E$1:E1588,1,FALSE()))),"OLD",IF(AND(E1589&lt;&gt;"",E1589&lt;&gt;"!!!"),"NEW","")))</f>
        <v> </v>
      </c>
      <c r="G1589" s="23" t="str">
        <f>IF(OR(E1589="",E1589="!!!"),"",IF(OR(J1589=0,AND(J1589=1,K1589=1),AND(J1589=1,I1589="SBJ"),AND(J1589=1,I1589=0)),"?IN_FOCUS",IF(J1589&lt;=2,"?ACTIVATED",IF(J1589&lt;&gt;"","?FAMILIAR",IF(F1589="NEW",IF(ISNA(VLOOKUP(E1589,#REF!,1,FALSE())),"?TYPE_IDENTIFIABLE","?REFERENTIAL"),"_")))))</f>
        <v> </v>
      </c>
      <c r="H1589" s="24" t="str">
        <f>IF(J1589&lt;&gt;1,"",IF(I1589="SBJ","CB","?"))</f>
        <v> </v>
      </c>
      <c r="I1589" s="25" t="str">
        <f>IF(OR(E1589="",E1589="!!!",F1589="NEW"),"",INDEX(B1588:B$2,-1+SUMPRODUCT(MAX(ROW(E1588:E$2)*(E1589=E1588:E$2)))))</f>
        <v> </v>
      </c>
      <c r="J1589" s="25" t="str">
        <f>IF(OR(E1589="",E1589="!!!",F1589="NEW"),"",COUNTBLANK(OFFSET(A$1,,,SUMPRODUCT(MAX(ROW(E$2:E1589)*(E1589=E$2:E1589)))))-COUNTBLANK(OFFSET(A$1,,,SUMPRODUCT(MAX(ROW(E$1:E1588)*(E2=E$1:E1588))))))</f>
        <v> </v>
      </c>
      <c r="K1589" s="25" t="str">
        <f>IF(OR(E1589="",E1589="!!!",F1589="NEW"),"",INDEX(J$1:J1588,SUMPRODUCT(MAX(ROW(E$1:E1588)*(E1589=E$1:E1588)))))</f>
        <v> </v>
      </c>
      <c r="L1589" s="26"/>
    </row>
    <row r="1590" spans="1:12">
      <c r="A1590" s="20" t="s">
        <v>492</v>
      </c>
      <c r="B1590" s="27" t="s">
        <v>578</v>
      </c>
      <c r="E1590" s="21">
        <f>IF(D1590="?OLD","!!!","")</f>
        <v/>
      </c>
      <c r="F1590" s="22" t="str">
        <f>IF(OR(E1590="",E1590="!!!"),"",IF(NOT(ISNA(VLOOKUP(E1590,E$1:E1589,1,FALSE()))),"OLD",IF(AND(E1590&lt;&gt;"",E1590&lt;&gt;"!!!"),"NEW","")))</f>
        <v> </v>
      </c>
      <c r="G1590" s="23" t="str">
        <f>IF(OR(E1590="",E1590="!!!"),"",IF(OR(J1590=0,AND(J1590=1,K1590=1),AND(J1590=1,I1590="SBJ"),AND(J1590=1,I1590=0)),"?IN_FOCUS",IF(J1590&lt;=2,"?ACTIVATED",IF(J1590&lt;&gt;"","?FAMILIAR",IF(F1590="NEW",IF(ISNA(VLOOKUP(E1590,#REF!,1,FALSE())),"?TYPE_IDENTIFIABLE","?REFERENTIAL"),"_")))))</f>
        <v> </v>
      </c>
      <c r="H1590" s="24" t="str">
        <f>IF(J1590&lt;&gt;1,"",IF(I1590="SBJ","CB","?"))</f>
        <v> </v>
      </c>
      <c r="I1590" s="25" t="str">
        <f>IF(OR(E1590="",E1590="!!!",F1590="NEW"),"",INDEX(B1589:B$2,-1+SUMPRODUCT(MAX(ROW(E1589:E$2)*(E1590=E1589:E$2)))))</f>
        <v> </v>
      </c>
      <c r="J1590" s="25" t="str">
        <f>IF(OR(E1590="",E1590="!!!",F1590="NEW"),"",COUNTBLANK(OFFSET(A$1,,,SUMPRODUCT(MAX(ROW(E$2:E1590)*(E1590=E$2:E1590)))))-COUNTBLANK(OFFSET(A$1,,,SUMPRODUCT(MAX(ROW(E$1:E1589)*(E2=E$1:E1589))))))</f>
        <v> </v>
      </c>
      <c r="K1590" s="25" t="str">
        <f>IF(OR(E1590="",E1590="!!!",F1590="NEW"),"",INDEX(J$1:J1589,SUMPRODUCT(MAX(ROW(E$1:E1589)*(E1590=E$1:E1589)))))</f>
        <v> </v>
      </c>
      <c r="L1590" s="26"/>
    </row>
    <row r="1591" spans="1:12">
      <c r="A1591" s="20" t="s">
        <v>882</v>
      </c>
      <c r="E1591" s="21">
        <f>IF(D1591="?OLD","!!!","")</f>
        <v/>
      </c>
      <c r="F1591" s="22" t="str">
        <f>IF(OR(E1591="",E1591="!!!"),"",IF(NOT(ISNA(VLOOKUP(E1591,E$1:E1590,1,FALSE()))),"OLD",IF(AND(E1591&lt;&gt;"",E1591&lt;&gt;"!!!"),"NEW","")))</f>
        <v> </v>
      </c>
      <c r="G1591" s="23" t="str">
        <f>IF(OR(E1591="",E1591="!!!"),"",IF(OR(J1591=0,AND(J1591=1,K1591=1),AND(J1591=1,I1591="SBJ"),AND(J1591=1,I1591=0)),"?IN_FOCUS",IF(J1591&lt;=2,"?ACTIVATED",IF(J1591&lt;&gt;"","?FAMILIAR",IF(F1591="NEW",IF(ISNA(VLOOKUP(E1591,#REF!,1,FALSE())),"?TYPE_IDENTIFIABLE","?REFERENTIAL"),"_")))))</f>
        <v> </v>
      </c>
      <c r="H1591" s="24" t="str">
        <f>IF(J1591&lt;&gt;1,"",IF(I1591="SBJ","CB","?"))</f>
        <v> </v>
      </c>
      <c r="I1591" s="25" t="str">
        <f>IF(OR(E1591="",E1591="!!!",F1591="NEW"),"",INDEX(B1590:B$2,-1+SUMPRODUCT(MAX(ROW(E1590:E$2)*(E1591=E1590:E$2)))))</f>
        <v> </v>
      </c>
      <c r="J1591" s="25" t="str">
        <f>IF(OR(E1591="",E1591="!!!",F1591="NEW"),"",COUNTBLANK(OFFSET(A$1,,,SUMPRODUCT(MAX(ROW(E$2:E1591)*(E1591=E$2:E1591)))))-COUNTBLANK(OFFSET(A$1,,,SUMPRODUCT(MAX(ROW(E$1:E1590)*(E2=E$1:E1590))))))</f>
        <v> </v>
      </c>
      <c r="K1591" s="25" t="str">
        <f>IF(OR(E1591="",E1591="!!!",F1591="NEW"),"",INDEX(J$1:J1590,SUMPRODUCT(MAX(ROW(E$1:E1590)*(E1591=E$1:E1590)))))</f>
        <v> </v>
      </c>
      <c r="L1591" s="26"/>
    </row>
    <row r="1592" spans="1:12">
      <c r="A1592" s="20" t="s">
        <v>974</v>
      </c>
      <c r="B1592" s="27" t="s">
        <v>553</v>
      </c>
      <c r="C1592" s="27" t="s">
        <v>487</v>
      </c>
      <c r="D1592" s="27" t="s">
        <v>483</v>
      </c>
      <c r="E1592" s="21">
        <f>IF(D1592="?OLD","!!!","")</f>
        <v/>
      </c>
      <c r="F1592" s="22" t="str">
        <f>IF(OR(E1592="",E1592="!!!"),"",IF(NOT(ISNA(VLOOKUP(E1592,E$1:E1591,1,FALSE()))),"OLD",IF(AND(E1592&lt;&gt;"",E1592&lt;&gt;"!!!"),"NEW","")))</f>
        <v> </v>
      </c>
      <c r="G1592" s="23" t="str">
        <f>IF(OR(E1592="",E1592="!!!"),"",IF(OR(J1592=0,AND(J1592=1,K1592=1),AND(J1592=1,I1592="SBJ"),AND(J1592=1,I1592=0)),"?IN_FOCUS",IF(J1592&lt;=2,"?ACTIVATED",IF(J1592&lt;&gt;"","?FAMILIAR",IF(F1592="NEW",IF(ISNA(VLOOKUP(E1592,#REF!,1,FALSE())),"?TYPE_IDENTIFIABLE","?REFERENTIAL"),"_")))))</f>
        <v> </v>
      </c>
      <c r="H1592" s="24" t="str">
        <f>IF(J1592&lt;&gt;1,"",IF(I1592="SBJ","CB","?"))</f>
        <v> </v>
      </c>
      <c r="I1592" s="25" t="str">
        <f>IF(OR(E1592="",E1592="!!!",F1592="NEW"),"",INDEX(B1591:B$2,-1+SUMPRODUCT(MAX(ROW(E1591:E$2)*(E1592=E1591:E$2)))))</f>
        <v> </v>
      </c>
      <c r="J1592" s="25" t="str">
        <f>IF(OR(E1592="",E1592="!!!",F1592="NEW"),"",COUNTBLANK(OFFSET(A$1,,,SUMPRODUCT(MAX(ROW(E$2:E1592)*(E1592=E$2:E1592)))))-COUNTBLANK(OFFSET(A$1,,,SUMPRODUCT(MAX(ROW(E$1:E1591)*(E2=E$1:E1591))))))</f>
        <v> </v>
      </c>
      <c r="K1592" s="25" t="str">
        <f>IF(OR(E1592="",E1592="!!!",F1592="NEW"),"",INDEX(J$1:J1591,SUMPRODUCT(MAX(ROW(E$1:E1591)*(E1592=E$1:E1591)))))</f>
        <v> </v>
      </c>
      <c r="L1592" s="26"/>
    </row>
    <row r="1593" spans="1:12">
      <c r="A1593" s="20" t="s">
        <v>1026</v>
      </c>
      <c r="E1593" s="21">
        <f>IF(D1593="?OLD","!!!","")</f>
        <v/>
      </c>
      <c r="F1593" s="22" t="str">
        <f>IF(OR(E1593="",E1593="!!!"),"",IF(NOT(ISNA(VLOOKUP(E1593,E$1:E1592,1,FALSE()))),"OLD",IF(AND(E1593&lt;&gt;"",E1593&lt;&gt;"!!!"),"NEW","")))</f>
        <v> </v>
      </c>
      <c r="G1593" s="23" t="str">
        <f>IF(OR(E1593="",E1593="!!!"),"",IF(OR(J1593=0,AND(J1593=1,K1593=1),AND(J1593=1,I1593="SBJ"),AND(J1593=1,I1593=0)),"?IN_FOCUS",IF(J1593&lt;=2,"?ACTIVATED",IF(J1593&lt;&gt;"","?FAMILIAR",IF(F1593="NEW",IF(ISNA(VLOOKUP(E1593,#REF!,1,FALSE())),"?TYPE_IDENTIFIABLE","?REFERENTIAL"),"_")))))</f>
        <v> </v>
      </c>
      <c r="H1593" s="24" t="str">
        <f>IF(J1593&lt;&gt;1,"",IF(I1593="SBJ","CB","?"))</f>
        <v> </v>
      </c>
      <c r="I1593" s="25" t="str">
        <f>IF(OR(E1593="",E1593="!!!",F1593="NEW"),"",INDEX(B1592:B$2,-1+SUMPRODUCT(MAX(ROW(E1592:E$2)*(E1593=E1592:E$2)))))</f>
        <v> </v>
      </c>
      <c r="J1593" s="25" t="str">
        <f>IF(OR(E1593="",E1593="!!!",F1593="NEW"),"",COUNTBLANK(OFFSET(A$1,,,SUMPRODUCT(MAX(ROW(E$2:E1593)*(E1593=E$2:E1593)))))-COUNTBLANK(OFFSET(A$1,,,SUMPRODUCT(MAX(ROW(E$1:E1592)*(E2=E$1:E1592))))))</f>
        <v> </v>
      </c>
      <c r="K1593" s="25" t="str">
        <f>IF(OR(E1593="",E1593="!!!",F1593="NEW"),"",INDEX(J$1:J1592,SUMPRODUCT(MAX(ROW(E$1:E1592)*(E1593=E$1:E1592)))))</f>
        <v> </v>
      </c>
      <c r="L1593" s="26"/>
    </row>
    <row r="1594" spans="1:12">
      <c r="A1594" s="20" t="s">
        <v>752</v>
      </c>
      <c r="E1594" s="21">
        <f>IF(D1594="?OLD","!!!","")</f>
        <v/>
      </c>
      <c r="F1594" s="22" t="str">
        <f>IF(OR(E1594="",E1594="!!!"),"",IF(NOT(ISNA(VLOOKUP(E1594,E$1:E1593,1,FALSE()))),"OLD",IF(AND(E1594&lt;&gt;"",E1594&lt;&gt;"!!!"),"NEW","")))</f>
        <v> </v>
      </c>
      <c r="G1594" s="23" t="str">
        <f>IF(OR(E1594="",E1594="!!!"),"",IF(OR(J1594=0,AND(J1594=1,K1594=1),AND(J1594=1,I1594="SBJ"),AND(J1594=1,I1594=0)),"?IN_FOCUS",IF(J1594&lt;=2,"?ACTIVATED",IF(J1594&lt;&gt;"","?FAMILIAR",IF(F1594="NEW",IF(ISNA(VLOOKUP(E1594,#REF!,1,FALSE())),"?TYPE_IDENTIFIABLE","?REFERENTIAL"),"_")))))</f>
        <v> </v>
      </c>
      <c r="H1594" s="24" t="str">
        <f>IF(J1594&lt;&gt;1,"",IF(I1594="SBJ","CB","?"))</f>
        <v> </v>
      </c>
      <c r="I1594" s="25" t="str">
        <f>IF(OR(E1594="",E1594="!!!",F1594="NEW"),"",INDEX(B1593:B$2,-1+SUMPRODUCT(MAX(ROW(E1593:E$2)*(E1594=E1593:E$2)))))</f>
        <v> </v>
      </c>
      <c r="J1594" s="25" t="str">
        <f>IF(OR(E1594="",E1594="!!!",F1594="NEW"),"",COUNTBLANK(OFFSET(A$1,,,SUMPRODUCT(MAX(ROW(E$2:E1594)*(E1594=E$2:E1594)))))-COUNTBLANK(OFFSET(A$1,,,SUMPRODUCT(MAX(ROW(E$1:E1593)*(E2=E$1:E1593))))))</f>
        <v> </v>
      </c>
      <c r="K1594" s="25" t="str">
        <f>IF(OR(E1594="",E1594="!!!",F1594="NEW"),"",INDEX(J$1:J1593,SUMPRODUCT(MAX(ROW(E$1:E1593)*(E1594=E$1:E1593)))))</f>
        <v> </v>
      </c>
      <c r="L1594" s="26"/>
    </row>
    <row r="1595" spans="1:12">
      <c r="A1595" s="20" t="s">
        <v>1027</v>
      </c>
      <c r="E1595" s="21">
        <f>IF(D1595="?OLD","!!!","")</f>
        <v/>
      </c>
      <c r="F1595" s="22" t="str">
        <f>IF(OR(E1595="",E1595="!!!"),"",IF(NOT(ISNA(VLOOKUP(E1595,E$1:E1594,1,FALSE()))),"OLD",IF(AND(E1595&lt;&gt;"",E1595&lt;&gt;"!!!"),"NEW","")))</f>
        <v> </v>
      </c>
      <c r="G1595" s="23" t="str">
        <f>IF(OR(E1595="",E1595="!!!"),"",IF(OR(J1595=0,AND(J1595=1,K1595=1),AND(J1595=1,I1595="SBJ"),AND(J1595=1,I1595=0)),"?IN_FOCUS",IF(J1595&lt;=2,"?ACTIVATED",IF(J1595&lt;&gt;"","?FAMILIAR",IF(F1595="NEW",IF(ISNA(VLOOKUP(E1595,#REF!,1,FALSE())),"?TYPE_IDENTIFIABLE","?REFERENTIAL"),"_")))))</f>
        <v> </v>
      </c>
      <c r="H1595" s="24" t="str">
        <f>IF(J1595&lt;&gt;1,"",IF(I1595="SBJ","CB","?"))</f>
        <v> </v>
      </c>
      <c r="I1595" s="25" t="str">
        <f>IF(OR(E1595="",E1595="!!!",F1595="NEW"),"",INDEX(B1594:B$2,-1+SUMPRODUCT(MAX(ROW(E1594:E$2)*(E1595=E1594:E$2)))))</f>
        <v> </v>
      </c>
      <c r="J1595" s="25" t="str">
        <f>IF(OR(E1595="",E1595="!!!",F1595="NEW"),"",COUNTBLANK(OFFSET(A$1,,,SUMPRODUCT(MAX(ROW(E$2:E1595)*(E1595=E$2:E1595)))))-COUNTBLANK(OFFSET(A$1,,,SUMPRODUCT(MAX(ROW(E$1:E1594)*(E2=E$1:E1594))))))</f>
        <v> </v>
      </c>
      <c r="K1595" s="25" t="str">
        <f>IF(OR(E1595="",E1595="!!!",F1595="NEW"),"",INDEX(J$1:J1594,SUMPRODUCT(MAX(ROW(E$1:E1594)*(E1595=E$1:E1594)))))</f>
        <v> </v>
      </c>
      <c r="L1595" s="26"/>
    </row>
    <row r="1596" spans="1:12">
      <c r="A1596" s="20" t="s">
        <v>662</v>
      </c>
      <c r="B1596" s="27" t="s">
        <v>654</v>
      </c>
      <c r="C1596" s="27" t="s">
        <v>491</v>
      </c>
      <c r="D1596" s="27" t="s">
        <v>483</v>
      </c>
      <c r="E1596" s="21">
        <f>IF(D1596="?OLD","!!!","")</f>
        <v/>
      </c>
      <c r="F1596" s="22" t="str">
        <f>IF(OR(E1596="",E1596="!!!"),"",IF(NOT(ISNA(VLOOKUP(E1596,E$1:E1595,1,FALSE()))),"OLD",IF(AND(E1596&lt;&gt;"",E1596&lt;&gt;"!!!"),"NEW","")))</f>
        <v> </v>
      </c>
      <c r="G1596" s="23" t="str">
        <f>IF(OR(E1596="",E1596="!!!"),"",IF(OR(J1596=0,AND(J1596=1,K1596=1),AND(J1596=1,I1596="SBJ"),AND(J1596=1,I1596=0)),"?IN_FOCUS",IF(J1596&lt;=2,"?ACTIVATED",IF(J1596&lt;&gt;"","?FAMILIAR",IF(F1596="NEW",IF(ISNA(VLOOKUP(E1596,#REF!,1,FALSE())),"?TYPE_IDENTIFIABLE","?REFERENTIAL"),"_")))))</f>
        <v> </v>
      </c>
      <c r="H1596" s="24" t="str">
        <f>IF(J1596&lt;&gt;1,"",IF(I1596="SBJ","CB","?"))</f>
        <v> </v>
      </c>
      <c r="I1596" s="25" t="str">
        <f>IF(OR(E1596="",E1596="!!!",F1596="NEW"),"",INDEX(B1595:B$2,-1+SUMPRODUCT(MAX(ROW(E1595:E$2)*(E1596=E1595:E$2)))))</f>
        <v> </v>
      </c>
      <c r="J1596" s="25" t="str">
        <f>IF(OR(E1596="",E1596="!!!",F1596="NEW"),"",COUNTBLANK(OFFSET(A$1,,,SUMPRODUCT(MAX(ROW(E$2:E1596)*(E1596=E$2:E1596)))))-COUNTBLANK(OFFSET(A$1,,,SUMPRODUCT(MAX(ROW(E$1:E1595)*(E2=E$1:E1595))))))</f>
        <v> </v>
      </c>
      <c r="K1596" s="25" t="str">
        <f>IF(OR(E1596="",E1596="!!!",F1596="NEW"),"",INDEX(J$1:J1595,SUMPRODUCT(MAX(ROW(E$1:E1595)*(E1596=E$1:E1595)))))</f>
        <v> </v>
      </c>
      <c r="L1596" s="26"/>
    </row>
    <row r="1597" spans="1:12">
      <c r="A1597" s="20" t="s">
        <v>917</v>
      </c>
      <c r="E1597" s="21">
        <f>IF(D1597="?OLD","!!!","")</f>
        <v/>
      </c>
      <c r="F1597" s="22" t="str">
        <f>IF(OR(E1597="",E1597="!!!"),"",IF(NOT(ISNA(VLOOKUP(E1597,E$1:E1596,1,FALSE()))),"OLD",IF(AND(E1597&lt;&gt;"",E1597&lt;&gt;"!!!"),"NEW","")))</f>
        <v> </v>
      </c>
      <c r="G1597" s="23" t="str">
        <f>IF(OR(E1597="",E1597="!!!"),"",IF(OR(J1597=0,AND(J1597=1,K1597=1),AND(J1597=1,I1597="SBJ"),AND(J1597=1,I1597=0)),"?IN_FOCUS",IF(J1597&lt;=2,"?ACTIVATED",IF(J1597&lt;&gt;"","?FAMILIAR",IF(F1597="NEW",IF(ISNA(VLOOKUP(E1597,#REF!,1,FALSE())),"?TYPE_IDENTIFIABLE","?REFERENTIAL"),"_")))))</f>
        <v> </v>
      </c>
      <c r="H1597" s="24" t="str">
        <f>IF(J1597&lt;&gt;1,"",IF(I1597="SBJ","CB","?"))</f>
        <v> </v>
      </c>
      <c r="I1597" s="25" t="str">
        <f>IF(OR(E1597="",E1597="!!!",F1597="NEW"),"",INDEX(B1596:B$2,-1+SUMPRODUCT(MAX(ROW(E1596:E$2)*(E1597=E1596:E$2)))))</f>
        <v> </v>
      </c>
      <c r="J1597" s="25" t="str">
        <f>IF(OR(E1597="",E1597="!!!",F1597="NEW"),"",COUNTBLANK(OFFSET(A$1,,,SUMPRODUCT(MAX(ROW(E$2:E1597)*(E1597=E$2:E1597)))))-COUNTBLANK(OFFSET(A$1,,,SUMPRODUCT(MAX(ROW(E$1:E1596)*(E2=E$1:E1596))))))</f>
        <v> </v>
      </c>
      <c r="K1597" s="25" t="str">
        <f>IF(OR(E1597="",E1597="!!!",F1597="NEW"),"",INDEX(J$1:J1596,SUMPRODUCT(MAX(ROW(E$1:E1596)*(E1597=E$1:E1596)))))</f>
        <v> </v>
      </c>
      <c r="L1597" s="26"/>
    </row>
    <row r="1598" spans="1:12">
      <c r="A1598" s="20" t="s">
        <v>610</v>
      </c>
      <c r="E1598" s="21">
        <f>IF(D1598="?OLD","!!!","")</f>
        <v/>
      </c>
      <c r="F1598" s="22" t="str">
        <f>IF(OR(E1598="",E1598="!!!"),"",IF(NOT(ISNA(VLOOKUP(E1598,E$1:E1597,1,FALSE()))),"OLD",IF(AND(E1598&lt;&gt;"",E1598&lt;&gt;"!!!"),"NEW","")))</f>
        <v> </v>
      </c>
      <c r="G1598" s="23" t="str">
        <f>IF(OR(E1598="",E1598="!!!"),"",IF(OR(J1598=0,AND(J1598=1,K1598=1),AND(J1598=1,I1598="SBJ"),AND(J1598=1,I1598=0)),"?IN_FOCUS",IF(J1598&lt;=2,"?ACTIVATED",IF(J1598&lt;&gt;"","?FAMILIAR",IF(F1598="NEW",IF(ISNA(VLOOKUP(E1598,#REF!,1,FALSE())),"?TYPE_IDENTIFIABLE","?REFERENTIAL"),"_")))))</f>
        <v> </v>
      </c>
      <c r="H1598" s="24" t="str">
        <f>IF(J1598&lt;&gt;1,"",IF(I1598="SBJ","CB","?"))</f>
        <v> </v>
      </c>
      <c r="I1598" s="25" t="str">
        <f>IF(OR(E1598="",E1598="!!!",F1598="NEW"),"",INDEX(B1597:B$2,-1+SUMPRODUCT(MAX(ROW(E1597:E$2)*(E1598=E1597:E$2)))))</f>
        <v> </v>
      </c>
      <c r="J1598" s="25" t="str">
        <f>IF(OR(E1598="",E1598="!!!",F1598="NEW"),"",COUNTBLANK(OFFSET(A$1,,,SUMPRODUCT(MAX(ROW(E$2:E1598)*(E1598=E$2:E1598)))))-COUNTBLANK(OFFSET(A$1,,,SUMPRODUCT(MAX(ROW(E$1:E1597)*(E2=E$1:E1597))))))</f>
        <v> </v>
      </c>
      <c r="K1598" s="25" t="str">
        <f>IF(OR(E1598="",E1598="!!!",F1598="NEW"),"",INDEX(J$1:J1597,SUMPRODUCT(MAX(ROW(E$1:E1597)*(E1598=E$1:E1597)))))</f>
        <v> </v>
      </c>
      <c r="L1598" s="26"/>
    </row>
    <row r="1599" spans="1:12">
      <c r="A1599" s="20" t="s">
        <v>651</v>
      </c>
      <c r="E1599" s="21">
        <f>IF(D1599="?OLD","!!!","")</f>
        <v/>
      </c>
      <c r="F1599" s="22" t="str">
        <f>IF(OR(E1599="",E1599="!!!"),"",IF(NOT(ISNA(VLOOKUP(E1599,E$1:E1598,1,FALSE()))),"OLD",IF(AND(E1599&lt;&gt;"",E1599&lt;&gt;"!!!"),"NEW","")))</f>
        <v> </v>
      </c>
      <c r="G1599" s="23" t="str">
        <f>IF(OR(E1599="",E1599="!!!"),"",IF(OR(J1599=0,AND(J1599=1,K1599=1),AND(J1599=1,I1599="SBJ"),AND(J1599=1,I1599=0)),"?IN_FOCUS",IF(J1599&lt;=2,"?ACTIVATED",IF(J1599&lt;&gt;"","?FAMILIAR",IF(F1599="NEW",IF(ISNA(VLOOKUP(E1599,#REF!,1,FALSE())),"?TYPE_IDENTIFIABLE","?REFERENTIAL"),"_")))))</f>
        <v> </v>
      </c>
      <c r="H1599" s="24" t="str">
        <f>IF(J1599&lt;&gt;1,"",IF(I1599="SBJ","CB","?"))</f>
        <v> </v>
      </c>
      <c r="I1599" s="25" t="str">
        <f>IF(OR(E1599="",E1599="!!!",F1599="NEW"),"",INDEX(B1598:B$2,-1+SUMPRODUCT(MAX(ROW(E1598:E$2)*(E1599=E1598:E$2)))))</f>
        <v> </v>
      </c>
      <c r="J1599" s="25" t="str">
        <f>IF(OR(E1599="",E1599="!!!",F1599="NEW"),"",COUNTBLANK(OFFSET(A$1,,,SUMPRODUCT(MAX(ROW(E$2:E1599)*(E1599=E$2:E1599)))))-COUNTBLANK(OFFSET(A$1,,,SUMPRODUCT(MAX(ROW(E$1:E1598)*(E2=E$1:E1598))))))</f>
        <v> </v>
      </c>
      <c r="K1599" s="25" t="str">
        <f>IF(OR(E1599="",E1599="!!!",F1599="NEW"),"",INDEX(J$1:J1598,SUMPRODUCT(MAX(ROW(E$1:E1598)*(E1599=E$1:E1598)))))</f>
        <v> </v>
      </c>
      <c r="L1599" s="26"/>
    </row>
    <row r="1600" spans="1:12">
      <c r="A1600" s="20" t="s">
        <v>1028</v>
      </c>
      <c r="B1600" s="27" t="s">
        <v>490</v>
      </c>
      <c r="C1600" s="27" t="s">
        <v>516</v>
      </c>
      <c r="E1600" s="21">
        <f>IF(D1600="?OLD","!!!","")</f>
        <v/>
      </c>
      <c r="F1600" s="22" t="str">
        <f>IF(OR(E1600="",E1600="!!!"),"",IF(NOT(ISNA(VLOOKUP(E1600,E$1:E1599,1,FALSE()))),"OLD",IF(AND(E1600&lt;&gt;"",E1600&lt;&gt;"!!!"),"NEW","")))</f>
        <v> </v>
      </c>
      <c r="G1600" s="23" t="str">
        <f>IF(OR(E1600="",E1600="!!!"),"",IF(OR(J1600=0,AND(J1600=1,K1600=1),AND(J1600=1,I1600="SBJ"),AND(J1600=1,I1600=0)),"?IN_FOCUS",IF(J1600&lt;=2,"?ACTIVATED",IF(J1600&lt;&gt;"","?FAMILIAR",IF(F1600="NEW",IF(ISNA(VLOOKUP(E1600,#REF!,1,FALSE())),"?TYPE_IDENTIFIABLE","?REFERENTIAL"),"_")))))</f>
        <v> </v>
      </c>
      <c r="H1600" s="24" t="str">
        <f>IF(J1600&lt;&gt;1,"",IF(I1600="SBJ","CB","?"))</f>
        <v> </v>
      </c>
      <c r="I1600" s="25" t="str">
        <f>IF(OR(E1600="",E1600="!!!",F1600="NEW"),"",INDEX(B1599:B$2,-1+SUMPRODUCT(MAX(ROW(E1599:E$2)*(E1600=E1599:E$2)))))</f>
        <v> </v>
      </c>
      <c r="J1600" s="25" t="str">
        <f>IF(OR(E1600="",E1600="!!!",F1600="NEW"),"",COUNTBLANK(OFFSET(A$1,,,SUMPRODUCT(MAX(ROW(E$2:E1600)*(E1600=E$2:E1600)))))-COUNTBLANK(OFFSET(A$1,,,SUMPRODUCT(MAX(ROW(E$1:E1599)*(E2=E$1:E1599))))))</f>
        <v> </v>
      </c>
      <c r="K1600" s="25" t="str">
        <f>IF(OR(E1600="",E1600="!!!",F1600="NEW"),"",INDEX(J$1:J1599,SUMPRODUCT(MAX(ROW(E$1:E1599)*(E1600=E$1:E1599)))))</f>
        <v> </v>
      </c>
      <c r="L1600" s="26"/>
    </row>
    <row r="1601" spans="1:12">
      <c r="A1601" s="20" t="s">
        <v>492</v>
      </c>
      <c r="E1601" s="21">
        <f>IF(D1601="?OLD","!!!","")</f>
        <v/>
      </c>
      <c r="F1601" s="22" t="str">
        <f>IF(OR(E1601="",E1601="!!!"),"",IF(NOT(ISNA(VLOOKUP(E1601,E$1:E1600,1,FALSE()))),"OLD",IF(AND(E1601&lt;&gt;"",E1601&lt;&gt;"!!!"),"NEW","")))</f>
        <v> </v>
      </c>
      <c r="G1601" s="23" t="str">
        <f>IF(OR(E1601="",E1601="!!!"),"",IF(OR(J1601=0,AND(J1601=1,K1601=1),AND(J1601=1,I1601="SBJ"),AND(J1601=1,I1601=0)),"?IN_FOCUS",IF(J1601&lt;=2,"?ACTIVATED",IF(J1601&lt;&gt;"","?FAMILIAR",IF(F1601="NEW",IF(ISNA(VLOOKUP(E1601,#REF!,1,FALSE())),"?TYPE_IDENTIFIABLE","?REFERENTIAL"),"_")))))</f>
        <v> </v>
      </c>
      <c r="H1601" s="24" t="str">
        <f>IF(J1601&lt;&gt;1,"",IF(I1601="SBJ","CB","?"))</f>
        <v> </v>
      </c>
      <c r="I1601" s="25" t="str">
        <f>IF(OR(E1601="",E1601="!!!",F1601="NEW"),"",INDEX(B1600:B$2,-1+SUMPRODUCT(MAX(ROW(E1600:E$2)*(E1601=E1600:E$2)))))</f>
        <v> </v>
      </c>
      <c r="J1601" s="25" t="str">
        <f>IF(OR(E1601="",E1601="!!!",F1601="NEW"),"",COUNTBLANK(OFFSET(A$1,,,SUMPRODUCT(MAX(ROW(E$2:E1601)*(E1601=E$2:E1601)))))-COUNTBLANK(OFFSET(A$1,,,SUMPRODUCT(MAX(ROW(E$1:E1600)*(E2=E$1:E1600))))))</f>
        <v> </v>
      </c>
      <c r="K1601" s="25" t="str">
        <f>IF(OR(E1601="",E1601="!!!",F1601="NEW"),"",INDEX(J$1:J1600,SUMPRODUCT(MAX(ROW(E$1:E1600)*(E1601=E$1:E1600)))))</f>
        <v> </v>
      </c>
      <c r="L1601" s="26"/>
    </row>
    <row r="1602" spans="1:12">
      <c r="A1602" s="20" t="s">
        <v>1029</v>
      </c>
      <c r="B1602" s="27" t="s">
        <v>654</v>
      </c>
      <c r="C1602" s="27" t="s">
        <v>482</v>
      </c>
      <c r="D1602" s="27" t="s">
        <v>483</v>
      </c>
      <c r="E1602" s="21">
        <f>IF(D1602="?OLD","!!!","")</f>
        <v/>
      </c>
      <c r="F1602" s="22" t="str">
        <f>IF(OR(E1602="",E1602="!!!"),"",IF(NOT(ISNA(VLOOKUP(E1602,E$1:E1601,1,FALSE()))),"OLD",IF(AND(E1602&lt;&gt;"",E1602&lt;&gt;"!!!"),"NEW","")))</f>
        <v> </v>
      </c>
      <c r="G1602" s="23" t="str">
        <f>IF(OR(E1602="",E1602="!!!"),"",IF(OR(J1602=0,AND(J1602=1,K1602=1),AND(J1602=1,I1602="SBJ"),AND(J1602=1,I1602=0)),"?IN_FOCUS",IF(J1602&lt;=2,"?ACTIVATED",IF(J1602&lt;&gt;"","?FAMILIAR",IF(F1602="NEW",IF(ISNA(VLOOKUP(E1602,#REF!,1,FALSE())),"?TYPE_IDENTIFIABLE","?REFERENTIAL"),"_")))))</f>
        <v> </v>
      </c>
      <c r="H1602" s="24" t="str">
        <f>IF(J1602&lt;&gt;1,"",IF(I1602="SBJ","CB","?"))</f>
        <v> </v>
      </c>
      <c r="I1602" s="25" t="str">
        <f>IF(OR(E1602="",E1602="!!!",F1602="NEW"),"",INDEX(B1601:B$2,-1+SUMPRODUCT(MAX(ROW(E1601:E$2)*(E1602=E1601:E$2)))))</f>
        <v> </v>
      </c>
      <c r="J1602" s="25" t="str">
        <f>IF(OR(E1602="",E1602="!!!",F1602="NEW"),"",COUNTBLANK(OFFSET(A$1,,,SUMPRODUCT(MAX(ROW(E$2:E1602)*(E1602=E$2:E1602)))))-COUNTBLANK(OFFSET(A$1,,,SUMPRODUCT(MAX(ROW(E$1:E1601)*(E2=E$1:E1601))))))</f>
        <v> </v>
      </c>
      <c r="K1602" s="25" t="str">
        <f>IF(OR(E1602="",E1602="!!!",F1602="NEW"),"",INDEX(J$1:J1601,SUMPRODUCT(MAX(ROW(E$1:E1601)*(E1602=E$1:E1601)))))</f>
        <v> </v>
      </c>
      <c r="L1602" s="26"/>
    </row>
    <row r="1603" spans="1:12">
      <c r="A1603" s="20" t="s">
        <v>680</v>
      </c>
      <c r="E1603" s="21">
        <f>IF(D1603="?OLD","!!!","")</f>
        <v/>
      </c>
      <c r="F1603" s="22" t="str">
        <f>IF(OR(E1603="",E1603="!!!"),"",IF(NOT(ISNA(VLOOKUP(E1603,E$1:E1602,1,FALSE()))),"OLD",IF(AND(E1603&lt;&gt;"",E1603&lt;&gt;"!!!"),"NEW","")))</f>
        <v> </v>
      </c>
      <c r="G1603" s="23" t="str">
        <f>IF(OR(E1603="",E1603="!!!"),"",IF(OR(J1603=0,AND(J1603=1,K1603=1),AND(J1603=1,I1603="SBJ"),AND(J1603=1,I1603=0)),"?IN_FOCUS",IF(J1603&lt;=2,"?ACTIVATED",IF(J1603&lt;&gt;"","?FAMILIAR",IF(F1603="NEW",IF(ISNA(VLOOKUP(E1603,#REF!,1,FALSE())),"?TYPE_IDENTIFIABLE","?REFERENTIAL"),"_")))))</f>
        <v> </v>
      </c>
      <c r="H1603" s="24" t="str">
        <f>IF(J1603&lt;&gt;1,"",IF(I1603="SBJ","CB","?"))</f>
        <v> </v>
      </c>
      <c r="I1603" s="25" t="str">
        <f>IF(OR(E1603="",E1603="!!!",F1603="NEW"),"",INDEX(B1602:B$2,-1+SUMPRODUCT(MAX(ROW(E1602:E$2)*(E1603=E1602:E$2)))))</f>
        <v> </v>
      </c>
      <c r="J1603" s="25" t="str">
        <f>IF(OR(E1603="",E1603="!!!",F1603="NEW"),"",COUNTBLANK(OFFSET(A$1,,,SUMPRODUCT(MAX(ROW(E$2:E1603)*(E1603=E$2:E1603)))))-COUNTBLANK(OFFSET(A$1,,,SUMPRODUCT(MAX(ROW(E$1:E1602)*(E2=E$1:E1602))))))</f>
        <v> </v>
      </c>
      <c r="K1603" s="25" t="str">
        <f>IF(OR(E1603="",E1603="!!!",F1603="NEW"),"",INDEX(J$1:J1602,SUMPRODUCT(MAX(ROW(E$1:E1602)*(E1603=E$1:E1602)))))</f>
        <v> </v>
      </c>
      <c r="L1603" s="26"/>
    </row>
    <row r="1604" spans="1:12">
      <c r="A1604" s="20" t="s">
        <v>558</v>
      </c>
      <c r="E1604" s="21">
        <f>IF(D1604="?OLD","!!!","")</f>
        <v/>
      </c>
      <c r="F1604" s="22" t="str">
        <f>IF(OR(E1604="",E1604="!!!"),"",IF(NOT(ISNA(VLOOKUP(E1604,E$1:E1603,1,FALSE()))),"OLD",IF(AND(E1604&lt;&gt;"",E1604&lt;&gt;"!!!"),"NEW","")))</f>
        <v> </v>
      </c>
      <c r="G1604" s="23" t="str">
        <f>IF(OR(E1604="",E1604="!!!"),"",IF(OR(J1604=0,AND(J1604=1,K1604=1),AND(J1604=1,I1604="SBJ"),AND(J1604=1,I1604=0)),"?IN_FOCUS",IF(J1604&lt;=2,"?ACTIVATED",IF(J1604&lt;&gt;"","?FAMILIAR",IF(F1604="NEW",IF(ISNA(VLOOKUP(E1604,#REF!,1,FALSE())),"?TYPE_IDENTIFIABLE","?REFERENTIAL"),"_")))))</f>
        <v> </v>
      </c>
      <c r="H1604" s="24" t="str">
        <f>IF(J1604&lt;&gt;1,"",IF(I1604="SBJ","CB","?"))</f>
        <v> </v>
      </c>
      <c r="I1604" s="25" t="str">
        <f>IF(OR(E1604="",E1604="!!!",F1604="NEW"),"",INDEX(B1603:B$2,-1+SUMPRODUCT(MAX(ROW(E1603:E$2)*(E1604=E1603:E$2)))))</f>
        <v> </v>
      </c>
      <c r="J1604" s="25" t="str">
        <f>IF(OR(E1604="",E1604="!!!",F1604="NEW"),"",COUNTBLANK(OFFSET(A$1,,,SUMPRODUCT(MAX(ROW(E$2:E1604)*(E1604=E$2:E1604)))))-COUNTBLANK(OFFSET(A$1,,,SUMPRODUCT(MAX(ROW(E$1:E1603)*(E2=E$1:E1603))))))</f>
        <v> </v>
      </c>
      <c r="K1604" s="25" t="str">
        <f>IF(OR(E1604="",E1604="!!!",F1604="NEW"),"",INDEX(J$1:J1603,SUMPRODUCT(MAX(ROW(E$1:E1603)*(E1604=E$1:E1603)))))</f>
        <v> </v>
      </c>
      <c r="L1604" s="26"/>
    </row>
    <row r="1605" spans="1:12">
      <c r="A1605" s="20" t="s">
        <v>675</v>
      </c>
      <c r="E1605" s="21">
        <f>IF(D1605="?OLD","!!!","")</f>
        <v/>
      </c>
      <c r="F1605" s="22" t="str">
        <f>IF(OR(E1605="",E1605="!!!"),"",IF(NOT(ISNA(VLOOKUP(E1605,E$1:E1604,1,FALSE()))),"OLD",IF(AND(E1605&lt;&gt;"",E1605&lt;&gt;"!!!"),"NEW","")))</f>
        <v> </v>
      </c>
      <c r="G1605" s="23" t="str">
        <f>IF(OR(E1605="",E1605="!!!"),"",IF(OR(J1605=0,AND(J1605=1,K1605=1),AND(J1605=1,I1605="SBJ"),AND(J1605=1,I1605=0)),"?IN_FOCUS",IF(J1605&lt;=2,"?ACTIVATED",IF(J1605&lt;&gt;"","?FAMILIAR",IF(F1605="NEW",IF(ISNA(VLOOKUP(E1605,#REF!,1,FALSE())),"?TYPE_IDENTIFIABLE","?REFERENTIAL"),"_")))))</f>
        <v> </v>
      </c>
      <c r="H1605" s="24" t="str">
        <f>IF(J1605&lt;&gt;1,"",IF(I1605="SBJ","CB","?"))</f>
        <v> </v>
      </c>
      <c r="I1605" s="25" t="str">
        <f>IF(OR(E1605="",E1605="!!!",F1605="NEW"),"",INDEX(B1604:B$2,-1+SUMPRODUCT(MAX(ROW(E1604:E$2)*(E1605=E1604:E$2)))))</f>
        <v> </v>
      </c>
      <c r="J1605" s="25" t="str">
        <f>IF(OR(E1605="",E1605="!!!",F1605="NEW"),"",COUNTBLANK(OFFSET(A$1,,,SUMPRODUCT(MAX(ROW(E$2:E1605)*(E1605=E$2:E1605)))))-COUNTBLANK(OFFSET(A$1,,,SUMPRODUCT(MAX(ROW(E$1:E1604)*(E2=E$1:E1604))))))</f>
        <v> </v>
      </c>
      <c r="K1605" s="25" t="str">
        <f>IF(OR(E1605="",E1605="!!!",F1605="NEW"),"",INDEX(J$1:J1604,SUMPRODUCT(MAX(ROW(E$1:E1604)*(E1605=E$1:E1604)))))</f>
        <v> </v>
      </c>
      <c r="L1605" s="26"/>
    </row>
    <row r="1606" spans="1:12">
      <c r="A1606" s="20" t="s">
        <v>1030</v>
      </c>
      <c r="E1606" s="21">
        <f>IF(D1606="?OLD","!!!","")</f>
        <v/>
      </c>
      <c r="F1606" s="22" t="str">
        <f>IF(OR(E1606="",E1606="!!!"),"",IF(NOT(ISNA(VLOOKUP(E1606,E$1:E1605,1,FALSE()))),"OLD",IF(AND(E1606&lt;&gt;"",E1606&lt;&gt;"!!!"),"NEW","")))</f>
        <v> </v>
      </c>
      <c r="G1606" s="23" t="str">
        <f>IF(OR(E1606="",E1606="!!!"),"",IF(OR(J1606=0,AND(J1606=1,K1606=1),AND(J1606=1,I1606="SBJ"),AND(J1606=1,I1606=0)),"?IN_FOCUS",IF(J1606&lt;=2,"?ACTIVATED",IF(J1606&lt;&gt;"","?FAMILIAR",IF(F1606="NEW",IF(ISNA(VLOOKUP(E1606,#REF!,1,FALSE())),"?TYPE_IDENTIFIABLE","?REFERENTIAL"),"_")))))</f>
        <v> </v>
      </c>
      <c r="H1606" s="24" t="str">
        <f>IF(J1606&lt;&gt;1,"",IF(I1606="SBJ","CB","?"))</f>
        <v> </v>
      </c>
      <c r="I1606" s="25" t="str">
        <f>IF(OR(E1606="",E1606="!!!",F1606="NEW"),"",INDEX(B1605:B$2,-1+SUMPRODUCT(MAX(ROW(E1605:E$2)*(E1606=E1605:E$2)))))</f>
        <v> </v>
      </c>
      <c r="J1606" s="25" t="str">
        <f>IF(OR(E1606="",E1606="!!!",F1606="NEW"),"",COUNTBLANK(OFFSET(A$1,,,SUMPRODUCT(MAX(ROW(E$2:E1606)*(E1606=E$2:E1606)))))-COUNTBLANK(OFFSET(A$1,,,SUMPRODUCT(MAX(ROW(E$1:E1605)*(E2=E$1:E1605))))))</f>
        <v> </v>
      </c>
      <c r="K1606" s="25" t="str">
        <f>IF(OR(E1606="",E1606="!!!",F1606="NEW"),"",INDEX(J$1:J1605,SUMPRODUCT(MAX(ROW(E$1:E1605)*(E1606=E$1:E1605)))))</f>
        <v> </v>
      </c>
      <c r="L1606" s="26"/>
    </row>
    <row r="1607" spans="1:12">
      <c r="A1607" s="20" t="s">
        <v>610</v>
      </c>
      <c r="E1607" s="21">
        <f>IF(D1607="?OLD","!!!","")</f>
        <v/>
      </c>
      <c r="F1607" s="22" t="str">
        <f>IF(OR(E1607="",E1607="!!!"),"",IF(NOT(ISNA(VLOOKUP(E1607,E$1:E1606,1,FALSE()))),"OLD",IF(AND(E1607&lt;&gt;"",E1607&lt;&gt;"!!!"),"NEW","")))</f>
        <v> </v>
      </c>
      <c r="G1607" s="23" t="str">
        <f>IF(OR(E1607="",E1607="!!!"),"",IF(OR(J1607=0,AND(J1607=1,K1607=1),AND(J1607=1,I1607="SBJ"),AND(J1607=1,I1607=0)),"?IN_FOCUS",IF(J1607&lt;=2,"?ACTIVATED",IF(J1607&lt;&gt;"","?FAMILIAR",IF(F1607="NEW",IF(ISNA(VLOOKUP(E1607,#REF!,1,FALSE())),"?TYPE_IDENTIFIABLE","?REFERENTIAL"),"_")))))</f>
        <v> </v>
      </c>
      <c r="H1607" s="24" t="str">
        <f>IF(J1607&lt;&gt;1,"",IF(I1607="SBJ","CB","?"))</f>
        <v> </v>
      </c>
      <c r="I1607" s="25" t="str">
        <f>IF(OR(E1607="",E1607="!!!",F1607="NEW"),"",INDEX(B1606:B$2,-1+SUMPRODUCT(MAX(ROW(E1606:E$2)*(E1607=E1606:E$2)))))</f>
        <v> </v>
      </c>
      <c r="J1607" s="25" t="str">
        <f>IF(OR(E1607="",E1607="!!!",F1607="NEW"),"",COUNTBLANK(OFFSET(A$1,,,SUMPRODUCT(MAX(ROW(E$2:E1607)*(E1607=E$2:E1607)))))-COUNTBLANK(OFFSET(A$1,,,SUMPRODUCT(MAX(ROW(E$1:E1606)*(E2=E$1:E1606))))))</f>
        <v> </v>
      </c>
      <c r="K1607" s="25" t="str">
        <f>IF(OR(E1607="",E1607="!!!",F1607="NEW"),"",INDEX(J$1:J1606,SUMPRODUCT(MAX(ROW(E$1:E1606)*(E1607=E$1:E1606)))))</f>
        <v> </v>
      </c>
      <c r="L1607" s="26"/>
    </row>
    <row r="1608" spans="1:12">
      <c r="A1608" s="20" t="s">
        <v>500</v>
      </c>
      <c r="E1608" s="21">
        <f>IF(D1608="?OLD","!!!","")</f>
        <v/>
      </c>
      <c r="F1608" s="22" t="str">
        <f>IF(OR(E1608="",E1608="!!!"),"",IF(NOT(ISNA(VLOOKUP(E1608,E$1:E1607,1,FALSE()))),"OLD",IF(AND(E1608&lt;&gt;"",E1608&lt;&gt;"!!!"),"NEW","")))</f>
        <v> </v>
      </c>
      <c r="G1608" s="23" t="str">
        <f>IF(OR(E1608="",E1608="!!!"),"",IF(OR(J1608=0,AND(J1608=1,K1608=1),AND(J1608=1,I1608="SBJ"),AND(J1608=1,I1608=0)),"?IN_FOCUS",IF(J1608&lt;=2,"?ACTIVATED",IF(J1608&lt;&gt;"","?FAMILIAR",IF(F1608="NEW",IF(ISNA(VLOOKUP(E1608,#REF!,1,FALSE())),"?TYPE_IDENTIFIABLE","?REFERENTIAL"),"_")))))</f>
        <v> </v>
      </c>
      <c r="H1608" s="24" t="str">
        <f>IF(J1608&lt;&gt;1,"",IF(I1608="SBJ","CB","?"))</f>
        <v> </v>
      </c>
      <c r="I1608" s="25" t="str">
        <f>IF(OR(E1608="",E1608="!!!",F1608="NEW"),"",INDEX(B1607:B$2,-1+SUMPRODUCT(MAX(ROW(E1607:E$2)*(E1608=E1607:E$2)))))</f>
        <v> </v>
      </c>
      <c r="J1608" s="25" t="str">
        <f>IF(OR(E1608="",E1608="!!!",F1608="NEW"),"",COUNTBLANK(OFFSET(A$1,,,SUMPRODUCT(MAX(ROW(E$2:E1608)*(E1608=E$2:E1608)))))-COUNTBLANK(OFFSET(A$1,,,SUMPRODUCT(MAX(ROW(E$1:E1607)*(E2=E$1:E1607))))))</f>
        <v> </v>
      </c>
      <c r="K1608" s="25" t="str">
        <f>IF(OR(E1608="",E1608="!!!",F1608="NEW"),"",INDEX(J$1:J1607,SUMPRODUCT(MAX(ROW(E$1:E1607)*(E1608=E$1:E1607)))))</f>
        <v> </v>
      </c>
      <c r="L1608" s="26"/>
    </row>
    <row r="1609" spans="1:12">
      <c r="A1609" s="20" t="s">
        <v>960</v>
      </c>
      <c r="E1609" s="21">
        <f>IF(D1609="?OLD","!!!","")</f>
        <v/>
      </c>
      <c r="F1609" s="22" t="str">
        <f>IF(OR(E1609="",E1609="!!!"),"",IF(NOT(ISNA(VLOOKUP(E1609,E$1:E1608,1,FALSE()))),"OLD",IF(AND(E1609&lt;&gt;"",E1609&lt;&gt;"!!!"),"NEW","")))</f>
        <v> </v>
      </c>
      <c r="G1609" s="23" t="str">
        <f>IF(OR(E1609="",E1609="!!!"),"",IF(OR(J1609=0,AND(J1609=1,K1609=1),AND(J1609=1,I1609="SBJ"),AND(J1609=1,I1609=0)),"?IN_FOCUS",IF(J1609&lt;=2,"?ACTIVATED",IF(J1609&lt;&gt;"","?FAMILIAR",IF(F1609="NEW",IF(ISNA(VLOOKUP(E1609,#REF!,1,FALSE())),"?TYPE_IDENTIFIABLE","?REFERENTIAL"),"_")))))</f>
        <v> </v>
      </c>
      <c r="H1609" s="24" t="str">
        <f>IF(J1609&lt;&gt;1,"",IF(I1609="SBJ","CB","?"))</f>
        <v> </v>
      </c>
      <c r="I1609" s="25" t="str">
        <f>IF(OR(E1609="",E1609="!!!",F1609="NEW"),"",INDEX(B1608:B$2,-1+SUMPRODUCT(MAX(ROW(E1608:E$2)*(E1609=E1608:E$2)))))</f>
        <v> </v>
      </c>
      <c r="J1609" s="25" t="str">
        <f>IF(OR(E1609="",E1609="!!!",F1609="NEW"),"",COUNTBLANK(OFFSET(A$1,,,SUMPRODUCT(MAX(ROW(E$2:E1609)*(E1609=E$2:E1609)))))-COUNTBLANK(OFFSET(A$1,,,SUMPRODUCT(MAX(ROW(E$1:E1608)*(E2=E$1:E1608))))))</f>
        <v> </v>
      </c>
      <c r="K1609" s="25" t="str">
        <f>IF(OR(E1609="",E1609="!!!",F1609="NEW"),"",INDEX(J$1:J1608,SUMPRODUCT(MAX(ROW(E$1:E1608)*(E1609=E$1:E1608)))))</f>
        <v> </v>
      </c>
      <c r="L1609" s="26"/>
    </row>
    <row r="1610" spans="1:12">
      <c r="A1610" s="20" t="s">
        <v>503</v>
      </c>
      <c r="E1610" s="21">
        <f>IF(D1610="?OLD","!!!","")</f>
        <v/>
      </c>
      <c r="F1610" s="22" t="str">
        <f>IF(OR(E1610="",E1610="!!!"),"",IF(NOT(ISNA(VLOOKUP(E1610,E$1:E1609,1,FALSE()))),"OLD",IF(AND(E1610&lt;&gt;"",E1610&lt;&gt;"!!!"),"NEW","")))</f>
        <v> </v>
      </c>
      <c r="G1610" s="23" t="str">
        <f>IF(OR(E1610="",E1610="!!!"),"",IF(OR(J1610=0,AND(J1610=1,K1610=1),AND(J1610=1,I1610="SBJ"),AND(J1610=1,I1610=0)),"?IN_FOCUS",IF(J1610&lt;=2,"?ACTIVATED",IF(J1610&lt;&gt;"","?FAMILIAR",IF(F1610="NEW",IF(ISNA(VLOOKUP(E1610,#REF!,1,FALSE())),"?TYPE_IDENTIFIABLE","?REFERENTIAL"),"_")))))</f>
        <v> </v>
      </c>
      <c r="H1610" s="24" t="str">
        <f>IF(J1610&lt;&gt;1,"",IF(I1610="SBJ","CB","?"))</f>
        <v> </v>
      </c>
      <c r="I1610" s="25" t="str">
        <f>IF(OR(E1610="",E1610="!!!",F1610="NEW"),"",INDEX(B1609:B$2,-1+SUMPRODUCT(MAX(ROW(E1609:E$2)*(E1610=E1609:E$2)))))</f>
        <v> </v>
      </c>
      <c r="J1610" s="25" t="str">
        <f>IF(OR(E1610="",E1610="!!!",F1610="NEW"),"",COUNTBLANK(OFFSET(A$1,,,SUMPRODUCT(MAX(ROW(E$2:E1610)*(E1610=E$2:E1610)))))-COUNTBLANK(OFFSET(A$1,,,SUMPRODUCT(MAX(ROW(E$1:E1609)*(E2=E$1:E1609))))))</f>
        <v> </v>
      </c>
      <c r="K1610" s="25" t="str">
        <f>IF(OR(E1610="",E1610="!!!",F1610="NEW"),"",INDEX(J$1:J1609,SUMPRODUCT(MAX(ROW(E$1:E1609)*(E1610=E$1:E1609)))))</f>
        <v> </v>
      </c>
      <c r="L1610" s="26"/>
    </row>
    <row r="1611" spans="1:12">
      <c r="A1611" s="20" t="s">
        <v>1031</v>
      </c>
      <c r="E1611" s="21">
        <f>IF(D1611="?OLD","!!!","")</f>
        <v/>
      </c>
      <c r="F1611" s="22" t="str">
        <f>IF(OR(E1611="",E1611="!!!"),"",IF(NOT(ISNA(VLOOKUP(E1611,E$1:E1610,1,FALSE()))),"OLD",IF(AND(E1611&lt;&gt;"",E1611&lt;&gt;"!!!"),"NEW","")))</f>
        <v> </v>
      </c>
      <c r="G1611" s="23" t="str">
        <f>IF(OR(E1611="",E1611="!!!"),"",IF(OR(J1611=0,AND(J1611=1,K1611=1),AND(J1611=1,I1611="SBJ"),AND(J1611=1,I1611=0)),"?IN_FOCUS",IF(J1611&lt;=2,"?ACTIVATED",IF(J1611&lt;&gt;"","?FAMILIAR",IF(F1611="NEW",IF(ISNA(VLOOKUP(E1611,#REF!,1,FALSE())),"?TYPE_IDENTIFIABLE","?REFERENTIAL"),"_")))))</f>
        <v> </v>
      </c>
      <c r="H1611" s="24" t="str">
        <f>IF(J1611&lt;&gt;1,"",IF(I1611="SBJ","CB","?"))</f>
        <v> </v>
      </c>
      <c r="I1611" s="25" t="str">
        <f>IF(OR(E1611="",E1611="!!!",F1611="NEW"),"",INDEX(B1610:B$2,-1+SUMPRODUCT(MAX(ROW(E1610:E$2)*(E1611=E1610:E$2)))))</f>
        <v> </v>
      </c>
      <c r="J1611" s="25" t="str">
        <f>IF(OR(E1611="",E1611="!!!",F1611="NEW"),"",COUNTBLANK(OFFSET(A$1,,,SUMPRODUCT(MAX(ROW(E$2:E1611)*(E1611=E$2:E1611)))))-COUNTBLANK(OFFSET(A$1,,,SUMPRODUCT(MAX(ROW(E$1:E1610)*(E2=E$1:E1610))))))</f>
        <v> </v>
      </c>
      <c r="K1611" s="25" t="str">
        <f>IF(OR(E1611="",E1611="!!!",F1611="NEW"),"",INDEX(J$1:J1610,SUMPRODUCT(MAX(ROW(E$1:E1610)*(E1611=E$1:E1610)))))</f>
        <v> </v>
      </c>
      <c r="L1611" s="26"/>
    </row>
    <row r="1612" spans="1:12">
      <c r="A1612" s="20" t="s">
        <v>955</v>
      </c>
      <c r="B1612" s="27" t="s">
        <v>497</v>
      </c>
      <c r="C1612" s="27" t="s">
        <v>487</v>
      </c>
      <c r="D1612" s="27" t="s">
        <v>483</v>
      </c>
      <c r="E1612" s="21">
        <f>IF(D1612="?OLD","!!!","")</f>
        <v/>
      </c>
      <c r="F1612" s="22" t="str">
        <f>IF(OR(E1612="",E1612="!!!"),"",IF(NOT(ISNA(VLOOKUP(E1612,E$1:E1611,1,FALSE()))),"OLD",IF(AND(E1612&lt;&gt;"",E1612&lt;&gt;"!!!"),"NEW","")))</f>
        <v> </v>
      </c>
      <c r="G1612" s="23" t="str">
        <f>IF(OR(E1612="",E1612="!!!"),"",IF(OR(J1612=0,AND(J1612=1,K1612=1),AND(J1612=1,I1612="SBJ"),AND(J1612=1,I1612=0)),"?IN_FOCUS",IF(J1612&lt;=2,"?ACTIVATED",IF(J1612&lt;&gt;"","?FAMILIAR",IF(F1612="NEW",IF(ISNA(VLOOKUP(E1612,#REF!,1,FALSE())),"?TYPE_IDENTIFIABLE","?REFERENTIAL"),"_")))))</f>
        <v> </v>
      </c>
      <c r="H1612" s="24" t="str">
        <f>IF(J1612&lt;&gt;1,"",IF(I1612="SBJ","CB","?"))</f>
        <v> </v>
      </c>
      <c r="I1612" s="25" t="str">
        <f>IF(OR(E1612="",E1612="!!!",F1612="NEW"),"",INDEX(B1611:B$2,-1+SUMPRODUCT(MAX(ROW(E1611:E$2)*(E1612=E1611:E$2)))))</f>
        <v> </v>
      </c>
      <c r="J1612" s="25" t="str">
        <f>IF(OR(E1612="",E1612="!!!",F1612="NEW"),"",COUNTBLANK(OFFSET(A$1,,,SUMPRODUCT(MAX(ROW(E$2:E1612)*(E1612=E$2:E1612)))))-COUNTBLANK(OFFSET(A$1,,,SUMPRODUCT(MAX(ROW(E$1:E1611)*(E2=E$1:E1611))))))</f>
        <v> </v>
      </c>
      <c r="K1612" s="25" t="str">
        <f>IF(OR(E1612="",E1612="!!!",F1612="NEW"),"",INDEX(J$1:J1611,SUMPRODUCT(MAX(ROW(E$1:E1611)*(E1612=E$1:E1611)))))</f>
        <v> </v>
      </c>
      <c r="L1612" s="26"/>
    </row>
    <row r="1613" spans="1:12">
      <c r="A1613" s="20" t="s">
        <v>500</v>
      </c>
      <c r="E1613" s="21">
        <f>IF(D1613="?OLD","!!!","")</f>
        <v/>
      </c>
      <c r="F1613" s="22" t="str">
        <f>IF(OR(E1613="",E1613="!!!"),"",IF(NOT(ISNA(VLOOKUP(E1613,E$1:E1612,1,FALSE()))),"OLD",IF(AND(E1613&lt;&gt;"",E1613&lt;&gt;"!!!"),"NEW","")))</f>
        <v> </v>
      </c>
      <c r="G1613" s="23" t="str">
        <f>IF(OR(E1613="",E1613="!!!"),"",IF(OR(J1613=0,AND(J1613=1,K1613=1),AND(J1613=1,I1613="SBJ"),AND(J1613=1,I1613=0)),"?IN_FOCUS",IF(J1613&lt;=2,"?ACTIVATED",IF(J1613&lt;&gt;"","?FAMILIAR",IF(F1613="NEW",IF(ISNA(VLOOKUP(E1613,#REF!,1,FALSE())),"?TYPE_IDENTIFIABLE","?REFERENTIAL"),"_")))))</f>
        <v> </v>
      </c>
      <c r="H1613" s="24" t="str">
        <f>IF(J1613&lt;&gt;1,"",IF(I1613="SBJ","CB","?"))</f>
        <v> </v>
      </c>
      <c r="I1613" s="25" t="str">
        <f>IF(OR(E1613="",E1613="!!!",F1613="NEW"),"",INDEX(B1612:B$2,-1+SUMPRODUCT(MAX(ROW(E1612:E$2)*(E1613=E1612:E$2)))))</f>
        <v> </v>
      </c>
      <c r="J1613" s="25" t="str">
        <f>IF(OR(E1613="",E1613="!!!",F1613="NEW"),"",COUNTBLANK(OFFSET(A$1,,,SUMPRODUCT(MAX(ROW(E$2:E1613)*(E1613=E$2:E1613)))))-COUNTBLANK(OFFSET(A$1,,,SUMPRODUCT(MAX(ROW(E$1:E1612)*(E2=E$1:E1612))))))</f>
        <v> </v>
      </c>
      <c r="K1613" s="25" t="str">
        <f>IF(OR(E1613="",E1613="!!!",F1613="NEW"),"",INDEX(J$1:J1612,SUMPRODUCT(MAX(ROW(E$1:E1612)*(E1613=E$1:E1612)))))</f>
        <v> </v>
      </c>
      <c r="L1613" s="26"/>
    </row>
    <row r="1614" spans="1:12">
      <c r="A1614" s="20" t="s">
        <v>507</v>
      </c>
      <c r="E1614" s="21">
        <f>IF(D1614="?OLD","!!!","")</f>
        <v/>
      </c>
      <c r="F1614" s="22" t="str">
        <f>IF(OR(E1614="",E1614="!!!"),"",IF(NOT(ISNA(VLOOKUP(E1614,E$1:E1613,1,FALSE()))),"OLD",IF(AND(E1614&lt;&gt;"",E1614&lt;&gt;"!!!"),"NEW","")))</f>
        <v> </v>
      </c>
      <c r="G1614" s="23" t="str">
        <f>IF(OR(E1614="",E1614="!!!"),"",IF(OR(J1614=0,AND(J1614=1,K1614=1),AND(J1614=1,I1614="SBJ"),AND(J1614=1,I1614=0)),"?IN_FOCUS",IF(J1614&lt;=2,"?ACTIVATED",IF(J1614&lt;&gt;"","?FAMILIAR",IF(F1614="NEW",IF(ISNA(VLOOKUP(E1614,#REF!,1,FALSE())),"?TYPE_IDENTIFIABLE","?REFERENTIAL"),"_")))))</f>
        <v> </v>
      </c>
      <c r="H1614" s="24" t="str">
        <f>IF(J1614&lt;&gt;1,"",IF(I1614="SBJ","CB","?"))</f>
        <v> </v>
      </c>
      <c r="I1614" s="25" t="str">
        <f>IF(OR(E1614="",E1614="!!!",F1614="NEW"),"",INDEX(B1613:B$2,-1+SUMPRODUCT(MAX(ROW(E1613:E$2)*(E1614=E1613:E$2)))))</f>
        <v> </v>
      </c>
      <c r="J1614" s="25" t="str">
        <f>IF(OR(E1614="",E1614="!!!",F1614="NEW"),"",COUNTBLANK(OFFSET(A$1,,,SUMPRODUCT(MAX(ROW(E$2:E1614)*(E1614=E$2:E1614)))))-COUNTBLANK(OFFSET(A$1,,,SUMPRODUCT(MAX(ROW(E$1:E1613)*(E2=E$1:E1613))))))</f>
        <v> </v>
      </c>
      <c r="K1614" s="25" t="str">
        <f>IF(OR(E1614="",E1614="!!!",F1614="NEW"),"",INDEX(J$1:J1613,SUMPRODUCT(MAX(ROW(E$1:E1613)*(E1614=E$1:E1613)))))</f>
        <v> </v>
      </c>
      <c r="L1614" s="26"/>
    </row>
    <row r="1615" spans="1:12">
      <c r="A1615" s="20" t="s">
        <v>508</v>
      </c>
      <c r="B1615" s="27" t="s">
        <v>502</v>
      </c>
      <c r="C1615" s="27" t="s">
        <v>482</v>
      </c>
      <c r="D1615" s="27" t="s">
        <v>483</v>
      </c>
      <c r="E1615" s="21">
        <f>IF(D1615="?OLD","!!!","")</f>
        <v/>
      </c>
      <c r="F1615" s="22" t="str">
        <f>IF(OR(E1615="",E1615="!!!"),"",IF(NOT(ISNA(VLOOKUP(E1615,E$1:E1614,1,FALSE()))),"OLD",IF(AND(E1615&lt;&gt;"",E1615&lt;&gt;"!!!"),"NEW","")))</f>
        <v> </v>
      </c>
      <c r="G1615" s="23" t="str">
        <f>IF(OR(E1615="",E1615="!!!"),"",IF(OR(J1615=0,AND(J1615=1,K1615=1),AND(J1615=1,I1615="SBJ"),AND(J1615=1,I1615=0)),"?IN_FOCUS",IF(J1615&lt;=2,"?ACTIVATED",IF(J1615&lt;&gt;"","?FAMILIAR",IF(F1615="NEW",IF(ISNA(VLOOKUP(E1615,#REF!,1,FALSE())),"?TYPE_IDENTIFIABLE","?REFERENTIAL"),"_")))))</f>
        <v> </v>
      </c>
      <c r="H1615" s="24" t="str">
        <f>IF(J1615&lt;&gt;1,"",IF(I1615="SBJ","CB","?"))</f>
        <v> </v>
      </c>
      <c r="I1615" s="25" t="str">
        <f>IF(OR(E1615="",E1615="!!!",F1615="NEW"),"",INDEX(B1614:B$2,-1+SUMPRODUCT(MAX(ROW(E1614:E$2)*(E1615=E1614:E$2)))))</f>
        <v> </v>
      </c>
      <c r="J1615" s="25" t="str">
        <f>IF(OR(E1615="",E1615="!!!",F1615="NEW"),"",COUNTBLANK(OFFSET(A$1,,,SUMPRODUCT(MAX(ROW(E$2:E1615)*(E1615=E$2:E1615)))))-COUNTBLANK(OFFSET(A$1,,,SUMPRODUCT(MAX(ROW(E$1:E1614)*(E2=E$1:E1614))))))</f>
        <v> </v>
      </c>
      <c r="K1615" s="25" t="str">
        <f>IF(OR(E1615="",E1615="!!!",F1615="NEW"),"",INDEX(J$1:J1614,SUMPRODUCT(MAX(ROW(E$1:E1614)*(E1615=E$1:E1614)))))</f>
        <v> </v>
      </c>
      <c r="L1615" s="26"/>
    </row>
    <row r="1616" spans="1:12">
      <c r="A1616" s="20" t="s">
        <v>1032</v>
      </c>
      <c r="E1616" s="21">
        <f>IF(D1616="?OLD","!!!","")</f>
        <v/>
      </c>
      <c r="F1616" s="22" t="str">
        <f>IF(OR(E1616="",E1616="!!!"),"",IF(NOT(ISNA(VLOOKUP(E1616,E$1:E1615,1,FALSE()))),"OLD",IF(AND(E1616&lt;&gt;"",E1616&lt;&gt;"!!!"),"NEW","")))</f>
        <v> </v>
      </c>
      <c r="G1616" s="23" t="str">
        <f>IF(OR(E1616="",E1616="!!!"),"",IF(OR(J1616=0,AND(J1616=1,K1616=1),AND(J1616=1,I1616="SBJ"),AND(J1616=1,I1616=0)),"?IN_FOCUS",IF(J1616&lt;=2,"?ACTIVATED",IF(J1616&lt;&gt;"","?FAMILIAR",IF(F1616="NEW",IF(ISNA(VLOOKUP(E1616,#REF!,1,FALSE())),"?TYPE_IDENTIFIABLE","?REFERENTIAL"),"_")))))</f>
        <v> </v>
      </c>
      <c r="H1616" s="24" t="str">
        <f>IF(J1616&lt;&gt;1,"",IF(I1616="SBJ","CB","?"))</f>
        <v> </v>
      </c>
      <c r="I1616" s="25" t="str">
        <f>IF(OR(E1616="",E1616="!!!",F1616="NEW"),"",INDEX(B1615:B$2,-1+SUMPRODUCT(MAX(ROW(E1615:E$2)*(E1616=E1615:E$2)))))</f>
        <v> </v>
      </c>
      <c r="J1616" s="25" t="str">
        <f>IF(OR(E1616="",E1616="!!!",F1616="NEW"),"",COUNTBLANK(OFFSET(A$1,,,SUMPRODUCT(MAX(ROW(E$2:E1616)*(E1616=E$2:E1616)))))-COUNTBLANK(OFFSET(A$1,,,SUMPRODUCT(MAX(ROW(E$1:E1615)*(E2=E$1:E1615))))))</f>
        <v> </v>
      </c>
      <c r="K1616" s="25" t="str">
        <f>IF(OR(E1616="",E1616="!!!",F1616="NEW"),"",INDEX(J$1:J1615,SUMPRODUCT(MAX(ROW(E$1:E1615)*(E1616=E$1:E1615)))))</f>
        <v> </v>
      </c>
      <c r="L1616" s="26"/>
    </row>
    <row r="1617" spans="1:12">
      <c r="A1617" s="20" t="s">
        <v>484</v>
      </c>
      <c r="E1617" s="21">
        <f>IF(D1617="?OLD","!!!","")</f>
        <v/>
      </c>
      <c r="F1617" s="22" t="str">
        <f>IF(OR(E1617="",E1617="!!!"),"",IF(NOT(ISNA(VLOOKUP(E1617,E$1:E1616,1,FALSE()))),"OLD",IF(AND(E1617&lt;&gt;"",E1617&lt;&gt;"!!!"),"NEW","")))</f>
        <v> </v>
      </c>
      <c r="G1617" s="23" t="str">
        <f>IF(OR(E1617="",E1617="!!!"),"",IF(OR(J1617=0,AND(J1617=1,K1617=1),AND(J1617=1,I1617="SBJ"),AND(J1617=1,I1617=0)),"?IN_FOCUS",IF(J1617&lt;=2,"?ACTIVATED",IF(J1617&lt;&gt;"","?FAMILIAR",IF(F1617="NEW",IF(ISNA(VLOOKUP(E1617,#REF!,1,FALSE())),"?TYPE_IDENTIFIABLE","?REFERENTIAL"),"_")))))</f>
        <v> </v>
      </c>
      <c r="H1617" s="24" t="str">
        <f>IF(J1617&lt;&gt;1,"",IF(I1617="SBJ","CB","?"))</f>
        <v> </v>
      </c>
      <c r="I1617" s="25" t="str">
        <f>IF(OR(E1617="",E1617="!!!",F1617="NEW"),"",INDEX(B1616:B$2,-1+SUMPRODUCT(MAX(ROW(E1616:E$2)*(E1617=E1616:E$2)))))</f>
        <v> </v>
      </c>
      <c r="J1617" s="25" t="str">
        <f>IF(OR(E1617="",E1617="!!!",F1617="NEW"),"",COUNTBLANK(OFFSET(A$1,,,SUMPRODUCT(MAX(ROW(E$2:E1617)*(E1617=E$2:E1617)))))-COUNTBLANK(OFFSET(A$1,,,SUMPRODUCT(MAX(ROW(E$1:E1616)*(E2=E$1:E1616))))))</f>
        <v> </v>
      </c>
      <c r="K1617" s="25" t="str">
        <f>IF(OR(E1617="",E1617="!!!",F1617="NEW"),"",INDEX(J$1:J1616,SUMPRODUCT(MAX(ROW(E$1:E1616)*(E1617=E$1:E1616)))))</f>
        <v> </v>
      </c>
      <c r="L1617" s="26"/>
    </row>
    <row r="1618" spans="1:12">
      <c r="A1618" s="20" t="s">
        <v>972</v>
      </c>
      <c r="E1618" s="21">
        <f>IF(D1618="?OLD","!!!","")</f>
        <v/>
      </c>
      <c r="F1618" s="22" t="str">
        <f>IF(OR(E1618="",E1618="!!!"),"",IF(NOT(ISNA(VLOOKUP(E1618,E$1:E1617,1,FALSE()))),"OLD",IF(AND(E1618&lt;&gt;"",E1618&lt;&gt;"!!!"),"NEW","")))</f>
        <v> </v>
      </c>
      <c r="G1618" s="23" t="str">
        <f>IF(OR(E1618="",E1618="!!!"),"",IF(OR(J1618=0,AND(J1618=1,K1618=1),AND(J1618=1,I1618="SBJ"),AND(J1618=1,I1618=0)),"?IN_FOCUS",IF(J1618&lt;=2,"?ACTIVATED",IF(J1618&lt;&gt;"","?FAMILIAR",IF(F1618="NEW",IF(ISNA(VLOOKUP(E1618,#REF!,1,FALSE())),"?TYPE_IDENTIFIABLE","?REFERENTIAL"),"_")))))</f>
        <v> </v>
      </c>
      <c r="H1618" s="24" t="str">
        <f>IF(J1618&lt;&gt;1,"",IF(I1618="SBJ","CB","?"))</f>
        <v> </v>
      </c>
      <c r="I1618" s="25" t="str">
        <f>IF(OR(E1618="",E1618="!!!",F1618="NEW"),"",INDEX(B1617:B$2,-1+SUMPRODUCT(MAX(ROW(E1617:E$2)*(E1618=E1617:E$2)))))</f>
        <v> </v>
      </c>
      <c r="J1618" s="25" t="str">
        <f>IF(OR(E1618="",E1618="!!!",F1618="NEW"),"",COUNTBLANK(OFFSET(A$1,,,SUMPRODUCT(MAX(ROW(E$2:E1618)*(E1618=E$2:E1618)))))-COUNTBLANK(OFFSET(A$1,,,SUMPRODUCT(MAX(ROW(E$1:E1617)*(E2=E$1:E1617))))))</f>
        <v> </v>
      </c>
      <c r="K1618" s="25" t="str">
        <f>IF(OR(E1618="",E1618="!!!",F1618="NEW"),"",INDEX(J$1:J1617,SUMPRODUCT(MAX(ROW(E$1:E1617)*(E1618=E$1:E1617)))))</f>
        <v> </v>
      </c>
      <c r="L1618" s="26"/>
    </row>
    <row r="1619" spans="1:12">
      <c r="A1619" s="20" t="s">
        <v>1033</v>
      </c>
      <c r="B1619" s="27" t="s">
        <v>736</v>
      </c>
      <c r="C1619" s="27" t="s">
        <v>478</v>
      </c>
      <c r="E1619" s="21">
        <f>IF(D1619="?OLD","!!!","")</f>
        <v/>
      </c>
      <c r="F1619" s="22" t="str">
        <f>IF(OR(E1619="",E1619="!!!"),"",IF(NOT(ISNA(VLOOKUP(E1619,E$1:E1618,1,FALSE()))),"OLD",IF(AND(E1619&lt;&gt;"",E1619&lt;&gt;"!!!"),"NEW","")))</f>
        <v> </v>
      </c>
      <c r="G1619" s="23" t="str">
        <f>IF(OR(E1619="",E1619="!!!"),"",IF(OR(J1619=0,AND(J1619=1,K1619=1),AND(J1619=1,I1619="SBJ"),AND(J1619=1,I1619=0)),"?IN_FOCUS",IF(J1619&lt;=2,"?ACTIVATED",IF(J1619&lt;&gt;"","?FAMILIAR",IF(F1619="NEW",IF(ISNA(VLOOKUP(E1619,#REF!,1,FALSE())),"?TYPE_IDENTIFIABLE","?REFERENTIAL"),"_")))))</f>
        <v> </v>
      </c>
      <c r="H1619" s="24" t="str">
        <f>IF(J1619&lt;&gt;1,"",IF(I1619="SBJ","CB","?"))</f>
        <v> </v>
      </c>
      <c r="I1619" s="25" t="str">
        <f>IF(OR(E1619="",E1619="!!!",F1619="NEW"),"",INDEX(B1618:B$2,-1+SUMPRODUCT(MAX(ROW(E1618:E$2)*(E1619=E1618:E$2)))))</f>
        <v> </v>
      </c>
      <c r="J1619" s="25" t="str">
        <f>IF(OR(E1619="",E1619="!!!",F1619="NEW"),"",COUNTBLANK(OFFSET(A$1,,,SUMPRODUCT(MAX(ROW(E$2:E1619)*(E1619=E$2:E1619)))))-COUNTBLANK(OFFSET(A$1,,,SUMPRODUCT(MAX(ROW(E$1:E1618)*(E2=E$1:E1618))))))</f>
        <v> </v>
      </c>
      <c r="K1619" s="25" t="str">
        <f>IF(OR(E1619="",E1619="!!!",F1619="NEW"),"",INDEX(J$1:J1618,SUMPRODUCT(MAX(ROW(E$1:E1618)*(E1619=E$1:E1618)))))</f>
        <v> </v>
      </c>
      <c r="L1619" s="26"/>
    </row>
    <row r="1620" spans="1:12">
      <c r="A1620" s="20" t="s">
        <v>531</v>
      </c>
      <c r="E1620" s="21">
        <f>IF(D1620="?OLD","!!!","")</f>
        <v/>
      </c>
      <c r="F1620" s="22" t="str">
        <f>IF(OR(E1620="",E1620="!!!"),"",IF(NOT(ISNA(VLOOKUP(E1620,E$1:E1619,1,FALSE()))),"OLD",IF(AND(E1620&lt;&gt;"",E1620&lt;&gt;"!!!"),"NEW","")))</f>
        <v> </v>
      </c>
      <c r="G1620" s="23" t="str">
        <f>IF(OR(E1620="",E1620="!!!"),"",IF(OR(J1620=0,AND(J1620=1,K1620=1),AND(J1620=1,I1620="SBJ"),AND(J1620=1,I1620=0)),"?IN_FOCUS",IF(J1620&lt;=2,"?ACTIVATED",IF(J1620&lt;&gt;"","?FAMILIAR",IF(F1620="NEW",IF(ISNA(VLOOKUP(E1620,#REF!,1,FALSE())),"?TYPE_IDENTIFIABLE","?REFERENTIAL"),"_")))))</f>
        <v> </v>
      </c>
      <c r="H1620" s="24" t="str">
        <f>IF(J1620&lt;&gt;1,"",IF(I1620="SBJ","CB","?"))</f>
        <v> </v>
      </c>
      <c r="I1620" s="25" t="str">
        <f>IF(OR(E1620="",E1620="!!!",F1620="NEW"),"",INDEX(B1619:B$2,-1+SUMPRODUCT(MAX(ROW(E1619:E$2)*(E1620=E1619:E$2)))))</f>
        <v> </v>
      </c>
      <c r="J1620" s="25" t="str">
        <f>IF(OR(E1620="",E1620="!!!",F1620="NEW"),"",COUNTBLANK(OFFSET(A$1,,,SUMPRODUCT(MAX(ROW(E$2:E1620)*(E1620=E$2:E1620)))))-COUNTBLANK(OFFSET(A$1,,,SUMPRODUCT(MAX(ROW(E$1:E1619)*(E2=E$1:E1619))))))</f>
        <v> </v>
      </c>
      <c r="K1620" s="25" t="str">
        <f>IF(OR(E1620="",E1620="!!!",F1620="NEW"),"",INDEX(J$1:J1619,SUMPRODUCT(MAX(ROW(E$1:E1619)*(E1620=E$1:E1619)))))</f>
        <v> </v>
      </c>
      <c r="L1620" s="26"/>
    </row>
    <row r="1621" spans="1:12">
      <c r="A1621" s="20" t="s">
        <v>610</v>
      </c>
      <c r="E1621" s="21">
        <f>IF(D1621="?OLD","!!!","")</f>
        <v/>
      </c>
      <c r="F1621" s="22" t="str">
        <f>IF(OR(E1621="",E1621="!!!"),"",IF(NOT(ISNA(VLOOKUP(E1621,E$1:E1620,1,FALSE()))),"OLD",IF(AND(E1621&lt;&gt;"",E1621&lt;&gt;"!!!"),"NEW","")))</f>
        <v> </v>
      </c>
      <c r="G1621" s="23" t="str">
        <f>IF(OR(E1621="",E1621="!!!"),"",IF(OR(J1621=0,AND(J1621=1,K1621=1),AND(J1621=1,I1621="SBJ"),AND(J1621=1,I1621=0)),"?IN_FOCUS",IF(J1621&lt;=2,"?ACTIVATED",IF(J1621&lt;&gt;"","?FAMILIAR",IF(F1621="NEW",IF(ISNA(VLOOKUP(E1621,#REF!,1,FALSE())),"?TYPE_IDENTIFIABLE","?REFERENTIAL"),"_")))))</f>
        <v> </v>
      </c>
      <c r="H1621" s="24" t="str">
        <f>IF(J1621&lt;&gt;1,"",IF(I1621="SBJ","CB","?"))</f>
        <v> </v>
      </c>
      <c r="I1621" s="25" t="str">
        <f>IF(OR(E1621="",E1621="!!!",F1621="NEW"),"",INDEX(B1620:B$2,-1+SUMPRODUCT(MAX(ROW(E1620:E$2)*(E1621=E1620:E$2)))))</f>
        <v> </v>
      </c>
      <c r="J1621" s="25" t="str">
        <f>IF(OR(E1621="",E1621="!!!",F1621="NEW"),"",COUNTBLANK(OFFSET(A$1,,,SUMPRODUCT(MAX(ROW(E$2:E1621)*(E1621=E$2:E1621)))))-COUNTBLANK(OFFSET(A$1,,,SUMPRODUCT(MAX(ROW(E$1:E1620)*(E2=E$1:E1620))))))</f>
        <v> </v>
      </c>
      <c r="K1621" s="25" t="str">
        <f>IF(OR(E1621="",E1621="!!!",F1621="NEW"),"",INDEX(J$1:J1620,SUMPRODUCT(MAX(ROW(E$1:E1620)*(E1621=E$1:E1620)))))</f>
        <v> </v>
      </c>
      <c r="L1621" s="26"/>
    </row>
    <row r="1622" spans="1:12">
      <c r="A1622" s="20" t="s">
        <v>627</v>
      </c>
      <c r="E1622" s="21">
        <f>IF(D1622="?OLD","!!!","")</f>
        <v/>
      </c>
      <c r="F1622" s="22" t="str">
        <f>IF(OR(E1622="",E1622="!!!"),"",IF(NOT(ISNA(VLOOKUP(E1622,E$1:E1621,1,FALSE()))),"OLD",IF(AND(E1622&lt;&gt;"",E1622&lt;&gt;"!!!"),"NEW","")))</f>
        <v> </v>
      </c>
      <c r="G1622" s="23" t="str">
        <f>IF(OR(E1622="",E1622="!!!"),"",IF(OR(J1622=0,AND(J1622=1,K1622=1),AND(J1622=1,I1622="SBJ"),AND(J1622=1,I1622=0)),"?IN_FOCUS",IF(J1622&lt;=2,"?ACTIVATED",IF(J1622&lt;&gt;"","?FAMILIAR",IF(F1622="NEW",IF(ISNA(VLOOKUP(E1622,#REF!,1,FALSE())),"?TYPE_IDENTIFIABLE","?REFERENTIAL"),"_")))))</f>
        <v> </v>
      </c>
      <c r="H1622" s="24" t="str">
        <f>IF(J1622&lt;&gt;1,"",IF(I1622="SBJ","CB","?"))</f>
        <v> </v>
      </c>
      <c r="I1622" s="25" t="str">
        <f>IF(OR(E1622="",E1622="!!!",F1622="NEW"),"",INDEX(B1621:B$2,-1+SUMPRODUCT(MAX(ROW(E1621:E$2)*(E1622=E1621:E$2)))))</f>
        <v> </v>
      </c>
      <c r="J1622" s="25" t="str">
        <f>IF(OR(E1622="",E1622="!!!",F1622="NEW"),"",COUNTBLANK(OFFSET(A$1,,,SUMPRODUCT(MAX(ROW(E$2:E1622)*(E1622=E$2:E1622)))))-COUNTBLANK(OFFSET(A$1,,,SUMPRODUCT(MAX(ROW(E$1:E1621)*(E2=E$1:E1621))))))</f>
        <v> </v>
      </c>
      <c r="K1622" s="25" t="str">
        <f>IF(OR(E1622="",E1622="!!!",F1622="NEW"),"",INDEX(J$1:J1621,SUMPRODUCT(MAX(ROW(E$1:E1621)*(E1622=E$1:E1621)))))</f>
        <v> </v>
      </c>
      <c r="L1622" s="26"/>
    </row>
    <row r="1623" spans="1:12">
      <c r="A1623" s="20" t="s">
        <v>489</v>
      </c>
      <c r="E1623" s="21">
        <f>IF(D1623="?OLD","!!!","")</f>
        <v/>
      </c>
      <c r="F1623" s="22" t="str">
        <f>IF(OR(E1623="",E1623="!!!"),"",IF(NOT(ISNA(VLOOKUP(E1623,E$1:E1622,1,FALSE()))),"OLD",IF(AND(E1623&lt;&gt;"",E1623&lt;&gt;"!!!"),"NEW","")))</f>
        <v> </v>
      </c>
      <c r="G1623" s="23" t="str">
        <f>IF(OR(E1623="",E1623="!!!"),"",IF(OR(J1623=0,AND(J1623=1,K1623=1),AND(J1623=1,I1623="SBJ"),AND(J1623=1,I1623=0)),"?IN_FOCUS",IF(J1623&lt;=2,"?ACTIVATED",IF(J1623&lt;&gt;"","?FAMILIAR",IF(F1623="NEW",IF(ISNA(VLOOKUP(E1623,#REF!,1,FALSE())),"?TYPE_IDENTIFIABLE","?REFERENTIAL"),"_")))))</f>
        <v> </v>
      </c>
      <c r="H1623" s="24" t="str">
        <f>IF(J1623&lt;&gt;1,"",IF(I1623="SBJ","CB","?"))</f>
        <v> </v>
      </c>
      <c r="I1623" s="25" t="str">
        <f>IF(OR(E1623="",E1623="!!!",F1623="NEW"),"",INDEX(B1622:B$2,-1+SUMPRODUCT(MAX(ROW(E1622:E$2)*(E1623=E1622:E$2)))))</f>
        <v> </v>
      </c>
      <c r="J1623" s="25" t="str">
        <f>IF(OR(E1623="",E1623="!!!",F1623="NEW"),"",COUNTBLANK(OFFSET(A$1,,,SUMPRODUCT(MAX(ROW(E$2:E1623)*(E1623=E$2:E1623)))))-COUNTBLANK(OFFSET(A$1,,,SUMPRODUCT(MAX(ROW(E$1:E1622)*(E2=E$1:E1622))))))</f>
        <v> </v>
      </c>
      <c r="K1623" s="25" t="str">
        <f>IF(OR(E1623="",E1623="!!!",F1623="NEW"),"",INDEX(J$1:J1622,SUMPRODUCT(MAX(ROW(E$1:E1622)*(E1623=E$1:E1622)))))</f>
        <v> </v>
      </c>
      <c r="L1623" s="26"/>
    </row>
    <row r="1624" spans="1:12">
      <c r="A1624" s="20" t="s">
        <v>1034</v>
      </c>
      <c r="E1624" s="21">
        <f>IF(D1624="?OLD","!!!","")</f>
        <v/>
      </c>
      <c r="F1624" s="22" t="str">
        <f>IF(OR(E1624="",E1624="!!!"),"",IF(NOT(ISNA(VLOOKUP(E1624,E$1:E1623,1,FALSE()))),"OLD",IF(AND(E1624&lt;&gt;"",E1624&lt;&gt;"!!!"),"NEW","")))</f>
        <v> </v>
      </c>
      <c r="G1624" s="23" t="str">
        <f>IF(OR(E1624="",E1624="!!!"),"",IF(OR(J1624=0,AND(J1624=1,K1624=1),AND(J1624=1,I1624="SBJ"),AND(J1624=1,I1624=0)),"?IN_FOCUS",IF(J1624&lt;=2,"?ACTIVATED",IF(J1624&lt;&gt;"","?FAMILIAR",IF(F1624="NEW",IF(ISNA(VLOOKUP(E1624,#REF!,1,FALSE())),"?TYPE_IDENTIFIABLE","?REFERENTIAL"),"_")))))</f>
        <v> </v>
      </c>
      <c r="H1624" s="24" t="str">
        <f>IF(J1624&lt;&gt;1,"",IF(I1624="SBJ","CB","?"))</f>
        <v> </v>
      </c>
      <c r="I1624" s="25" t="str">
        <f>IF(OR(E1624="",E1624="!!!",F1624="NEW"),"",INDEX(B1623:B$2,-1+SUMPRODUCT(MAX(ROW(E1623:E$2)*(E1624=E1623:E$2)))))</f>
        <v> </v>
      </c>
      <c r="J1624" s="25" t="str">
        <f>IF(OR(E1624="",E1624="!!!",F1624="NEW"),"",COUNTBLANK(OFFSET(A$1,,,SUMPRODUCT(MAX(ROW(E$2:E1624)*(E1624=E$2:E1624)))))-COUNTBLANK(OFFSET(A$1,,,SUMPRODUCT(MAX(ROW(E$1:E1623)*(E2=E$1:E1623))))))</f>
        <v> </v>
      </c>
      <c r="K1624" s="25" t="str">
        <f>IF(OR(E1624="",E1624="!!!",F1624="NEW"),"",INDEX(J$1:J1623,SUMPRODUCT(MAX(ROW(E$1:E1623)*(E1624=E$1:E1623)))))</f>
        <v> </v>
      </c>
      <c r="L1624" s="26"/>
    </row>
    <row r="1625" spans="1:12">
      <c r="A1625" s="20" t="s">
        <v>495</v>
      </c>
      <c r="E1625" s="21">
        <f>IF(D1625="?OLD","!!!","")</f>
        <v/>
      </c>
      <c r="F1625" s="22" t="str">
        <f>IF(OR(E1625="",E1625="!!!"),"",IF(NOT(ISNA(VLOOKUP(E1625,E$1:E1624,1,FALSE()))),"OLD",IF(AND(E1625&lt;&gt;"",E1625&lt;&gt;"!!!"),"NEW","")))</f>
        <v> </v>
      </c>
      <c r="G1625" s="23" t="str">
        <f>IF(OR(E1625="",E1625="!!!"),"",IF(OR(J1625=0,AND(J1625=1,K1625=1),AND(J1625=1,I1625="SBJ"),AND(J1625=1,I1625=0)),"?IN_FOCUS",IF(J1625&lt;=2,"?ACTIVATED",IF(J1625&lt;&gt;"","?FAMILIAR",IF(F1625="NEW",IF(ISNA(VLOOKUP(E1625,#REF!,1,FALSE())),"?TYPE_IDENTIFIABLE","?REFERENTIAL"),"_")))))</f>
        <v> </v>
      </c>
      <c r="H1625" s="24" t="str">
        <f>IF(J1625&lt;&gt;1,"",IF(I1625="SBJ","CB","?"))</f>
        <v> </v>
      </c>
      <c r="I1625" s="25" t="str">
        <f>IF(OR(E1625="",E1625="!!!",F1625="NEW"),"",INDEX(B1624:B$2,-1+SUMPRODUCT(MAX(ROW(E1624:E$2)*(E1625=E1624:E$2)))))</f>
        <v> </v>
      </c>
      <c r="J1625" s="25" t="str">
        <f>IF(OR(E1625="",E1625="!!!",F1625="NEW"),"",COUNTBLANK(OFFSET(A$1,,,SUMPRODUCT(MAX(ROW(E$2:E1625)*(E1625=E$2:E1625)))))-COUNTBLANK(OFFSET(A$1,,,SUMPRODUCT(MAX(ROW(E$1:E1624)*(E2=E$1:E1624))))))</f>
        <v> </v>
      </c>
      <c r="K1625" s="25" t="str">
        <f>IF(OR(E1625="",E1625="!!!",F1625="NEW"),"",INDEX(J$1:J1624,SUMPRODUCT(MAX(ROW(E$1:E1624)*(E1625=E$1:E1624)))))</f>
        <v> </v>
      </c>
      <c r="L1625" s="26"/>
    </row>
    <row r="1626" spans="1:12">
      <c r="A1626" s="20" t="s">
        <v>1035</v>
      </c>
      <c r="B1626" s="27" t="s">
        <v>542</v>
      </c>
      <c r="C1626" s="27" t="s">
        <v>498</v>
      </c>
      <c r="E1626" s="21">
        <f>IF(D1626="?OLD","!!!","")</f>
        <v/>
      </c>
      <c r="F1626" s="22" t="str">
        <f>IF(OR(E1626="",E1626="!!!"),"",IF(NOT(ISNA(VLOOKUP(E1626,E$1:E1625,1,FALSE()))),"OLD",IF(AND(E1626&lt;&gt;"",E1626&lt;&gt;"!!!"),"NEW","")))</f>
        <v> </v>
      </c>
      <c r="G1626" s="23" t="str">
        <f>IF(OR(E1626="",E1626="!!!"),"",IF(OR(J1626=0,AND(J1626=1,K1626=1),AND(J1626=1,I1626="SBJ"),AND(J1626=1,I1626=0)),"?IN_FOCUS",IF(J1626&lt;=2,"?ACTIVATED",IF(J1626&lt;&gt;"","?FAMILIAR",IF(F1626="NEW",IF(ISNA(VLOOKUP(E1626,#REF!,1,FALSE())),"?TYPE_IDENTIFIABLE","?REFERENTIAL"),"_")))))</f>
        <v> </v>
      </c>
      <c r="H1626" s="24" t="str">
        <f>IF(J1626&lt;&gt;1,"",IF(I1626="SBJ","CB","?"))</f>
        <v> </v>
      </c>
      <c r="I1626" s="25" t="str">
        <f>IF(OR(E1626="",E1626="!!!",F1626="NEW"),"",INDEX(B1625:B$2,-1+SUMPRODUCT(MAX(ROW(E1625:E$2)*(E1626=E1625:E$2)))))</f>
        <v> </v>
      </c>
      <c r="J1626" s="25" t="str">
        <f>IF(OR(E1626="",E1626="!!!",F1626="NEW"),"",COUNTBLANK(OFFSET(A$1,,,SUMPRODUCT(MAX(ROW(E$2:E1626)*(E1626=E$2:E1626)))))-COUNTBLANK(OFFSET(A$1,,,SUMPRODUCT(MAX(ROW(E$1:E1625)*(E2=E$1:E1625))))))</f>
        <v> </v>
      </c>
      <c r="K1626" s="25" t="str">
        <f>IF(OR(E1626="",E1626="!!!",F1626="NEW"),"",INDEX(J$1:J1625,SUMPRODUCT(MAX(ROW(E$1:E1625)*(E1626=E$1:E1625)))))</f>
        <v> </v>
      </c>
      <c r="L1626" s="26"/>
    </row>
    <row r="1627" spans="1:12">
      <c r="A1627" s="20" t="s">
        <v>531</v>
      </c>
      <c r="E1627" s="21">
        <f>IF(D1627="?OLD","!!!","")</f>
        <v/>
      </c>
      <c r="F1627" s="22" t="str">
        <f>IF(OR(E1627="",E1627="!!!"),"",IF(NOT(ISNA(VLOOKUP(E1627,E$1:E1626,1,FALSE()))),"OLD",IF(AND(E1627&lt;&gt;"",E1627&lt;&gt;"!!!"),"NEW","")))</f>
        <v> </v>
      </c>
      <c r="G1627" s="23" t="str">
        <f>IF(OR(E1627="",E1627="!!!"),"",IF(OR(J1627=0,AND(J1627=1,K1627=1),AND(J1627=1,I1627="SBJ"),AND(J1627=1,I1627=0)),"?IN_FOCUS",IF(J1627&lt;=2,"?ACTIVATED",IF(J1627&lt;&gt;"","?FAMILIAR",IF(F1627="NEW",IF(ISNA(VLOOKUP(E1627,#REF!,1,FALSE())),"?TYPE_IDENTIFIABLE","?REFERENTIAL"),"_")))))</f>
        <v> </v>
      </c>
      <c r="H1627" s="24" t="str">
        <f>IF(J1627&lt;&gt;1,"",IF(I1627="SBJ","CB","?"))</f>
        <v> </v>
      </c>
      <c r="I1627" s="25" t="str">
        <f>IF(OR(E1627="",E1627="!!!",F1627="NEW"),"",INDEX(B1626:B$2,-1+SUMPRODUCT(MAX(ROW(E1626:E$2)*(E1627=E1626:E$2)))))</f>
        <v> </v>
      </c>
      <c r="J1627" s="25" t="str">
        <f>IF(OR(E1627="",E1627="!!!",F1627="NEW"),"",COUNTBLANK(OFFSET(A$1,,,SUMPRODUCT(MAX(ROW(E$2:E1627)*(E1627=E$2:E1627)))))-COUNTBLANK(OFFSET(A$1,,,SUMPRODUCT(MAX(ROW(E$1:E1626)*(E2=E$1:E1626))))))</f>
        <v> </v>
      </c>
      <c r="K1627" s="25" t="str">
        <f>IF(OR(E1627="",E1627="!!!",F1627="NEW"),"",INDEX(J$1:J1626,SUMPRODUCT(MAX(ROW(E$1:E1626)*(E1627=E$1:E1626)))))</f>
        <v> </v>
      </c>
      <c r="L1627" s="26"/>
    </row>
    <row r="1628" spans="1:12">
      <c r="A1628" s="20"/>
    </row>
    <row r="1629" spans="1:12">
      <c r="A1629" s="20" t="s">
        <v>1036</v>
      </c>
    </row>
    <row r="1630" spans="1:12">
      <c r="A1630" s="20" t="s">
        <v>1037</v>
      </c>
      <c r="E1630" s="21">
        <f>IF(D1630="?OLD","!!!","")</f>
        <v/>
      </c>
      <c r="F1630" s="22" t="str">
        <f>IF(OR(E1630="",E1630="!!!"),"",IF(NOT(ISNA(VLOOKUP(E1630,E$1:E1629,1,FALSE()))),"OLD",IF(AND(E1630&lt;&gt;"",E1630&lt;&gt;"!!!"),"NEW","")))</f>
        <v> </v>
      </c>
      <c r="G1630" s="23" t="str">
        <f>IF(OR(E1630="",E1630="!!!"),"",IF(OR(J1630=0,AND(J1630=1,K1630=1),AND(J1630=1,I1630="SBJ"),AND(J1630=1,I1630=0)),"?IN_FOCUS",IF(J1630&lt;=2,"?ACTIVATED",IF(J1630&lt;&gt;"","?FAMILIAR",IF(F1630="NEW",IF(ISNA(VLOOKUP(E1630,#REF!,1,FALSE())),"?TYPE_IDENTIFIABLE","?REFERENTIAL"),"_")))))</f>
        <v> </v>
      </c>
      <c r="H1630" s="24" t="str">
        <f>IF(J1630&lt;&gt;1,"",IF(I1630="SBJ","CB","?"))</f>
        <v> </v>
      </c>
      <c r="I1630" s="25" t="str">
        <f>IF(OR(E1630="",E1630="!!!",F1630="NEW"),"",INDEX(B1629:B$2,-1+SUMPRODUCT(MAX(ROW(E1629:E$2)*(E1630=E1629:E$2)))))</f>
        <v> </v>
      </c>
      <c r="J1630" s="25" t="str">
        <f>IF(OR(E1630="",E1630="!!!",F1630="NEW"),"",COUNTBLANK(OFFSET(A$1,,,SUMPRODUCT(MAX(ROW(E$2:E1630)*(E1630=E$2:E1630)))))-COUNTBLANK(OFFSET(A$1,,,SUMPRODUCT(MAX(ROW(E$1:E1629)*(E2=E$1:E1629))))))</f>
        <v> </v>
      </c>
      <c r="K1630" s="25" t="str">
        <f>IF(OR(E1630="",E1630="!!!",F1630="NEW"),"",INDEX(J$1:J1629,SUMPRODUCT(MAX(ROW(E$1:E1629)*(E1630=E$1:E1629)))))</f>
        <v> </v>
      </c>
      <c r="L1630" s="26"/>
    </row>
    <row r="1631" spans="1:12">
      <c r="A1631" s="20" t="s">
        <v>1038</v>
      </c>
      <c r="E1631" s="21">
        <f>IF(D1631="?OLD","!!!","")</f>
        <v/>
      </c>
      <c r="F1631" s="22" t="str">
        <f>IF(OR(E1631="",E1631="!!!"),"",IF(NOT(ISNA(VLOOKUP(E1631,E$1:E1630,1,FALSE()))),"OLD",IF(AND(E1631&lt;&gt;"",E1631&lt;&gt;"!!!"),"NEW","")))</f>
        <v> </v>
      </c>
      <c r="G1631" s="23" t="str">
        <f>IF(OR(E1631="",E1631="!!!"),"",IF(OR(J1631=0,AND(J1631=1,K1631=1),AND(J1631=1,I1631="SBJ"),AND(J1631=1,I1631=0)),"?IN_FOCUS",IF(J1631&lt;=2,"?ACTIVATED",IF(J1631&lt;&gt;"","?FAMILIAR",IF(F1631="NEW",IF(ISNA(VLOOKUP(E1631,#REF!,1,FALSE())),"?TYPE_IDENTIFIABLE","?REFERENTIAL"),"_")))))</f>
        <v> </v>
      </c>
      <c r="H1631" s="24" t="str">
        <f>IF(J1631&lt;&gt;1,"",IF(I1631="SBJ","CB","?"))</f>
        <v> </v>
      </c>
      <c r="I1631" s="25" t="str">
        <f>IF(OR(E1631="",E1631="!!!",F1631="NEW"),"",INDEX(B1630:B$2,-1+SUMPRODUCT(MAX(ROW(E1630:E$2)*(E1631=E1630:E$2)))))</f>
        <v> </v>
      </c>
      <c r="J1631" s="25" t="str">
        <f>IF(OR(E1631="",E1631="!!!",F1631="NEW"),"",COUNTBLANK(OFFSET(A$1,,,SUMPRODUCT(MAX(ROW(E$2:E1631)*(E1631=E$2:E1631)))))-COUNTBLANK(OFFSET(A$1,,,SUMPRODUCT(MAX(ROW(E$1:E1630)*(E2=E$1:E1630))))))</f>
        <v> </v>
      </c>
      <c r="K1631" s="25" t="str">
        <f>IF(OR(E1631="",E1631="!!!",F1631="NEW"),"",INDEX(J$1:J1630,SUMPRODUCT(MAX(ROW(E$1:E1630)*(E1631=E$1:E1630)))))</f>
        <v> </v>
      </c>
      <c r="L1631" s="26"/>
    </row>
    <row r="1632" spans="1:12">
      <c r="A1632" s="20" t="s">
        <v>585</v>
      </c>
      <c r="B1632" s="27" t="s">
        <v>549</v>
      </c>
      <c r="C1632" s="27" t="s">
        <v>482</v>
      </c>
      <c r="D1632" s="27" t="s">
        <v>483</v>
      </c>
      <c r="E1632" s="21">
        <f>IF(D1632="?OLD","!!!","")</f>
        <v/>
      </c>
      <c r="F1632" s="22" t="str">
        <f>IF(OR(E1632="",E1632="!!!"),"",IF(NOT(ISNA(VLOOKUP(E1632,E$1:E1631,1,FALSE()))),"OLD",IF(AND(E1632&lt;&gt;"",E1632&lt;&gt;"!!!"),"NEW","")))</f>
        <v> </v>
      </c>
      <c r="G1632" s="23" t="str">
        <f>IF(OR(E1632="",E1632="!!!"),"",IF(OR(J1632=0,AND(J1632=1,K1632=1),AND(J1632=1,I1632="SBJ"),AND(J1632=1,I1632=0)),"?IN_FOCUS",IF(J1632&lt;=2,"?ACTIVATED",IF(J1632&lt;&gt;"","?FAMILIAR",IF(F1632="NEW",IF(ISNA(VLOOKUP(E1632,#REF!,1,FALSE())),"?TYPE_IDENTIFIABLE","?REFERENTIAL"),"_")))))</f>
        <v> </v>
      </c>
      <c r="H1632" s="24" t="str">
        <f>IF(J1632&lt;&gt;1,"",IF(I1632="SBJ","CB","?"))</f>
        <v> </v>
      </c>
      <c r="I1632" s="25" t="str">
        <f>IF(OR(E1632="",E1632="!!!",F1632="NEW"),"",INDEX(B1631:B$2,-1+SUMPRODUCT(MAX(ROW(E1631:E$2)*(E1632=E1631:E$2)))))</f>
        <v> </v>
      </c>
      <c r="J1632" s="25" t="str">
        <f>IF(OR(E1632="",E1632="!!!",F1632="NEW"),"",COUNTBLANK(OFFSET(A$1,,,SUMPRODUCT(MAX(ROW(E$2:E1632)*(E1632=E$2:E1632)))))-COUNTBLANK(OFFSET(A$1,,,SUMPRODUCT(MAX(ROW(E$1:E1631)*(E2=E$1:E1631))))))</f>
        <v> </v>
      </c>
      <c r="K1632" s="25" t="str">
        <f>IF(OR(E1632="",E1632="!!!",F1632="NEW"),"",INDEX(J$1:J1631,SUMPRODUCT(MAX(ROW(E$1:E1631)*(E1632=E$1:E1631)))))</f>
        <v> </v>
      </c>
      <c r="L1632" s="26"/>
    </row>
    <row r="1633" spans="1:12">
      <c r="A1633" s="20" t="s">
        <v>1039</v>
      </c>
      <c r="E1633" s="21">
        <f>IF(D1633="?OLD","!!!","")</f>
        <v/>
      </c>
      <c r="F1633" s="22" t="str">
        <f>IF(OR(E1633="",E1633="!!!"),"",IF(NOT(ISNA(VLOOKUP(E1633,E$1:E1632,1,FALSE()))),"OLD",IF(AND(E1633&lt;&gt;"",E1633&lt;&gt;"!!!"),"NEW","")))</f>
        <v> </v>
      </c>
      <c r="G1633" s="23" t="str">
        <f>IF(OR(E1633="",E1633="!!!"),"",IF(OR(J1633=0,AND(J1633=1,K1633=1),AND(J1633=1,I1633="SBJ"),AND(J1633=1,I1633=0)),"?IN_FOCUS",IF(J1633&lt;=2,"?ACTIVATED",IF(J1633&lt;&gt;"","?FAMILIAR",IF(F1633="NEW",IF(ISNA(VLOOKUP(E1633,#REF!,1,FALSE())),"?TYPE_IDENTIFIABLE","?REFERENTIAL"),"_")))))</f>
        <v> </v>
      </c>
      <c r="H1633" s="24" t="str">
        <f>IF(J1633&lt;&gt;1,"",IF(I1633="SBJ","CB","?"))</f>
        <v> </v>
      </c>
      <c r="I1633" s="25" t="str">
        <f>IF(OR(E1633="",E1633="!!!",F1633="NEW"),"",INDEX(B1632:B$2,-1+SUMPRODUCT(MAX(ROW(E1632:E$2)*(E1633=E1632:E$2)))))</f>
        <v> </v>
      </c>
      <c r="J1633" s="25" t="str">
        <f>IF(OR(E1633="",E1633="!!!",F1633="NEW"),"",COUNTBLANK(OFFSET(A$1,,,SUMPRODUCT(MAX(ROW(E$2:E1633)*(E1633=E$2:E1633)))))-COUNTBLANK(OFFSET(A$1,,,SUMPRODUCT(MAX(ROW(E$1:E1632)*(E2=E$1:E1632))))))</f>
        <v> </v>
      </c>
      <c r="K1633" s="25" t="str">
        <f>IF(OR(E1633="",E1633="!!!",F1633="NEW"),"",INDEX(J$1:J1632,SUMPRODUCT(MAX(ROW(E$1:E1632)*(E1633=E$1:E1632)))))</f>
        <v> </v>
      </c>
      <c r="L1633" s="26"/>
    </row>
    <row r="1634" spans="1:12">
      <c r="A1634" s="20" t="s">
        <v>750</v>
      </c>
      <c r="E1634" s="21">
        <f>IF(D1634="?OLD","!!!","")</f>
        <v/>
      </c>
      <c r="F1634" s="22" t="str">
        <f>IF(OR(E1634="",E1634="!!!"),"",IF(NOT(ISNA(VLOOKUP(E1634,E$1:E1633,1,FALSE()))),"OLD",IF(AND(E1634&lt;&gt;"",E1634&lt;&gt;"!!!"),"NEW","")))</f>
        <v> </v>
      </c>
      <c r="G1634" s="23" t="str">
        <f>IF(OR(E1634="",E1634="!!!"),"",IF(OR(J1634=0,AND(J1634=1,K1634=1),AND(J1634=1,I1634="SBJ"),AND(J1634=1,I1634=0)),"?IN_FOCUS",IF(J1634&lt;=2,"?ACTIVATED",IF(J1634&lt;&gt;"","?FAMILIAR",IF(F1634="NEW",IF(ISNA(VLOOKUP(E1634,#REF!,1,FALSE())),"?TYPE_IDENTIFIABLE","?REFERENTIAL"),"_")))))</f>
        <v> </v>
      </c>
      <c r="H1634" s="24" t="str">
        <f>IF(J1634&lt;&gt;1,"",IF(I1634="SBJ","CB","?"))</f>
        <v> </v>
      </c>
      <c r="I1634" s="25" t="str">
        <f>IF(OR(E1634="",E1634="!!!",F1634="NEW"),"",INDEX(B1633:B$2,-1+SUMPRODUCT(MAX(ROW(E1633:E$2)*(E1634=E1633:E$2)))))</f>
        <v> </v>
      </c>
      <c r="J1634" s="25" t="str">
        <f>IF(OR(E1634="",E1634="!!!",F1634="NEW"),"",COUNTBLANK(OFFSET(A$1,,,SUMPRODUCT(MAX(ROW(E$2:E1634)*(E1634=E$2:E1634)))))-COUNTBLANK(OFFSET(A$1,,,SUMPRODUCT(MAX(ROW(E$1:E1633)*(E2=E$1:E1633))))))</f>
        <v> </v>
      </c>
      <c r="K1634" s="25" t="str">
        <f>IF(OR(E1634="",E1634="!!!",F1634="NEW"),"",INDEX(J$1:J1633,SUMPRODUCT(MAX(ROW(E$1:E1633)*(E1634=E$1:E1633)))))</f>
        <v> </v>
      </c>
      <c r="L1634" s="26"/>
    </row>
    <row r="1635" spans="1:12">
      <c r="A1635" s="20"/>
    </row>
    <row r="1636" spans="1:12">
      <c r="A1636" s="20" t="s">
        <v>1040</v>
      </c>
    </row>
    <row r="1637" spans="1:12">
      <c r="A1637" s="20" t="s">
        <v>1041</v>
      </c>
      <c r="E1637" s="21">
        <f>IF(D1637="?OLD","!!!","")</f>
        <v/>
      </c>
      <c r="F1637" s="22" t="str">
        <f>IF(OR(E1637="",E1637="!!!"),"",IF(NOT(ISNA(VLOOKUP(E1637,E$1:E1636,1,FALSE()))),"OLD",IF(AND(E1637&lt;&gt;"",E1637&lt;&gt;"!!!"),"NEW","")))</f>
        <v> </v>
      </c>
      <c r="G1637" s="23" t="str">
        <f>IF(OR(E1637="",E1637="!!!"),"",IF(OR(J1637=0,AND(J1637=1,K1637=1),AND(J1637=1,I1637="SBJ"),AND(J1637=1,I1637=0)),"?IN_FOCUS",IF(J1637&lt;=2,"?ACTIVATED",IF(J1637&lt;&gt;"","?FAMILIAR",IF(F1637="NEW",IF(ISNA(VLOOKUP(E1637,#REF!,1,FALSE())),"?TYPE_IDENTIFIABLE","?REFERENTIAL"),"_")))))</f>
        <v> </v>
      </c>
      <c r="H1637" s="24" t="str">
        <f>IF(J1637&lt;&gt;1,"",IF(I1637="SBJ","CB","?"))</f>
        <v> </v>
      </c>
      <c r="I1637" s="25" t="str">
        <f>IF(OR(E1637="",E1637="!!!",F1637="NEW"),"",INDEX(B1636:B$2,-1+SUMPRODUCT(MAX(ROW(E1636:E$2)*(E1637=E1636:E$2)))))</f>
        <v> </v>
      </c>
      <c r="J1637" s="25" t="str">
        <f>IF(OR(E1637="",E1637="!!!",F1637="NEW"),"",COUNTBLANK(OFFSET(A$1,,,SUMPRODUCT(MAX(ROW(E$2:E1637)*(E1637=E$2:E1637)))))-COUNTBLANK(OFFSET(A$1,,,SUMPRODUCT(MAX(ROW(E$1:E1636)*(E2=E$1:E1636))))))</f>
        <v> </v>
      </c>
      <c r="K1637" s="25" t="str">
        <f>IF(OR(E1637="",E1637="!!!",F1637="NEW"),"",INDEX(J$1:J1636,SUMPRODUCT(MAX(ROW(E$1:E1636)*(E1637=E$1:E1636)))))</f>
        <v> </v>
      </c>
      <c r="L1637" s="26"/>
    </row>
    <row r="1638" spans="1:12">
      <c r="A1638" s="20" t="s">
        <v>750</v>
      </c>
      <c r="E1638" s="21">
        <f>IF(D1638="?OLD","!!!","")</f>
        <v/>
      </c>
      <c r="F1638" s="22" t="str">
        <f>IF(OR(E1638="",E1638="!!!"),"",IF(NOT(ISNA(VLOOKUP(E1638,E$1:E1637,1,FALSE()))),"OLD",IF(AND(E1638&lt;&gt;"",E1638&lt;&gt;"!!!"),"NEW","")))</f>
        <v> </v>
      </c>
      <c r="G1638" s="23" t="str">
        <f>IF(OR(E1638="",E1638="!!!"),"",IF(OR(J1638=0,AND(J1638=1,K1638=1),AND(J1638=1,I1638="SBJ"),AND(J1638=1,I1638=0)),"?IN_FOCUS",IF(J1638&lt;=2,"?ACTIVATED",IF(J1638&lt;&gt;"","?FAMILIAR",IF(F1638="NEW",IF(ISNA(VLOOKUP(E1638,#REF!,1,FALSE())),"?TYPE_IDENTIFIABLE","?REFERENTIAL"),"_")))))</f>
        <v> </v>
      </c>
      <c r="H1638" s="24" t="str">
        <f>IF(J1638&lt;&gt;1,"",IF(I1638="SBJ","CB","?"))</f>
        <v> </v>
      </c>
      <c r="I1638" s="25" t="str">
        <f>IF(OR(E1638="",E1638="!!!",F1638="NEW"),"",INDEX(B1637:B$2,-1+SUMPRODUCT(MAX(ROW(E1637:E$2)*(E1638=E1637:E$2)))))</f>
        <v> </v>
      </c>
      <c r="J1638" s="25" t="str">
        <f>IF(OR(E1638="",E1638="!!!",F1638="NEW"),"",COUNTBLANK(OFFSET(A$1,,,SUMPRODUCT(MAX(ROW(E$2:E1638)*(E1638=E$2:E1638)))))-COUNTBLANK(OFFSET(A$1,,,SUMPRODUCT(MAX(ROW(E$1:E1637)*(E2=E$1:E1637))))))</f>
        <v> </v>
      </c>
      <c r="K1638" s="25" t="str">
        <f>IF(OR(E1638="",E1638="!!!",F1638="NEW"),"",INDEX(J$1:J1637,SUMPRODUCT(MAX(ROW(E$1:E1637)*(E1638=E$1:E1637)))))</f>
        <v> </v>
      </c>
      <c r="L1638" s="26"/>
    </row>
    <row r="1639" spans="1:12">
      <c r="A1639" s="20"/>
    </row>
    <row r="1640" spans="1:12">
      <c r="A1640" s="20" t="s">
        <v>1042</v>
      </c>
    </row>
    <row r="1641" spans="1:12">
      <c r="A1641" s="20" t="s">
        <v>1023</v>
      </c>
      <c r="E1641" s="21">
        <f>IF(D1641="?OLD","!!!","")</f>
        <v/>
      </c>
      <c r="F1641" s="22" t="str">
        <f>IF(OR(E1641="",E1641="!!!"),"",IF(NOT(ISNA(VLOOKUP(E1641,E$1:E1640,1,FALSE()))),"OLD",IF(AND(E1641&lt;&gt;"",E1641&lt;&gt;"!!!"),"NEW","")))</f>
        <v> </v>
      </c>
      <c r="G1641" s="23" t="str">
        <f>IF(OR(E1641="",E1641="!!!"),"",IF(OR(J1641=0,AND(J1641=1,K1641=1),AND(J1641=1,I1641="SBJ"),AND(J1641=1,I1641=0)),"?IN_FOCUS",IF(J1641&lt;=2,"?ACTIVATED",IF(J1641&lt;&gt;"","?FAMILIAR",IF(F1641="NEW",IF(ISNA(VLOOKUP(E1641,#REF!,1,FALSE())),"?TYPE_IDENTIFIABLE","?REFERENTIAL"),"_")))))</f>
        <v> </v>
      </c>
      <c r="H1641" s="24" t="str">
        <f>IF(J1641&lt;&gt;1,"",IF(I1641="SBJ","CB","?"))</f>
        <v> </v>
      </c>
      <c r="I1641" s="25" t="str">
        <f>IF(OR(E1641="",E1641="!!!",F1641="NEW"),"",INDEX(B1640:B$2,-1+SUMPRODUCT(MAX(ROW(E1640:E$2)*(E1641=E1640:E$2)))))</f>
        <v> </v>
      </c>
      <c r="J1641" s="25" t="str">
        <f>IF(OR(E1641="",E1641="!!!",F1641="NEW"),"",COUNTBLANK(OFFSET(A$1,,,SUMPRODUCT(MAX(ROW(E$2:E1641)*(E1641=E$2:E1641)))))-COUNTBLANK(OFFSET(A$1,,,SUMPRODUCT(MAX(ROW(E$1:E1640)*(E2=E$1:E1640))))))</f>
        <v> </v>
      </c>
      <c r="K1641" s="25" t="str">
        <f>IF(OR(E1641="",E1641="!!!",F1641="NEW"),"",INDEX(J$1:J1640,SUMPRODUCT(MAX(ROW(E$1:E1640)*(E1641=E$1:E1640)))))</f>
        <v> </v>
      </c>
      <c r="L1641" s="26"/>
    </row>
    <row r="1642" spans="1:12">
      <c r="A1642" s="20" t="s">
        <v>489</v>
      </c>
      <c r="E1642" s="21">
        <f>IF(D1642="?OLD","!!!","")</f>
        <v/>
      </c>
      <c r="F1642" s="22" t="str">
        <f>IF(OR(E1642="",E1642="!!!"),"",IF(NOT(ISNA(VLOOKUP(E1642,E$1:E1641,1,FALSE()))),"OLD",IF(AND(E1642&lt;&gt;"",E1642&lt;&gt;"!!!"),"NEW","")))</f>
        <v> </v>
      </c>
      <c r="G1642" s="23" t="str">
        <f>IF(OR(E1642="",E1642="!!!"),"",IF(OR(J1642=0,AND(J1642=1,K1642=1),AND(J1642=1,I1642="SBJ"),AND(J1642=1,I1642=0)),"?IN_FOCUS",IF(J1642&lt;=2,"?ACTIVATED",IF(J1642&lt;&gt;"","?FAMILIAR",IF(F1642="NEW",IF(ISNA(VLOOKUP(E1642,#REF!,1,FALSE())),"?TYPE_IDENTIFIABLE","?REFERENTIAL"),"_")))))</f>
        <v> </v>
      </c>
      <c r="H1642" s="24" t="str">
        <f>IF(J1642&lt;&gt;1,"",IF(I1642="SBJ","CB","?"))</f>
        <v> </v>
      </c>
      <c r="I1642" s="25" t="str">
        <f>IF(OR(E1642="",E1642="!!!",F1642="NEW"),"",INDEX(B1641:B$2,-1+SUMPRODUCT(MAX(ROW(E1641:E$2)*(E1642=E1641:E$2)))))</f>
        <v> </v>
      </c>
      <c r="J1642" s="25" t="str">
        <f>IF(OR(E1642="",E1642="!!!",F1642="NEW"),"",COUNTBLANK(OFFSET(A$1,,,SUMPRODUCT(MAX(ROW(E$2:E1642)*(E1642=E$2:E1642)))))-COUNTBLANK(OFFSET(A$1,,,SUMPRODUCT(MAX(ROW(E$1:E1641)*(E2=E$1:E1641))))))</f>
        <v> </v>
      </c>
      <c r="K1642" s="25" t="str">
        <f>IF(OR(E1642="",E1642="!!!",F1642="NEW"),"",INDEX(J$1:J1641,SUMPRODUCT(MAX(ROW(E$1:E1641)*(E1642=E$1:E1641)))))</f>
        <v> </v>
      </c>
      <c r="L1642" s="26"/>
    </row>
    <row r="1643" spans="1:12">
      <c r="A1643" s="20" t="s">
        <v>512</v>
      </c>
      <c r="B1643" s="27" t="s">
        <v>549</v>
      </c>
      <c r="C1643" s="27" t="s">
        <v>482</v>
      </c>
      <c r="D1643" s="27" t="s">
        <v>483</v>
      </c>
      <c r="E1643" s="21">
        <f>IF(D1643="?OLD","!!!","")</f>
        <v/>
      </c>
      <c r="F1643" s="22" t="str">
        <f>IF(OR(E1643="",E1643="!!!"),"",IF(NOT(ISNA(VLOOKUP(E1643,E$1:E1642,1,FALSE()))),"OLD",IF(AND(E1643&lt;&gt;"",E1643&lt;&gt;"!!!"),"NEW","")))</f>
        <v> </v>
      </c>
      <c r="G1643" s="23" t="str">
        <f>IF(OR(E1643="",E1643="!!!"),"",IF(OR(J1643=0,AND(J1643=1,K1643=1),AND(J1643=1,I1643="SBJ"),AND(J1643=1,I1643=0)),"?IN_FOCUS",IF(J1643&lt;=2,"?ACTIVATED",IF(J1643&lt;&gt;"","?FAMILIAR",IF(F1643="NEW",IF(ISNA(VLOOKUP(E1643,#REF!,1,FALSE())),"?TYPE_IDENTIFIABLE","?REFERENTIAL"),"_")))))</f>
        <v> </v>
      </c>
      <c r="H1643" s="24" t="str">
        <f>IF(J1643&lt;&gt;1,"",IF(I1643="SBJ","CB","?"))</f>
        <v> </v>
      </c>
      <c r="I1643" s="25" t="str">
        <f>IF(OR(E1643="",E1643="!!!",F1643="NEW"),"",INDEX(B1642:B$2,-1+SUMPRODUCT(MAX(ROW(E1642:E$2)*(E1643=E1642:E$2)))))</f>
        <v> </v>
      </c>
      <c r="J1643" s="25" t="str">
        <f>IF(OR(E1643="",E1643="!!!",F1643="NEW"),"",COUNTBLANK(OFFSET(A$1,,,SUMPRODUCT(MAX(ROW(E$2:E1643)*(E1643=E$2:E1643)))))-COUNTBLANK(OFFSET(A$1,,,SUMPRODUCT(MAX(ROW(E$1:E1642)*(E2=E$1:E1642))))))</f>
        <v> </v>
      </c>
      <c r="K1643" s="25" t="str">
        <f>IF(OR(E1643="",E1643="!!!",F1643="NEW"),"",INDEX(J$1:J1642,SUMPRODUCT(MAX(ROW(E$1:E1642)*(E1643=E$1:E1642)))))</f>
        <v> </v>
      </c>
      <c r="L1643" s="26"/>
    </row>
    <row r="1644" spans="1:12">
      <c r="A1644" s="20" t="s">
        <v>1025</v>
      </c>
      <c r="E1644" s="21">
        <f>IF(D1644="?OLD","!!!","")</f>
        <v/>
      </c>
      <c r="F1644" s="22" t="str">
        <f>IF(OR(E1644="",E1644="!!!"),"",IF(NOT(ISNA(VLOOKUP(E1644,E$1:E1643,1,FALSE()))),"OLD",IF(AND(E1644&lt;&gt;"",E1644&lt;&gt;"!!!"),"NEW","")))</f>
        <v> </v>
      </c>
      <c r="G1644" s="23" t="str">
        <f>IF(OR(E1644="",E1644="!!!"),"",IF(OR(J1644=0,AND(J1644=1,K1644=1),AND(J1644=1,I1644="SBJ"),AND(J1644=1,I1644=0)),"?IN_FOCUS",IF(J1644&lt;=2,"?ACTIVATED",IF(J1644&lt;&gt;"","?FAMILIAR",IF(F1644="NEW",IF(ISNA(VLOOKUP(E1644,#REF!,1,FALSE())),"?TYPE_IDENTIFIABLE","?REFERENTIAL"),"_")))))</f>
        <v> </v>
      </c>
      <c r="H1644" s="24" t="str">
        <f>IF(J1644&lt;&gt;1,"",IF(I1644="SBJ","CB","?"))</f>
        <v> </v>
      </c>
      <c r="I1644" s="25" t="str">
        <f>IF(OR(E1644="",E1644="!!!",F1644="NEW"),"",INDEX(B1643:B$2,-1+SUMPRODUCT(MAX(ROW(E1643:E$2)*(E1644=E1643:E$2)))))</f>
        <v> </v>
      </c>
      <c r="J1644" s="25" t="str">
        <f>IF(OR(E1644="",E1644="!!!",F1644="NEW"),"",COUNTBLANK(OFFSET(A$1,,,SUMPRODUCT(MAX(ROW(E$2:E1644)*(E1644=E$2:E1644)))))-COUNTBLANK(OFFSET(A$1,,,SUMPRODUCT(MAX(ROW(E$1:E1643)*(E2=E$1:E1643))))))</f>
        <v> </v>
      </c>
      <c r="K1644" s="25" t="str">
        <f>IF(OR(E1644="",E1644="!!!",F1644="NEW"),"",INDEX(J$1:J1643,SUMPRODUCT(MAX(ROW(E$1:E1643)*(E1644=E$1:E1643)))))</f>
        <v> </v>
      </c>
      <c r="L1644" s="26"/>
    </row>
    <row r="1645" spans="1:12">
      <c r="A1645" s="20" t="s">
        <v>531</v>
      </c>
      <c r="E1645" s="21">
        <f>IF(D1645="?OLD","!!!","")</f>
        <v/>
      </c>
      <c r="F1645" s="22" t="str">
        <f>IF(OR(E1645="",E1645="!!!"),"",IF(NOT(ISNA(VLOOKUP(E1645,E$1:E1644,1,FALSE()))),"OLD",IF(AND(E1645&lt;&gt;"",E1645&lt;&gt;"!!!"),"NEW","")))</f>
        <v> </v>
      </c>
      <c r="G1645" s="23" t="str">
        <f>IF(OR(E1645="",E1645="!!!"),"",IF(OR(J1645=0,AND(J1645=1,K1645=1),AND(J1645=1,I1645="SBJ"),AND(J1645=1,I1645=0)),"?IN_FOCUS",IF(J1645&lt;=2,"?ACTIVATED",IF(J1645&lt;&gt;"","?FAMILIAR",IF(F1645="NEW",IF(ISNA(VLOOKUP(E1645,#REF!,1,FALSE())),"?TYPE_IDENTIFIABLE","?REFERENTIAL"),"_")))))</f>
        <v> </v>
      </c>
      <c r="H1645" s="24" t="str">
        <f>IF(J1645&lt;&gt;1,"",IF(I1645="SBJ","CB","?"))</f>
        <v> </v>
      </c>
      <c r="I1645" s="25" t="str">
        <f>IF(OR(E1645="",E1645="!!!",F1645="NEW"),"",INDEX(B1644:B$2,-1+SUMPRODUCT(MAX(ROW(E1644:E$2)*(E1645=E1644:E$2)))))</f>
        <v> </v>
      </c>
      <c r="J1645" s="25" t="str">
        <f>IF(OR(E1645="",E1645="!!!",F1645="NEW"),"",COUNTBLANK(OFFSET(A$1,,,SUMPRODUCT(MAX(ROW(E$2:E1645)*(E1645=E$2:E1645)))))-COUNTBLANK(OFFSET(A$1,,,SUMPRODUCT(MAX(ROW(E$1:E1644)*(E2=E$1:E1644))))))</f>
        <v> </v>
      </c>
      <c r="K1645" s="25" t="str">
        <f>IF(OR(E1645="",E1645="!!!",F1645="NEW"),"",INDEX(J$1:J1644,SUMPRODUCT(MAX(ROW(E$1:E1644)*(E1645=E$1:E1644)))))</f>
        <v> </v>
      </c>
      <c r="L1645" s="26"/>
    </row>
    <row r="1646" spans="1:12">
      <c r="A1646" s="20"/>
    </row>
    <row r="1647" spans="1:12">
      <c r="A1647" s="20" t="s">
        <v>606</v>
      </c>
      <c r="E1647" s="21">
        <f>IF(D1647="?OLD","!!!","")</f>
        <v/>
      </c>
      <c r="F1647" s="22" t="str">
        <f>IF(OR(E1647="",E1647="!!!"),"",IF(NOT(ISNA(VLOOKUP(E1647,E$1:E1646,1,FALSE()))),"OLD",IF(AND(E1647&lt;&gt;"",E1647&lt;&gt;"!!!"),"NEW","")))</f>
        <v> </v>
      </c>
      <c r="G1647" s="23" t="str">
        <f>IF(OR(E1647="",E1647="!!!"),"",IF(OR(J1647=0,AND(J1647=1,K1647=1),AND(J1647=1,I1647="SBJ"),AND(J1647=1,I1647=0)),"?IN_FOCUS",IF(J1647&lt;=2,"?ACTIVATED",IF(J1647&lt;&gt;"","?FAMILIAR",IF(F1647="NEW",IF(ISNA(VLOOKUP(E1647,#REF!,1,FALSE())),"?TYPE_IDENTIFIABLE","?REFERENTIAL"),"_")))))</f>
        <v> </v>
      </c>
      <c r="H1647" s="24" t="str">
        <f>IF(J1647&lt;&gt;1,"",IF(I1647="SBJ","CB","?"))</f>
        <v> </v>
      </c>
      <c r="I1647" s="25" t="str">
        <f>IF(OR(E1647="",E1647="!!!",F1647="NEW"),"",INDEX(B1646:B$2,-1+SUMPRODUCT(MAX(ROW(E1646:E$2)*(E1647=E1646:E$2)))))</f>
        <v> </v>
      </c>
      <c r="J1647" s="25" t="str">
        <f>IF(OR(E1647="",E1647="!!!",F1647="NEW"),"",COUNTBLANK(OFFSET(A$1,,,SUMPRODUCT(MAX(ROW(E$2:E1647)*(E1647=E$2:E1647)))))-COUNTBLANK(OFFSET(A$1,,,SUMPRODUCT(MAX(ROW(E$1:E1646)*(E2=E$1:E1646))))))</f>
        <v> </v>
      </c>
      <c r="K1647" s="25" t="str">
        <f>IF(OR(E1647="",E1647="!!!",F1647="NEW"),"",INDEX(J$1:J1646,SUMPRODUCT(MAX(ROW(E$1:E1646)*(E1647=E$1:E1646)))))</f>
        <v> </v>
      </c>
      <c r="L1647" s="26"/>
    </row>
    <row r="1648" spans="1:12">
      <c r="A1648" s="20" t="s">
        <v>1043</v>
      </c>
    </row>
    <row r="1649" spans="1:12">
      <c r="A1649" s="20" t="s">
        <v>1044</v>
      </c>
      <c r="E1649" s="21">
        <f>IF(D1649="?OLD","!!!","")</f>
        <v/>
      </c>
      <c r="F1649" s="22" t="str">
        <f>IF(OR(E1649="",E1649="!!!"),"",IF(NOT(ISNA(VLOOKUP(E1649,E$1:E1648,1,FALSE()))),"OLD",IF(AND(E1649&lt;&gt;"",E1649&lt;&gt;"!!!"),"NEW","")))</f>
        <v> </v>
      </c>
      <c r="G1649" s="23" t="str">
        <f>IF(OR(E1649="",E1649="!!!"),"",IF(OR(J1649=0,AND(J1649=1,K1649=1),AND(J1649=1,I1649="SBJ"),AND(J1649=1,I1649=0)),"?IN_FOCUS",IF(J1649&lt;=2,"?ACTIVATED",IF(J1649&lt;&gt;"","?FAMILIAR",IF(F1649="NEW",IF(ISNA(VLOOKUP(E1649,#REF!,1,FALSE())),"?TYPE_IDENTIFIABLE","?REFERENTIAL"),"_")))))</f>
        <v> </v>
      </c>
      <c r="H1649" s="24" t="str">
        <f>IF(J1649&lt;&gt;1,"",IF(I1649="SBJ","CB","?"))</f>
        <v> </v>
      </c>
      <c r="I1649" s="25" t="str">
        <f>IF(OR(E1649="",E1649="!!!",F1649="NEW"),"",INDEX(B1648:B$2,-1+SUMPRODUCT(MAX(ROW(E1648:E$2)*(E1649=E1648:E$2)))))</f>
        <v> </v>
      </c>
      <c r="J1649" s="25" t="str">
        <f>IF(OR(E1649="",E1649="!!!",F1649="NEW"),"",COUNTBLANK(OFFSET(A$1,,,SUMPRODUCT(MAX(ROW(E$2:E1649)*(E1649=E$2:E1649)))))-COUNTBLANK(OFFSET(A$1,,,SUMPRODUCT(MAX(ROW(E$1:E1648)*(E2=E$1:E1648))))))</f>
        <v> </v>
      </c>
      <c r="K1649" s="25" t="str">
        <f>IF(OR(E1649="",E1649="!!!",F1649="NEW"),"",INDEX(J$1:J1648,SUMPRODUCT(MAX(ROW(E$1:E1648)*(E1649=E$1:E1648)))))</f>
        <v> </v>
      </c>
      <c r="L1649" s="26"/>
    </row>
    <row r="1650" spans="1:12">
      <c r="A1650" s="20" t="s">
        <v>974</v>
      </c>
      <c r="B1650" s="27" t="s">
        <v>537</v>
      </c>
      <c r="C1650" s="27" t="s">
        <v>487</v>
      </c>
      <c r="D1650" s="27" t="s">
        <v>483</v>
      </c>
      <c r="E1650" s="21">
        <f>IF(D1650="?OLD","!!!","")</f>
        <v/>
      </c>
      <c r="F1650" s="22" t="str">
        <f>IF(OR(E1650="",E1650="!!!"),"",IF(NOT(ISNA(VLOOKUP(E1650,E$1:E1649,1,FALSE()))),"OLD",IF(AND(E1650&lt;&gt;"",E1650&lt;&gt;"!!!"),"NEW","")))</f>
        <v> </v>
      </c>
      <c r="G1650" s="23" t="str">
        <f>IF(OR(E1650="",E1650="!!!"),"",IF(OR(J1650=0,AND(J1650=1,K1650=1),AND(J1650=1,I1650="SBJ"),AND(J1650=1,I1650=0)),"?IN_FOCUS",IF(J1650&lt;=2,"?ACTIVATED",IF(J1650&lt;&gt;"","?FAMILIAR",IF(F1650="NEW",IF(ISNA(VLOOKUP(E1650,#REF!,1,FALSE())),"?TYPE_IDENTIFIABLE","?REFERENTIAL"),"_")))))</f>
        <v> </v>
      </c>
      <c r="H1650" s="24" t="str">
        <f>IF(J1650&lt;&gt;1,"",IF(I1650="SBJ","CB","?"))</f>
        <v> </v>
      </c>
      <c r="I1650" s="25" t="str">
        <f>IF(OR(E1650="",E1650="!!!",F1650="NEW"),"",INDEX(B1649:B$2,-1+SUMPRODUCT(MAX(ROW(E1649:E$2)*(E1650=E1649:E$2)))))</f>
        <v> </v>
      </c>
      <c r="J1650" s="25" t="str">
        <f>IF(OR(E1650="",E1650="!!!",F1650="NEW"),"",COUNTBLANK(OFFSET(A$1,,,SUMPRODUCT(MAX(ROW(E$2:E1650)*(E1650=E$2:E1650)))))-COUNTBLANK(OFFSET(A$1,,,SUMPRODUCT(MAX(ROW(E$1:E1649)*(E2=E$1:E1649))))))</f>
        <v> </v>
      </c>
      <c r="K1650" s="25" t="str">
        <f>IF(OR(E1650="",E1650="!!!",F1650="NEW"),"",INDEX(J$1:J1649,SUMPRODUCT(MAX(ROW(E$1:E1649)*(E1650=E$1:E1649)))))</f>
        <v> </v>
      </c>
      <c r="L1650" s="26"/>
    </row>
    <row r="1651" spans="1:12">
      <c r="A1651" s="20" t="s">
        <v>1045</v>
      </c>
      <c r="E1651" s="21">
        <f>IF(D1651="?OLD","!!!","")</f>
        <v/>
      </c>
      <c r="F1651" s="22" t="str">
        <f>IF(OR(E1651="",E1651="!!!"),"",IF(NOT(ISNA(VLOOKUP(E1651,E$1:E1650,1,FALSE()))),"OLD",IF(AND(E1651&lt;&gt;"",E1651&lt;&gt;"!!!"),"NEW","")))</f>
        <v> </v>
      </c>
      <c r="G1651" s="23" t="str">
        <f>IF(OR(E1651="",E1651="!!!"),"",IF(OR(J1651=0,AND(J1651=1,K1651=1),AND(J1651=1,I1651="SBJ"),AND(J1651=1,I1651=0)),"?IN_FOCUS",IF(J1651&lt;=2,"?ACTIVATED",IF(J1651&lt;&gt;"","?FAMILIAR",IF(F1651="NEW",IF(ISNA(VLOOKUP(E1651,#REF!,1,FALSE())),"?TYPE_IDENTIFIABLE","?REFERENTIAL"),"_")))))</f>
        <v> </v>
      </c>
      <c r="H1651" s="24" t="str">
        <f>IF(J1651&lt;&gt;1,"",IF(I1651="SBJ","CB","?"))</f>
        <v> </v>
      </c>
      <c r="I1651" s="25" t="str">
        <f>IF(OR(E1651="",E1651="!!!",F1651="NEW"),"",INDEX(B1650:B$2,-1+SUMPRODUCT(MAX(ROW(E1650:E$2)*(E1651=E1650:E$2)))))</f>
        <v> </v>
      </c>
      <c r="J1651" s="25" t="str">
        <f>IF(OR(E1651="",E1651="!!!",F1651="NEW"),"",COUNTBLANK(OFFSET(A$1,,,SUMPRODUCT(MAX(ROW(E$2:E1651)*(E1651=E$2:E1651)))))-COUNTBLANK(OFFSET(A$1,,,SUMPRODUCT(MAX(ROW(E$1:E1650)*(E2=E$1:E1650))))))</f>
        <v> </v>
      </c>
      <c r="K1651" s="25" t="str">
        <f>IF(OR(E1651="",E1651="!!!",F1651="NEW"),"",INDEX(J$1:J1650,SUMPRODUCT(MAX(ROW(E$1:E1650)*(E1651=E$1:E1650)))))</f>
        <v> </v>
      </c>
      <c r="L1651" s="26"/>
    </row>
    <row r="1652" spans="1:12">
      <c r="A1652" s="20" t="s">
        <v>1046</v>
      </c>
      <c r="E1652" s="21">
        <f>IF(D1652="?OLD","!!!","")</f>
        <v/>
      </c>
      <c r="F1652" s="22" t="str">
        <f>IF(OR(E1652="",E1652="!!!"),"",IF(NOT(ISNA(VLOOKUP(E1652,E$1:E1651,1,FALSE()))),"OLD",IF(AND(E1652&lt;&gt;"",E1652&lt;&gt;"!!!"),"NEW","")))</f>
        <v> </v>
      </c>
      <c r="G1652" s="23" t="str">
        <f>IF(OR(E1652="",E1652="!!!"),"",IF(OR(J1652=0,AND(J1652=1,K1652=1),AND(J1652=1,I1652="SBJ"),AND(J1652=1,I1652=0)),"?IN_FOCUS",IF(J1652&lt;=2,"?ACTIVATED",IF(J1652&lt;&gt;"","?FAMILIAR",IF(F1652="NEW",IF(ISNA(VLOOKUP(E1652,#REF!,1,FALSE())),"?TYPE_IDENTIFIABLE","?REFERENTIAL"),"_")))))</f>
        <v> </v>
      </c>
      <c r="H1652" s="24" t="str">
        <f>IF(J1652&lt;&gt;1,"",IF(I1652="SBJ","CB","?"))</f>
        <v> </v>
      </c>
      <c r="I1652" s="25" t="str">
        <f>IF(OR(E1652="",E1652="!!!",F1652="NEW"),"",INDEX(B1651:B$2,-1+SUMPRODUCT(MAX(ROW(E1651:E$2)*(E1652=E1651:E$2)))))</f>
        <v> </v>
      </c>
      <c r="J1652" s="25" t="str">
        <f>IF(OR(E1652="",E1652="!!!",F1652="NEW"),"",COUNTBLANK(OFFSET(A$1,,,SUMPRODUCT(MAX(ROW(E$2:E1652)*(E1652=E$2:E1652)))))-COUNTBLANK(OFFSET(A$1,,,SUMPRODUCT(MAX(ROW(E$1:E1651)*(E2=E$1:E1651))))))</f>
        <v> </v>
      </c>
      <c r="K1652" s="25" t="str">
        <f>IF(OR(E1652="",E1652="!!!",F1652="NEW"),"",INDEX(J$1:J1651,SUMPRODUCT(MAX(ROW(E$1:E1651)*(E1652=E$1:E1651)))))</f>
        <v> </v>
      </c>
      <c r="L1652" s="26"/>
    </row>
    <row r="1653" spans="1:12">
      <c r="A1653" s="20" t="s">
        <v>697</v>
      </c>
      <c r="E1653" s="21">
        <f>IF(D1653="?OLD","!!!","")</f>
        <v/>
      </c>
      <c r="F1653" s="22" t="str">
        <f>IF(OR(E1653="",E1653="!!!"),"",IF(NOT(ISNA(VLOOKUP(E1653,E$1:E1652,1,FALSE()))),"OLD",IF(AND(E1653&lt;&gt;"",E1653&lt;&gt;"!!!"),"NEW","")))</f>
        <v> </v>
      </c>
      <c r="G1653" s="23" t="str">
        <f>IF(OR(E1653="",E1653="!!!"),"",IF(OR(J1653=0,AND(J1653=1,K1653=1),AND(J1653=1,I1653="SBJ"),AND(J1653=1,I1653=0)),"?IN_FOCUS",IF(J1653&lt;=2,"?ACTIVATED",IF(J1653&lt;&gt;"","?FAMILIAR",IF(F1653="NEW",IF(ISNA(VLOOKUP(E1653,#REF!,1,FALSE())),"?TYPE_IDENTIFIABLE","?REFERENTIAL"),"_")))))</f>
        <v> </v>
      </c>
      <c r="H1653" s="24" t="str">
        <f>IF(J1653&lt;&gt;1,"",IF(I1653="SBJ","CB","?"))</f>
        <v> </v>
      </c>
      <c r="I1653" s="25" t="str">
        <f>IF(OR(E1653="",E1653="!!!",F1653="NEW"),"",INDEX(B1652:B$2,-1+SUMPRODUCT(MAX(ROW(E1652:E$2)*(E1653=E1652:E$2)))))</f>
        <v> </v>
      </c>
      <c r="J1653" s="25" t="str">
        <f>IF(OR(E1653="",E1653="!!!",F1653="NEW"),"",COUNTBLANK(OFFSET(A$1,,,SUMPRODUCT(MAX(ROW(E$2:E1653)*(E1653=E$2:E1653)))))-COUNTBLANK(OFFSET(A$1,,,SUMPRODUCT(MAX(ROW(E$1:E1652)*(E2=E$1:E1652))))))</f>
        <v> </v>
      </c>
      <c r="K1653" s="25" t="str">
        <f>IF(OR(E1653="",E1653="!!!",F1653="NEW"),"",INDEX(J$1:J1652,SUMPRODUCT(MAX(ROW(E$1:E1652)*(E1653=E$1:E1652)))))</f>
        <v> </v>
      </c>
      <c r="L1653" s="26"/>
    </row>
    <row r="1654" spans="1:12">
      <c r="A1654" s="20" t="s">
        <v>503</v>
      </c>
      <c r="E1654" s="21">
        <f>IF(D1654="?OLD","!!!","")</f>
        <v/>
      </c>
      <c r="F1654" s="22" t="str">
        <f>IF(OR(E1654="",E1654="!!!"),"",IF(NOT(ISNA(VLOOKUP(E1654,E$1:E1653,1,FALSE()))),"OLD",IF(AND(E1654&lt;&gt;"",E1654&lt;&gt;"!!!"),"NEW","")))</f>
        <v> </v>
      </c>
      <c r="G1654" s="23" t="str">
        <f>IF(OR(E1654="",E1654="!!!"),"",IF(OR(J1654=0,AND(J1654=1,K1654=1),AND(J1654=1,I1654="SBJ"),AND(J1654=1,I1654=0)),"?IN_FOCUS",IF(J1654&lt;=2,"?ACTIVATED",IF(J1654&lt;&gt;"","?FAMILIAR",IF(F1654="NEW",IF(ISNA(VLOOKUP(E1654,#REF!,1,FALSE())),"?TYPE_IDENTIFIABLE","?REFERENTIAL"),"_")))))</f>
        <v> </v>
      </c>
      <c r="H1654" s="24" t="str">
        <f>IF(J1654&lt;&gt;1,"",IF(I1654="SBJ","CB","?"))</f>
        <v> </v>
      </c>
      <c r="I1654" s="25" t="str">
        <f>IF(OR(E1654="",E1654="!!!",F1654="NEW"),"",INDEX(B1653:B$2,-1+SUMPRODUCT(MAX(ROW(E1653:E$2)*(E1654=E1653:E$2)))))</f>
        <v> </v>
      </c>
      <c r="J1654" s="25" t="str">
        <f>IF(OR(E1654="",E1654="!!!",F1654="NEW"),"",COUNTBLANK(OFFSET(A$1,,,SUMPRODUCT(MAX(ROW(E$2:E1654)*(E1654=E$2:E1654)))))-COUNTBLANK(OFFSET(A$1,,,SUMPRODUCT(MAX(ROW(E$1:E1653)*(E2=E$1:E1653))))))</f>
        <v> </v>
      </c>
      <c r="K1654" s="25" t="str">
        <f>IF(OR(E1654="",E1654="!!!",F1654="NEW"),"",INDEX(J$1:J1653,SUMPRODUCT(MAX(ROW(E$1:E1653)*(E1654=E$1:E1653)))))</f>
        <v> </v>
      </c>
      <c r="L1654" s="26"/>
    </row>
    <row r="1655" spans="1:12">
      <c r="A1655" s="20" t="s">
        <v>124</v>
      </c>
      <c r="E1655" s="21">
        <f>IF(D1655="?OLD","!!!","")</f>
        <v/>
      </c>
      <c r="F1655" s="22" t="str">
        <f>IF(OR(E1655="",E1655="!!!"),"",IF(NOT(ISNA(VLOOKUP(E1655,E$1:E1654,1,FALSE()))),"OLD",IF(AND(E1655&lt;&gt;"",E1655&lt;&gt;"!!!"),"NEW","")))</f>
        <v> </v>
      </c>
      <c r="G1655" s="23" t="str">
        <f>IF(OR(E1655="",E1655="!!!"),"",IF(OR(J1655=0,AND(J1655=1,K1655=1),AND(J1655=1,I1655="SBJ"),AND(J1655=1,I1655=0)),"?IN_FOCUS",IF(J1655&lt;=2,"?ACTIVATED",IF(J1655&lt;&gt;"","?FAMILIAR",IF(F1655="NEW",IF(ISNA(VLOOKUP(E1655,#REF!,1,FALSE())),"?TYPE_IDENTIFIABLE","?REFERENTIAL"),"_")))))</f>
        <v> </v>
      </c>
      <c r="H1655" s="24" t="str">
        <f>IF(J1655&lt;&gt;1,"",IF(I1655="SBJ","CB","?"))</f>
        <v> </v>
      </c>
      <c r="I1655" s="25" t="str">
        <f>IF(OR(E1655="",E1655="!!!",F1655="NEW"),"",INDEX(B1654:B$2,-1+SUMPRODUCT(MAX(ROW(E1654:E$2)*(E1655=E1654:E$2)))))</f>
        <v> </v>
      </c>
      <c r="J1655" s="25" t="str">
        <f>IF(OR(E1655="",E1655="!!!",F1655="NEW"),"",COUNTBLANK(OFFSET(A$1,,,SUMPRODUCT(MAX(ROW(E$2:E1655)*(E1655=E$2:E1655)))))-COUNTBLANK(OFFSET(A$1,,,SUMPRODUCT(MAX(ROW(E$1:E1654)*(E2=E$1:E1654))))))</f>
        <v> </v>
      </c>
      <c r="K1655" s="25" t="str">
        <f>IF(OR(E1655="",E1655="!!!",F1655="NEW"),"",INDEX(J$1:J1654,SUMPRODUCT(MAX(ROW(E$1:E1654)*(E1655=E$1:E1654)))))</f>
        <v> </v>
      </c>
      <c r="L1655" s="26"/>
    </row>
    <row r="1656" spans="1:12">
      <c r="A1656" s="20" t="s">
        <v>917</v>
      </c>
      <c r="E1656" s="21">
        <f>IF(D1656="?OLD","!!!","")</f>
        <v/>
      </c>
      <c r="F1656" s="22" t="str">
        <f>IF(OR(E1656="",E1656="!!!"),"",IF(NOT(ISNA(VLOOKUP(E1656,E$1:E1655,1,FALSE()))),"OLD",IF(AND(E1656&lt;&gt;"",E1656&lt;&gt;"!!!"),"NEW","")))</f>
        <v> </v>
      </c>
      <c r="G1656" s="23" t="str">
        <f>IF(OR(E1656="",E1656="!!!"),"",IF(OR(J1656=0,AND(J1656=1,K1656=1),AND(J1656=1,I1656="SBJ"),AND(J1656=1,I1656=0)),"?IN_FOCUS",IF(J1656&lt;=2,"?ACTIVATED",IF(J1656&lt;&gt;"","?FAMILIAR",IF(F1656="NEW",IF(ISNA(VLOOKUP(E1656,#REF!,1,FALSE())),"?TYPE_IDENTIFIABLE","?REFERENTIAL"),"_")))))</f>
        <v> </v>
      </c>
      <c r="H1656" s="24" t="str">
        <f>IF(J1656&lt;&gt;1,"",IF(I1656="SBJ","CB","?"))</f>
        <v> </v>
      </c>
      <c r="I1656" s="25" t="str">
        <f>IF(OR(E1656="",E1656="!!!",F1656="NEW"),"",INDEX(B1655:B$2,-1+SUMPRODUCT(MAX(ROW(E1655:E$2)*(E1656=E1655:E$2)))))</f>
        <v> </v>
      </c>
      <c r="J1656" s="25" t="str">
        <f>IF(OR(E1656="",E1656="!!!",F1656="NEW"),"",COUNTBLANK(OFFSET(A$1,,,SUMPRODUCT(MAX(ROW(E$2:E1656)*(E1656=E$2:E1656)))))-COUNTBLANK(OFFSET(A$1,,,SUMPRODUCT(MAX(ROW(E$1:E1655)*(E2=E$1:E1655))))))</f>
        <v> </v>
      </c>
      <c r="K1656" s="25" t="str">
        <f>IF(OR(E1656="",E1656="!!!",F1656="NEW"),"",INDEX(J$1:J1655,SUMPRODUCT(MAX(ROW(E$1:E1655)*(E1656=E$1:E1655)))))</f>
        <v> </v>
      </c>
      <c r="L1656" s="26"/>
    </row>
    <row r="1657" spans="1:12">
      <c r="A1657" s="20" t="s">
        <v>610</v>
      </c>
      <c r="E1657" s="21">
        <f>IF(D1657="?OLD","!!!","")</f>
        <v/>
      </c>
      <c r="F1657" s="22" t="str">
        <f>IF(OR(E1657="",E1657="!!!"),"",IF(NOT(ISNA(VLOOKUP(E1657,E$1:E1656,1,FALSE()))),"OLD",IF(AND(E1657&lt;&gt;"",E1657&lt;&gt;"!!!"),"NEW","")))</f>
        <v> </v>
      </c>
      <c r="G1657" s="23" t="str">
        <f>IF(OR(E1657="",E1657="!!!"),"",IF(OR(J1657=0,AND(J1657=1,K1657=1),AND(J1657=1,I1657="SBJ"),AND(J1657=1,I1657=0)),"?IN_FOCUS",IF(J1657&lt;=2,"?ACTIVATED",IF(J1657&lt;&gt;"","?FAMILIAR",IF(F1657="NEW",IF(ISNA(VLOOKUP(E1657,#REF!,1,FALSE())),"?TYPE_IDENTIFIABLE","?REFERENTIAL"),"_")))))</f>
        <v> </v>
      </c>
      <c r="H1657" s="24" t="str">
        <f>IF(J1657&lt;&gt;1,"",IF(I1657="SBJ","CB","?"))</f>
        <v> </v>
      </c>
      <c r="I1657" s="25" t="str">
        <f>IF(OR(E1657="",E1657="!!!",F1657="NEW"),"",INDEX(B1656:B$2,-1+SUMPRODUCT(MAX(ROW(E1656:E$2)*(E1657=E1656:E$2)))))</f>
        <v> </v>
      </c>
      <c r="J1657" s="25" t="str">
        <f>IF(OR(E1657="",E1657="!!!",F1657="NEW"),"",COUNTBLANK(OFFSET(A$1,,,SUMPRODUCT(MAX(ROW(E$2:E1657)*(E1657=E$2:E1657)))))-COUNTBLANK(OFFSET(A$1,,,SUMPRODUCT(MAX(ROW(E$1:E1656)*(E2=E$1:E1656))))))</f>
        <v> </v>
      </c>
      <c r="K1657" s="25" t="str">
        <f>IF(OR(E1657="",E1657="!!!",F1657="NEW"),"",INDEX(J$1:J1656,SUMPRODUCT(MAX(ROW(E$1:E1656)*(E1657=E$1:E1656)))))</f>
        <v> </v>
      </c>
      <c r="L1657" s="26"/>
    </row>
    <row r="1658" spans="1:12">
      <c r="A1658" s="20" t="s">
        <v>608</v>
      </c>
      <c r="B1658" s="27" t="s">
        <v>654</v>
      </c>
      <c r="C1658" s="27" t="s">
        <v>482</v>
      </c>
      <c r="D1658" s="27" t="s">
        <v>483</v>
      </c>
      <c r="E1658" s="21">
        <f>IF(D1658="?OLD","!!!","")</f>
        <v/>
      </c>
      <c r="F1658" s="22" t="str">
        <f>IF(OR(E1658="",E1658="!!!"),"",IF(NOT(ISNA(VLOOKUP(E1658,E$1:E1657,1,FALSE()))),"OLD",IF(AND(E1658&lt;&gt;"",E1658&lt;&gt;"!!!"),"NEW","")))</f>
        <v> </v>
      </c>
      <c r="G1658" s="23" t="str">
        <f>IF(OR(E1658="",E1658="!!!"),"",IF(OR(J1658=0,AND(J1658=1,K1658=1),AND(J1658=1,I1658="SBJ"),AND(J1658=1,I1658=0)),"?IN_FOCUS",IF(J1658&lt;=2,"?ACTIVATED",IF(J1658&lt;&gt;"","?FAMILIAR",IF(F1658="NEW",IF(ISNA(VLOOKUP(E1658,#REF!,1,FALSE())),"?TYPE_IDENTIFIABLE","?REFERENTIAL"),"_")))))</f>
        <v> </v>
      </c>
      <c r="H1658" s="24" t="str">
        <f>IF(J1658&lt;&gt;1,"",IF(I1658="SBJ","CB","?"))</f>
        <v> </v>
      </c>
      <c r="I1658" s="25" t="str">
        <f>IF(OR(E1658="",E1658="!!!",F1658="NEW"),"",INDEX(B1657:B$2,-1+SUMPRODUCT(MAX(ROW(E1657:E$2)*(E1658=E1657:E$2)))))</f>
        <v> </v>
      </c>
      <c r="J1658" s="25" t="str">
        <f>IF(OR(E1658="",E1658="!!!",F1658="NEW"),"",COUNTBLANK(OFFSET(A$1,,,SUMPRODUCT(MAX(ROW(E$2:E1658)*(E1658=E$2:E1658)))))-COUNTBLANK(OFFSET(A$1,,,SUMPRODUCT(MAX(ROW(E$1:E1657)*(E2=E$1:E1657))))))</f>
        <v> </v>
      </c>
      <c r="K1658" s="25" t="str">
        <f>IF(OR(E1658="",E1658="!!!",F1658="NEW"),"",INDEX(J$1:J1657,SUMPRODUCT(MAX(ROW(E$1:E1657)*(E1658=E$1:E1657)))))</f>
        <v> </v>
      </c>
      <c r="L1658" s="26"/>
    </row>
    <row r="1659" spans="1:12">
      <c r="A1659" s="20" t="s">
        <v>680</v>
      </c>
      <c r="E1659" s="21">
        <f>IF(D1659="?OLD","!!!","")</f>
        <v/>
      </c>
      <c r="F1659" s="22" t="str">
        <f>IF(OR(E1659="",E1659="!!!"),"",IF(NOT(ISNA(VLOOKUP(E1659,E$1:E1658,1,FALSE()))),"OLD",IF(AND(E1659&lt;&gt;"",E1659&lt;&gt;"!!!"),"NEW","")))</f>
        <v> </v>
      </c>
      <c r="G1659" s="23" t="str">
        <f>IF(OR(E1659="",E1659="!!!"),"",IF(OR(J1659=0,AND(J1659=1,K1659=1),AND(J1659=1,I1659="SBJ"),AND(J1659=1,I1659=0)),"?IN_FOCUS",IF(J1659&lt;=2,"?ACTIVATED",IF(J1659&lt;&gt;"","?FAMILIAR",IF(F1659="NEW",IF(ISNA(VLOOKUP(E1659,#REF!,1,FALSE())),"?TYPE_IDENTIFIABLE","?REFERENTIAL"),"_")))))</f>
        <v> </v>
      </c>
      <c r="H1659" s="24" t="str">
        <f>IF(J1659&lt;&gt;1,"",IF(I1659="SBJ","CB","?"))</f>
        <v> </v>
      </c>
      <c r="I1659" s="25" t="str">
        <f>IF(OR(E1659="",E1659="!!!",F1659="NEW"),"",INDEX(B1658:B$2,-1+SUMPRODUCT(MAX(ROW(E1658:E$2)*(E1659=E1658:E$2)))))</f>
        <v> </v>
      </c>
      <c r="J1659" s="25" t="str">
        <f>IF(OR(E1659="",E1659="!!!",F1659="NEW"),"",COUNTBLANK(OFFSET(A$1,,,SUMPRODUCT(MAX(ROW(E$2:E1659)*(E1659=E$2:E1659)))))-COUNTBLANK(OFFSET(A$1,,,SUMPRODUCT(MAX(ROW(E$1:E1658)*(E2=E$1:E1658))))))</f>
        <v> </v>
      </c>
      <c r="K1659" s="25" t="str">
        <f>IF(OR(E1659="",E1659="!!!",F1659="NEW"),"",INDEX(J$1:J1658,SUMPRODUCT(MAX(ROW(E$1:E1658)*(E1659=E$1:E1658)))))</f>
        <v> </v>
      </c>
      <c r="L1659" s="26"/>
    </row>
    <row r="1660" spans="1:12">
      <c r="A1660" s="20" t="s">
        <v>1047</v>
      </c>
      <c r="E1660" s="21">
        <f>IF(D1660="?OLD","!!!","")</f>
        <v/>
      </c>
      <c r="F1660" s="22" t="str">
        <f>IF(OR(E1660="",E1660="!!!"),"",IF(NOT(ISNA(VLOOKUP(E1660,E$1:E1659,1,FALSE()))),"OLD",IF(AND(E1660&lt;&gt;"",E1660&lt;&gt;"!!!"),"NEW","")))</f>
        <v> </v>
      </c>
      <c r="G1660" s="23" t="str">
        <f>IF(OR(E1660="",E1660="!!!"),"",IF(OR(J1660=0,AND(J1660=1,K1660=1),AND(J1660=1,I1660="SBJ"),AND(J1660=1,I1660=0)),"?IN_FOCUS",IF(J1660&lt;=2,"?ACTIVATED",IF(J1660&lt;&gt;"","?FAMILIAR",IF(F1660="NEW",IF(ISNA(VLOOKUP(E1660,#REF!,1,FALSE())),"?TYPE_IDENTIFIABLE","?REFERENTIAL"),"_")))))</f>
        <v> </v>
      </c>
      <c r="H1660" s="24" t="str">
        <f>IF(J1660&lt;&gt;1,"",IF(I1660="SBJ","CB","?"))</f>
        <v> </v>
      </c>
      <c r="I1660" s="25" t="str">
        <f>IF(OR(E1660="",E1660="!!!",F1660="NEW"),"",INDEX(B1659:B$2,-1+SUMPRODUCT(MAX(ROW(E1659:E$2)*(E1660=E1659:E$2)))))</f>
        <v> </v>
      </c>
      <c r="J1660" s="25" t="str">
        <f>IF(OR(E1660="",E1660="!!!",F1660="NEW"),"",COUNTBLANK(OFFSET(A$1,,,SUMPRODUCT(MAX(ROW(E$2:E1660)*(E1660=E$2:E1660)))))-COUNTBLANK(OFFSET(A$1,,,SUMPRODUCT(MAX(ROW(E$1:E1659)*(E2=E$1:E1659))))))</f>
        <v> </v>
      </c>
      <c r="K1660" s="25" t="str">
        <f>IF(OR(E1660="",E1660="!!!",F1660="NEW"),"",INDEX(J$1:J1659,SUMPRODUCT(MAX(ROW(E$1:E1659)*(E1660=E$1:E1659)))))</f>
        <v> </v>
      </c>
      <c r="L1660" s="26"/>
    </row>
    <row r="1661" spans="1:12">
      <c r="A1661" s="20" t="s">
        <v>503</v>
      </c>
      <c r="E1661" s="21">
        <f>IF(D1661="?OLD","!!!","")</f>
        <v/>
      </c>
      <c r="F1661" s="22" t="str">
        <f>IF(OR(E1661="",E1661="!!!"),"",IF(NOT(ISNA(VLOOKUP(E1661,E$1:E1660,1,FALSE()))),"OLD",IF(AND(E1661&lt;&gt;"",E1661&lt;&gt;"!!!"),"NEW","")))</f>
        <v> </v>
      </c>
      <c r="G1661" s="23" t="str">
        <f>IF(OR(E1661="",E1661="!!!"),"",IF(OR(J1661=0,AND(J1661=1,K1661=1),AND(J1661=1,I1661="SBJ"),AND(J1661=1,I1661=0)),"?IN_FOCUS",IF(J1661&lt;=2,"?ACTIVATED",IF(J1661&lt;&gt;"","?FAMILIAR",IF(F1661="NEW",IF(ISNA(VLOOKUP(E1661,#REF!,1,FALSE())),"?TYPE_IDENTIFIABLE","?REFERENTIAL"),"_")))))</f>
        <v> </v>
      </c>
      <c r="H1661" s="24" t="str">
        <f>IF(J1661&lt;&gt;1,"",IF(I1661="SBJ","CB","?"))</f>
        <v> </v>
      </c>
      <c r="I1661" s="25" t="str">
        <f>IF(OR(E1661="",E1661="!!!",F1661="NEW"),"",INDEX(B1660:B$2,-1+SUMPRODUCT(MAX(ROW(E1660:E$2)*(E1661=E1660:E$2)))))</f>
        <v> </v>
      </c>
      <c r="J1661" s="25" t="str">
        <f>IF(OR(E1661="",E1661="!!!",F1661="NEW"),"",COUNTBLANK(OFFSET(A$1,,,SUMPRODUCT(MAX(ROW(E$2:E1661)*(E1661=E$2:E1661)))))-COUNTBLANK(OFFSET(A$1,,,SUMPRODUCT(MAX(ROW(E$1:E1660)*(E2=E$1:E1660))))))</f>
        <v> </v>
      </c>
      <c r="K1661" s="25" t="str">
        <f>IF(OR(E1661="",E1661="!!!",F1661="NEW"),"",INDEX(J$1:J1660,SUMPRODUCT(MAX(ROW(E$1:E1660)*(E1661=E$1:E1660)))))</f>
        <v> </v>
      </c>
      <c r="L1661" s="26"/>
    </row>
    <row r="1662" spans="1:12">
      <c r="A1662" s="20" t="s">
        <v>72</v>
      </c>
      <c r="E1662" s="21">
        <f>IF(D1662="?OLD","!!!","")</f>
        <v/>
      </c>
      <c r="F1662" s="22" t="str">
        <f>IF(OR(E1662="",E1662="!!!"),"",IF(NOT(ISNA(VLOOKUP(E1662,E$1:E1661,1,FALSE()))),"OLD",IF(AND(E1662&lt;&gt;"",E1662&lt;&gt;"!!!"),"NEW","")))</f>
        <v> </v>
      </c>
      <c r="G1662" s="23" t="str">
        <f>IF(OR(E1662="",E1662="!!!"),"",IF(OR(J1662=0,AND(J1662=1,K1662=1),AND(J1662=1,I1662="SBJ"),AND(J1662=1,I1662=0)),"?IN_FOCUS",IF(J1662&lt;=2,"?ACTIVATED",IF(J1662&lt;&gt;"","?FAMILIAR",IF(F1662="NEW",IF(ISNA(VLOOKUP(E1662,#REF!,1,FALSE())),"?TYPE_IDENTIFIABLE","?REFERENTIAL"),"_")))))</f>
        <v> </v>
      </c>
      <c r="H1662" s="24" t="str">
        <f>IF(J1662&lt;&gt;1,"",IF(I1662="SBJ","CB","?"))</f>
        <v> </v>
      </c>
      <c r="I1662" s="25" t="str">
        <f>IF(OR(E1662="",E1662="!!!",F1662="NEW"),"",INDEX(B1661:B$2,-1+SUMPRODUCT(MAX(ROW(E1661:E$2)*(E1662=E1661:E$2)))))</f>
        <v> </v>
      </c>
      <c r="J1662" s="25" t="str">
        <f>IF(OR(E1662="",E1662="!!!",F1662="NEW"),"",COUNTBLANK(OFFSET(A$1,,,SUMPRODUCT(MAX(ROW(E$2:E1662)*(E1662=E$2:E1662)))))-COUNTBLANK(OFFSET(A$1,,,SUMPRODUCT(MAX(ROW(E$1:E1661)*(E2=E$1:E1661))))))</f>
        <v> </v>
      </c>
      <c r="K1662" s="25" t="str">
        <f>IF(OR(E1662="",E1662="!!!",F1662="NEW"),"",INDEX(J$1:J1661,SUMPRODUCT(MAX(ROW(E$1:E1661)*(E1662=E$1:E1661)))))</f>
        <v> </v>
      </c>
      <c r="L1662" s="26"/>
    </row>
    <row r="1663" spans="1:12">
      <c r="A1663" s="20" t="s">
        <v>1048</v>
      </c>
      <c r="B1663" s="27" t="s">
        <v>556</v>
      </c>
      <c r="C1663" s="27" t="s">
        <v>491</v>
      </c>
      <c r="D1663" s="27" t="s">
        <v>483</v>
      </c>
      <c r="E1663" s="21">
        <f>IF(D1663="?OLD","!!!","")</f>
        <v/>
      </c>
      <c r="F1663" s="22" t="str">
        <f>IF(OR(E1663="",E1663="!!!"),"",IF(NOT(ISNA(VLOOKUP(E1663,E$1:E1662,1,FALSE()))),"OLD",IF(AND(E1663&lt;&gt;"",E1663&lt;&gt;"!!!"),"NEW","")))</f>
        <v> </v>
      </c>
      <c r="G1663" s="23" t="str">
        <f>IF(OR(E1663="",E1663="!!!"),"",IF(OR(J1663=0,AND(J1663=1,K1663=1),AND(J1663=1,I1663="SBJ"),AND(J1663=1,I1663=0)),"?IN_FOCUS",IF(J1663&lt;=2,"?ACTIVATED",IF(J1663&lt;&gt;"","?FAMILIAR",IF(F1663="NEW",IF(ISNA(VLOOKUP(E1663,#REF!,1,FALSE())),"?TYPE_IDENTIFIABLE","?REFERENTIAL"),"_")))))</f>
        <v> </v>
      </c>
      <c r="H1663" s="24" t="str">
        <f>IF(J1663&lt;&gt;1,"",IF(I1663="SBJ","CB","?"))</f>
        <v> </v>
      </c>
      <c r="I1663" s="25" t="str">
        <f>IF(OR(E1663="",E1663="!!!",F1663="NEW"),"",INDEX(B1662:B$2,-1+SUMPRODUCT(MAX(ROW(E1662:E$2)*(E1663=E1662:E$2)))))</f>
        <v> </v>
      </c>
      <c r="J1663" s="25" t="str">
        <f>IF(OR(E1663="",E1663="!!!",F1663="NEW"),"",COUNTBLANK(OFFSET(A$1,,,SUMPRODUCT(MAX(ROW(E$2:E1663)*(E1663=E$2:E1663)))))-COUNTBLANK(OFFSET(A$1,,,SUMPRODUCT(MAX(ROW(E$1:E1662)*(E2=E$1:E1662))))))</f>
        <v> </v>
      </c>
      <c r="K1663" s="25" t="str">
        <f>IF(OR(E1663="",E1663="!!!",F1663="NEW"),"",INDEX(J$1:J1662,SUMPRODUCT(MAX(ROW(E$1:E1662)*(E1663=E$1:E1662)))))</f>
        <v> </v>
      </c>
      <c r="L1663" s="26"/>
    </row>
    <row r="1664" spans="1:12">
      <c r="A1664" s="20" t="s">
        <v>531</v>
      </c>
      <c r="E1664" s="21">
        <f>IF(D1664="?OLD","!!!","")</f>
        <v/>
      </c>
      <c r="F1664" s="22" t="str">
        <f>IF(OR(E1664="",E1664="!!!"),"",IF(NOT(ISNA(VLOOKUP(E1664,E$1:E1663,1,FALSE()))),"OLD",IF(AND(E1664&lt;&gt;"",E1664&lt;&gt;"!!!"),"NEW","")))</f>
        <v> </v>
      </c>
      <c r="G1664" s="23" t="str">
        <f>IF(OR(E1664="",E1664="!!!"),"",IF(OR(J1664=0,AND(J1664=1,K1664=1),AND(J1664=1,I1664="SBJ"),AND(J1664=1,I1664=0)),"?IN_FOCUS",IF(J1664&lt;=2,"?ACTIVATED",IF(J1664&lt;&gt;"","?FAMILIAR",IF(F1664="NEW",IF(ISNA(VLOOKUP(E1664,#REF!,1,FALSE())),"?TYPE_IDENTIFIABLE","?REFERENTIAL"),"_")))))</f>
        <v> </v>
      </c>
      <c r="H1664" s="24" t="str">
        <f>IF(J1664&lt;&gt;1,"",IF(I1664="SBJ","CB","?"))</f>
        <v> </v>
      </c>
      <c r="I1664" s="25" t="str">
        <f>IF(OR(E1664="",E1664="!!!",F1664="NEW"),"",INDEX(B1663:B$2,-1+SUMPRODUCT(MAX(ROW(E1663:E$2)*(E1664=E1663:E$2)))))</f>
        <v> </v>
      </c>
      <c r="J1664" s="25" t="str">
        <f>IF(OR(E1664="",E1664="!!!",F1664="NEW"),"",COUNTBLANK(OFFSET(A$1,,,SUMPRODUCT(MAX(ROW(E$2:E1664)*(E1664=E$2:E1664)))))-COUNTBLANK(OFFSET(A$1,,,SUMPRODUCT(MAX(ROW(E$1:E1663)*(E2=E$1:E1663))))))</f>
        <v> </v>
      </c>
      <c r="K1664" s="25" t="str">
        <f>IF(OR(E1664="",E1664="!!!",F1664="NEW"),"",INDEX(J$1:J1663,SUMPRODUCT(MAX(ROW(E$1:E1663)*(E1664=E$1:E1663)))))</f>
        <v> </v>
      </c>
      <c r="L1664" s="26"/>
    </row>
    <row r="1665" spans="1:12">
      <c r="A1665" s="20" t="s">
        <v>610</v>
      </c>
      <c r="E1665" s="21">
        <f>IF(D1665="?OLD","!!!","")</f>
        <v/>
      </c>
      <c r="F1665" s="22" t="str">
        <f>IF(OR(E1665="",E1665="!!!"),"",IF(NOT(ISNA(VLOOKUP(E1665,E$1:E1664,1,FALSE()))),"OLD",IF(AND(E1665&lt;&gt;"",E1665&lt;&gt;"!!!"),"NEW","")))</f>
        <v> </v>
      </c>
      <c r="G1665" s="23" t="str">
        <f>IF(OR(E1665="",E1665="!!!"),"",IF(OR(J1665=0,AND(J1665=1,K1665=1),AND(J1665=1,I1665="SBJ"),AND(J1665=1,I1665=0)),"?IN_FOCUS",IF(J1665&lt;=2,"?ACTIVATED",IF(J1665&lt;&gt;"","?FAMILIAR",IF(F1665="NEW",IF(ISNA(VLOOKUP(E1665,#REF!,1,FALSE())),"?TYPE_IDENTIFIABLE","?REFERENTIAL"),"_")))))</f>
        <v> </v>
      </c>
      <c r="H1665" s="24" t="str">
        <f>IF(J1665&lt;&gt;1,"",IF(I1665="SBJ","CB","?"))</f>
        <v> </v>
      </c>
      <c r="I1665" s="25" t="str">
        <f>IF(OR(E1665="",E1665="!!!",F1665="NEW"),"",INDEX(B1664:B$2,-1+SUMPRODUCT(MAX(ROW(E1664:E$2)*(E1665=E1664:E$2)))))</f>
        <v> </v>
      </c>
      <c r="J1665" s="25" t="str">
        <f>IF(OR(E1665="",E1665="!!!",F1665="NEW"),"",COUNTBLANK(OFFSET(A$1,,,SUMPRODUCT(MAX(ROW(E$2:E1665)*(E1665=E$2:E1665)))))-COUNTBLANK(OFFSET(A$1,,,SUMPRODUCT(MAX(ROW(E$1:E1664)*(E2=E$1:E1664))))))</f>
        <v> </v>
      </c>
      <c r="K1665" s="25" t="str">
        <f>IF(OR(E1665="",E1665="!!!",F1665="NEW"),"",INDEX(J$1:J1664,SUMPRODUCT(MAX(ROW(E$1:E1664)*(E1665=E$1:E1664)))))</f>
        <v> </v>
      </c>
      <c r="L1665" s="26"/>
    </row>
    <row r="1666" spans="1:12">
      <c r="A1666" s="20"/>
    </row>
    <row r="1667" spans="1:12">
      <c r="A1667" s="20" t="s">
        <v>1049</v>
      </c>
    </row>
    <row r="1668" spans="1:12">
      <c r="A1668" s="20" t="s">
        <v>1044</v>
      </c>
      <c r="E1668" s="21">
        <f>IF(D1668="?OLD","!!!","")</f>
        <v/>
      </c>
      <c r="F1668" s="22" t="str">
        <f>IF(OR(E1668="",E1668="!!!"),"",IF(NOT(ISNA(VLOOKUP(E1668,E$1:E1667,1,FALSE()))),"OLD",IF(AND(E1668&lt;&gt;"",E1668&lt;&gt;"!!!"),"NEW","")))</f>
        <v> </v>
      </c>
      <c r="G1668" s="23" t="str">
        <f>IF(OR(E1668="",E1668="!!!"),"",IF(OR(J1668=0,AND(J1668=1,K1668=1),AND(J1668=1,I1668="SBJ"),AND(J1668=1,I1668=0)),"?IN_FOCUS",IF(J1668&lt;=2,"?ACTIVATED",IF(J1668&lt;&gt;"","?FAMILIAR",IF(F1668="NEW",IF(ISNA(VLOOKUP(E1668,#REF!,1,FALSE())),"?TYPE_IDENTIFIABLE","?REFERENTIAL"),"_")))))</f>
        <v> </v>
      </c>
      <c r="H1668" s="24" t="str">
        <f>IF(J1668&lt;&gt;1,"",IF(I1668="SBJ","CB","?"))</f>
        <v> </v>
      </c>
      <c r="I1668" s="25" t="str">
        <f>IF(OR(E1668="",E1668="!!!",F1668="NEW"),"",INDEX(B1667:B$2,-1+SUMPRODUCT(MAX(ROW(E1667:E$2)*(E1668=E1667:E$2)))))</f>
        <v> </v>
      </c>
      <c r="J1668" s="25" t="str">
        <f>IF(OR(E1668="",E1668="!!!",F1668="NEW"),"",COUNTBLANK(OFFSET(A$1,,,SUMPRODUCT(MAX(ROW(E$2:E1668)*(E1668=E$2:E1668)))))-COUNTBLANK(OFFSET(A$1,,,SUMPRODUCT(MAX(ROW(E$1:E1667)*(E2=E$1:E1667))))))</f>
        <v> </v>
      </c>
      <c r="K1668" s="25" t="str">
        <f>IF(OR(E1668="",E1668="!!!",F1668="NEW"),"",INDEX(J$1:J1667,SUMPRODUCT(MAX(ROW(E$1:E1667)*(E1668=E$1:E1667)))))</f>
        <v> </v>
      </c>
      <c r="L1668" s="26"/>
    </row>
    <row r="1669" spans="1:12">
      <c r="A1669" s="20" t="s">
        <v>974</v>
      </c>
      <c r="B1669" s="27" t="s">
        <v>549</v>
      </c>
      <c r="C1669" s="27" t="s">
        <v>538</v>
      </c>
      <c r="D1669" s="27" t="s">
        <v>483</v>
      </c>
      <c r="E1669" s="21">
        <f>IF(D1669="?OLD","!!!","")</f>
        <v/>
      </c>
      <c r="F1669" s="22" t="str">
        <f>IF(OR(E1669="",E1669="!!!"),"",IF(NOT(ISNA(VLOOKUP(E1669,E$1:E1668,1,FALSE()))),"OLD",IF(AND(E1669&lt;&gt;"",E1669&lt;&gt;"!!!"),"NEW","")))</f>
        <v> </v>
      </c>
      <c r="G1669" s="23" t="str">
        <f>IF(OR(E1669="",E1669="!!!"),"",IF(OR(J1669=0,AND(J1669=1,K1669=1),AND(J1669=1,I1669="SBJ"),AND(J1669=1,I1669=0)),"?IN_FOCUS",IF(J1669&lt;=2,"?ACTIVATED",IF(J1669&lt;&gt;"","?FAMILIAR",IF(F1669="NEW",IF(ISNA(VLOOKUP(E1669,#REF!,1,FALSE())),"?TYPE_IDENTIFIABLE","?REFERENTIAL"),"_")))))</f>
        <v> </v>
      </c>
      <c r="H1669" s="24" t="str">
        <f>IF(J1669&lt;&gt;1,"",IF(I1669="SBJ","CB","?"))</f>
        <v> </v>
      </c>
      <c r="I1669" s="25" t="str">
        <f>IF(OR(E1669="",E1669="!!!",F1669="NEW"),"",INDEX(B1668:B$2,-1+SUMPRODUCT(MAX(ROW(E1668:E$2)*(E1669=E1668:E$2)))))</f>
        <v> </v>
      </c>
      <c r="J1669" s="25" t="str">
        <f>IF(OR(E1669="",E1669="!!!",F1669="NEW"),"",COUNTBLANK(OFFSET(A$1,,,SUMPRODUCT(MAX(ROW(E$2:E1669)*(E1669=E$2:E1669)))))-COUNTBLANK(OFFSET(A$1,,,SUMPRODUCT(MAX(ROW(E$1:E1668)*(E2=E$1:E1668))))))</f>
        <v> </v>
      </c>
      <c r="K1669" s="25" t="str">
        <f>IF(OR(E1669="",E1669="!!!",F1669="NEW"),"",INDEX(J$1:J1668,SUMPRODUCT(MAX(ROW(E$1:E1668)*(E1669=E$1:E1668)))))</f>
        <v> </v>
      </c>
      <c r="L1669" s="26"/>
    </row>
    <row r="1670" spans="1:12">
      <c r="A1670" s="20" t="s">
        <v>507</v>
      </c>
      <c r="E1670" s="21">
        <f>IF(D1670="?OLD","!!!","")</f>
        <v/>
      </c>
      <c r="F1670" s="22" t="str">
        <f>IF(OR(E1670="",E1670="!!!"),"",IF(NOT(ISNA(VLOOKUP(E1670,E$1:E1669,1,FALSE()))),"OLD",IF(AND(E1670&lt;&gt;"",E1670&lt;&gt;"!!!"),"NEW","")))</f>
        <v> </v>
      </c>
      <c r="G1670" s="23" t="str">
        <f>IF(OR(E1670="",E1670="!!!"),"",IF(OR(J1670=0,AND(J1670=1,K1670=1),AND(J1670=1,I1670="SBJ"),AND(J1670=1,I1670=0)),"?IN_FOCUS",IF(J1670&lt;=2,"?ACTIVATED",IF(J1670&lt;&gt;"","?FAMILIAR",IF(F1670="NEW",IF(ISNA(VLOOKUP(E1670,#REF!,1,FALSE())),"?TYPE_IDENTIFIABLE","?REFERENTIAL"),"_")))))</f>
        <v> </v>
      </c>
      <c r="H1670" s="24" t="str">
        <f>IF(J1670&lt;&gt;1,"",IF(I1670="SBJ","CB","?"))</f>
        <v> </v>
      </c>
      <c r="I1670" s="25" t="str">
        <f>IF(OR(E1670="",E1670="!!!",F1670="NEW"),"",INDEX(B1669:B$2,-1+SUMPRODUCT(MAX(ROW(E1669:E$2)*(E1670=E1669:E$2)))))</f>
        <v> </v>
      </c>
      <c r="J1670" s="25" t="str">
        <f>IF(OR(E1670="",E1670="!!!",F1670="NEW"),"",COUNTBLANK(OFFSET(A$1,,,SUMPRODUCT(MAX(ROW(E$2:E1670)*(E1670=E$2:E1670)))))-COUNTBLANK(OFFSET(A$1,,,SUMPRODUCT(MAX(ROW(E$1:E1669)*(E2=E$1:E1669))))))</f>
        <v> </v>
      </c>
      <c r="K1670" s="25" t="str">
        <f>IF(OR(E1670="",E1670="!!!",F1670="NEW"),"",INDEX(J$1:J1669,SUMPRODUCT(MAX(ROW(E$1:E1669)*(E1670=E$1:E1669)))))</f>
        <v> </v>
      </c>
      <c r="L1670" s="26"/>
    </row>
    <row r="1671" spans="1:12">
      <c r="A1671" s="20" t="s">
        <v>503</v>
      </c>
      <c r="E1671" s="21">
        <f>IF(D1671="?OLD","!!!","")</f>
        <v/>
      </c>
      <c r="F1671" s="22" t="str">
        <f>IF(OR(E1671="",E1671="!!!"),"",IF(NOT(ISNA(VLOOKUP(E1671,E$1:E1670,1,FALSE()))),"OLD",IF(AND(E1671&lt;&gt;"",E1671&lt;&gt;"!!!"),"NEW","")))</f>
        <v> </v>
      </c>
      <c r="G1671" s="23" t="str">
        <f>IF(OR(E1671="",E1671="!!!"),"",IF(OR(J1671=0,AND(J1671=1,K1671=1),AND(J1671=1,I1671="SBJ"),AND(J1671=1,I1671=0)),"?IN_FOCUS",IF(J1671&lt;=2,"?ACTIVATED",IF(J1671&lt;&gt;"","?FAMILIAR",IF(F1671="NEW",IF(ISNA(VLOOKUP(E1671,#REF!,1,FALSE())),"?TYPE_IDENTIFIABLE","?REFERENTIAL"),"_")))))</f>
        <v> </v>
      </c>
      <c r="H1671" s="24" t="str">
        <f>IF(J1671&lt;&gt;1,"",IF(I1671="SBJ","CB","?"))</f>
        <v> </v>
      </c>
      <c r="I1671" s="25" t="str">
        <f>IF(OR(E1671="",E1671="!!!",F1671="NEW"),"",INDEX(B1670:B$2,-1+SUMPRODUCT(MAX(ROW(E1670:E$2)*(E1671=E1670:E$2)))))</f>
        <v> </v>
      </c>
      <c r="J1671" s="25" t="str">
        <f>IF(OR(E1671="",E1671="!!!",F1671="NEW"),"",COUNTBLANK(OFFSET(A$1,,,SUMPRODUCT(MAX(ROW(E$2:E1671)*(E1671=E$2:E1671)))))-COUNTBLANK(OFFSET(A$1,,,SUMPRODUCT(MAX(ROW(E$1:E1670)*(E2=E$1:E1670))))))</f>
        <v> </v>
      </c>
      <c r="K1671" s="25" t="str">
        <f>IF(OR(E1671="",E1671="!!!",F1671="NEW"),"",INDEX(J$1:J1670,SUMPRODUCT(MAX(ROW(E$1:E1670)*(E1671=E$1:E1670)))))</f>
        <v> </v>
      </c>
      <c r="L1671" s="26"/>
    </row>
    <row r="1672" spans="1:12">
      <c r="A1672" s="20" t="s">
        <v>1050</v>
      </c>
      <c r="B1672" s="27" t="s">
        <v>490</v>
      </c>
      <c r="C1672" s="27" t="s">
        <v>487</v>
      </c>
      <c r="D1672" s="27" t="s">
        <v>483</v>
      </c>
      <c r="E1672" s="21">
        <f>IF(D1672="?OLD","!!!","")</f>
        <v/>
      </c>
      <c r="F1672" s="22" t="str">
        <f>IF(OR(E1672="",E1672="!!!"),"",IF(NOT(ISNA(VLOOKUP(E1672,E$1:E1671,1,FALSE()))),"OLD",IF(AND(E1672&lt;&gt;"",E1672&lt;&gt;"!!!"),"NEW","")))</f>
        <v> </v>
      </c>
      <c r="G1672" s="23" t="str">
        <f>IF(OR(E1672="",E1672="!!!"),"",IF(OR(J1672=0,AND(J1672=1,K1672=1),AND(J1672=1,I1672="SBJ"),AND(J1672=1,I1672=0)),"?IN_FOCUS",IF(J1672&lt;=2,"?ACTIVATED",IF(J1672&lt;&gt;"","?FAMILIAR",IF(F1672="NEW",IF(ISNA(VLOOKUP(E1672,#REF!,1,FALSE())),"?TYPE_IDENTIFIABLE","?REFERENTIAL"),"_")))))</f>
        <v> </v>
      </c>
      <c r="H1672" s="24" t="str">
        <f>IF(J1672&lt;&gt;1,"",IF(I1672="SBJ","CB","?"))</f>
        <v> </v>
      </c>
      <c r="I1672" s="25" t="str">
        <f>IF(OR(E1672="",E1672="!!!",F1672="NEW"),"",INDEX(B1671:B$2,-1+SUMPRODUCT(MAX(ROW(E1671:E$2)*(E1672=E1671:E$2)))))</f>
        <v> </v>
      </c>
      <c r="J1672" s="25" t="str">
        <f>IF(OR(E1672="",E1672="!!!",F1672="NEW"),"",COUNTBLANK(OFFSET(A$1,,,SUMPRODUCT(MAX(ROW(E$2:E1672)*(E1672=E$2:E1672)))))-COUNTBLANK(OFFSET(A$1,,,SUMPRODUCT(MAX(ROW(E$1:E1671)*(E2=E$1:E1671))))))</f>
        <v> </v>
      </c>
      <c r="K1672" s="25" t="str">
        <f>IF(OR(E1672="",E1672="!!!",F1672="NEW"),"",INDEX(J$1:J1671,SUMPRODUCT(MAX(ROW(E$1:E1671)*(E1672=E$1:E1671)))))</f>
        <v> </v>
      </c>
      <c r="L1672" s="26"/>
    </row>
    <row r="1673" spans="1:12">
      <c r="A1673" s="20" t="s">
        <v>405</v>
      </c>
      <c r="E1673" s="21">
        <f>IF(D1673="?OLD","!!!","")</f>
        <v/>
      </c>
      <c r="F1673" s="22" t="str">
        <f>IF(OR(E1673="",E1673="!!!"),"",IF(NOT(ISNA(VLOOKUP(E1673,E$1:E1672,1,FALSE()))),"OLD",IF(AND(E1673&lt;&gt;"",E1673&lt;&gt;"!!!"),"NEW","")))</f>
        <v> </v>
      </c>
      <c r="G1673" s="23" t="str">
        <f>IF(OR(E1673="",E1673="!!!"),"",IF(OR(J1673=0,AND(J1673=1,K1673=1),AND(J1673=1,I1673="SBJ"),AND(J1673=1,I1673=0)),"?IN_FOCUS",IF(J1673&lt;=2,"?ACTIVATED",IF(J1673&lt;&gt;"","?FAMILIAR",IF(F1673="NEW",IF(ISNA(VLOOKUP(E1673,#REF!,1,FALSE())),"?TYPE_IDENTIFIABLE","?REFERENTIAL"),"_")))))</f>
        <v> </v>
      </c>
      <c r="H1673" s="24" t="str">
        <f>IF(J1673&lt;&gt;1,"",IF(I1673="SBJ","CB","?"))</f>
        <v> </v>
      </c>
      <c r="I1673" s="25" t="str">
        <f>IF(OR(E1673="",E1673="!!!",F1673="NEW"),"",INDEX(B1672:B$2,-1+SUMPRODUCT(MAX(ROW(E1672:E$2)*(E1673=E1672:E$2)))))</f>
        <v> </v>
      </c>
      <c r="J1673" s="25" t="str">
        <f>IF(OR(E1673="",E1673="!!!",F1673="NEW"),"",COUNTBLANK(OFFSET(A$1,,,SUMPRODUCT(MAX(ROW(E$2:E1673)*(E1673=E$2:E1673)))))-COUNTBLANK(OFFSET(A$1,,,SUMPRODUCT(MAX(ROW(E$1:E1672)*(E2=E$1:E1672))))))</f>
        <v> </v>
      </c>
      <c r="K1673" s="25" t="str">
        <f>IF(OR(E1673="",E1673="!!!",F1673="NEW"),"",INDEX(J$1:J1672,SUMPRODUCT(MAX(ROW(E$1:E1672)*(E1673=E$1:E1672)))))</f>
        <v> </v>
      </c>
      <c r="L1673" s="26"/>
    </row>
    <row r="1674" spans="1:12">
      <c r="A1674" s="20" t="s">
        <v>697</v>
      </c>
      <c r="E1674" s="21">
        <f>IF(D1674="?OLD","!!!","")</f>
        <v/>
      </c>
      <c r="F1674" s="22" t="str">
        <f>IF(OR(E1674="",E1674="!!!"),"",IF(NOT(ISNA(VLOOKUP(E1674,E$1:E1673,1,FALSE()))),"OLD",IF(AND(E1674&lt;&gt;"",E1674&lt;&gt;"!!!"),"NEW","")))</f>
        <v> </v>
      </c>
      <c r="G1674" s="23" t="str">
        <f>IF(OR(E1674="",E1674="!!!"),"",IF(OR(J1674=0,AND(J1674=1,K1674=1),AND(J1674=1,I1674="SBJ"),AND(J1674=1,I1674=0)),"?IN_FOCUS",IF(J1674&lt;=2,"?ACTIVATED",IF(J1674&lt;&gt;"","?FAMILIAR",IF(F1674="NEW",IF(ISNA(VLOOKUP(E1674,#REF!,1,FALSE())),"?TYPE_IDENTIFIABLE","?REFERENTIAL"),"_")))))</f>
        <v> </v>
      </c>
      <c r="H1674" s="24" t="str">
        <f>IF(J1674&lt;&gt;1,"",IF(I1674="SBJ","CB","?"))</f>
        <v> </v>
      </c>
      <c r="I1674" s="25" t="str">
        <f>IF(OR(E1674="",E1674="!!!",F1674="NEW"),"",INDEX(B1673:B$2,-1+SUMPRODUCT(MAX(ROW(E1673:E$2)*(E1674=E1673:E$2)))))</f>
        <v> </v>
      </c>
      <c r="J1674" s="25" t="str">
        <f>IF(OR(E1674="",E1674="!!!",F1674="NEW"),"",COUNTBLANK(OFFSET(A$1,,,SUMPRODUCT(MAX(ROW(E$2:E1674)*(E1674=E$2:E1674)))))-COUNTBLANK(OFFSET(A$1,,,SUMPRODUCT(MAX(ROW(E$1:E1673)*(E2=E$1:E1673))))))</f>
        <v> </v>
      </c>
      <c r="K1674" s="25" t="str">
        <f>IF(OR(E1674="",E1674="!!!",F1674="NEW"),"",INDEX(J$1:J1673,SUMPRODUCT(MAX(ROW(E$1:E1673)*(E1674=E$1:E1673)))))</f>
        <v> </v>
      </c>
      <c r="L1674" s="26"/>
    </row>
    <row r="1675" spans="1:12">
      <c r="A1675" s="20" t="s">
        <v>503</v>
      </c>
      <c r="E1675" s="21">
        <f>IF(D1675="?OLD","!!!","")</f>
        <v/>
      </c>
      <c r="F1675" s="22" t="str">
        <f>IF(OR(E1675="",E1675="!!!"),"",IF(NOT(ISNA(VLOOKUP(E1675,E$1:E1674,1,FALSE()))),"OLD",IF(AND(E1675&lt;&gt;"",E1675&lt;&gt;"!!!"),"NEW","")))</f>
        <v> </v>
      </c>
      <c r="G1675" s="23" t="str">
        <f>IF(OR(E1675="",E1675="!!!"),"",IF(OR(J1675=0,AND(J1675=1,K1675=1),AND(J1675=1,I1675="SBJ"),AND(J1675=1,I1675=0)),"?IN_FOCUS",IF(J1675&lt;=2,"?ACTIVATED",IF(J1675&lt;&gt;"","?FAMILIAR",IF(F1675="NEW",IF(ISNA(VLOOKUP(E1675,#REF!,1,FALSE())),"?TYPE_IDENTIFIABLE","?REFERENTIAL"),"_")))))</f>
        <v> </v>
      </c>
      <c r="H1675" s="24" t="str">
        <f>IF(J1675&lt;&gt;1,"",IF(I1675="SBJ","CB","?"))</f>
        <v> </v>
      </c>
      <c r="I1675" s="25" t="str">
        <f>IF(OR(E1675="",E1675="!!!",F1675="NEW"),"",INDEX(B1674:B$2,-1+SUMPRODUCT(MAX(ROW(E1674:E$2)*(E1675=E1674:E$2)))))</f>
        <v> </v>
      </c>
      <c r="J1675" s="25" t="str">
        <f>IF(OR(E1675="",E1675="!!!",F1675="NEW"),"",COUNTBLANK(OFFSET(A$1,,,SUMPRODUCT(MAX(ROW(E$2:E1675)*(E1675=E$2:E1675)))))-COUNTBLANK(OFFSET(A$1,,,SUMPRODUCT(MAX(ROW(E$1:E1674)*(E2=E$1:E1674))))))</f>
        <v> </v>
      </c>
      <c r="K1675" s="25" t="str">
        <f>IF(OR(E1675="",E1675="!!!",F1675="NEW"),"",INDEX(J$1:J1674,SUMPRODUCT(MAX(ROW(E$1:E1674)*(E1675=E$1:E1674)))))</f>
        <v> </v>
      </c>
      <c r="L1675" s="26"/>
    </row>
    <row r="1676" spans="1:12">
      <c r="A1676" s="20" t="s">
        <v>584</v>
      </c>
      <c r="E1676" s="21">
        <f>IF(D1676="?OLD","!!!","")</f>
        <v/>
      </c>
      <c r="F1676" s="22" t="str">
        <f>IF(OR(E1676="",E1676="!!!"),"",IF(NOT(ISNA(VLOOKUP(E1676,E$1:E1675,1,FALSE()))),"OLD",IF(AND(E1676&lt;&gt;"",E1676&lt;&gt;"!!!"),"NEW","")))</f>
        <v> </v>
      </c>
      <c r="G1676" s="23" t="str">
        <f>IF(OR(E1676="",E1676="!!!"),"",IF(OR(J1676=0,AND(J1676=1,K1676=1),AND(J1676=1,I1676="SBJ"),AND(J1676=1,I1676=0)),"?IN_FOCUS",IF(J1676&lt;=2,"?ACTIVATED",IF(J1676&lt;&gt;"","?FAMILIAR",IF(F1676="NEW",IF(ISNA(VLOOKUP(E1676,#REF!,1,FALSE())),"?TYPE_IDENTIFIABLE","?REFERENTIAL"),"_")))))</f>
        <v> </v>
      </c>
      <c r="H1676" s="24" t="str">
        <f>IF(J1676&lt;&gt;1,"",IF(I1676="SBJ","CB","?"))</f>
        <v> </v>
      </c>
      <c r="I1676" s="25" t="str">
        <f>IF(OR(E1676="",E1676="!!!",F1676="NEW"),"",INDEX(B1675:B$2,-1+SUMPRODUCT(MAX(ROW(E1675:E$2)*(E1676=E1675:E$2)))))</f>
        <v> </v>
      </c>
      <c r="J1676" s="25" t="str">
        <f>IF(OR(E1676="",E1676="!!!",F1676="NEW"),"",COUNTBLANK(OFFSET(A$1,,,SUMPRODUCT(MAX(ROW(E$2:E1676)*(E1676=E$2:E1676)))))-COUNTBLANK(OFFSET(A$1,,,SUMPRODUCT(MAX(ROW(E$1:E1675)*(E2=E$1:E1675))))))</f>
        <v> </v>
      </c>
      <c r="K1676" s="25" t="str">
        <f>IF(OR(E1676="",E1676="!!!",F1676="NEW"),"",INDEX(J$1:J1675,SUMPRODUCT(MAX(ROW(E$1:E1675)*(E1676=E$1:E1675)))))</f>
        <v> </v>
      </c>
      <c r="L1676" s="26"/>
    </row>
    <row r="1677" spans="1:12">
      <c r="A1677" s="20" t="s">
        <v>503</v>
      </c>
      <c r="E1677" s="21">
        <f>IF(D1677="?OLD","!!!","")</f>
        <v/>
      </c>
      <c r="F1677" s="22" t="str">
        <f>IF(OR(E1677="",E1677="!!!"),"",IF(NOT(ISNA(VLOOKUP(E1677,E$1:E1676,1,FALSE()))),"OLD",IF(AND(E1677&lt;&gt;"",E1677&lt;&gt;"!!!"),"NEW","")))</f>
        <v> </v>
      </c>
      <c r="G1677" s="23" t="str">
        <f>IF(OR(E1677="",E1677="!!!"),"",IF(OR(J1677=0,AND(J1677=1,K1677=1),AND(J1677=1,I1677="SBJ"),AND(J1677=1,I1677=0)),"?IN_FOCUS",IF(J1677&lt;=2,"?ACTIVATED",IF(J1677&lt;&gt;"","?FAMILIAR",IF(F1677="NEW",IF(ISNA(VLOOKUP(E1677,#REF!,1,FALSE())),"?TYPE_IDENTIFIABLE","?REFERENTIAL"),"_")))))</f>
        <v> </v>
      </c>
      <c r="H1677" s="24" t="str">
        <f>IF(J1677&lt;&gt;1,"",IF(I1677="SBJ","CB","?"))</f>
        <v> </v>
      </c>
      <c r="I1677" s="25" t="str">
        <f>IF(OR(E1677="",E1677="!!!",F1677="NEW"),"",INDEX(B1676:B$2,-1+SUMPRODUCT(MAX(ROW(E1676:E$2)*(E1677=E1676:E$2)))))</f>
        <v> </v>
      </c>
      <c r="J1677" s="25" t="str">
        <f>IF(OR(E1677="",E1677="!!!",F1677="NEW"),"",COUNTBLANK(OFFSET(A$1,,,SUMPRODUCT(MAX(ROW(E$2:E1677)*(E1677=E$2:E1677)))))-COUNTBLANK(OFFSET(A$1,,,SUMPRODUCT(MAX(ROW(E$1:E1676)*(E2=E$1:E1676))))))</f>
        <v> </v>
      </c>
      <c r="K1677" s="25" t="str">
        <f>IF(OR(E1677="",E1677="!!!",F1677="NEW"),"",INDEX(J$1:J1676,SUMPRODUCT(MAX(ROW(E$1:E1676)*(E1677=E$1:E1676)))))</f>
        <v> </v>
      </c>
      <c r="L1677" s="26"/>
    </row>
    <row r="1678" spans="1:12">
      <c r="A1678" s="20" t="s">
        <v>1051</v>
      </c>
      <c r="E1678" s="21">
        <f>IF(D1678="?OLD","!!!","")</f>
        <v/>
      </c>
      <c r="F1678" s="22" t="str">
        <f>IF(OR(E1678="",E1678="!!!"),"",IF(NOT(ISNA(VLOOKUP(E1678,E$1:E1677,1,FALSE()))),"OLD",IF(AND(E1678&lt;&gt;"",E1678&lt;&gt;"!!!"),"NEW","")))</f>
        <v> </v>
      </c>
      <c r="G1678" s="23" t="str">
        <f>IF(OR(E1678="",E1678="!!!"),"",IF(OR(J1678=0,AND(J1678=1,K1678=1),AND(J1678=1,I1678="SBJ"),AND(J1678=1,I1678=0)),"?IN_FOCUS",IF(J1678&lt;=2,"?ACTIVATED",IF(J1678&lt;&gt;"","?FAMILIAR",IF(F1678="NEW",IF(ISNA(VLOOKUP(E1678,#REF!,1,FALSE())),"?TYPE_IDENTIFIABLE","?REFERENTIAL"),"_")))))</f>
        <v> </v>
      </c>
      <c r="H1678" s="24" t="str">
        <f>IF(J1678&lt;&gt;1,"",IF(I1678="SBJ","CB","?"))</f>
        <v> </v>
      </c>
      <c r="I1678" s="25" t="str">
        <f>IF(OR(E1678="",E1678="!!!",F1678="NEW"),"",INDEX(B1677:B$2,-1+SUMPRODUCT(MAX(ROW(E1677:E$2)*(E1678=E1677:E$2)))))</f>
        <v> </v>
      </c>
      <c r="J1678" s="25" t="str">
        <f>IF(OR(E1678="",E1678="!!!",F1678="NEW"),"",COUNTBLANK(OFFSET(A$1,,,SUMPRODUCT(MAX(ROW(E$2:E1678)*(E1678=E$2:E1678)))))-COUNTBLANK(OFFSET(A$1,,,SUMPRODUCT(MAX(ROW(E$1:E1677)*(E2=E$1:E1677))))))</f>
        <v> </v>
      </c>
      <c r="K1678" s="25" t="str">
        <f>IF(OR(E1678="",E1678="!!!",F1678="NEW"),"",INDEX(J$1:J1677,SUMPRODUCT(MAX(ROW(E$1:E1677)*(E1678=E$1:E1677)))))</f>
        <v> </v>
      </c>
      <c r="L1678" s="26"/>
    </row>
    <row r="1679" spans="1:12">
      <c r="A1679" s="20" t="s">
        <v>620</v>
      </c>
      <c r="E1679" s="21">
        <f>IF(D1679="?OLD","!!!","")</f>
        <v/>
      </c>
      <c r="F1679" s="22" t="str">
        <f>IF(OR(E1679="",E1679="!!!"),"",IF(NOT(ISNA(VLOOKUP(E1679,E$1:E1678,1,FALSE()))),"OLD",IF(AND(E1679&lt;&gt;"",E1679&lt;&gt;"!!!"),"NEW","")))</f>
        <v> </v>
      </c>
      <c r="G1679" s="23" t="str">
        <f>IF(OR(E1679="",E1679="!!!"),"",IF(OR(J1679=0,AND(J1679=1,K1679=1),AND(J1679=1,I1679="SBJ"),AND(J1679=1,I1679=0)),"?IN_FOCUS",IF(J1679&lt;=2,"?ACTIVATED",IF(J1679&lt;&gt;"","?FAMILIAR",IF(F1679="NEW",IF(ISNA(VLOOKUP(E1679,#REF!,1,FALSE())),"?TYPE_IDENTIFIABLE","?REFERENTIAL"),"_")))))</f>
        <v> </v>
      </c>
      <c r="H1679" s="24" t="str">
        <f>IF(J1679&lt;&gt;1,"",IF(I1679="SBJ","CB","?"))</f>
        <v> </v>
      </c>
      <c r="I1679" s="25" t="str">
        <f>IF(OR(E1679="",E1679="!!!",F1679="NEW"),"",INDEX(B1678:B$2,-1+SUMPRODUCT(MAX(ROW(E1678:E$2)*(E1679=E1678:E$2)))))</f>
        <v> </v>
      </c>
      <c r="J1679" s="25" t="str">
        <f>IF(OR(E1679="",E1679="!!!",F1679="NEW"),"",COUNTBLANK(OFFSET(A$1,,,SUMPRODUCT(MAX(ROW(E$2:E1679)*(E1679=E$2:E1679)))))-COUNTBLANK(OFFSET(A$1,,,SUMPRODUCT(MAX(ROW(E$1:E1678)*(E2=E$1:E1678))))))</f>
        <v> </v>
      </c>
      <c r="K1679" s="25" t="str">
        <f>IF(OR(E1679="",E1679="!!!",F1679="NEW"),"",INDEX(J$1:J1678,SUMPRODUCT(MAX(ROW(E$1:E1678)*(E1679=E$1:E1678)))))</f>
        <v> </v>
      </c>
      <c r="L1679" s="26"/>
    </row>
    <row r="1680" spans="1:12">
      <c r="A1680" s="20" t="s">
        <v>531</v>
      </c>
      <c r="E1680" s="21">
        <f>IF(D1680="?OLD","!!!","")</f>
        <v/>
      </c>
      <c r="F1680" s="22" t="str">
        <f>IF(OR(E1680="",E1680="!!!"),"",IF(NOT(ISNA(VLOOKUP(E1680,E$1:E1679,1,FALSE()))),"OLD",IF(AND(E1680&lt;&gt;"",E1680&lt;&gt;"!!!"),"NEW","")))</f>
        <v> </v>
      </c>
      <c r="G1680" s="23" t="str">
        <f>IF(OR(E1680="",E1680="!!!"),"",IF(OR(J1680=0,AND(J1680=1,K1680=1),AND(J1680=1,I1680="SBJ"),AND(J1680=1,I1680=0)),"?IN_FOCUS",IF(J1680&lt;=2,"?ACTIVATED",IF(J1680&lt;&gt;"","?FAMILIAR",IF(F1680="NEW",IF(ISNA(VLOOKUP(E1680,#REF!,1,FALSE())),"?TYPE_IDENTIFIABLE","?REFERENTIAL"),"_")))))</f>
        <v> </v>
      </c>
      <c r="H1680" s="24" t="str">
        <f>IF(J1680&lt;&gt;1,"",IF(I1680="SBJ","CB","?"))</f>
        <v> </v>
      </c>
      <c r="I1680" s="25" t="str">
        <f>IF(OR(E1680="",E1680="!!!",F1680="NEW"),"",INDEX(B1679:B$2,-1+SUMPRODUCT(MAX(ROW(E1679:E$2)*(E1680=E1679:E$2)))))</f>
        <v> </v>
      </c>
      <c r="J1680" s="25" t="str">
        <f>IF(OR(E1680="",E1680="!!!",F1680="NEW"),"",COUNTBLANK(OFFSET(A$1,,,SUMPRODUCT(MAX(ROW(E$2:E1680)*(E1680=E$2:E1680)))))-COUNTBLANK(OFFSET(A$1,,,SUMPRODUCT(MAX(ROW(E$1:E1679)*(E2=E$1:E1679))))))</f>
        <v> </v>
      </c>
      <c r="K1680" s="25" t="str">
        <f>IF(OR(E1680="",E1680="!!!",F1680="NEW"),"",INDEX(J$1:J1679,SUMPRODUCT(MAX(ROW(E$1:E1679)*(E1680=E$1:E1679)))))</f>
        <v> </v>
      </c>
      <c r="L1680" s="26"/>
    </row>
    <row r="1681" spans="1:12">
      <c r="A1681" s="20"/>
    </row>
    <row r="1682" spans="1:12">
      <c r="A1682" s="20" t="s">
        <v>1052</v>
      </c>
    </row>
    <row r="1683" spans="1:12">
      <c r="A1683" s="20" t="s">
        <v>617</v>
      </c>
      <c r="E1683" s="21">
        <f>IF(D1683="?OLD","!!!","")</f>
        <v/>
      </c>
      <c r="F1683" s="22" t="str">
        <f>IF(OR(E1683="",E1683="!!!"),"",IF(NOT(ISNA(VLOOKUP(E1683,E$1:E1682,1,FALSE()))),"OLD",IF(AND(E1683&lt;&gt;"",E1683&lt;&gt;"!!!"),"NEW","")))</f>
        <v> </v>
      </c>
      <c r="G1683" s="23" t="str">
        <f>IF(OR(E1683="",E1683="!!!"),"",IF(OR(J1683=0,AND(J1683=1,K1683=1),AND(J1683=1,I1683="SBJ"),AND(J1683=1,I1683=0)),"?IN_FOCUS",IF(J1683&lt;=2,"?ACTIVATED",IF(J1683&lt;&gt;"","?FAMILIAR",IF(F1683="NEW",IF(ISNA(VLOOKUP(E1683,#REF!,1,FALSE())),"?TYPE_IDENTIFIABLE","?REFERENTIAL"),"_")))))</f>
        <v> </v>
      </c>
      <c r="H1683" s="24" t="str">
        <f>IF(J1683&lt;&gt;1,"",IF(I1683="SBJ","CB","?"))</f>
        <v> </v>
      </c>
      <c r="I1683" s="25" t="str">
        <f>IF(OR(E1683="",E1683="!!!",F1683="NEW"),"",INDEX(B1682:B$2,-1+SUMPRODUCT(MAX(ROW(E1682:E$2)*(E1683=E1682:E$2)))))</f>
        <v> </v>
      </c>
      <c r="J1683" s="25" t="str">
        <f>IF(OR(E1683="",E1683="!!!",F1683="NEW"),"",COUNTBLANK(OFFSET(A$1,,,SUMPRODUCT(MAX(ROW(E$2:E1683)*(E1683=E$2:E1683)))))-COUNTBLANK(OFFSET(A$1,,,SUMPRODUCT(MAX(ROW(E$1:E1682)*(E2=E$1:E1682))))))</f>
        <v> </v>
      </c>
      <c r="K1683" s="25" t="str">
        <f>IF(OR(E1683="",E1683="!!!",F1683="NEW"),"",INDEX(J$1:J1682,SUMPRODUCT(MAX(ROW(E$1:E1682)*(E1683=E$1:E1682)))))</f>
        <v> </v>
      </c>
      <c r="L1683" s="26"/>
    </row>
    <row r="1684" spans="1:12">
      <c r="A1684" s="20" t="s">
        <v>132</v>
      </c>
      <c r="E1684" s="21">
        <f>IF(D1684="?OLD","!!!","")</f>
        <v/>
      </c>
      <c r="F1684" s="22" t="str">
        <f>IF(OR(E1684="",E1684="!!!"),"",IF(NOT(ISNA(VLOOKUP(E1684,E$1:E1683,1,FALSE()))),"OLD",IF(AND(E1684&lt;&gt;"",E1684&lt;&gt;"!!!"),"NEW","")))</f>
        <v> </v>
      </c>
      <c r="G1684" s="23" t="str">
        <f>IF(OR(E1684="",E1684="!!!"),"",IF(OR(J1684=0,AND(J1684=1,K1684=1),AND(J1684=1,I1684="SBJ"),AND(J1684=1,I1684=0)),"?IN_FOCUS",IF(J1684&lt;=2,"?ACTIVATED",IF(J1684&lt;&gt;"","?FAMILIAR",IF(F1684="NEW",IF(ISNA(VLOOKUP(E1684,#REF!,1,FALSE())),"?TYPE_IDENTIFIABLE","?REFERENTIAL"),"_")))))</f>
        <v> </v>
      </c>
      <c r="H1684" s="24" t="str">
        <f>IF(J1684&lt;&gt;1,"",IF(I1684="SBJ","CB","?"))</f>
        <v> </v>
      </c>
      <c r="I1684" s="25" t="str">
        <f>IF(OR(E1684="",E1684="!!!",F1684="NEW"),"",INDEX(B1683:B$2,-1+SUMPRODUCT(MAX(ROW(E1683:E$2)*(E1684=E1683:E$2)))))</f>
        <v> </v>
      </c>
      <c r="J1684" s="25" t="str">
        <f>IF(OR(E1684="",E1684="!!!",F1684="NEW"),"",COUNTBLANK(OFFSET(A$1,,,SUMPRODUCT(MAX(ROW(E$2:E1684)*(E1684=E$2:E1684)))))-COUNTBLANK(OFFSET(A$1,,,SUMPRODUCT(MAX(ROW(E$1:E1683)*(E2=E$1:E1683))))))</f>
        <v> </v>
      </c>
      <c r="K1684" s="25" t="str">
        <f>IF(OR(E1684="",E1684="!!!",F1684="NEW"),"",INDEX(J$1:J1683,SUMPRODUCT(MAX(ROW(E$1:E1683)*(E1684=E$1:E1683)))))</f>
        <v> </v>
      </c>
      <c r="L1684" s="26"/>
    </row>
    <row r="1685" spans="1:12">
      <c r="A1685" s="20" t="s">
        <v>585</v>
      </c>
      <c r="B1685" s="27" t="s">
        <v>542</v>
      </c>
      <c r="C1685" s="27" t="s">
        <v>482</v>
      </c>
      <c r="D1685" s="27" t="s">
        <v>483</v>
      </c>
      <c r="E1685" s="21">
        <f>IF(D1685="?OLD","!!!","")</f>
        <v/>
      </c>
      <c r="F1685" s="22" t="str">
        <f>IF(OR(E1685="",E1685="!!!"),"",IF(NOT(ISNA(VLOOKUP(E1685,E$1:E1684,1,FALSE()))),"OLD",IF(AND(E1685&lt;&gt;"",E1685&lt;&gt;"!!!"),"NEW","")))</f>
        <v> </v>
      </c>
      <c r="G1685" s="23" t="str">
        <f>IF(OR(E1685="",E1685="!!!"),"",IF(OR(J1685=0,AND(J1685=1,K1685=1),AND(J1685=1,I1685="SBJ"),AND(J1685=1,I1685=0)),"?IN_FOCUS",IF(J1685&lt;=2,"?ACTIVATED",IF(J1685&lt;&gt;"","?FAMILIAR",IF(F1685="NEW",IF(ISNA(VLOOKUP(E1685,#REF!,1,FALSE())),"?TYPE_IDENTIFIABLE","?REFERENTIAL"),"_")))))</f>
        <v> </v>
      </c>
      <c r="H1685" s="24" t="str">
        <f>IF(J1685&lt;&gt;1,"",IF(I1685="SBJ","CB","?"))</f>
        <v> </v>
      </c>
      <c r="I1685" s="25" t="str">
        <f>IF(OR(E1685="",E1685="!!!",F1685="NEW"),"",INDEX(B1684:B$2,-1+SUMPRODUCT(MAX(ROW(E1684:E$2)*(E1685=E1684:E$2)))))</f>
        <v> </v>
      </c>
      <c r="J1685" s="25" t="str">
        <f>IF(OR(E1685="",E1685="!!!",F1685="NEW"),"",COUNTBLANK(OFFSET(A$1,,,SUMPRODUCT(MAX(ROW(E$2:E1685)*(E1685=E$2:E1685)))))-COUNTBLANK(OFFSET(A$1,,,SUMPRODUCT(MAX(ROW(E$1:E1684)*(E2=E$1:E1684))))))</f>
        <v> </v>
      </c>
      <c r="K1685" s="25" t="str">
        <f>IF(OR(E1685="",E1685="!!!",F1685="NEW"),"",INDEX(J$1:J1684,SUMPRODUCT(MAX(ROW(E$1:E1684)*(E1685=E$1:E1684)))))</f>
        <v> </v>
      </c>
      <c r="L1685" s="26"/>
    </row>
    <row r="1686" spans="1:12">
      <c r="A1686" s="20" t="s">
        <v>72</v>
      </c>
      <c r="E1686" s="21">
        <f>IF(D1686="?OLD","!!!","")</f>
        <v/>
      </c>
      <c r="F1686" s="22" t="str">
        <f>IF(OR(E1686="",E1686="!!!"),"",IF(NOT(ISNA(VLOOKUP(E1686,E$1:E1685,1,FALSE()))),"OLD",IF(AND(E1686&lt;&gt;"",E1686&lt;&gt;"!!!"),"NEW","")))</f>
        <v> </v>
      </c>
      <c r="G1686" s="23" t="str">
        <f>IF(OR(E1686="",E1686="!!!"),"",IF(OR(J1686=0,AND(J1686=1,K1686=1),AND(J1686=1,I1686="SBJ"),AND(J1686=1,I1686=0)),"?IN_FOCUS",IF(J1686&lt;=2,"?ACTIVATED",IF(J1686&lt;&gt;"","?FAMILIAR",IF(F1686="NEW",IF(ISNA(VLOOKUP(E1686,#REF!,1,FALSE())),"?TYPE_IDENTIFIABLE","?REFERENTIAL"),"_")))))</f>
        <v> </v>
      </c>
      <c r="H1686" s="24" t="str">
        <f>IF(J1686&lt;&gt;1,"",IF(I1686="SBJ","CB","?"))</f>
        <v> </v>
      </c>
      <c r="I1686" s="25" t="str">
        <f>IF(OR(E1686="",E1686="!!!",F1686="NEW"),"",INDEX(B1685:B$2,-1+SUMPRODUCT(MAX(ROW(E1685:E$2)*(E1686=E1685:E$2)))))</f>
        <v> </v>
      </c>
      <c r="J1686" s="25" t="str">
        <f>IF(OR(E1686="",E1686="!!!",F1686="NEW"),"",COUNTBLANK(OFFSET(A$1,,,SUMPRODUCT(MAX(ROW(E$2:E1686)*(E1686=E$2:E1686)))))-COUNTBLANK(OFFSET(A$1,,,SUMPRODUCT(MAX(ROW(E$1:E1685)*(E2=E$1:E1685))))))</f>
        <v> </v>
      </c>
      <c r="K1686" s="25" t="str">
        <f>IF(OR(E1686="",E1686="!!!",F1686="NEW"),"",INDEX(J$1:J1685,SUMPRODUCT(MAX(ROW(E$1:E1685)*(E1686=E$1:E1685)))))</f>
        <v> </v>
      </c>
      <c r="L1686" s="26"/>
    </row>
    <row r="1687" spans="1:12">
      <c r="A1687" s="20" t="s">
        <v>384</v>
      </c>
      <c r="E1687" s="21">
        <f>IF(D1687="?OLD","!!!","")</f>
        <v/>
      </c>
      <c r="F1687" s="22" t="str">
        <f>IF(OR(E1687="",E1687="!!!"),"",IF(NOT(ISNA(VLOOKUP(E1687,E$1:E1686,1,FALSE()))),"OLD",IF(AND(E1687&lt;&gt;"",E1687&lt;&gt;"!!!"),"NEW","")))</f>
        <v> </v>
      </c>
      <c r="G1687" s="23" t="str">
        <f>IF(OR(E1687="",E1687="!!!"),"",IF(OR(J1687=0,AND(J1687=1,K1687=1),AND(J1687=1,I1687="SBJ"),AND(J1687=1,I1687=0)),"?IN_FOCUS",IF(J1687&lt;=2,"?ACTIVATED",IF(J1687&lt;&gt;"","?FAMILIAR",IF(F1687="NEW",IF(ISNA(VLOOKUP(E1687,#REF!,1,FALSE())),"?TYPE_IDENTIFIABLE","?REFERENTIAL"),"_")))))</f>
        <v> </v>
      </c>
      <c r="H1687" s="24" t="str">
        <f>IF(J1687&lt;&gt;1,"",IF(I1687="SBJ","CB","?"))</f>
        <v> </v>
      </c>
      <c r="I1687" s="25" t="str">
        <f>IF(OR(E1687="",E1687="!!!",F1687="NEW"),"",INDEX(B1686:B$2,-1+SUMPRODUCT(MAX(ROW(E1686:E$2)*(E1687=E1686:E$2)))))</f>
        <v> </v>
      </c>
      <c r="J1687" s="25" t="str">
        <f>IF(OR(E1687="",E1687="!!!",F1687="NEW"),"",COUNTBLANK(OFFSET(A$1,,,SUMPRODUCT(MAX(ROW(E$2:E1687)*(E1687=E$2:E1687)))))-COUNTBLANK(OFFSET(A$1,,,SUMPRODUCT(MAX(ROW(E$1:E1686)*(E2=E$1:E1686))))))</f>
        <v> </v>
      </c>
      <c r="K1687" s="25" t="str">
        <f>IF(OR(E1687="",E1687="!!!",F1687="NEW"),"",INDEX(J$1:J1686,SUMPRODUCT(MAX(ROW(E$1:E1686)*(E1687=E$1:E1686)))))</f>
        <v> </v>
      </c>
      <c r="L1687" s="26"/>
    </row>
    <row r="1688" spans="1:12">
      <c r="A1688" s="20" t="s">
        <v>662</v>
      </c>
      <c r="B1688" s="27" t="s">
        <v>540</v>
      </c>
      <c r="C1688" s="27" t="s">
        <v>491</v>
      </c>
      <c r="D1688" s="27" t="s">
        <v>483</v>
      </c>
      <c r="E1688" s="21">
        <f>IF(D1688="?OLD","!!!","")</f>
        <v/>
      </c>
      <c r="F1688" s="22" t="str">
        <f>IF(OR(E1688="",E1688="!!!"),"",IF(NOT(ISNA(VLOOKUP(E1688,E$1:E1687,1,FALSE()))),"OLD",IF(AND(E1688&lt;&gt;"",E1688&lt;&gt;"!!!"),"NEW","")))</f>
        <v> </v>
      </c>
      <c r="G1688" s="23" t="str">
        <f>IF(OR(E1688="",E1688="!!!"),"",IF(OR(J1688=0,AND(J1688=1,K1688=1),AND(J1688=1,I1688="SBJ"),AND(J1688=1,I1688=0)),"?IN_FOCUS",IF(J1688&lt;=2,"?ACTIVATED",IF(J1688&lt;&gt;"","?FAMILIAR",IF(F1688="NEW",IF(ISNA(VLOOKUP(E1688,#REF!,1,FALSE())),"?TYPE_IDENTIFIABLE","?REFERENTIAL"),"_")))))</f>
        <v> </v>
      </c>
      <c r="H1688" s="24" t="str">
        <f>IF(J1688&lt;&gt;1,"",IF(I1688="SBJ","CB","?"))</f>
        <v> </v>
      </c>
      <c r="I1688" s="25" t="str">
        <f>IF(OR(E1688="",E1688="!!!",F1688="NEW"),"",INDEX(B1687:B$2,-1+SUMPRODUCT(MAX(ROW(E1687:E$2)*(E1688=E1687:E$2)))))</f>
        <v> </v>
      </c>
      <c r="J1688" s="25" t="str">
        <f>IF(OR(E1688="",E1688="!!!",F1688="NEW"),"",COUNTBLANK(OFFSET(A$1,,,SUMPRODUCT(MAX(ROW(E$2:E1688)*(E1688=E$2:E1688)))))-COUNTBLANK(OFFSET(A$1,,,SUMPRODUCT(MAX(ROW(E$1:E1687)*(E2=E$1:E1687))))))</f>
        <v> </v>
      </c>
      <c r="K1688" s="25" t="str">
        <f>IF(OR(E1688="",E1688="!!!",F1688="NEW"),"",INDEX(J$1:J1687,SUMPRODUCT(MAX(ROW(E$1:E1687)*(E1688=E$1:E1687)))))</f>
        <v> </v>
      </c>
      <c r="L1688" s="26"/>
    </row>
    <row r="1689" spans="1:12">
      <c r="A1689" s="20" t="s">
        <v>531</v>
      </c>
      <c r="E1689" s="21">
        <f>IF(D1689="?OLD","!!!","")</f>
        <v/>
      </c>
      <c r="F1689" s="22" t="str">
        <f>IF(OR(E1689="",E1689="!!!"),"",IF(NOT(ISNA(VLOOKUP(E1689,E$1:E1688,1,FALSE()))),"OLD",IF(AND(E1689&lt;&gt;"",E1689&lt;&gt;"!!!"),"NEW","")))</f>
        <v> </v>
      </c>
      <c r="G1689" s="23" t="str">
        <f>IF(OR(E1689="",E1689="!!!"),"",IF(OR(J1689=0,AND(J1689=1,K1689=1),AND(J1689=1,I1689="SBJ"),AND(J1689=1,I1689=0)),"?IN_FOCUS",IF(J1689&lt;=2,"?ACTIVATED",IF(J1689&lt;&gt;"","?FAMILIAR",IF(F1689="NEW",IF(ISNA(VLOOKUP(E1689,#REF!,1,FALSE())),"?TYPE_IDENTIFIABLE","?REFERENTIAL"),"_")))))</f>
        <v> </v>
      </c>
      <c r="H1689" s="24" t="str">
        <f>IF(J1689&lt;&gt;1,"",IF(I1689="SBJ","CB","?"))</f>
        <v> </v>
      </c>
      <c r="I1689" s="25" t="str">
        <f>IF(OR(E1689="",E1689="!!!",F1689="NEW"),"",INDEX(B1688:B$2,-1+SUMPRODUCT(MAX(ROW(E1688:E$2)*(E1689=E1688:E$2)))))</f>
        <v> </v>
      </c>
      <c r="J1689" s="25" t="str">
        <f>IF(OR(E1689="",E1689="!!!",F1689="NEW"),"",COUNTBLANK(OFFSET(A$1,,,SUMPRODUCT(MAX(ROW(E$2:E1689)*(E1689=E$2:E1689)))))-COUNTBLANK(OFFSET(A$1,,,SUMPRODUCT(MAX(ROW(E$1:E1688)*(E2=E$1:E1688))))))</f>
        <v> </v>
      </c>
      <c r="K1689" s="25" t="str">
        <f>IF(OR(E1689="",E1689="!!!",F1689="NEW"),"",INDEX(J$1:J1688,SUMPRODUCT(MAX(ROW(E$1:E1688)*(E1689=E$1:E1688)))))</f>
        <v> </v>
      </c>
      <c r="L1689" s="26"/>
    </row>
    <row r="1690" spans="1:12">
      <c r="A1690" s="20"/>
    </row>
    <row r="1691" spans="1:12">
      <c r="A1691" s="20" t="s">
        <v>1053</v>
      </c>
    </row>
    <row r="1692" spans="1:12">
      <c r="A1692" s="20" t="s">
        <v>942</v>
      </c>
      <c r="B1692" s="27" t="s">
        <v>549</v>
      </c>
      <c r="C1692" s="27" t="s">
        <v>491</v>
      </c>
      <c r="D1692" s="27" t="s">
        <v>483</v>
      </c>
      <c r="E1692" s="21">
        <f>IF(D1692="?OLD","!!!","")</f>
        <v/>
      </c>
      <c r="F1692" s="22" t="str">
        <f>IF(OR(E1692="",E1692="!!!"),"",IF(NOT(ISNA(VLOOKUP(E1692,E$1:E1691,1,FALSE()))),"OLD",IF(AND(E1692&lt;&gt;"",E1692&lt;&gt;"!!!"),"NEW","")))</f>
        <v> </v>
      </c>
      <c r="G1692" s="23" t="str">
        <f>IF(OR(E1692="",E1692="!!!"),"",IF(OR(J1692=0,AND(J1692=1,K1692=1),AND(J1692=1,I1692="SBJ"),AND(J1692=1,I1692=0)),"?IN_FOCUS",IF(J1692&lt;=2,"?ACTIVATED",IF(J1692&lt;&gt;"","?FAMILIAR",IF(F1692="NEW",IF(ISNA(VLOOKUP(E1692,#REF!,1,FALSE())),"?TYPE_IDENTIFIABLE","?REFERENTIAL"),"_")))))</f>
        <v> </v>
      </c>
      <c r="H1692" s="24" t="str">
        <f>IF(J1692&lt;&gt;1,"",IF(I1692="SBJ","CB","?"))</f>
        <v> </v>
      </c>
      <c r="I1692" s="25" t="str">
        <f>IF(OR(E1692="",E1692="!!!",F1692="NEW"),"",INDEX(B1691:B$2,-1+SUMPRODUCT(MAX(ROW(E1691:E$2)*(E1692=E1691:E$2)))))</f>
        <v> </v>
      </c>
      <c r="J1692" s="25" t="str">
        <f>IF(OR(E1692="",E1692="!!!",F1692="NEW"),"",COUNTBLANK(OFFSET(A$1,,,SUMPRODUCT(MAX(ROW(E$2:E1692)*(E1692=E$2:E1692)))))-COUNTBLANK(OFFSET(A$1,,,SUMPRODUCT(MAX(ROW(E$1:E1691)*(E2=E$1:E1691))))))</f>
        <v> </v>
      </c>
      <c r="K1692" s="25" t="str">
        <f>IF(OR(E1692="",E1692="!!!",F1692="NEW"),"",INDEX(J$1:J1691,SUMPRODUCT(MAX(ROW(E$1:E1691)*(E1692=E$1:E1691)))))</f>
        <v> </v>
      </c>
      <c r="L1692" s="26"/>
    </row>
    <row r="1693" spans="1:12">
      <c r="A1693" s="20" t="s">
        <v>558</v>
      </c>
      <c r="E1693" s="21">
        <f>IF(D1693="?OLD","!!!","")</f>
        <v/>
      </c>
      <c r="F1693" s="22" t="str">
        <f>IF(OR(E1693="",E1693="!!!"),"",IF(NOT(ISNA(VLOOKUP(E1693,E$1:E1692,1,FALSE()))),"OLD",IF(AND(E1693&lt;&gt;"",E1693&lt;&gt;"!!!"),"NEW","")))</f>
        <v> </v>
      </c>
      <c r="G1693" s="23" t="str">
        <f>IF(OR(E1693="",E1693="!!!"),"",IF(OR(J1693=0,AND(J1693=1,K1693=1),AND(J1693=1,I1693="SBJ"),AND(J1693=1,I1693=0)),"?IN_FOCUS",IF(J1693&lt;=2,"?ACTIVATED",IF(J1693&lt;&gt;"","?FAMILIAR",IF(F1693="NEW",IF(ISNA(VLOOKUP(E1693,#REF!,1,FALSE())),"?TYPE_IDENTIFIABLE","?REFERENTIAL"),"_")))))</f>
        <v> </v>
      </c>
      <c r="H1693" s="24" t="str">
        <f>IF(J1693&lt;&gt;1,"",IF(I1693="SBJ","CB","?"))</f>
        <v> </v>
      </c>
      <c r="I1693" s="25" t="str">
        <f>IF(OR(E1693="",E1693="!!!",F1693="NEW"),"",INDEX(B1692:B$2,-1+SUMPRODUCT(MAX(ROW(E1692:E$2)*(E1693=E1692:E$2)))))</f>
        <v> </v>
      </c>
      <c r="J1693" s="25" t="str">
        <f>IF(OR(E1693="",E1693="!!!",F1693="NEW"),"",COUNTBLANK(OFFSET(A$1,,,SUMPRODUCT(MAX(ROW(E$2:E1693)*(E1693=E$2:E1693)))))-COUNTBLANK(OFFSET(A$1,,,SUMPRODUCT(MAX(ROW(E$1:E1692)*(E2=E$1:E1692))))))</f>
        <v> </v>
      </c>
      <c r="K1693" s="25" t="str">
        <f>IF(OR(E1693="",E1693="!!!",F1693="NEW"),"",INDEX(J$1:J1692,SUMPRODUCT(MAX(ROW(E$1:E1692)*(E1693=E$1:E1692)))))</f>
        <v> </v>
      </c>
      <c r="L1693" s="26"/>
    </row>
    <row r="1694" spans="1:12">
      <c r="A1694" s="20" t="s">
        <v>568</v>
      </c>
      <c r="E1694" s="21">
        <f>IF(D1694="?OLD","!!!","")</f>
        <v/>
      </c>
      <c r="F1694" s="22" t="str">
        <f>IF(OR(E1694="",E1694="!!!"),"",IF(NOT(ISNA(VLOOKUP(E1694,E$1:E1693,1,FALSE()))),"OLD",IF(AND(E1694&lt;&gt;"",E1694&lt;&gt;"!!!"),"NEW","")))</f>
        <v> </v>
      </c>
      <c r="G1694" s="23" t="str">
        <f>IF(OR(E1694="",E1694="!!!"),"",IF(OR(J1694=0,AND(J1694=1,K1694=1),AND(J1694=1,I1694="SBJ"),AND(J1694=1,I1694=0)),"?IN_FOCUS",IF(J1694&lt;=2,"?ACTIVATED",IF(J1694&lt;&gt;"","?FAMILIAR",IF(F1694="NEW",IF(ISNA(VLOOKUP(E1694,#REF!,1,FALSE())),"?TYPE_IDENTIFIABLE","?REFERENTIAL"),"_")))))</f>
        <v> </v>
      </c>
      <c r="H1694" s="24" t="str">
        <f>IF(J1694&lt;&gt;1,"",IF(I1694="SBJ","CB","?"))</f>
        <v> </v>
      </c>
      <c r="I1694" s="25" t="str">
        <f>IF(OR(E1694="",E1694="!!!",F1694="NEW"),"",INDEX(B1693:B$2,-1+SUMPRODUCT(MAX(ROW(E1693:E$2)*(E1694=E1693:E$2)))))</f>
        <v> </v>
      </c>
      <c r="J1694" s="25" t="str">
        <f>IF(OR(E1694="",E1694="!!!",F1694="NEW"),"",COUNTBLANK(OFFSET(A$1,,,SUMPRODUCT(MAX(ROW(E$2:E1694)*(E1694=E$2:E1694)))))-COUNTBLANK(OFFSET(A$1,,,SUMPRODUCT(MAX(ROW(E$1:E1693)*(E2=E$1:E1693))))))</f>
        <v> </v>
      </c>
      <c r="K1694" s="25" t="str">
        <f>IF(OR(E1694="",E1694="!!!",F1694="NEW"),"",INDEX(J$1:J1693,SUMPRODUCT(MAX(ROW(E$1:E1693)*(E1694=E$1:E1693)))))</f>
        <v> </v>
      </c>
      <c r="L1694" s="26"/>
    </row>
    <row r="1695" spans="1:12">
      <c r="A1695" s="20" t="s">
        <v>503</v>
      </c>
      <c r="E1695" s="21">
        <f>IF(D1695="?OLD","!!!","")</f>
        <v/>
      </c>
      <c r="F1695" s="22" t="str">
        <f>IF(OR(E1695="",E1695="!!!"),"",IF(NOT(ISNA(VLOOKUP(E1695,E$1:E1694,1,FALSE()))),"OLD",IF(AND(E1695&lt;&gt;"",E1695&lt;&gt;"!!!"),"NEW","")))</f>
        <v> </v>
      </c>
      <c r="G1695" s="23" t="str">
        <f>IF(OR(E1695="",E1695="!!!"),"",IF(OR(J1695=0,AND(J1695=1,K1695=1),AND(J1695=1,I1695="SBJ"),AND(J1695=1,I1695=0)),"?IN_FOCUS",IF(J1695&lt;=2,"?ACTIVATED",IF(J1695&lt;&gt;"","?FAMILIAR",IF(F1695="NEW",IF(ISNA(VLOOKUP(E1695,#REF!,1,FALSE())),"?TYPE_IDENTIFIABLE","?REFERENTIAL"),"_")))))</f>
        <v> </v>
      </c>
      <c r="H1695" s="24" t="str">
        <f>IF(J1695&lt;&gt;1,"",IF(I1695="SBJ","CB","?"))</f>
        <v> </v>
      </c>
      <c r="I1695" s="25" t="str">
        <f>IF(OR(E1695="",E1695="!!!",F1695="NEW"),"",INDEX(B1694:B$2,-1+SUMPRODUCT(MAX(ROW(E1694:E$2)*(E1695=E1694:E$2)))))</f>
        <v> </v>
      </c>
      <c r="J1695" s="25" t="str">
        <f>IF(OR(E1695="",E1695="!!!",F1695="NEW"),"",COUNTBLANK(OFFSET(A$1,,,SUMPRODUCT(MAX(ROW(E$2:E1695)*(E1695=E$2:E1695)))))-COUNTBLANK(OFFSET(A$1,,,SUMPRODUCT(MAX(ROW(E$1:E1694)*(E2=E$1:E1694))))))</f>
        <v> </v>
      </c>
      <c r="K1695" s="25" t="str">
        <f>IF(OR(E1695="",E1695="!!!",F1695="NEW"),"",INDEX(J$1:J1694,SUMPRODUCT(MAX(ROW(E$1:E1694)*(E1695=E$1:E1694)))))</f>
        <v> </v>
      </c>
      <c r="L1695" s="26"/>
    </row>
    <row r="1696" spans="1:12">
      <c r="A1696" s="20" t="s">
        <v>634</v>
      </c>
      <c r="B1696" s="27" t="s">
        <v>490</v>
      </c>
      <c r="C1696" s="27" t="s">
        <v>635</v>
      </c>
      <c r="D1696" s="27" t="s">
        <v>483</v>
      </c>
      <c r="E1696" s="21">
        <f>IF(D1696="?OLD","!!!","")</f>
        <v/>
      </c>
      <c r="F1696" s="22" t="str">
        <f>IF(OR(E1696="",E1696="!!!"),"",IF(NOT(ISNA(VLOOKUP(E1696,E$1:E1695,1,FALSE()))),"OLD",IF(AND(E1696&lt;&gt;"",E1696&lt;&gt;"!!!"),"NEW","")))</f>
        <v> </v>
      </c>
      <c r="G1696" s="23" t="str">
        <f>IF(OR(E1696="",E1696="!!!"),"",IF(OR(J1696=0,AND(J1696=1,K1696=1),AND(J1696=1,I1696="SBJ"),AND(J1696=1,I1696=0)),"?IN_FOCUS",IF(J1696&lt;=2,"?ACTIVATED",IF(J1696&lt;&gt;"","?FAMILIAR",IF(F1696="NEW",IF(ISNA(VLOOKUP(E1696,#REF!,1,FALSE())),"?TYPE_IDENTIFIABLE","?REFERENTIAL"),"_")))))</f>
        <v> </v>
      </c>
      <c r="H1696" s="24" t="str">
        <f>IF(J1696&lt;&gt;1,"",IF(I1696="SBJ","CB","?"))</f>
        <v> </v>
      </c>
      <c r="I1696" s="25" t="str">
        <f>IF(OR(E1696="",E1696="!!!",F1696="NEW"),"",INDEX(B1695:B$2,-1+SUMPRODUCT(MAX(ROW(E1695:E$2)*(E1696=E1695:E$2)))))</f>
        <v> </v>
      </c>
      <c r="J1696" s="25" t="str">
        <f>IF(OR(E1696="",E1696="!!!",F1696="NEW"),"",COUNTBLANK(OFFSET(A$1,,,SUMPRODUCT(MAX(ROW(E$2:E1696)*(E1696=E$2:E1696)))))-COUNTBLANK(OFFSET(A$1,,,SUMPRODUCT(MAX(ROW(E$1:E1695)*(E2=E$1:E1695))))))</f>
        <v> </v>
      </c>
      <c r="K1696" s="25" t="str">
        <f>IF(OR(E1696="",E1696="!!!",F1696="NEW"),"",INDEX(J$1:J1695,SUMPRODUCT(MAX(ROW(E$1:E1695)*(E1696=E$1:E1695)))))</f>
        <v> </v>
      </c>
      <c r="L1696" s="26"/>
    </row>
    <row r="1697" spans="1:12">
      <c r="A1697" s="20" t="s">
        <v>955</v>
      </c>
      <c r="B1697" s="27" t="s">
        <v>481</v>
      </c>
      <c r="C1697" s="27" t="s">
        <v>487</v>
      </c>
      <c r="D1697" s="27" t="s">
        <v>483</v>
      </c>
      <c r="E1697" s="21">
        <f>IF(D1697="?OLD","!!!","")</f>
        <v/>
      </c>
      <c r="F1697" s="22" t="str">
        <f>IF(OR(E1697="",E1697="!!!"),"",IF(NOT(ISNA(VLOOKUP(E1697,E$1:E1696,1,FALSE()))),"OLD",IF(AND(E1697&lt;&gt;"",E1697&lt;&gt;"!!!"),"NEW","")))</f>
        <v> </v>
      </c>
      <c r="G1697" s="23" t="str">
        <f>IF(OR(E1697="",E1697="!!!"),"",IF(OR(J1697=0,AND(J1697=1,K1697=1),AND(J1697=1,I1697="SBJ"),AND(J1697=1,I1697=0)),"?IN_FOCUS",IF(J1697&lt;=2,"?ACTIVATED",IF(J1697&lt;&gt;"","?FAMILIAR",IF(F1697="NEW",IF(ISNA(VLOOKUP(E1697,#REF!,1,FALSE())),"?TYPE_IDENTIFIABLE","?REFERENTIAL"),"_")))))</f>
        <v> </v>
      </c>
      <c r="H1697" s="24" t="str">
        <f>IF(J1697&lt;&gt;1,"",IF(I1697="SBJ","CB","?"))</f>
        <v> </v>
      </c>
      <c r="I1697" s="25" t="str">
        <f>IF(OR(E1697="",E1697="!!!",F1697="NEW"),"",INDEX(B1696:B$2,-1+SUMPRODUCT(MAX(ROW(E1696:E$2)*(E1697=E1696:E$2)))))</f>
        <v> </v>
      </c>
      <c r="J1697" s="25" t="str">
        <f>IF(OR(E1697="",E1697="!!!",F1697="NEW"),"",COUNTBLANK(OFFSET(A$1,,,SUMPRODUCT(MAX(ROW(E$2:E1697)*(E1697=E$2:E1697)))))-COUNTBLANK(OFFSET(A$1,,,SUMPRODUCT(MAX(ROW(E$1:E1696)*(E2=E$1:E1696))))))</f>
        <v> </v>
      </c>
      <c r="K1697" s="25" t="str">
        <f>IF(OR(E1697="",E1697="!!!",F1697="NEW"),"",INDEX(J$1:J1696,SUMPRODUCT(MAX(ROW(E$1:E1696)*(E1697=E$1:E1696)))))</f>
        <v> </v>
      </c>
      <c r="L1697" s="26"/>
    </row>
    <row r="1698" spans="1:12">
      <c r="A1698" s="20" t="s">
        <v>531</v>
      </c>
      <c r="E1698" s="21">
        <f>IF(D1698="?OLD","!!!","")</f>
        <v/>
      </c>
      <c r="F1698" s="22" t="str">
        <f>IF(OR(E1698="",E1698="!!!"),"",IF(NOT(ISNA(VLOOKUP(E1698,E$1:E1697,1,FALSE()))),"OLD",IF(AND(E1698&lt;&gt;"",E1698&lt;&gt;"!!!"),"NEW","")))</f>
        <v> </v>
      </c>
      <c r="G1698" s="23" t="str">
        <f>IF(OR(E1698="",E1698="!!!"),"",IF(OR(J1698=0,AND(J1698=1,K1698=1),AND(J1698=1,I1698="SBJ"),AND(J1698=1,I1698=0)),"?IN_FOCUS",IF(J1698&lt;=2,"?ACTIVATED",IF(J1698&lt;&gt;"","?FAMILIAR",IF(F1698="NEW",IF(ISNA(VLOOKUP(E1698,#REF!,1,FALSE())),"?TYPE_IDENTIFIABLE","?REFERENTIAL"),"_")))))</f>
        <v> </v>
      </c>
      <c r="H1698" s="24" t="str">
        <f>IF(J1698&lt;&gt;1,"",IF(I1698="SBJ","CB","?"))</f>
        <v> </v>
      </c>
      <c r="I1698" s="25" t="str">
        <f>IF(OR(E1698="",E1698="!!!",F1698="NEW"),"",INDEX(B1697:B$2,-1+SUMPRODUCT(MAX(ROW(E1697:E$2)*(E1698=E1697:E$2)))))</f>
        <v> </v>
      </c>
      <c r="J1698" s="25" t="str">
        <f>IF(OR(E1698="",E1698="!!!",F1698="NEW"),"",COUNTBLANK(OFFSET(A$1,,,SUMPRODUCT(MAX(ROW(E$2:E1698)*(E1698=E$2:E1698)))))-COUNTBLANK(OFFSET(A$1,,,SUMPRODUCT(MAX(ROW(E$1:E1697)*(E2=E$1:E1697))))))</f>
        <v> </v>
      </c>
      <c r="K1698" s="25" t="str">
        <f>IF(OR(E1698="",E1698="!!!",F1698="NEW"),"",INDEX(J$1:J1697,SUMPRODUCT(MAX(ROW(E$1:E1697)*(E1698=E$1:E1697)))))</f>
        <v> </v>
      </c>
      <c r="L1698" s="26"/>
    </row>
    <row r="1699" spans="1:12">
      <c r="A1699" s="20"/>
    </row>
    <row r="1700" spans="1:12">
      <c r="A1700" s="20" t="s">
        <v>1054</v>
      </c>
    </row>
    <row r="1701" spans="1:12">
      <c r="A1701" s="20" t="s">
        <v>813</v>
      </c>
      <c r="E1701" s="21">
        <f>IF(D1701="?OLD","!!!","")</f>
        <v/>
      </c>
      <c r="F1701" s="22" t="str">
        <f>IF(OR(E1701="",E1701="!!!"),"",IF(NOT(ISNA(VLOOKUP(E1701,E$1:E1700,1,FALSE()))),"OLD",IF(AND(E1701&lt;&gt;"",E1701&lt;&gt;"!!!"),"NEW","")))</f>
        <v> </v>
      </c>
      <c r="G1701" s="23" t="str">
        <f>IF(OR(E1701="",E1701="!!!"),"",IF(OR(J1701=0,AND(J1701=1,K1701=1),AND(J1701=1,I1701="SBJ"),AND(J1701=1,I1701=0)),"?IN_FOCUS",IF(J1701&lt;=2,"?ACTIVATED",IF(J1701&lt;&gt;"","?FAMILIAR",IF(F1701="NEW",IF(ISNA(VLOOKUP(E1701,#REF!,1,FALSE())),"?TYPE_IDENTIFIABLE","?REFERENTIAL"),"_")))))</f>
        <v> </v>
      </c>
      <c r="H1701" s="24" t="str">
        <f>IF(J1701&lt;&gt;1,"",IF(I1701="SBJ","CB","?"))</f>
        <v> </v>
      </c>
      <c r="I1701" s="25" t="str">
        <f>IF(OR(E1701="",E1701="!!!",F1701="NEW"),"",INDEX(B1700:B$2,-1+SUMPRODUCT(MAX(ROW(E1700:E$2)*(E1701=E1700:E$2)))))</f>
        <v> </v>
      </c>
      <c r="J1701" s="25" t="str">
        <f>IF(OR(E1701="",E1701="!!!",F1701="NEW"),"",COUNTBLANK(OFFSET(A$1,,,SUMPRODUCT(MAX(ROW(E$2:E1701)*(E1701=E$2:E1701)))))-COUNTBLANK(OFFSET(A$1,,,SUMPRODUCT(MAX(ROW(E$1:E1700)*(E2=E$1:E1700))))))</f>
        <v> </v>
      </c>
      <c r="K1701" s="25" t="str">
        <f>IF(OR(E1701="",E1701="!!!",F1701="NEW"),"",INDEX(J$1:J1700,SUMPRODUCT(MAX(ROW(E$1:E1700)*(E1701=E$1:E1700)))))</f>
        <v> </v>
      </c>
      <c r="L1701" s="26"/>
    </row>
    <row r="1702" spans="1:12">
      <c r="A1702" s="20" t="s">
        <v>558</v>
      </c>
      <c r="E1702" s="21">
        <f>IF(D1702="?OLD","!!!","")</f>
        <v/>
      </c>
      <c r="F1702" s="22" t="str">
        <f>IF(OR(E1702="",E1702="!!!"),"",IF(NOT(ISNA(VLOOKUP(E1702,E$1:E1701,1,FALSE()))),"OLD",IF(AND(E1702&lt;&gt;"",E1702&lt;&gt;"!!!"),"NEW","")))</f>
        <v> </v>
      </c>
      <c r="G1702" s="23" t="str">
        <f>IF(OR(E1702="",E1702="!!!"),"",IF(OR(J1702=0,AND(J1702=1,K1702=1),AND(J1702=1,I1702="SBJ"),AND(J1702=1,I1702=0)),"?IN_FOCUS",IF(J1702&lt;=2,"?ACTIVATED",IF(J1702&lt;&gt;"","?FAMILIAR",IF(F1702="NEW",IF(ISNA(VLOOKUP(E1702,#REF!,1,FALSE())),"?TYPE_IDENTIFIABLE","?REFERENTIAL"),"_")))))</f>
        <v> </v>
      </c>
      <c r="H1702" s="24" t="str">
        <f>IF(J1702&lt;&gt;1,"",IF(I1702="SBJ","CB","?"))</f>
        <v> </v>
      </c>
      <c r="I1702" s="25" t="str">
        <f>IF(OR(E1702="",E1702="!!!",F1702="NEW"),"",INDEX(B1701:B$2,-1+SUMPRODUCT(MAX(ROW(E1701:E$2)*(E1702=E1701:E$2)))))</f>
        <v> </v>
      </c>
      <c r="J1702" s="25" t="str">
        <f>IF(OR(E1702="",E1702="!!!",F1702="NEW"),"",COUNTBLANK(OFFSET(A$1,,,SUMPRODUCT(MAX(ROW(E$2:E1702)*(E1702=E$2:E1702)))))-COUNTBLANK(OFFSET(A$1,,,SUMPRODUCT(MAX(ROW(E$1:E1701)*(E2=E$1:E1701))))))</f>
        <v> </v>
      </c>
      <c r="K1702" s="25" t="str">
        <f>IF(OR(E1702="",E1702="!!!",F1702="NEW"),"",INDEX(J$1:J1701,SUMPRODUCT(MAX(ROW(E$1:E1701)*(E1702=E$1:E1701)))))</f>
        <v> </v>
      </c>
      <c r="L1702" s="26"/>
    </row>
    <row r="1703" spans="1:12">
      <c r="A1703" s="20" t="s">
        <v>919</v>
      </c>
      <c r="E1703" s="21">
        <f>IF(D1703="?OLD","!!!","")</f>
        <v/>
      </c>
      <c r="F1703" s="22" t="str">
        <f>IF(OR(E1703="",E1703="!!!"),"",IF(NOT(ISNA(VLOOKUP(E1703,E$1:E1702,1,FALSE()))),"OLD",IF(AND(E1703&lt;&gt;"",E1703&lt;&gt;"!!!"),"NEW","")))</f>
        <v> </v>
      </c>
      <c r="G1703" s="23" t="str">
        <f>IF(OR(E1703="",E1703="!!!"),"",IF(OR(J1703=0,AND(J1703=1,K1703=1),AND(J1703=1,I1703="SBJ"),AND(J1703=1,I1703=0)),"?IN_FOCUS",IF(J1703&lt;=2,"?ACTIVATED",IF(J1703&lt;&gt;"","?FAMILIAR",IF(F1703="NEW",IF(ISNA(VLOOKUP(E1703,#REF!,1,FALSE())),"?TYPE_IDENTIFIABLE","?REFERENTIAL"),"_")))))</f>
        <v> </v>
      </c>
      <c r="H1703" s="24" t="str">
        <f>IF(J1703&lt;&gt;1,"",IF(I1703="SBJ","CB","?"))</f>
        <v> </v>
      </c>
      <c r="I1703" s="25" t="str">
        <f>IF(OR(E1703="",E1703="!!!",F1703="NEW"),"",INDEX(B1702:B$2,-1+SUMPRODUCT(MAX(ROW(E1702:E$2)*(E1703=E1702:E$2)))))</f>
        <v> </v>
      </c>
      <c r="J1703" s="25" t="str">
        <f>IF(OR(E1703="",E1703="!!!",F1703="NEW"),"",COUNTBLANK(OFFSET(A$1,,,SUMPRODUCT(MAX(ROW(E$2:E1703)*(E1703=E$2:E1703)))))-COUNTBLANK(OFFSET(A$1,,,SUMPRODUCT(MAX(ROW(E$1:E1702)*(E2=E$1:E1702))))))</f>
        <v> </v>
      </c>
      <c r="K1703" s="25" t="str">
        <f>IF(OR(E1703="",E1703="!!!",F1703="NEW"),"",INDEX(J$1:J1702,SUMPRODUCT(MAX(ROW(E$1:E1702)*(E1703=E$1:E1702)))))</f>
        <v> </v>
      </c>
      <c r="L1703" s="26"/>
    </row>
    <row r="1704" spans="1:12">
      <c r="A1704" s="20" t="s">
        <v>486</v>
      </c>
      <c r="B1704" s="27" t="s">
        <v>477</v>
      </c>
      <c r="C1704" s="27" t="s">
        <v>538</v>
      </c>
      <c r="D1704" s="27" t="s">
        <v>483</v>
      </c>
      <c r="E1704" s="21">
        <f>IF(D1704="?OLD","!!!","")</f>
        <v/>
      </c>
      <c r="F1704" s="22" t="str">
        <f>IF(OR(E1704="",E1704="!!!"),"",IF(NOT(ISNA(VLOOKUP(E1704,E$1:E1703,1,FALSE()))),"OLD",IF(AND(E1704&lt;&gt;"",E1704&lt;&gt;"!!!"),"NEW","")))</f>
        <v> </v>
      </c>
      <c r="G1704" s="23" t="str">
        <f>IF(OR(E1704="",E1704="!!!"),"",IF(OR(J1704=0,AND(J1704=1,K1704=1),AND(J1704=1,I1704="SBJ"),AND(J1704=1,I1704=0)),"?IN_FOCUS",IF(J1704&lt;=2,"?ACTIVATED",IF(J1704&lt;&gt;"","?FAMILIAR",IF(F1704="NEW",IF(ISNA(VLOOKUP(E1704,#REF!,1,FALSE())),"?TYPE_IDENTIFIABLE","?REFERENTIAL"),"_")))))</f>
        <v> </v>
      </c>
      <c r="H1704" s="24" t="str">
        <f>IF(J1704&lt;&gt;1,"",IF(I1704="SBJ","CB","?"))</f>
        <v> </v>
      </c>
      <c r="I1704" s="25" t="str">
        <f>IF(OR(E1704="",E1704="!!!",F1704="NEW"),"",INDEX(B1703:B$2,-1+SUMPRODUCT(MAX(ROW(E1703:E$2)*(E1704=E1703:E$2)))))</f>
        <v> </v>
      </c>
      <c r="J1704" s="25" t="str">
        <f>IF(OR(E1704="",E1704="!!!",F1704="NEW"),"",COUNTBLANK(OFFSET(A$1,,,SUMPRODUCT(MAX(ROW(E$2:E1704)*(E1704=E$2:E1704)))))-COUNTBLANK(OFFSET(A$1,,,SUMPRODUCT(MAX(ROW(E$1:E1703)*(E2=E$1:E1703))))))</f>
        <v> </v>
      </c>
      <c r="K1704" s="25" t="str">
        <f>IF(OR(E1704="",E1704="!!!",F1704="NEW"),"",INDEX(J$1:J1703,SUMPRODUCT(MAX(ROW(E$1:E1703)*(E1704=E$1:E1703)))))</f>
        <v> </v>
      </c>
      <c r="L1704" s="26"/>
    </row>
    <row r="1705" spans="1:12">
      <c r="A1705" s="20" t="s">
        <v>952</v>
      </c>
      <c r="E1705" s="21">
        <f>IF(D1705="?OLD","!!!","")</f>
        <v/>
      </c>
      <c r="F1705" s="22" t="str">
        <f>IF(OR(E1705="",E1705="!!!"),"",IF(NOT(ISNA(VLOOKUP(E1705,E$1:E1704,1,FALSE()))),"OLD",IF(AND(E1705&lt;&gt;"",E1705&lt;&gt;"!!!"),"NEW","")))</f>
        <v> </v>
      </c>
      <c r="G1705" s="23" t="str">
        <f>IF(OR(E1705="",E1705="!!!"),"",IF(OR(J1705=0,AND(J1705=1,K1705=1),AND(J1705=1,I1705="SBJ"),AND(J1705=1,I1705=0)),"?IN_FOCUS",IF(J1705&lt;=2,"?ACTIVATED",IF(J1705&lt;&gt;"","?FAMILIAR",IF(F1705="NEW",IF(ISNA(VLOOKUP(E1705,#REF!,1,FALSE())),"?TYPE_IDENTIFIABLE","?REFERENTIAL"),"_")))))</f>
        <v> </v>
      </c>
      <c r="H1705" s="24" t="str">
        <f>IF(J1705&lt;&gt;1,"",IF(I1705="SBJ","CB","?"))</f>
        <v> </v>
      </c>
      <c r="I1705" s="25" t="str">
        <f>IF(OR(E1705="",E1705="!!!",F1705="NEW"),"",INDEX(B1704:B$2,-1+SUMPRODUCT(MAX(ROW(E1704:E$2)*(E1705=E1704:E$2)))))</f>
        <v> </v>
      </c>
      <c r="J1705" s="25" t="str">
        <f>IF(OR(E1705="",E1705="!!!",F1705="NEW"),"",COUNTBLANK(OFFSET(A$1,,,SUMPRODUCT(MAX(ROW(E$2:E1705)*(E1705=E$2:E1705)))))-COUNTBLANK(OFFSET(A$1,,,SUMPRODUCT(MAX(ROW(E$1:E1704)*(E2=E$1:E1704))))))</f>
        <v> </v>
      </c>
      <c r="K1705" s="25" t="str">
        <f>IF(OR(E1705="",E1705="!!!",F1705="NEW"),"",INDEX(J$1:J1704,SUMPRODUCT(MAX(ROW(E$1:E1704)*(E1705=E$1:E1704)))))</f>
        <v> </v>
      </c>
      <c r="L1705" s="26"/>
    </row>
    <row r="1706" spans="1:12">
      <c r="A1706" s="20" t="s">
        <v>528</v>
      </c>
      <c r="E1706" s="21">
        <f>IF(D1706="?OLD","!!!","")</f>
        <v/>
      </c>
      <c r="F1706" s="22" t="str">
        <f>IF(OR(E1706="",E1706="!!!"),"",IF(NOT(ISNA(VLOOKUP(E1706,E$1:E1705,1,FALSE()))),"OLD",IF(AND(E1706&lt;&gt;"",E1706&lt;&gt;"!!!"),"NEW","")))</f>
        <v> </v>
      </c>
      <c r="G1706" s="23" t="str">
        <f>IF(OR(E1706="",E1706="!!!"),"",IF(OR(J1706=0,AND(J1706=1,K1706=1),AND(J1706=1,I1706="SBJ"),AND(J1706=1,I1706=0)),"?IN_FOCUS",IF(J1706&lt;=2,"?ACTIVATED",IF(J1706&lt;&gt;"","?FAMILIAR",IF(F1706="NEW",IF(ISNA(VLOOKUP(E1706,#REF!,1,FALSE())),"?TYPE_IDENTIFIABLE","?REFERENTIAL"),"_")))))</f>
        <v> </v>
      </c>
      <c r="H1706" s="24" t="str">
        <f>IF(J1706&lt;&gt;1,"",IF(I1706="SBJ","CB","?"))</f>
        <v> </v>
      </c>
      <c r="I1706" s="25" t="str">
        <f>IF(OR(E1706="",E1706="!!!",F1706="NEW"),"",INDEX(B1705:B$2,-1+SUMPRODUCT(MAX(ROW(E1705:E$2)*(E1706=E1705:E$2)))))</f>
        <v> </v>
      </c>
      <c r="J1706" s="25" t="str">
        <f>IF(OR(E1706="",E1706="!!!",F1706="NEW"),"",COUNTBLANK(OFFSET(A$1,,,SUMPRODUCT(MAX(ROW(E$2:E1706)*(E1706=E$2:E1706)))))-COUNTBLANK(OFFSET(A$1,,,SUMPRODUCT(MAX(ROW(E$1:E1705)*(E2=E$1:E1705))))))</f>
        <v> </v>
      </c>
      <c r="K1706" s="25" t="str">
        <f>IF(OR(E1706="",E1706="!!!",F1706="NEW"),"",INDEX(J$1:J1705,SUMPRODUCT(MAX(ROW(E$1:E1705)*(E1706=E$1:E1705)))))</f>
        <v> </v>
      </c>
      <c r="L1706" s="26"/>
    </row>
    <row r="1707" spans="1:12">
      <c r="A1707" s="20" t="s">
        <v>957</v>
      </c>
      <c r="B1707" s="27" t="s">
        <v>477</v>
      </c>
      <c r="C1707" s="27" t="s">
        <v>612</v>
      </c>
      <c r="D1707" s="27" t="s">
        <v>483</v>
      </c>
      <c r="E1707" s="21">
        <f>IF(D1707="?OLD","!!!","")</f>
        <v/>
      </c>
      <c r="F1707" s="22" t="str">
        <f>IF(OR(E1707="",E1707="!!!"),"",IF(NOT(ISNA(VLOOKUP(E1707,E$1:E1706,1,FALSE()))),"OLD",IF(AND(E1707&lt;&gt;"",E1707&lt;&gt;"!!!"),"NEW","")))</f>
        <v> </v>
      </c>
      <c r="G1707" s="23" t="str">
        <f>IF(OR(E1707="",E1707="!!!"),"",IF(OR(J1707=0,AND(J1707=1,K1707=1),AND(J1707=1,I1707="SBJ"),AND(J1707=1,I1707=0)),"?IN_FOCUS",IF(J1707&lt;=2,"?ACTIVATED",IF(J1707&lt;&gt;"","?FAMILIAR",IF(F1707="NEW",IF(ISNA(VLOOKUP(E1707,#REF!,1,FALSE())),"?TYPE_IDENTIFIABLE","?REFERENTIAL"),"_")))))</f>
        <v> </v>
      </c>
      <c r="H1707" s="24" t="str">
        <f>IF(J1707&lt;&gt;1,"",IF(I1707="SBJ","CB","?"))</f>
        <v> </v>
      </c>
      <c r="I1707" s="25" t="str">
        <f>IF(OR(E1707="",E1707="!!!",F1707="NEW"),"",INDEX(B1706:B$2,-1+SUMPRODUCT(MAX(ROW(E1706:E$2)*(E1707=E1706:E$2)))))</f>
        <v> </v>
      </c>
      <c r="J1707" s="25" t="str">
        <f>IF(OR(E1707="",E1707="!!!",F1707="NEW"),"",COUNTBLANK(OFFSET(A$1,,,SUMPRODUCT(MAX(ROW(E$2:E1707)*(E1707=E$2:E1707)))))-COUNTBLANK(OFFSET(A$1,,,SUMPRODUCT(MAX(ROW(E$1:E1706)*(E2=E$1:E1706))))))</f>
        <v> </v>
      </c>
      <c r="K1707" s="25" t="str">
        <f>IF(OR(E1707="",E1707="!!!",F1707="NEW"),"",INDEX(J$1:J1706,SUMPRODUCT(MAX(ROW(E$1:E1706)*(E1707=E$1:E1706)))))</f>
        <v> </v>
      </c>
      <c r="L1707" s="26"/>
    </row>
    <row r="1708" spans="1:12">
      <c r="A1708" s="20" t="s">
        <v>531</v>
      </c>
      <c r="E1708" s="21">
        <f>IF(D1708="?OLD","!!!","")</f>
        <v/>
      </c>
      <c r="F1708" s="22" t="str">
        <f>IF(OR(E1708="",E1708="!!!"),"",IF(NOT(ISNA(VLOOKUP(E1708,E$1:E1707,1,FALSE()))),"OLD",IF(AND(E1708&lt;&gt;"",E1708&lt;&gt;"!!!"),"NEW","")))</f>
        <v> </v>
      </c>
      <c r="G1708" s="23" t="str">
        <f>IF(OR(E1708="",E1708="!!!"),"",IF(OR(J1708=0,AND(J1708=1,K1708=1),AND(J1708=1,I1708="SBJ"),AND(J1708=1,I1708=0)),"?IN_FOCUS",IF(J1708&lt;=2,"?ACTIVATED",IF(J1708&lt;&gt;"","?FAMILIAR",IF(F1708="NEW",IF(ISNA(VLOOKUP(E1708,#REF!,1,FALSE())),"?TYPE_IDENTIFIABLE","?REFERENTIAL"),"_")))))</f>
        <v> </v>
      </c>
      <c r="H1708" s="24" t="str">
        <f>IF(J1708&lt;&gt;1,"",IF(I1708="SBJ","CB","?"))</f>
        <v> </v>
      </c>
      <c r="I1708" s="25" t="str">
        <f>IF(OR(E1708="",E1708="!!!",F1708="NEW"),"",INDEX(B1707:B$2,-1+SUMPRODUCT(MAX(ROW(E1707:E$2)*(E1708=E1707:E$2)))))</f>
        <v> </v>
      </c>
      <c r="J1708" s="25" t="str">
        <f>IF(OR(E1708="",E1708="!!!",F1708="NEW"),"",COUNTBLANK(OFFSET(A$1,,,SUMPRODUCT(MAX(ROW(E$2:E1708)*(E1708=E$2:E1708)))))-COUNTBLANK(OFFSET(A$1,,,SUMPRODUCT(MAX(ROW(E$1:E1707)*(E2=E$1:E1707))))))</f>
        <v> </v>
      </c>
      <c r="K1708" s="25" t="str">
        <f>IF(OR(E1708="",E1708="!!!",F1708="NEW"),"",INDEX(J$1:J1707,SUMPRODUCT(MAX(ROW(E$1:E1707)*(E1708=E$1:E1707)))))</f>
        <v> </v>
      </c>
      <c r="L1708" s="26"/>
    </row>
    <row r="1709" spans="1:12">
      <c r="A1709" s="20"/>
    </row>
    <row r="1710" spans="1:12">
      <c r="A1710" s="20" t="s">
        <v>1055</v>
      </c>
    </row>
    <row r="1711" spans="1:12">
      <c r="A1711" s="20" t="s">
        <v>942</v>
      </c>
      <c r="B1711" s="27" t="s">
        <v>549</v>
      </c>
      <c r="C1711" s="27" t="s">
        <v>491</v>
      </c>
      <c r="D1711" s="27" t="s">
        <v>483</v>
      </c>
      <c r="E1711" s="21">
        <f>IF(D1711="?OLD","!!!","")</f>
        <v/>
      </c>
      <c r="F1711" s="22" t="str">
        <f>IF(OR(E1711="",E1711="!!!"),"",IF(NOT(ISNA(VLOOKUP(E1711,E$1:E1710,1,FALSE()))),"OLD",IF(AND(E1711&lt;&gt;"",E1711&lt;&gt;"!!!"),"NEW","")))</f>
        <v> </v>
      </c>
      <c r="G1711" s="23" t="str">
        <f>IF(OR(E1711="",E1711="!!!"),"",IF(OR(J1711=0,AND(J1711=1,K1711=1),AND(J1711=1,I1711="SBJ"),AND(J1711=1,I1711=0)),"?IN_FOCUS",IF(J1711&lt;=2,"?ACTIVATED",IF(J1711&lt;&gt;"","?FAMILIAR",IF(F1711="NEW",IF(ISNA(VLOOKUP(E1711,#REF!,1,FALSE())),"?TYPE_IDENTIFIABLE","?REFERENTIAL"),"_")))))</f>
        <v> </v>
      </c>
      <c r="H1711" s="24" t="str">
        <f>IF(J1711&lt;&gt;1,"",IF(I1711="SBJ","CB","?"))</f>
        <v> </v>
      </c>
      <c r="I1711" s="25" t="str">
        <f>IF(OR(E1711="",E1711="!!!",F1711="NEW"),"",INDEX(B1710:B$2,-1+SUMPRODUCT(MAX(ROW(E1710:E$2)*(E1711=E1710:E$2)))))</f>
        <v> </v>
      </c>
      <c r="J1711" s="25" t="str">
        <f>IF(OR(E1711="",E1711="!!!",F1711="NEW"),"",COUNTBLANK(OFFSET(A$1,,,SUMPRODUCT(MAX(ROW(E$2:E1711)*(E1711=E$2:E1711)))))-COUNTBLANK(OFFSET(A$1,,,SUMPRODUCT(MAX(ROW(E$1:E1710)*(E2=E$1:E1710))))))</f>
        <v> </v>
      </c>
      <c r="K1711" s="25" t="str">
        <f>IF(OR(E1711="",E1711="!!!",F1711="NEW"),"",INDEX(J$1:J1710,SUMPRODUCT(MAX(ROW(E$1:E1710)*(E1711=E$1:E1710)))))</f>
        <v> </v>
      </c>
      <c r="L1711" s="26"/>
    </row>
    <row r="1712" spans="1:12">
      <c r="A1712" s="20" t="s">
        <v>558</v>
      </c>
      <c r="E1712" s="21">
        <f>IF(D1712="?OLD","!!!","")</f>
        <v/>
      </c>
      <c r="F1712" s="22" t="str">
        <f>IF(OR(E1712="",E1712="!!!"),"",IF(NOT(ISNA(VLOOKUP(E1712,E$1:E1711,1,FALSE()))),"OLD",IF(AND(E1712&lt;&gt;"",E1712&lt;&gt;"!!!"),"NEW","")))</f>
        <v> </v>
      </c>
      <c r="G1712" s="23" t="str">
        <f>IF(OR(E1712="",E1712="!!!"),"",IF(OR(J1712=0,AND(J1712=1,K1712=1),AND(J1712=1,I1712="SBJ"),AND(J1712=1,I1712=0)),"?IN_FOCUS",IF(J1712&lt;=2,"?ACTIVATED",IF(J1712&lt;&gt;"","?FAMILIAR",IF(F1712="NEW",IF(ISNA(VLOOKUP(E1712,#REF!,1,FALSE())),"?TYPE_IDENTIFIABLE","?REFERENTIAL"),"_")))))</f>
        <v> </v>
      </c>
      <c r="H1712" s="24" t="str">
        <f>IF(J1712&lt;&gt;1,"",IF(I1712="SBJ","CB","?"))</f>
        <v> </v>
      </c>
      <c r="I1712" s="25" t="str">
        <f>IF(OR(E1712="",E1712="!!!",F1712="NEW"),"",INDEX(B1711:B$2,-1+SUMPRODUCT(MAX(ROW(E1711:E$2)*(E1712=E1711:E$2)))))</f>
        <v> </v>
      </c>
      <c r="J1712" s="25" t="str">
        <f>IF(OR(E1712="",E1712="!!!",F1712="NEW"),"",COUNTBLANK(OFFSET(A$1,,,SUMPRODUCT(MAX(ROW(E$2:E1712)*(E1712=E$2:E1712)))))-COUNTBLANK(OFFSET(A$1,,,SUMPRODUCT(MAX(ROW(E$1:E1711)*(E2=E$1:E1711))))))</f>
        <v> </v>
      </c>
      <c r="K1712" s="25" t="str">
        <f>IF(OR(E1712="",E1712="!!!",F1712="NEW"),"",INDEX(J$1:J1711,SUMPRODUCT(MAX(ROW(E$1:E1711)*(E1712=E$1:E1711)))))</f>
        <v> </v>
      </c>
      <c r="L1712" s="26"/>
    </row>
    <row r="1713" spans="1:12">
      <c r="A1713" s="20" t="s">
        <v>503</v>
      </c>
      <c r="E1713" s="21">
        <f>IF(D1713="?OLD","!!!","")</f>
        <v/>
      </c>
      <c r="F1713" s="22" t="str">
        <f>IF(OR(E1713="",E1713="!!!"),"",IF(NOT(ISNA(VLOOKUP(E1713,E$1:E1712,1,FALSE()))),"OLD",IF(AND(E1713&lt;&gt;"",E1713&lt;&gt;"!!!"),"NEW","")))</f>
        <v> </v>
      </c>
      <c r="G1713" s="23" t="str">
        <f>IF(OR(E1713="",E1713="!!!"),"",IF(OR(J1713=0,AND(J1713=1,K1713=1),AND(J1713=1,I1713="SBJ"),AND(J1713=1,I1713=0)),"?IN_FOCUS",IF(J1713&lt;=2,"?ACTIVATED",IF(J1713&lt;&gt;"","?FAMILIAR",IF(F1713="NEW",IF(ISNA(VLOOKUP(E1713,#REF!,1,FALSE())),"?TYPE_IDENTIFIABLE","?REFERENTIAL"),"_")))))</f>
        <v> </v>
      </c>
      <c r="H1713" s="24" t="str">
        <f>IF(J1713&lt;&gt;1,"",IF(I1713="SBJ","CB","?"))</f>
        <v> </v>
      </c>
      <c r="I1713" s="25" t="str">
        <f>IF(OR(E1713="",E1713="!!!",F1713="NEW"),"",INDEX(B1712:B$2,-1+SUMPRODUCT(MAX(ROW(E1712:E$2)*(E1713=E1712:E$2)))))</f>
        <v> </v>
      </c>
      <c r="J1713" s="25" t="str">
        <f>IF(OR(E1713="",E1713="!!!",F1713="NEW"),"",COUNTBLANK(OFFSET(A$1,,,SUMPRODUCT(MAX(ROW(E$2:E1713)*(E1713=E$2:E1713)))))-COUNTBLANK(OFFSET(A$1,,,SUMPRODUCT(MAX(ROW(E$1:E1712)*(E2=E$1:E1712))))))</f>
        <v> </v>
      </c>
      <c r="K1713" s="25" t="str">
        <f>IF(OR(E1713="",E1713="!!!",F1713="NEW"),"",INDEX(J$1:J1712,SUMPRODUCT(MAX(ROW(E$1:E1712)*(E1713=E$1:E1712)))))</f>
        <v> </v>
      </c>
      <c r="L1713" s="26"/>
    </row>
    <row r="1714" spans="1:12">
      <c r="A1714" s="20" t="s">
        <v>634</v>
      </c>
      <c r="B1714" s="27" t="s">
        <v>490</v>
      </c>
      <c r="C1714" s="27" t="s">
        <v>635</v>
      </c>
      <c r="D1714" s="27" t="s">
        <v>483</v>
      </c>
      <c r="E1714" s="21">
        <f>IF(D1714="?OLD","!!!","")</f>
        <v/>
      </c>
      <c r="F1714" s="22" t="str">
        <f>IF(OR(E1714="",E1714="!!!"),"",IF(NOT(ISNA(VLOOKUP(E1714,E$1:E1713,1,FALSE()))),"OLD",IF(AND(E1714&lt;&gt;"",E1714&lt;&gt;"!!!"),"NEW","")))</f>
        <v> </v>
      </c>
      <c r="G1714" s="23" t="str">
        <f>IF(OR(E1714="",E1714="!!!"),"",IF(OR(J1714=0,AND(J1714=1,K1714=1),AND(J1714=1,I1714="SBJ"),AND(J1714=1,I1714=0)),"?IN_FOCUS",IF(J1714&lt;=2,"?ACTIVATED",IF(J1714&lt;&gt;"","?FAMILIAR",IF(F1714="NEW",IF(ISNA(VLOOKUP(E1714,#REF!,1,FALSE())),"?TYPE_IDENTIFIABLE","?REFERENTIAL"),"_")))))</f>
        <v> </v>
      </c>
      <c r="H1714" s="24" t="str">
        <f>IF(J1714&lt;&gt;1,"",IF(I1714="SBJ","CB","?"))</f>
        <v> </v>
      </c>
      <c r="I1714" s="25" t="str">
        <f>IF(OR(E1714="",E1714="!!!",F1714="NEW"),"",INDEX(B1713:B$2,-1+SUMPRODUCT(MAX(ROW(E1713:E$2)*(E1714=E1713:E$2)))))</f>
        <v> </v>
      </c>
      <c r="J1714" s="25" t="str">
        <f>IF(OR(E1714="",E1714="!!!",F1714="NEW"),"",COUNTBLANK(OFFSET(A$1,,,SUMPRODUCT(MAX(ROW(E$2:E1714)*(E1714=E$2:E1714)))))-COUNTBLANK(OFFSET(A$1,,,SUMPRODUCT(MAX(ROW(E$1:E1713)*(E2=E$1:E1713))))))</f>
        <v> </v>
      </c>
      <c r="K1714" s="25" t="str">
        <f>IF(OR(E1714="",E1714="!!!",F1714="NEW"),"",INDEX(J$1:J1713,SUMPRODUCT(MAX(ROW(E$1:E1713)*(E1714=E$1:E1713)))))</f>
        <v> </v>
      </c>
      <c r="L1714" s="26"/>
    </row>
    <row r="1715" spans="1:12">
      <c r="A1715" s="20" t="s">
        <v>950</v>
      </c>
      <c r="B1715" s="27" t="s">
        <v>481</v>
      </c>
      <c r="C1715" s="27" t="s">
        <v>487</v>
      </c>
      <c r="D1715" s="27" t="s">
        <v>483</v>
      </c>
      <c r="E1715" s="21">
        <f>IF(D1715="?OLD","!!!","")</f>
        <v/>
      </c>
      <c r="F1715" s="22" t="str">
        <f>IF(OR(E1715="",E1715="!!!"),"",IF(NOT(ISNA(VLOOKUP(E1715,E$1:E1714,1,FALSE()))),"OLD",IF(AND(E1715&lt;&gt;"",E1715&lt;&gt;"!!!"),"NEW","")))</f>
        <v> </v>
      </c>
      <c r="G1715" s="23" t="str">
        <f>IF(OR(E1715="",E1715="!!!"),"",IF(OR(J1715=0,AND(J1715=1,K1715=1),AND(J1715=1,I1715="SBJ"),AND(J1715=1,I1715=0)),"?IN_FOCUS",IF(J1715&lt;=2,"?ACTIVATED",IF(J1715&lt;&gt;"","?FAMILIAR",IF(F1715="NEW",IF(ISNA(VLOOKUP(E1715,#REF!,1,FALSE())),"?TYPE_IDENTIFIABLE","?REFERENTIAL"),"_")))))</f>
        <v> </v>
      </c>
      <c r="H1715" s="24" t="str">
        <f>IF(J1715&lt;&gt;1,"",IF(I1715="SBJ","CB","?"))</f>
        <v> </v>
      </c>
      <c r="I1715" s="25" t="str">
        <f>IF(OR(E1715="",E1715="!!!",F1715="NEW"),"",INDEX(B1714:B$2,-1+SUMPRODUCT(MAX(ROW(E1714:E$2)*(E1715=E1714:E$2)))))</f>
        <v> </v>
      </c>
      <c r="J1715" s="25" t="str">
        <f>IF(OR(E1715="",E1715="!!!",F1715="NEW"),"",COUNTBLANK(OFFSET(A$1,,,SUMPRODUCT(MAX(ROW(E$2:E1715)*(E1715=E$2:E1715)))))-COUNTBLANK(OFFSET(A$1,,,SUMPRODUCT(MAX(ROW(E$1:E1714)*(E2=E$1:E1714))))))</f>
        <v> </v>
      </c>
      <c r="K1715" s="25" t="str">
        <f>IF(OR(E1715="",E1715="!!!",F1715="NEW"),"",INDEX(J$1:J1714,SUMPRODUCT(MAX(ROW(E$1:E1714)*(E1715=E$1:E1714)))))</f>
        <v> </v>
      </c>
      <c r="L1715" s="26"/>
    </row>
    <row r="1716" spans="1:12">
      <c r="A1716" s="20" t="s">
        <v>489</v>
      </c>
      <c r="E1716" s="21">
        <f>IF(D1716="?OLD","!!!","")</f>
        <v/>
      </c>
      <c r="F1716" s="22" t="str">
        <f>IF(OR(E1716="",E1716="!!!"),"",IF(NOT(ISNA(VLOOKUP(E1716,E$1:E1715,1,FALSE()))),"OLD",IF(AND(E1716&lt;&gt;"",E1716&lt;&gt;"!!!"),"NEW","")))</f>
        <v> </v>
      </c>
      <c r="G1716" s="23" t="str">
        <f>IF(OR(E1716="",E1716="!!!"),"",IF(OR(J1716=0,AND(J1716=1,K1716=1),AND(J1716=1,I1716="SBJ"),AND(J1716=1,I1716=0)),"?IN_FOCUS",IF(J1716&lt;=2,"?ACTIVATED",IF(J1716&lt;&gt;"","?FAMILIAR",IF(F1716="NEW",IF(ISNA(VLOOKUP(E1716,#REF!,1,FALSE())),"?TYPE_IDENTIFIABLE","?REFERENTIAL"),"_")))))</f>
        <v> </v>
      </c>
      <c r="H1716" s="24" t="str">
        <f>IF(J1716&lt;&gt;1,"",IF(I1716="SBJ","CB","?"))</f>
        <v> </v>
      </c>
      <c r="I1716" s="25" t="str">
        <f>IF(OR(E1716="",E1716="!!!",F1716="NEW"),"",INDEX(B1715:B$2,-1+SUMPRODUCT(MAX(ROW(E1715:E$2)*(E1716=E1715:E$2)))))</f>
        <v> </v>
      </c>
      <c r="J1716" s="25" t="str">
        <f>IF(OR(E1716="",E1716="!!!",F1716="NEW"),"",COUNTBLANK(OFFSET(A$1,,,SUMPRODUCT(MAX(ROW(E$2:E1716)*(E1716=E$2:E1716)))))-COUNTBLANK(OFFSET(A$1,,,SUMPRODUCT(MAX(ROW(E$1:E1715)*(E2=E$1:E1715))))))</f>
        <v> </v>
      </c>
      <c r="K1716" s="25" t="str">
        <f>IF(OR(E1716="",E1716="!!!",F1716="NEW"),"",INDEX(J$1:J1715,SUMPRODUCT(MAX(ROW(E$1:E1715)*(E1716=E$1:E1715)))))</f>
        <v> </v>
      </c>
      <c r="L1716" s="26"/>
    </row>
    <row r="1717" spans="1:12">
      <c r="A1717" s="20" t="s">
        <v>592</v>
      </c>
      <c r="E1717" s="21">
        <f>IF(D1717="?OLD","!!!","")</f>
        <v/>
      </c>
      <c r="F1717" s="22" t="str">
        <f>IF(OR(E1717="",E1717="!!!"),"",IF(NOT(ISNA(VLOOKUP(E1717,E$1:E1716,1,FALSE()))),"OLD",IF(AND(E1717&lt;&gt;"",E1717&lt;&gt;"!!!"),"NEW","")))</f>
        <v> </v>
      </c>
      <c r="G1717" s="23" t="str">
        <f>IF(OR(E1717="",E1717="!!!"),"",IF(OR(J1717=0,AND(J1717=1,K1717=1),AND(J1717=1,I1717="SBJ"),AND(J1717=1,I1717=0)),"?IN_FOCUS",IF(J1717&lt;=2,"?ACTIVATED",IF(J1717&lt;&gt;"","?FAMILIAR",IF(F1717="NEW",IF(ISNA(VLOOKUP(E1717,#REF!,1,FALSE())),"?TYPE_IDENTIFIABLE","?REFERENTIAL"),"_")))))</f>
        <v> </v>
      </c>
      <c r="H1717" s="24" t="str">
        <f>IF(J1717&lt;&gt;1,"",IF(I1717="SBJ","CB","?"))</f>
        <v> </v>
      </c>
      <c r="I1717" s="25" t="str">
        <f>IF(OR(E1717="",E1717="!!!",F1717="NEW"),"",INDEX(B1716:B$2,-1+SUMPRODUCT(MAX(ROW(E1716:E$2)*(E1717=E1716:E$2)))))</f>
        <v> </v>
      </c>
      <c r="J1717" s="25" t="str">
        <f>IF(OR(E1717="",E1717="!!!",F1717="NEW"),"",COUNTBLANK(OFFSET(A$1,,,SUMPRODUCT(MAX(ROW(E$2:E1717)*(E1717=E$2:E1717)))))-COUNTBLANK(OFFSET(A$1,,,SUMPRODUCT(MAX(ROW(E$1:E1716)*(E2=E$1:E1716))))))</f>
        <v> </v>
      </c>
      <c r="K1717" s="25" t="str">
        <f>IF(OR(E1717="",E1717="!!!",F1717="NEW"),"",INDEX(J$1:J1716,SUMPRODUCT(MAX(ROW(E$1:E1716)*(E1717=E$1:E1716)))))</f>
        <v> </v>
      </c>
      <c r="L1717" s="26"/>
    </row>
    <row r="1718" spans="1:12">
      <c r="A1718" s="20" t="s">
        <v>677</v>
      </c>
      <c r="E1718" s="21">
        <f>IF(D1718="?OLD","!!!","")</f>
        <v/>
      </c>
      <c r="F1718" s="22" t="str">
        <f>IF(OR(E1718="",E1718="!!!"),"",IF(NOT(ISNA(VLOOKUP(E1718,E$1:E1717,1,FALSE()))),"OLD",IF(AND(E1718&lt;&gt;"",E1718&lt;&gt;"!!!"),"NEW","")))</f>
        <v> </v>
      </c>
      <c r="G1718" s="23" t="str">
        <f>IF(OR(E1718="",E1718="!!!"),"",IF(OR(J1718=0,AND(J1718=1,K1718=1),AND(J1718=1,I1718="SBJ"),AND(J1718=1,I1718=0)),"?IN_FOCUS",IF(J1718&lt;=2,"?ACTIVATED",IF(J1718&lt;&gt;"","?FAMILIAR",IF(F1718="NEW",IF(ISNA(VLOOKUP(E1718,#REF!,1,FALSE())),"?TYPE_IDENTIFIABLE","?REFERENTIAL"),"_")))))</f>
        <v> </v>
      </c>
      <c r="H1718" s="24" t="str">
        <f>IF(J1718&lt;&gt;1,"",IF(I1718="SBJ","CB","?"))</f>
        <v> </v>
      </c>
      <c r="I1718" s="25" t="str">
        <f>IF(OR(E1718="",E1718="!!!",F1718="NEW"),"",INDEX(B1717:B$2,-1+SUMPRODUCT(MAX(ROW(E1717:E$2)*(E1718=E1717:E$2)))))</f>
        <v> </v>
      </c>
      <c r="J1718" s="25" t="str">
        <f>IF(OR(E1718="",E1718="!!!",F1718="NEW"),"",COUNTBLANK(OFFSET(A$1,,,SUMPRODUCT(MAX(ROW(E$2:E1718)*(E1718=E$2:E1718)))))-COUNTBLANK(OFFSET(A$1,,,SUMPRODUCT(MAX(ROW(E$1:E1717)*(E2=E$1:E1717))))))</f>
        <v> </v>
      </c>
      <c r="K1718" s="25" t="str">
        <f>IF(OR(E1718="",E1718="!!!",F1718="NEW"),"",INDEX(J$1:J1717,SUMPRODUCT(MAX(ROW(E$1:E1717)*(E1718=E$1:E1717)))))</f>
        <v> </v>
      </c>
      <c r="L1718" s="26"/>
    </row>
    <row r="1719" spans="1:12">
      <c r="A1719" s="20" t="s">
        <v>1056</v>
      </c>
      <c r="E1719" s="21">
        <f>IF(D1719="?OLD","!!!","")</f>
        <v/>
      </c>
      <c r="F1719" s="22" t="str">
        <f>IF(OR(E1719="",E1719="!!!"),"",IF(NOT(ISNA(VLOOKUP(E1719,E$1:E1718,1,FALSE()))),"OLD",IF(AND(E1719&lt;&gt;"",E1719&lt;&gt;"!!!"),"NEW","")))</f>
        <v> </v>
      </c>
      <c r="G1719" s="23" t="str">
        <f>IF(OR(E1719="",E1719="!!!"),"",IF(OR(J1719=0,AND(J1719=1,K1719=1),AND(J1719=1,I1719="SBJ"),AND(J1719=1,I1719=0)),"?IN_FOCUS",IF(J1719&lt;=2,"?ACTIVATED",IF(J1719&lt;&gt;"","?FAMILIAR",IF(F1719="NEW",IF(ISNA(VLOOKUP(E1719,#REF!,1,FALSE())),"?TYPE_IDENTIFIABLE","?REFERENTIAL"),"_")))))</f>
        <v> </v>
      </c>
      <c r="H1719" s="24" t="str">
        <f>IF(J1719&lt;&gt;1,"",IF(I1719="SBJ","CB","?"))</f>
        <v> </v>
      </c>
      <c r="I1719" s="25" t="str">
        <f>IF(OR(E1719="",E1719="!!!",F1719="NEW"),"",INDEX(B1718:B$2,-1+SUMPRODUCT(MAX(ROW(E1718:E$2)*(E1719=E1718:E$2)))))</f>
        <v> </v>
      </c>
      <c r="J1719" s="25" t="str">
        <f>IF(OR(E1719="",E1719="!!!",F1719="NEW"),"",COUNTBLANK(OFFSET(A$1,,,SUMPRODUCT(MAX(ROW(E$2:E1719)*(E1719=E$2:E1719)))))-COUNTBLANK(OFFSET(A$1,,,SUMPRODUCT(MAX(ROW(E$1:E1718)*(E2=E$1:E1718))))))</f>
        <v> </v>
      </c>
      <c r="K1719" s="25" t="str">
        <f>IF(OR(E1719="",E1719="!!!",F1719="NEW"),"",INDEX(J$1:J1718,SUMPRODUCT(MAX(ROW(E$1:E1718)*(E1719=E$1:E1718)))))</f>
        <v> </v>
      </c>
      <c r="L1719" s="26"/>
    </row>
    <row r="1720" spans="1:12">
      <c r="A1720" s="20" t="s">
        <v>1057</v>
      </c>
      <c r="B1720" s="27" t="s">
        <v>578</v>
      </c>
      <c r="C1720" s="27" t="s">
        <v>516</v>
      </c>
      <c r="E1720" s="21">
        <f>IF(D1720="?OLD","!!!","")</f>
        <v/>
      </c>
      <c r="F1720" s="22" t="str">
        <f>IF(OR(E1720="",E1720="!!!"),"",IF(NOT(ISNA(VLOOKUP(E1720,E$1:E1719,1,FALSE()))),"OLD",IF(AND(E1720&lt;&gt;"",E1720&lt;&gt;"!!!"),"NEW","")))</f>
        <v> </v>
      </c>
      <c r="G1720" s="23" t="str">
        <f>IF(OR(E1720="",E1720="!!!"),"",IF(OR(J1720=0,AND(J1720=1,K1720=1),AND(J1720=1,I1720="SBJ"),AND(J1720=1,I1720=0)),"?IN_FOCUS",IF(J1720&lt;=2,"?ACTIVATED",IF(J1720&lt;&gt;"","?FAMILIAR",IF(F1720="NEW",IF(ISNA(VLOOKUP(E1720,#REF!,1,FALSE())),"?TYPE_IDENTIFIABLE","?REFERENTIAL"),"_")))))</f>
        <v> </v>
      </c>
      <c r="H1720" s="24" t="str">
        <f>IF(J1720&lt;&gt;1,"",IF(I1720="SBJ","CB","?"))</f>
        <v> </v>
      </c>
      <c r="I1720" s="25" t="str">
        <f>IF(OR(E1720="",E1720="!!!",F1720="NEW"),"",INDEX(B1719:B$2,-1+SUMPRODUCT(MAX(ROW(E1719:E$2)*(E1720=E1719:E$2)))))</f>
        <v> </v>
      </c>
      <c r="J1720" s="25" t="str">
        <f>IF(OR(E1720="",E1720="!!!",F1720="NEW"),"",COUNTBLANK(OFFSET(A$1,,,SUMPRODUCT(MAX(ROW(E$2:E1720)*(E1720=E$2:E1720)))))-COUNTBLANK(OFFSET(A$1,,,SUMPRODUCT(MAX(ROW(E$1:E1719)*(E2=E$1:E1719))))))</f>
        <v> </v>
      </c>
      <c r="K1720" s="25" t="str">
        <f>IF(OR(E1720="",E1720="!!!",F1720="NEW"),"",INDEX(J$1:J1719,SUMPRODUCT(MAX(ROW(E$1:E1719)*(E1720=E$1:E1719)))))</f>
        <v> </v>
      </c>
      <c r="L1720" s="26"/>
    </row>
    <row r="1721" spans="1:12">
      <c r="A1721" s="20" t="s">
        <v>503</v>
      </c>
      <c r="E1721" s="21">
        <f>IF(D1721="?OLD","!!!","")</f>
        <v/>
      </c>
      <c r="F1721" s="22" t="str">
        <f>IF(OR(E1721="",E1721="!!!"),"",IF(NOT(ISNA(VLOOKUP(E1721,E$1:E1720,1,FALSE()))),"OLD",IF(AND(E1721&lt;&gt;"",E1721&lt;&gt;"!!!"),"NEW","")))</f>
        <v> </v>
      </c>
      <c r="G1721" s="23" t="str">
        <f>IF(OR(E1721="",E1721="!!!"),"",IF(OR(J1721=0,AND(J1721=1,K1721=1),AND(J1721=1,I1721="SBJ"),AND(J1721=1,I1721=0)),"?IN_FOCUS",IF(J1721&lt;=2,"?ACTIVATED",IF(J1721&lt;&gt;"","?FAMILIAR",IF(F1721="NEW",IF(ISNA(VLOOKUP(E1721,#REF!,1,FALSE())),"?TYPE_IDENTIFIABLE","?REFERENTIAL"),"_")))))</f>
        <v> </v>
      </c>
      <c r="H1721" s="24" t="str">
        <f>IF(J1721&lt;&gt;1,"",IF(I1721="SBJ","CB","?"))</f>
        <v> </v>
      </c>
      <c r="I1721" s="25" t="str">
        <f>IF(OR(E1721="",E1721="!!!",F1721="NEW"),"",INDEX(B1720:B$2,-1+SUMPRODUCT(MAX(ROW(E1720:E$2)*(E1721=E1720:E$2)))))</f>
        <v> </v>
      </c>
      <c r="J1721" s="25" t="str">
        <f>IF(OR(E1721="",E1721="!!!",F1721="NEW"),"",COUNTBLANK(OFFSET(A$1,,,SUMPRODUCT(MAX(ROW(E$2:E1721)*(E1721=E$2:E1721)))))-COUNTBLANK(OFFSET(A$1,,,SUMPRODUCT(MAX(ROW(E$1:E1720)*(E2=E$1:E1720))))))</f>
        <v> </v>
      </c>
      <c r="K1721" s="25" t="str">
        <f>IF(OR(E1721="",E1721="!!!",F1721="NEW"),"",INDEX(J$1:J1720,SUMPRODUCT(MAX(ROW(E$1:E1720)*(E1721=E$1:E1720)))))</f>
        <v> </v>
      </c>
      <c r="L1721" s="26"/>
    </row>
    <row r="1722" spans="1:12">
      <c r="A1722" s="20" t="s">
        <v>662</v>
      </c>
      <c r="B1722" s="27" t="s">
        <v>578</v>
      </c>
      <c r="C1722" s="27" t="s">
        <v>491</v>
      </c>
      <c r="D1722" s="27" t="s">
        <v>483</v>
      </c>
      <c r="E1722" s="21">
        <f>IF(D1722="?OLD","!!!","")</f>
        <v/>
      </c>
      <c r="F1722" s="22" t="str">
        <f>IF(OR(E1722="",E1722="!!!"),"",IF(NOT(ISNA(VLOOKUP(E1722,E$1:E1721,1,FALSE()))),"OLD",IF(AND(E1722&lt;&gt;"",E1722&lt;&gt;"!!!"),"NEW","")))</f>
        <v> </v>
      </c>
      <c r="G1722" s="23" t="str">
        <f>IF(OR(E1722="",E1722="!!!"),"",IF(OR(J1722=0,AND(J1722=1,K1722=1),AND(J1722=1,I1722="SBJ"),AND(J1722=1,I1722=0)),"?IN_FOCUS",IF(J1722&lt;=2,"?ACTIVATED",IF(J1722&lt;&gt;"","?FAMILIAR",IF(F1722="NEW",IF(ISNA(VLOOKUP(E1722,#REF!,1,FALSE())),"?TYPE_IDENTIFIABLE","?REFERENTIAL"),"_")))))</f>
        <v> </v>
      </c>
      <c r="H1722" s="24" t="str">
        <f>IF(J1722&lt;&gt;1,"",IF(I1722="SBJ","CB","?"))</f>
        <v> </v>
      </c>
      <c r="I1722" s="25" t="str">
        <f>IF(OR(E1722="",E1722="!!!",F1722="NEW"),"",INDEX(B1721:B$2,-1+SUMPRODUCT(MAX(ROW(E1721:E$2)*(E1722=E1721:E$2)))))</f>
        <v> </v>
      </c>
      <c r="J1722" s="25" t="str">
        <f>IF(OR(E1722="",E1722="!!!",F1722="NEW"),"",COUNTBLANK(OFFSET(A$1,,,SUMPRODUCT(MAX(ROW(E$2:E1722)*(E1722=E$2:E1722)))))-COUNTBLANK(OFFSET(A$1,,,SUMPRODUCT(MAX(ROW(E$1:E1721)*(E2=E$1:E1721))))))</f>
        <v> </v>
      </c>
      <c r="K1722" s="25" t="str">
        <f>IF(OR(E1722="",E1722="!!!",F1722="NEW"),"",INDEX(J$1:J1721,SUMPRODUCT(MAX(ROW(E$1:E1721)*(E1722=E$1:E1721)))))</f>
        <v> </v>
      </c>
      <c r="L1722" s="26"/>
    </row>
    <row r="1723" spans="1:12">
      <c r="A1723" s="20" t="s">
        <v>531</v>
      </c>
      <c r="E1723" s="21">
        <f>IF(D1723="?OLD","!!!","")</f>
        <v/>
      </c>
      <c r="F1723" s="22" t="str">
        <f>IF(OR(E1723="",E1723="!!!"),"",IF(NOT(ISNA(VLOOKUP(E1723,E$1:E1722,1,FALSE()))),"OLD",IF(AND(E1723&lt;&gt;"",E1723&lt;&gt;"!!!"),"NEW","")))</f>
        <v> </v>
      </c>
      <c r="G1723" s="23" t="str">
        <f>IF(OR(E1723="",E1723="!!!"),"",IF(OR(J1723=0,AND(J1723=1,K1723=1),AND(J1723=1,I1723="SBJ"),AND(J1723=1,I1723=0)),"?IN_FOCUS",IF(J1723&lt;=2,"?ACTIVATED",IF(J1723&lt;&gt;"","?FAMILIAR",IF(F1723="NEW",IF(ISNA(VLOOKUP(E1723,#REF!,1,FALSE())),"?TYPE_IDENTIFIABLE","?REFERENTIAL"),"_")))))</f>
        <v> </v>
      </c>
      <c r="H1723" s="24" t="str">
        <f>IF(J1723&lt;&gt;1,"",IF(I1723="SBJ","CB","?"))</f>
        <v> </v>
      </c>
      <c r="I1723" s="25" t="str">
        <f>IF(OR(E1723="",E1723="!!!",F1723="NEW"),"",INDEX(B1722:B$2,-1+SUMPRODUCT(MAX(ROW(E1722:E$2)*(E1723=E1722:E$2)))))</f>
        <v> </v>
      </c>
      <c r="J1723" s="25" t="str">
        <f>IF(OR(E1723="",E1723="!!!",F1723="NEW"),"",COUNTBLANK(OFFSET(A$1,,,SUMPRODUCT(MAX(ROW(E$2:E1723)*(E1723=E$2:E1723)))))-COUNTBLANK(OFFSET(A$1,,,SUMPRODUCT(MAX(ROW(E$1:E1722)*(E2=E$1:E1722))))))</f>
        <v> </v>
      </c>
      <c r="K1723" s="25" t="str">
        <f>IF(OR(E1723="",E1723="!!!",F1723="NEW"),"",INDEX(J$1:J1722,SUMPRODUCT(MAX(ROW(E$1:E1722)*(E1723=E$1:E1722)))))</f>
        <v> </v>
      </c>
      <c r="L1723" s="26"/>
    </row>
    <row r="1724" spans="1:12">
      <c r="A1724" s="20"/>
    </row>
    <row r="1725" spans="1:12">
      <c r="A1725" s="20" t="s">
        <v>1058</v>
      </c>
    </row>
    <row r="1726" spans="1:12">
      <c r="A1726" s="20" t="s">
        <v>253</v>
      </c>
      <c r="E1726" s="21">
        <f>IF(D1726="?OLD","!!!","")</f>
        <v/>
      </c>
      <c r="F1726" s="22" t="str">
        <f>IF(OR(E1726="",E1726="!!!"),"",IF(NOT(ISNA(VLOOKUP(E1726,E$1:E1725,1,FALSE()))),"OLD",IF(AND(E1726&lt;&gt;"",E1726&lt;&gt;"!!!"),"NEW","")))</f>
        <v> </v>
      </c>
      <c r="G1726" s="23" t="str">
        <f>IF(OR(E1726="",E1726="!!!"),"",IF(OR(J1726=0,AND(J1726=1,K1726=1),AND(J1726=1,I1726="SBJ"),AND(J1726=1,I1726=0)),"?IN_FOCUS",IF(J1726&lt;=2,"?ACTIVATED",IF(J1726&lt;&gt;"","?FAMILIAR",IF(F1726="NEW",IF(ISNA(VLOOKUP(E1726,#REF!,1,FALSE())),"?TYPE_IDENTIFIABLE","?REFERENTIAL"),"_")))))</f>
        <v> </v>
      </c>
      <c r="H1726" s="24" t="str">
        <f>IF(J1726&lt;&gt;1,"",IF(I1726="SBJ","CB","?"))</f>
        <v> </v>
      </c>
      <c r="I1726" s="25" t="str">
        <f>IF(OR(E1726="",E1726="!!!",F1726="NEW"),"",INDEX(B1725:B$2,-1+SUMPRODUCT(MAX(ROW(E1725:E$2)*(E1726=E1725:E$2)))))</f>
        <v> </v>
      </c>
      <c r="J1726" s="25" t="str">
        <f>IF(OR(E1726="",E1726="!!!",F1726="NEW"),"",COUNTBLANK(OFFSET(A$1,,,SUMPRODUCT(MAX(ROW(E$2:E1726)*(E1726=E$2:E1726)))))-COUNTBLANK(OFFSET(A$1,,,SUMPRODUCT(MAX(ROW(E$1:E1725)*(E2=E$1:E1725))))))</f>
        <v> </v>
      </c>
      <c r="K1726" s="25" t="str">
        <f>IF(OR(E1726="",E1726="!!!",F1726="NEW"),"",INDEX(J$1:J1725,SUMPRODUCT(MAX(ROW(E$1:E1725)*(E1726=E$1:E1725)))))</f>
        <v> </v>
      </c>
      <c r="L1726" s="26"/>
    </row>
    <row r="1727" spans="1:12">
      <c r="A1727" s="20" t="s">
        <v>531</v>
      </c>
      <c r="E1727" s="21">
        <f>IF(D1727="?OLD","!!!","")</f>
        <v/>
      </c>
      <c r="F1727" s="22" t="str">
        <f>IF(OR(E1727="",E1727="!!!"),"",IF(NOT(ISNA(VLOOKUP(E1727,E$1:E1726,1,FALSE()))),"OLD",IF(AND(E1727&lt;&gt;"",E1727&lt;&gt;"!!!"),"NEW","")))</f>
        <v> </v>
      </c>
      <c r="G1727" s="23" t="str">
        <f>IF(OR(E1727="",E1727="!!!"),"",IF(OR(J1727=0,AND(J1727=1,K1727=1),AND(J1727=1,I1727="SBJ"),AND(J1727=1,I1727=0)),"?IN_FOCUS",IF(J1727&lt;=2,"?ACTIVATED",IF(J1727&lt;&gt;"","?FAMILIAR",IF(F1727="NEW",IF(ISNA(VLOOKUP(E1727,#REF!,1,FALSE())),"?TYPE_IDENTIFIABLE","?REFERENTIAL"),"_")))))</f>
        <v> </v>
      </c>
      <c r="H1727" s="24" t="str">
        <f>IF(J1727&lt;&gt;1,"",IF(I1727="SBJ","CB","?"))</f>
        <v> </v>
      </c>
      <c r="I1727" s="25" t="str">
        <f>IF(OR(E1727="",E1727="!!!",F1727="NEW"),"",INDEX(B1726:B$2,-1+SUMPRODUCT(MAX(ROW(E1726:E$2)*(E1727=E1726:E$2)))))</f>
        <v> </v>
      </c>
      <c r="J1727" s="25" t="str">
        <f>IF(OR(E1727="",E1727="!!!",F1727="NEW"),"",COUNTBLANK(OFFSET(A$1,,,SUMPRODUCT(MAX(ROW(E$2:E1727)*(E1727=E$2:E1727)))))-COUNTBLANK(OFFSET(A$1,,,SUMPRODUCT(MAX(ROW(E$1:E1726)*(E2=E$1:E1726))))))</f>
        <v> </v>
      </c>
      <c r="K1727" s="25" t="str">
        <f>IF(OR(E1727="",E1727="!!!",F1727="NEW"),"",INDEX(J$1:J1726,SUMPRODUCT(MAX(ROW(E$1:E1726)*(E1727=E$1:E1726)))))</f>
        <v> </v>
      </c>
      <c r="L1727" s="26"/>
    </row>
    <row r="1728" spans="1:12">
      <c r="A1728" s="20"/>
    </row>
    <row r="1729" spans="1:12">
      <c r="A1729" s="20" t="s">
        <v>1059</v>
      </c>
    </row>
    <row r="1730" spans="1:12">
      <c r="A1730" s="20" t="s">
        <v>566</v>
      </c>
      <c r="E1730" s="21">
        <f>IF(D1730="?OLD","!!!","")</f>
        <v/>
      </c>
      <c r="F1730" s="22" t="str">
        <f>IF(OR(E1730="",E1730="!!!"),"",IF(NOT(ISNA(VLOOKUP(E1730,E$1:E1729,1,FALSE()))),"OLD",IF(AND(E1730&lt;&gt;"",E1730&lt;&gt;"!!!"),"NEW","")))</f>
        <v> </v>
      </c>
      <c r="G1730" s="23" t="str">
        <f>IF(OR(E1730="",E1730="!!!"),"",IF(OR(J1730=0,AND(J1730=1,K1730=1),AND(J1730=1,I1730="SBJ"),AND(J1730=1,I1730=0)),"?IN_FOCUS",IF(J1730&lt;=2,"?ACTIVATED",IF(J1730&lt;&gt;"","?FAMILIAR",IF(F1730="NEW",IF(ISNA(VLOOKUP(E1730,#REF!,1,FALSE())),"?TYPE_IDENTIFIABLE","?REFERENTIAL"),"_")))))</f>
        <v> </v>
      </c>
      <c r="H1730" s="24" t="str">
        <f>IF(J1730&lt;&gt;1,"",IF(I1730="SBJ","CB","?"))</f>
        <v> </v>
      </c>
      <c r="I1730" s="25" t="str">
        <f>IF(OR(E1730="",E1730="!!!",F1730="NEW"),"",INDEX(B1729:B$2,-1+SUMPRODUCT(MAX(ROW(E1729:E$2)*(E1730=E1729:E$2)))))</f>
        <v> </v>
      </c>
      <c r="J1730" s="25" t="str">
        <f>IF(OR(E1730="",E1730="!!!",F1730="NEW"),"",COUNTBLANK(OFFSET(A$1,,,SUMPRODUCT(MAX(ROW(E$2:E1730)*(E1730=E$2:E1730)))))-COUNTBLANK(OFFSET(A$1,,,SUMPRODUCT(MAX(ROW(E$1:E1729)*(E2=E$1:E1729))))))</f>
        <v> </v>
      </c>
      <c r="K1730" s="25" t="str">
        <f>IF(OR(E1730="",E1730="!!!",F1730="NEW"),"",INDEX(J$1:J1729,SUMPRODUCT(MAX(ROW(E$1:E1729)*(E1730=E$1:E1729)))))</f>
        <v> </v>
      </c>
      <c r="L1730" s="26"/>
    </row>
    <row r="1731" spans="1:12">
      <c r="A1731" s="20" t="s">
        <v>697</v>
      </c>
      <c r="E1731" s="21">
        <f>IF(D1731="?OLD","!!!","")</f>
        <v/>
      </c>
      <c r="F1731" s="22" t="str">
        <f>IF(OR(E1731="",E1731="!!!"),"",IF(NOT(ISNA(VLOOKUP(E1731,E$1:E1730,1,FALSE()))),"OLD",IF(AND(E1731&lt;&gt;"",E1731&lt;&gt;"!!!"),"NEW","")))</f>
        <v> </v>
      </c>
      <c r="G1731" s="23" t="str">
        <f>IF(OR(E1731="",E1731="!!!"),"",IF(OR(J1731=0,AND(J1731=1,K1731=1),AND(J1731=1,I1731="SBJ"),AND(J1731=1,I1731=0)),"?IN_FOCUS",IF(J1731&lt;=2,"?ACTIVATED",IF(J1731&lt;&gt;"","?FAMILIAR",IF(F1731="NEW",IF(ISNA(VLOOKUP(E1731,#REF!,1,FALSE())),"?TYPE_IDENTIFIABLE","?REFERENTIAL"),"_")))))</f>
        <v> </v>
      </c>
      <c r="H1731" s="24" t="str">
        <f>IF(J1731&lt;&gt;1,"",IF(I1731="SBJ","CB","?"))</f>
        <v> </v>
      </c>
      <c r="I1731" s="25" t="str">
        <f>IF(OR(E1731="",E1731="!!!",F1731="NEW"),"",INDEX(B1730:B$2,-1+SUMPRODUCT(MAX(ROW(E1730:E$2)*(E1731=E1730:E$2)))))</f>
        <v> </v>
      </c>
      <c r="J1731" s="25" t="str">
        <f>IF(OR(E1731="",E1731="!!!",F1731="NEW"),"",COUNTBLANK(OFFSET(A$1,,,SUMPRODUCT(MAX(ROW(E$2:E1731)*(E1731=E$2:E1731)))))-COUNTBLANK(OFFSET(A$1,,,SUMPRODUCT(MAX(ROW(E$1:E1730)*(E2=E$1:E1730))))))</f>
        <v> </v>
      </c>
      <c r="K1731" s="25" t="str">
        <f>IF(OR(E1731="",E1731="!!!",F1731="NEW"),"",INDEX(J$1:J1730,SUMPRODUCT(MAX(ROW(E$1:E1730)*(E1731=E$1:E1730)))))</f>
        <v> </v>
      </c>
      <c r="L1731" s="26"/>
    </row>
    <row r="1732" spans="1:12">
      <c r="A1732" s="20" t="s">
        <v>503</v>
      </c>
      <c r="E1732" s="21">
        <f>IF(D1732="?OLD","!!!","")</f>
        <v/>
      </c>
      <c r="F1732" s="22" t="str">
        <f>IF(OR(E1732="",E1732="!!!"),"",IF(NOT(ISNA(VLOOKUP(E1732,E$1:E1731,1,FALSE()))),"OLD",IF(AND(E1732&lt;&gt;"",E1732&lt;&gt;"!!!"),"NEW","")))</f>
        <v> </v>
      </c>
      <c r="G1732" s="23" t="str">
        <f>IF(OR(E1732="",E1732="!!!"),"",IF(OR(J1732=0,AND(J1732=1,K1732=1),AND(J1732=1,I1732="SBJ"),AND(J1732=1,I1732=0)),"?IN_FOCUS",IF(J1732&lt;=2,"?ACTIVATED",IF(J1732&lt;&gt;"","?FAMILIAR",IF(F1732="NEW",IF(ISNA(VLOOKUP(E1732,#REF!,1,FALSE())),"?TYPE_IDENTIFIABLE","?REFERENTIAL"),"_")))))</f>
        <v> </v>
      </c>
      <c r="H1732" s="24" t="str">
        <f>IF(J1732&lt;&gt;1,"",IF(I1732="SBJ","CB","?"))</f>
        <v> </v>
      </c>
      <c r="I1732" s="25" t="str">
        <f>IF(OR(E1732="",E1732="!!!",F1732="NEW"),"",INDEX(B1731:B$2,-1+SUMPRODUCT(MAX(ROW(E1731:E$2)*(E1732=E1731:E$2)))))</f>
        <v> </v>
      </c>
      <c r="J1732" s="25" t="str">
        <f>IF(OR(E1732="",E1732="!!!",F1732="NEW"),"",COUNTBLANK(OFFSET(A$1,,,SUMPRODUCT(MAX(ROW(E$2:E1732)*(E1732=E$2:E1732)))))-COUNTBLANK(OFFSET(A$1,,,SUMPRODUCT(MAX(ROW(E$1:E1731)*(E2=E$1:E1731))))))</f>
        <v> </v>
      </c>
      <c r="K1732" s="25" t="str">
        <f>IF(OR(E1732="",E1732="!!!",F1732="NEW"),"",INDEX(J$1:J1731,SUMPRODUCT(MAX(ROW(E$1:E1731)*(E1732=E$1:E1731)))))</f>
        <v> </v>
      </c>
      <c r="L1732" s="26"/>
    </row>
    <row r="1733" spans="1:12">
      <c r="A1733" s="20" t="s">
        <v>230</v>
      </c>
      <c r="E1733" s="21">
        <f>IF(D1733="?OLD","!!!","")</f>
        <v/>
      </c>
      <c r="F1733" s="22" t="str">
        <f>IF(OR(E1733="",E1733="!!!"),"",IF(NOT(ISNA(VLOOKUP(E1733,E$1:E1732,1,FALSE()))),"OLD",IF(AND(E1733&lt;&gt;"",E1733&lt;&gt;"!!!"),"NEW","")))</f>
        <v> </v>
      </c>
      <c r="G1733" s="23" t="str">
        <f>IF(OR(E1733="",E1733="!!!"),"",IF(OR(J1733=0,AND(J1733=1,K1733=1),AND(J1733=1,I1733="SBJ"),AND(J1733=1,I1733=0)),"?IN_FOCUS",IF(J1733&lt;=2,"?ACTIVATED",IF(J1733&lt;&gt;"","?FAMILIAR",IF(F1733="NEW",IF(ISNA(VLOOKUP(E1733,#REF!,1,FALSE())),"?TYPE_IDENTIFIABLE","?REFERENTIAL"),"_")))))</f>
        <v> </v>
      </c>
      <c r="H1733" s="24" t="str">
        <f>IF(J1733&lt;&gt;1,"",IF(I1733="SBJ","CB","?"))</f>
        <v> </v>
      </c>
      <c r="I1733" s="25" t="str">
        <f>IF(OR(E1733="",E1733="!!!",F1733="NEW"),"",INDEX(B1732:B$2,-1+SUMPRODUCT(MAX(ROW(E1732:E$2)*(E1733=E1732:E$2)))))</f>
        <v> </v>
      </c>
      <c r="J1733" s="25" t="str">
        <f>IF(OR(E1733="",E1733="!!!",F1733="NEW"),"",COUNTBLANK(OFFSET(A$1,,,SUMPRODUCT(MAX(ROW(E$2:E1733)*(E1733=E$2:E1733)))))-COUNTBLANK(OFFSET(A$1,,,SUMPRODUCT(MAX(ROW(E$1:E1732)*(E2=E$1:E1732))))))</f>
        <v> </v>
      </c>
      <c r="K1733" s="25" t="str">
        <f>IF(OR(E1733="",E1733="!!!",F1733="NEW"),"",INDEX(J$1:J1732,SUMPRODUCT(MAX(ROW(E$1:E1732)*(E1733=E$1:E1732)))))</f>
        <v> </v>
      </c>
      <c r="L1733" s="26"/>
    </row>
    <row r="1734" spans="1:12">
      <c r="A1734" s="20" t="s">
        <v>982</v>
      </c>
      <c r="B1734" s="27" t="s">
        <v>556</v>
      </c>
      <c r="C1734" s="27" t="s">
        <v>516</v>
      </c>
      <c r="E1734" s="21">
        <f>IF(D1734="?OLD","!!!","")</f>
        <v/>
      </c>
      <c r="F1734" s="22" t="str">
        <f>IF(OR(E1734="",E1734="!!!"),"",IF(NOT(ISNA(VLOOKUP(E1734,E$1:E1733,1,FALSE()))),"OLD",IF(AND(E1734&lt;&gt;"",E1734&lt;&gt;"!!!"),"NEW","")))</f>
        <v> </v>
      </c>
      <c r="G1734" s="23" t="str">
        <f>IF(OR(E1734="",E1734="!!!"),"",IF(OR(J1734=0,AND(J1734=1,K1734=1),AND(J1734=1,I1734="SBJ"),AND(J1734=1,I1734=0)),"?IN_FOCUS",IF(J1734&lt;=2,"?ACTIVATED",IF(J1734&lt;&gt;"","?FAMILIAR",IF(F1734="NEW",IF(ISNA(VLOOKUP(E1734,#REF!,1,FALSE())),"?TYPE_IDENTIFIABLE","?REFERENTIAL"),"_")))))</f>
        <v> </v>
      </c>
      <c r="H1734" s="24" t="str">
        <f>IF(J1734&lt;&gt;1,"",IF(I1734="SBJ","CB","?"))</f>
        <v> </v>
      </c>
      <c r="I1734" s="25" t="str">
        <f>IF(OR(E1734="",E1734="!!!",F1734="NEW"),"",INDEX(B1733:B$2,-1+SUMPRODUCT(MAX(ROW(E1733:E$2)*(E1734=E1733:E$2)))))</f>
        <v> </v>
      </c>
      <c r="J1734" s="25" t="str">
        <f>IF(OR(E1734="",E1734="!!!",F1734="NEW"),"",COUNTBLANK(OFFSET(A$1,,,SUMPRODUCT(MAX(ROW(E$2:E1734)*(E1734=E$2:E1734)))))-COUNTBLANK(OFFSET(A$1,,,SUMPRODUCT(MAX(ROW(E$1:E1733)*(E2=E$1:E1733))))))</f>
        <v> </v>
      </c>
      <c r="K1734" s="25" t="str">
        <f>IF(OR(E1734="",E1734="!!!",F1734="NEW"),"",INDEX(J$1:J1733,SUMPRODUCT(MAX(ROW(E$1:E1733)*(E1734=E$1:E1733)))))</f>
        <v> </v>
      </c>
      <c r="L1734" s="26"/>
    </row>
    <row r="1735" spans="1:12">
      <c r="A1735" s="20" t="s">
        <v>489</v>
      </c>
      <c r="E1735" s="21">
        <f>IF(D1735="?OLD","!!!","")</f>
        <v/>
      </c>
      <c r="F1735" s="22" t="str">
        <f>IF(OR(E1735="",E1735="!!!"),"",IF(NOT(ISNA(VLOOKUP(E1735,E$1:E1734,1,FALSE()))),"OLD",IF(AND(E1735&lt;&gt;"",E1735&lt;&gt;"!!!"),"NEW","")))</f>
        <v> </v>
      </c>
      <c r="G1735" s="23" t="str">
        <f>IF(OR(E1735="",E1735="!!!"),"",IF(OR(J1735=0,AND(J1735=1,K1735=1),AND(J1735=1,I1735="SBJ"),AND(J1735=1,I1735=0)),"?IN_FOCUS",IF(J1735&lt;=2,"?ACTIVATED",IF(J1735&lt;&gt;"","?FAMILIAR",IF(F1735="NEW",IF(ISNA(VLOOKUP(E1735,#REF!,1,FALSE())),"?TYPE_IDENTIFIABLE","?REFERENTIAL"),"_")))))</f>
        <v> </v>
      </c>
      <c r="H1735" s="24" t="str">
        <f>IF(J1735&lt;&gt;1,"",IF(I1735="SBJ","CB","?"))</f>
        <v> </v>
      </c>
      <c r="I1735" s="25" t="str">
        <f>IF(OR(E1735="",E1735="!!!",F1735="NEW"),"",INDEX(B1734:B$2,-1+SUMPRODUCT(MAX(ROW(E1734:E$2)*(E1735=E1734:E$2)))))</f>
        <v> </v>
      </c>
      <c r="J1735" s="25" t="str">
        <f>IF(OR(E1735="",E1735="!!!",F1735="NEW"),"",COUNTBLANK(OFFSET(A$1,,,SUMPRODUCT(MAX(ROW(E$2:E1735)*(E1735=E$2:E1735)))))-COUNTBLANK(OFFSET(A$1,,,SUMPRODUCT(MAX(ROW(E$1:E1734)*(E2=E$1:E1734))))))</f>
        <v> </v>
      </c>
      <c r="K1735" s="25" t="str">
        <f>IF(OR(E1735="",E1735="!!!",F1735="NEW"),"",INDEX(J$1:J1734,SUMPRODUCT(MAX(ROW(E$1:E1734)*(E1735=E$1:E1734)))))</f>
        <v> </v>
      </c>
      <c r="L1735" s="26"/>
    </row>
    <row r="1736" spans="1:12">
      <c r="A1736" s="20" t="s">
        <v>983</v>
      </c>
      <c r="E1736" s="21">
        <f>IF(D1736="?OLD","!!!","")</f>
        <v/>
      </c>
      <c r="F1736" s="22" t="str">
        <f>IF(OR(E1736="",E1736="!!!"),"",IF(NOT(ISNA(VLOOKUP(E1736,E$1:E1735,1,FALSE()))),"OLD",IF(AND(E1736&lt;&gt;"",E1736&lt;&gt;"!!!"),"NEW","")))</f>
        <v> </v>
      </c>
      <c r="G1736" s="23" t="str">
        <f>IF(OR(E1736="",E1736="!!!"),"",IF(OR(J1736=0,AND(J1736=1,K1736=1),AND(J1736=1,I1736="SBJ"),AND(J1736=1,I1736=0)),"?IN_FOCUS",IF(J1736&lt;=2,"?ACTIVATED",IF(J1736&lt;&gt;"","?FAMILIAR",IF(F1736="NEW",IF(ISNA(VLOOKUP(E1736,#REF!,1,FALSE())),"?TYPE_IDENTIFIABLE","?REFERENTIAL"),"_")))))</f>
        <v> </v>
      </c>
      <c r="H1736" s="24" t="str">
        <f>IF(J1736&lt;&gt;1,"",IF(I1736="SBJ","CB","?"))</f>
        <v> </v>
      </c>
      <c r="I1736" s="25" t="str">
        <f>IF(OR(E1736="",E1736="!!!",F1736="NEW"),"",INDEX(B1735:B$2,-1+SUMPRODUCT(MAX(ROW(E1735:E$2)*(E1736=E1735:E$2)))))</f>
        <v> </v>
      </c>
      <c r="J1736" s="25" t="str">
        <f>IF(OR(E1736="",E1736="!!!",F1736="NEW"),"",COUNTBLANK(OFFSET(A$1,,,SUMPRODUCT(MAX(ROW(E$2:E1736)*(E1736=E$2:E1736)))))-COUNTBLANK(OFFSET(A$1,,,SUMPRODUCT(MAX(ROW(E$1:E1735)*(E2=E$1:E1735))))))</f>
        <v> </v>
      </c>
      <c r="K1736" s="25" t="str">
        <f>IF(OR(E1736="",E1736="!!!",F1736="NEW"),"",INDEX(J$1:J1735,SUMPRODUCT(MAX(ROW(E$1:E1735)*(E1736=E$1:E1735)))))</f>
        <v> </v>
      </c>
      <c r="L1736" s="26"/>
    </row>
    <row r="1737" spans="1:12">
      <c r="A1737" s="20" t="s">
        <v>500</v>
      </c>
      <c r="E1737" s="21">
        <f>IF(D1737="?OLD","!!!","")</f>
        <v/>
      </c>
      <c r="F1737" s="22" t="str">
        <f>IF(OR(E1737="",E1737="!!!"),"",IF(NOT(ISNA(VLOOKUP(E1737,E$1:E1736,1,FALSE()))),"OLD",IF(AND(E1737&lt;&gt;"",E1737&lt;&gt;"!!!"),"NEW","")))</f>
        <v> </v>
      </c>
      <c r="G1737" s="23" t="str">
        <f>IF(OR(E1737="",E1737="!!!"),"",IF(OR(J1737=0,AND(J1737=1,K1737=1),AND(J1737=1,I1737="SBJ"),AND(J1737=1,I1737=0)),"?IN_FOCUS",IF(J1737&lt;=2,"?ACTIVATED",IF(J1737&lt;&gt;"","?FAMILIAR",IF(F1737="NEW",IF(ISNA(VLOOKUP(E1737,#REF!,1,FALSE())),"?TYPE_IDENTIFIABLE","?REFERENTIAL"),"_")))))</f>
        <v> </v>
      </c>
      <c r="H1737" s="24" t="str">
        <f>IF(J1737&lt;&gt;1,"",IF(I1737="SBJ","CB","?"))</f>
        <v> </v>
      </c>
      <c r="I1737" s="25" t="str">
        <f>IF(OR(E1737="",E1737="!!!",F1737="NEW"),"",INDEX(B1736:B$2,-1+SUMPRODUCT(MAX(ROW(E1736:E$2)*(E1737=E1736:E$2)))))</f>
        <v> </v>
      </c>
      <c r="J1737" s="25" t="str">
        <f>IF(OR(E1737="",E1737="!!!",F1737="NEW"),"",COUNTBLANK(OFFSET(A$1,,,SUMPRODUCT(MAX(ROW(E$2:E1737)*(E1737=E$2:E1737)))))-COUNTBLANK(OFFSET(A$1,,,SUMPRODUCT(MAX(ROW(E$1:E1736)*(E2=E$1:E1736))))))</f>
        <v> </v>
      </c>
      <c r="K1737" s="25" t="str">
        <f>IF(OR(E1737="",E1737="!!!",F1737="NEW"),"",INDEX(J$1:J1736,SUMPRODUCT(MAX(ROW(E$1:E1736)*(E1737=E$1:E1736)))))</f>
        <v> </v>
      </c>
      <c r="L1737" s="26"/>
    </row>
    <row r="1738" spans="1:12">
      <c r="A1738" s="20" t="s">
        <v>485</v>
      </c>
      <c r="E1738" s="21">
        <f>IF(D1738="?OLD","!!!","")</f>
        <v/>
      </c>
      <c r="F1738" s="22" t="str">
        <f>IF(OR(E1738="",E1738="!!!"),"",IF(NOT(ISNA(VLOOKUP(E1738,E$1:E1737,1,FALSE()))),"OLD",IF(AND(E1738&lt;&gt;"",E1738&lt;&gt;"!!!"),"NEW","")))</f>
        <v> </v>
      </c>
      <c r="G1738" s="23" t="str">
        <f>IF(OR(E1738="",E1738="!!!"),"",IF(OR(J1738=0,AND(J1738=1,K1738=1),AND(J1738=1,I1738="SBJ"),AND(J1738=1,I1738=0)),"?IN_FOCUS",IF(J1738&lt;=2,"?ACTIVATED",IF(J1738&lt;&gt;"","?FAMILIAR",IF(F1738="NEW",IF(ISNA(VLOOKUP(E1738,#REF!,1,FALSE())),"?TYPE_IDENTIFIABLE","?REFERENTIAL"),"_")))))</f>
        <v> </v>
      </c>
      <c r="H1738" s="24" t="str">
        <f>IF(J1738&lt;&gt;1,"",IF(I1738="SBJ","CB","?"))</f>
        <v> </v>
      </c>
      <c r="I1738" s="25" t="str">
        <f>IF(OR(E1738="",E1738="!!!",F1738="NEW"),"",INDEX(B1737:B$2,-1+SUMPRODUCT(MAX(ROW(E1737:E$2)*(E1738=E1737:E$2)))))</f>
        <v> </v>
      </c>
      <c r="J1738" s="25" t="str">
        <f>IF(OR(E1738="",E1738="!!!",F1738="NEW"),"",COUNTBLANK(OFFSET(A$1,,,SUMPRODUCT(MAX(ROW(E$2:E1738)*(E1738=E$2:E1738)))))-COUNTBLANK(OFFSET(A$1,,,SUMPRODUCT(MAX(ROW(E$1:E1737)*(E2=E$1:E1737))))))</f>
        <v> </v>
      </c>
      <c r="K1738" s="25" t="str">
        <f>IF(OR(E1738="",E1738="!!!",F1738="NEW"),"",INDEX(J$1:J1737,SUMPRODUCT(MAX(ROW(E$1:E1737)*(E1738=E$1:E1737)))))</f>
        <v> </v>
      </c>
      <c r="L1738" s="26"/>
    </row>
    <row r="1739" spans="1:12">
      <c r="A1739" s="20" t="s">
        <v>963</v>
      </c>
      <c r="B1739" s="27" t="s">
        <v>490</v>
      </c>
      <c r="C1739" s="27" t="s">
        <v>487</v>
      </c>
      <c r="D1739" s="27" t="s">
        <v>483</v>
      </c>
      <c r="E1739" s="21">
        <f>IF(D1739="?OLD","!!!","")</f>
        <v/>
      </c>
      <c r="F1739" s="22" t="str">
        <f>IF(OR(E1739="",E1739="!!!"),"",IF(NOT(ISNA(VLOOKUP(E1739,E$1:E1738,1,FALSE()))),"OLD",IF(AND(E1739&lt;&gt;"",E1739&lt;&gt;"!!!"),"NEW","")))</f>
        <v> </v>
      </c>
      <c r="G1739" s="23" t="str">
        <f>IF(OR(E1739="",E1739="!!!"),"",IF(OR(J1739=0,AND(J1739=1,K1739=1),AND(J1739=1,I1739="SBJ"),AND(J1739=1,I1739=0)),"?IN_FOCUS",IF(J1739&lt;=2,"?ACTIVATED",IF(J1739&lt;&gt;"","?FAMILIAR",IF(F1739="NEW",IF(ISNA(VLOOKUP(E1739,#REF!,1,FALSE())),"?TYPE_IDENTIFIABLE","?REFERENTIAL"),"_")))))</f>
        <v> </v>
      </c>
      <c r="H1739" s="24" t="str">
        <f>IF(J1739&lt;&gt;1,"",IF(I1739="SBJ","CB","?"))</f>
        <v> </v>
      </c>
      <c r="I1739" s="25" t="str">
        <f>IF(OR(E1739="",E1739="!!!",F1739="NEW"),"",INDEX(B1738:B$2,-1+SUMPRODUCT(MAX(ROW(E1738:E$2)*(E1739=E1738:E$2)))))</f>
        <v> </v>
      </c>
      <c r="J1739" s="25" t="str">
        <f>IF(OR(E1739="",E1739="!!!",F1739="NEW"),"",COUNTBLANK(OFFSET(A$1,,,SUMPRODUCT(MAX(ROW(E$2:E1739)*(E1739=E$2:E1739)))))-COUNTBLANK(OFFSET(A$1,,,SUMPRODUCT(MAX(ROW(E$1:E1738)*(E2=E$1:E1738))))))</f>
        <v> </v>
      </c>
      <c r="K1739" s="25" t="str">
        <f>IF(OR(E1739="",E1739="!!!",F1739="NEW"),"",INDEX(J$1:J1738,SUMPRODUCT(MAX(ROW(E$1:E1738)*(E1739=E$1:E1738)))))</f>
        <v> </v>
      </c>
      <c r="L1739" s="26"/>
    </row>
    <row r="1740" spans="1:12">
      <c r="A1740" s="20" t="s">
        <v>489</v>
      </c>
      <c r="E1740" s="21">
        <f>IF(D1740="?OLD","!!!","")</f>
        <v/>
      </c>
      <c r="F1740" s="22" t="str">
        <f>IF(OR(E1740="",E1740="!!!"),"",IF(NOT(ISNA(VLOOKUP(E1740,E$1:E1739,1,FALSE()))),"OLD",IF(AND(E1740&lt;&gt;"",E1740&lt;&gt;"!!!"),"NEW","")))</f>
        <v> </v>
      </c>
      <c r="G1740" s="23" t="str">
        <f>IF(OR(E1740="",E1740="!!!"),"",IF(OR(J1740=0,AND(J1740=1,K1740=1),AND(J1740=1,I1740="SBJ"),AND(J1740=1,I1740=0)),"?IN_FOCUS",IF(J1740&lt;=2,"?ACTIVATED",IF(J1740&lt;&gt;"","?FAMILIAR",IF(F1740="NEW",IF(ISNA(VLOOKUP(E1740,#REF!,1,FALSE())),"?TYPE_IDENTIFIABLE","?REFERENTIAL"),"_")))))</f>
        <v> </v>
      </c>
      <c r="H1740" s="24" t="str">
        <f>IF(J1740&lt;&gt;1,"",IF(I1740="SBJ","CB","?"))</f>
        <v> </v>
      </c>
      <c r="I1740" s="25" t="str">
        <f>IF(OR(E1740="",E1740="!!!",F1740="NEW"),"",INDEX(B1739:B$2,-1+SUMPRODUCT(MAX(ROW(E1739:E$2)*(E1740=E1739:E$2)))))</f>
        <v> </v>
      </c>
      <c r="J1740" s="25" t="str">
        <f>IF(OR(E1740="",E1740="!!!",F1740="NEW"),"",COUNTBLANK(OFFSET(A$1,,,SUMPRODUCT(MAX(ROW(E$2:E1740)*(E1740=E$2:E1740)))))-COUNTBLANK(OFFSET(A$1,,,SUMPRODUCT(MAX(ROW(E$1:E1739)*(E2=E$1:E1739))))))</f>
        <v> </v>
      </c>
      <c r="K1740" s="25" t="str">
        <f>IF(OR(E1740="",E1740="!!!",F1740="NEW"),"",INDEX(J$1:J1739,SUMPRODUCT(MAX(ROW(E$1:E1739)*(E1740=E$1:E1739)))))</f>
        <v> </v>
      </c>
      <c r="L1740" s="26"/>
    </row>
    <row r="1741" spans="1:12">
      <c r="A1741" s="20" t="s">
        <v>680</v>
      </c>
      <c r="E1741" s="21">
        <f>IF(D1741="?OLD","!!!","")</f>
        <v/>
      </c>
      <c r="F1741" s="22" t="str">
        <f>IF(OR(E1741="",E1741="!!!"),"",IF(NOT(ISNA(VLOOKUP(E1741,E$1:E1740,1,FALSE()))),"OLD",IF(AND(E1741&lt;&gt;"",E1741&lt;&gt;"!!!"),"NEW","")))</f>
        <v> </v>
      </c>
      <c r="G1741" s="23" t="str">
        <f>IF(OR(E1741="",E1741="!!!"),"",IF(OR(J1741=0,AND(J1741=1,K1741=1),AND(J1741=1,I1741="SBJ"),AND(J1741=1,I1741=0)),"?IN_FOCUS",IF(J1741&lt;=2,"?ACTIVATED",IF(J1741&lt;&gt;"","?FAMILIAR",IF(F1741="NEW",IF(ISNA(VLOOKUP(E1741,#REF!,1,FALSE())),"?TYPE_IDENTIFIABLE","?REFERENTIAL"),"_")))))</f>
        <v> </v>
      </c>
      <c r="H1741" s="24" t="str">
        <f>IF(J1741&lt;&gt;1,"",IF(I1741="SBJ","CB","?"))</f>
        <v> </v>
      </c>
      <c r="I1741" s="25" t="str">
        <f>IF(OR(E1741="",E1741="!!!",F1741="NEW"),"",INDEX(B1740:B$2,-1+SUMPRODUCT(MAX(ROW(E1740:E$2)*(E1741=E1740:E$2)))))</f>
        <v> </v>
      </c>
      <c r="J1741" s="25" t="str">
        <f>IF(OR(E1741="",E1741="!!!",F1741="NEW"),"",COUNTBLANK(OFFSET(A$1,,,SUMPRODUCT(MAX(ROW(E$2:E1741)*(E1741=E$2:E1741)))))-COUNTBLANK(OFFSET(A$1,,,SUMPRODUCT(MAX(ROW(E$1:E1740)*(E2=E$1:E1740))))))</f>
        <v> </v>
      </c>
      <c r="K1741" s="25" t="str">
        <f>IF(OR(E1741="",E1741="!!!",F1741="NEW"),"",INDEX(J$1:J1740,SUMPRODUCT(MAX(ROW(E$1:E1740)*(E1741=E$1:E1740)))))</f>
        <v> </v>
      </c>
      <c r="L1741" s="26"/>
    </row>
    <row r="1742" spans="1:12">
      <c r="A1742" s="20" t="s">
        <v>983</v>
      </c>
      <c r="E1742" s="21">
        <f>IF(D1742="?OLD","!!!","")</f>
        <v/>
      </c>
      <c r="F1742" s="22" t="str">
        <f>IF(OR(E1742="",E1742="!!!"),"",IF(NOT(ISNA(VLOOKUP(E1742,E$1:E1741,1,FALSE()))),"OLD",IF(AND(E1742&lt;&gt;"",E1742&lt;&gt;"!!!"),"NEW","")))</f>
        <v> </v>
      </c>
      <c r="G1742" s="23" t="str">
        <f>IF(OR(E1742="",E1742="!!!"),"",IF(OR(J1742=0,AND(J1742=1,K1742=1),AND(J1742=1,I1742="SBJ"),AND(J1742=1,I1742=0)),"?IN_FOCUS",IF(J1742&lt;=2,"?ACTIVATED",IF(J1742&lt;&gt;"","?FAMILIAR",IF(F1742="NEW",IF(ISNA(VLOOKUP(E1742,#REF!,1,FALSE())),"?TYPE_IDENTIFIABLE","?REFERENTIAL"),"_")))))</f>
        <v> </v>
      </c>
      <c r="H1742" s="24" t="str">
        <f>IF(J1742&lt;&gt;1,"",IF(I1742="SBJ","CB","?"))</f>
        <v> </v>
      </c>
      <c r="I1742" s="25" t="str">
        <f>IF(OR(E1742="",E1742="!!!",F1742="NEW"),"",INDEX(B1741:B$2,-1+SUMPRODUCT(MAX(ROW(E1741:E$2)*(E1742=E1741:E$2)))))</f>
        <v> </v>
      </c>
      <c r="J1742" s="25" t="str">
        <f>IF(OR(E1742="",E1742="!!!",F1742="NEW"),"",COUNTBLANK(OFFSET(A$1,,,SUMPRODUCT(MAX(ROW(E$2:E1742)*(E1742=E$2:E1742)))))-COUNTBLANK(OFFSET(A$1,,,SUMPRODUCT(MAX(ROW(E$1:E1741)*(E2=E$1:E1741))))))</f>
        <v> </v>
      </c>
      <c r="K1742" s="25" t="str">
        <f>IF(OR(E1742="",E1742="!!!",F1742="NEW"),"",INDEX(J$1:J1741,SUMPRODUCT(MAX(ROW(E$1:E1741)*(E1742=E$1:E1741)))))</f>
        <v> </v>
      </c>
      <c r="L1742" s="26"/>
    </row>
    <row r="1743" spans="1:12">
      <c r="A1743" s="20" t="s">
        <v>500</v>
      </c>
      <c r="E1743" s="21">
        <f>IF(D1743="?OLD","!!!","")</f>
        <v/>
      </c>
      <c r="F1743" s="22" t="str">
        <f>IF(OR(E1743="",E1743="!!!"),"",IF(NOT(ISNA(VLOOKUP(E1743,E$1:E1742,1,FALSE()))),"OLD",IF(AND(E1743&lt;&gt;"",E1743&lt;&gt;"!!!"),"NEW","")))</f>
        <v> </v>
      </c>
      <c r="G1743" s="23" t="str">
        <f>IF(OR(E1743="",E1743="!!!"),"",IF(OR(J1743=0,AND(J1743=1,K1743=1),AND(J1743=1,I1743="SBJ"),AND(J1743=1,I1743=0)),"?IN_FOCUS",IF(J1743&lt;=2,"?ACTIVATED",IF(J1743&lt;&gt;"","?FAMILIAR",IF(F1743="NEW",IF(ISNA(VLOOKUP(E1743,#REF!,1,FALSE())),"?TYPE_IDENTIFIABLE","?REFERENTIAL"),"_")))))</f>
        <v> </v>
      </c>
      <c r="H1743" s="24" t="str">
        <f>IF(J1743&lt;&gt;1,"",IF(I1743="SBJ","CB","?"))</f>
        <v> </v>
      </c>
      <c r="I1743" s="25" t="str">
        <f>IF(OR(E1743="",E1743="!!!",F1743="NEW"),"",INDEX(B1742:B$2,-1+SUMPRODUCT(MAX(ROW(E1742:E$2)*(E1743=E1742:E$2)))))</f>
        <v> </v>
      </c>
      <c r="J1743" s="25" t="str">
        <f>IF(OR(E1743="",E1743="!!!",F1743="NEW"),"",COUNTBLANK(OFFSET(A$1,,,SUMPRODUCT(MAX(ROW(E$2:E1743)*(E1743=E$2:E1743)))))-COUNTBLANK(OFFSET(A$1,,,SUMPRODUCT(MAX(ROW(E$1:E1742)*(E2=E$1:E1742))))))</f>
        <v> </v>
      </c>
      <c r="K1743" s="25" t="str">
        <f>IF(OR(E1743="",E1743="!!!",F1743="NEW"),"",INDEX(J$1:J1742,SUMPRODUCT(MAX(ROW(E$1:E1742)*(E1743=E$1:E1742)))))</f>
        <v> </v>
      </c>
      <c r="L1743" s="26"/>
    </row>
    <row r="1744" spans="1:12">
      <c r="A1744" s="20" t="s">
        <v>662</v>
      </c>
      <c r="B1744" s="27" t="s">
        <v>477</v>
      </c>
      <c r="C1744" s="27" t="s">
        <v>491</v>
      </c>
      <c r="D1744" s="27" t="s">
        <v>483</v>
      </c>
      <c r="E1744" s="21">
        <f>IF(D1744="?OLD","!!!","")</f>
        <v/>
      </c>
      <c r="F1744" s="22" t="str">
        <f>IF(OR(E1744="",E1744="!!!"),"",IF(NOT(ISNA(VLOOKUP(E1744,E$1:E1743,1,FALSE()))),"OLD",IF(AND(E1744&lt;&gt;"",E1744&lt;&gt;"!!!"),"NEW","")))</f>
        <v> </v>
      </c>
      <c r="G1744" s="23" t="str">
        <f>IF(OR(E1744="",E1744="!!!"),"",IF(OR(J1744=0,AND(J1744=1,K1744=1),AND(J1744=1,I1744="SBJ"),AND(J1744=1,I1744=0)),"?IN_FOCUS",IF(J1744&lt;=2,"?ACTIVATED",IF(J1744&lt;&gt;"","?FAMILIAR",IF(F1744="NEW",IF(ISNA(VLOOKUP(E1744,#REF!,1,FALSE())),"?TYPE_IDENTIFIABLE","?REFERENTIAL"),"_")))))</f>
        <v> </v>
      </c>
      <c r="H1744" s="24" t="str">
        <f>IF(J1744&lt;&gt;1,"",IF(I1744="SBJ","CB","?"))</f>
        <v> </v>
      </c>
      <c r="I1744" s="25" t="str">
        <f>IF(OR(E1744="",E1744="!!!",F1744="NEW"),"",INDEX(B1743:B$2,-1+SUMPRODUCT(MAX(ROW(E1743:E$2)*(E1744=E1743:E$2)))))</f>
        <v> </v>
      </c>
      <c r="J1744" s="25" t="str">
        <f>IF(OR(E1744="",E1744="!!!",F1744="NEW"),"",COUNTBLANK(OFFSET(A$1,,,SUMPRODUCT(MAX(ROW(E$2:E1744)*(E1744=E$2:E1744)))))-COUNTBLANK(OFFSET(A$1,,,SUMPRODUCT(MAX(ROW(E$1:E1743)*(E2=E$1:E1743))))))</f>
        <v> </v>
      </c>
      <c r="K1744" s="25" t="str">
        <f>IF(OR(E1744="",E1744="!!!",F1744="NEW"),"",INDEX(J$1:J1743,SUMPRODUCT(MAX(ROW(E$1:E1743)*(E1744=E$1:E1743)))))</f>
        <v> </v>
      </c>
      <c r="L1744" s="26"/>
    </row>
    <row r="1745" spans="1:12">
      <c r="A1745" s="20" t="s">
        <v>531</v>
      </c>
      <c r="E1745" s="21">
        <f>IF(D1745="?OLD","!!!","")</f>
        <v/>
      </c>
      <c r="F1745" s="22" t="str">
        <f>IF(OR(E1745="",E1745="!!!"),"",IF(NOT(ISNA(VLOOKUP(E1745,E$1:E1744,1,FALSE()))),"OLD",IF(AND(E1745&lt;&gt;"",E1745&lt;&gt;"!!!"),"NEW","")))</f>
        <v> </v>
      </c>
      <c r="G1745" s="23" t="str">
        <f>IF(OR(E1745="",E1745="!!!"),"",IF(OR(J1745=0,AND(J1745=1,K1745=1),AND(J1745=1,I1745="SBJ"),AND(J1745=1,I1745=0)),"?IN_FOCUS",IF(J1745&lt;=2,"?ACTIVATED",IF(J1745&lt;&gt;"","?FAMILIAR",IF(F1745="NEW",IF(ISNA(VLOOKUP(E1745,#REF!,1,FALSE())),"?TYPE_IDENTIFIABLE","?REFERENTIAL"),"_")))))</f>
        <v> </v>
      </c>
      <c r="H1745" s="24" t="str">
        <f>IF(J1745&lt;&gt;1,"",IF(I1745="SBJ","CB","?"))</f>
        <v> </v>
      </c>
      <c r="I1745" s="25" t="str">
        <f>IF(OR(E1745="",E1745="!!!",F1745="NEW"),"",INDEX(B1744:B$2,-1+SUMPRODUCT(MAX(ROW(E1744:E$2)*(E1745=E1744:E$2)))))</f>
        <v> </v>
      </c>
      <c r="J1745" s="25" t="str">
        <f>IF(OR(E1745="",E1745="!!!",F1745="NEW"),"",COUNTBLANK(OFFSET(A$1,,,SUMPRODUCT(MAX(ROW(E$2:E1745)*(E1745=E$2:E1745)))))-COUNTBLANK(OFFSET(A$1,,,SUMPRODUCT(MAX(ROW(E$1:E1744)*(E2=E$1:E1744))))))</f>
        <v> </v>
      </c>
      <c r="K1745" s="25" t="str">
        <f>IF(OR(E1745="",E1745="!!!",F1745="NEW"),"",INDEX(J$1:J1744,SUMPRODUCT(MAX(ROW(E$1:E1744)*(E1745=E$1:E1744)))))</f>
        <v> </v>
      </c>
      <c r="L1745" s="26"/>
    </row>
    <row r="1746" spans="1:12">
      <c r="A1746" s="20"/>
    </row>
    <row r="1747" spans="1:12">
      <c r="A1747" s="20" t="s">
        <v>606</v>
      </c>
      <c r="E1747" s="21">
        <f>IF(D1747="?OLD","!!!","")</f>
        <v/>
      </c>
      <c r="F1747" s="22" t="str">
        <f>IF(OR(E1747="",E1747="!!!"),"",IF(NOT(ISNA(VLOOKUP(E1747,E$1:E1746,1,FALSE()))),"OLD",IF(AND(E1747&lt;&gt;"",E1747&lt;&gt;"!!!"),"NEW","")))</f>
        <v> </v>
      </c>
      <c r="G1747" s="23" t="str">
        <f>IF(OR(E1747="",E1747="!!!"),"",IF(OR(J1747=0,AND(J1747=1,K1747=1),AND(J1747=1,I1747="SBJ"),AND(J1747=1,I1747=0)),"?IN_FOCUS",IF(J1747&lt;=2,"?ACTIVATED",IF(J1747&lt;&gt;"","?FAMILIAR",IF(F1747="NEW",IF(ISNA(VLOOKUP(E1747,#REF!,1,FALSE())),"?TYPE_IDENTIFIABLE","?REFERENTIAL"),"_")))))</f>
        <v> </v>
      </c>
      <c r="H1747" s="24" t="str">
        <f>IF(J1747&lt;&gt;1,"",IF(I1747="SBJ","CB","?"))</f>
        <v> </v>
      </c>
      <c r="I1747" s="25" t="str">
        <f>IF(OR(E1747="",E1747="!!!",F1747="NEW"),"",INDEX(B1746:B$2,-1+SUMPRODUCT(MAX(ROW(E1746:E$2)*(E1747=E1746:E$2)))))</f>
        <v> </v>
      </c>
      <c r="J1747" s="25" t="str">
        <f>IF(OR(E1747="",E1747="!!!",F1747="NEW"),"",COUNTBLANK(OFFSET(A$1,,,SUMPRODUCT(MAX(ROW(E$2:E1747)*(E1747=E$2:E1747)))))-COUNTBLANK(OFFSET(A$1,,,SUMPRODUCT(MAX(ROW(E$1:E1746)*(E2=E$1:E1746))))))</f>
        <v> </v>
      </c>
      <c r="K1747" s="25" t="str">
        <f>IF(OR(E1747="",E1747="!!!",F1747="NEW"),"",INDEX(J$1:J1746,SUMPRODUCT(MAX(ROW(E$1:E1746)*(E1747=E$1:E1746)))))</f>
        <v> </v>
      </c>
      <c r="L1747" s="26"/>
    </row>
    <row r="1748" spans="1:12">
      <c r="A1748" s="20" t="s">
        <v>1060</v>
      </c>
    </row>
    <row r="1749" spans="1:12">
      <c r="A1749" s="20" t="s">
        <v>1044</v>
      </c>
      <c r="E1749" s="21">
        <f>IF(D1749="?OLD","!!!","")</f>
        <v/>
      </c>
      <c r="F1749" s="22" t="str">
        <f>IF(OR(E1749="",E1749="!!!"),"",IF(NOT(ISNA(VLOOKUP(E1749,E$1:E1748,1,FALSE()))),"OLD",IF(AND(E1749&lt;&gt;"",E1749&lt;&gt;"!!!"),"NEW","")))</f>
        <v> </v>
      </c>
      <c r="G1749" s="23" t="str">
        <f>IF(OR(E1749="",E1749="!!!"),"",IF(OR(J1749=0,AND(J1749=1,K1749=1),AND(J1749=1,I1749="SBJ"),AND(J1749=1,I1749=0)),"?IN_FOCUS",IF(J1749&lt;=2,"?ACTIVATED",IF(J1749&lt;&gt;"","?FAMILIAR",IF(F1749="NEW",IF(ISNA(VLOOKUP(E1749,#REF!,1,FALSE())),"?TYPE_IDENTIFIABLE","?REFERENTIAL"),"_")))))</f>
        <v> </v>
      </c>
      <c r="H1749" s="24" t="str">
        <f>IF(J1749&lt;&gt;1,"",IF(I1749="SBJ","CB","?"))</f>
        <v> </v>
      </c>
      <c r="I1749" s="25" t="str">
        <f>IF(OR(E1749="",E1749="!!!",F1749="NEW"),"",INDEX(B1748:B$2,-1+SUMPRODUCT(MAX(ROW(E1748:E$2)*(E1749=E1748:E$2)))))</f>
        <v> </v>
      </c>
      <c r="J1749" s="25" t="str">
        <f>IF(OR(E1749="",E1749="!!!",F1749="NEW"),"",COUNTBLANK(OFFSET(A$1,,,SUMPRODUCT(MAX(ROW(E$2:E1749)*(E1749=E$2:E1749)))))-COUNTBLANK(OFFSET(A$1,,,SUMPRODUCT(MAX(ROW(E$1:E1748)*(E2=E$1:E1748))))))</f>
        <v> </v>
      </c>
      <c r="K1749" s="25" t="str">
        <f>IF(OR(E1749="",E1749="!!!",F1749="NEW"),"",INDEX(J$1:J1748,SUMPRODUCT(MAX(ROW(E$1:E1748)*(E1749=E$1:E1748)))))</f>
        <v> </v>
      </c>
      <c r="L1749" s="26"/>
    </row>
    <row r="1750" spans="1:12">
      <c r="A1750" s="20" t="s">
        <v>974</v>
      </c>
      <c r="B1750" s="27" t="s">
        <v>549</v>
      </c>
      <c r="C1750" s="27" t="s">
        <v>487</v>
      </c>
      <c r="D1750" s="27" t="s">
        <v>483</v>
      </c>
      <c r="E1750" s="21">
        <f>IF(D1750="?OLD","!!!","")</f>
        <v/>
      </c>
      <c r="F1750" s="22" t="str">
        <f>IF(OR(E1750="",E1750="!!!"),"",IF(NOT(ISNA(VLOOKUP(E1750,E$1:E1749,1,FALSE()))),"OLD",IF(AND(E1750&lt;&gt;"",E1750&lt;&gt;"!!!"),"NEW","")))</f>
        <v> </v>
      </c>
      <c r="G1750" s="23" t="str">
        <f>IF(OR(E1750="",E1750="!!!"),"",IF(OR(J1750=0,AND(J1750=1,K1750=1),AND(J1750=1,I1750="SBJ"),AND(J1750=1,I1750=0)),"?IN_FOCUS",IF(J1750&lt;=2,"?ACTIVATED",IF(J1750&lt;&gt;"","?FAMILIAR",IF(F1750="NEW",IF(ISNA(VLOOKUP(E1750,#REF!,1,FALSE())),"?TYPE_IDENTIFIABLE","?REFERENTIAL"),"_")))))</f>
        <v> </v>
      </c>
      <c r="H1750" s="24" t="str">
        <f>IF(J1750&lt;&gt;1,"",IF(I1750="SBJ","CB","?"))</f>
        <v> </v>
      </c>
      <c r="I1750" s="25" t="str">
        <f>IF(OR(E1750="",E1750="!!!",F1750="NEW"),"",INDEX(B1749:B$2,-1+SUMPRODUCT(MAX(ROW(E1749:E$2)*(E1750=E1749:E$2)))))</f>
        <v> </v>
      </c>
      <c r="J1750" s="25" t="str">
        <f>IF(OR(E1750="",E1750="!!!",F1750="NEW"),"",COUNTBLANK(OFFSET(A$1,,,SUMPRODUCT(MAX(ROW(E$2:E1750)*(E1750=E$2:E1750)))))-COUNTBLANK(OFFSET(A$1,,,SUMPRODUCT(MAX(ROW(E$1:E1749)*(E2=E$1:E1749))))))</f>
        <v> </v>
      </c>
      <c r="K1750" s="25" t="str">
        <f>IF(OR(E1750="",E1750="!!!",F1750="NEW"),"",INDEX(J$1:J1749,SUMPRODUCT(MAX(ROW(E$1:E1749)*(E1750=E$1:E1749)))))</f>
        <v> </v>
      </c>
      <c r="L1750" s="26"/>
    </row>
    <row r="1751" spans="1:12">
      <c r="A1751" s="20" t="s">
        <v>1045</v>
      </c>
      <c r="E1751" s="21">
        <f>IF(D1751="?OLD","!!!","")</f>
        <v/>
      </c>
      <c r="F1751" s="22" t="str">
        <f>IF(OR(E1751="",E1751="!!!"),"",IF(NOT(ISNA(VLOOKUP(E1751,E$1:E1750,1,FALSE()))),"OLD",IF(AND(E1751&lt;&gt;"",E1751&lt;&gt;"!!!"),"NEW","")))</f>
        <v> </v>
      </c>
      <c r="G1751" s="23" t="str">
        <f>IF(OR(E1751="",E1751="!!!"),"",IF(OR(J1751=0,AND(J1751=1,K1751=1),AND(J1751=1,I1751="SBJ"),AND(J1751=1,I1751=0)),"?IN_FOCUS",IF(J1751&lt;=2,"?ACTIVATED",IF(J1751&lt;&gt;"","?FAMILIAR",IF(F1751="NEW",IF(ISNA(VLOOKUP(E1751,#REF!,1,FALSE())),"?TYPE_IDENTIFIABLE","?REFERENTIAL"),"_")))))</f>
        <v> </v>
      </c>
      <c r="H1751" s="24" t="str">
        <f>IF(J1751&lt;&gt;1,"",IF(I1751="SBJ","CB","?"))</f>
        <v> </v>
      </c>
      <c r="I1751" s="25" t="str">
        <f>IF(OR(E1751="",E1751="!!!",F1751="NEW"),"",INDEX(B1750:B$2,-1+SUMPRODUCT(MAX(ROW(E1750:E$2)*(E1751=E1750:E$2)))))</f>
        <v> </v>
      </c>
      <c r="J1751" s="25" t="str">
        <f>IF(OR(E1751="",E1751="!!!",F1751="NEW"),"",COUNTBLANK(OFFSET(A$1,,,SUMPRODUCT(MAX(ROW(E$2:E1751)*(E1751=E$2:E1751)))))-COUNTBLANK(OFFSET(A$1,,,SUMPRODUCT(MAX(ROW(E$1:E1750)*(E2=E$1:E1750))))))</f>
        <v> </v>
      </c>
      <c r="K1751" s="25" t="str">
        <f>IF(OR(E1751="",E1751="!!!",F1751="NEW"),"",INDEX(J$1:J1750,SUMPRODUCT(MAX(ROW(E$1:E1750)*(E1751=E$1:E1750)))))</f>
        <v> </v>
      </c>
      <c r="L1751" s="26"/>
    </row>
    <row r="1752" spans="1:12">
      <c r="A1752" s="20" t="s">
        <v>1046</v>
      </c>
      <c r="E1752" s="21">
        <f>IF(D1752="?OLD","!!!","")</f>
        <v/>
      </c>
      <c r="F1752" s="22" t="str">
        <f>IF(OR(E1752="",E1752="!!!"),"",IF(NOT(ISNA(VLOOKUP(E1752,E$1:E1751,1,FALSE()))),"OLD",IF(AND(E1752&lt;&gt;"",E1752&lt;&gt;"!!!"),"NEW","")))</f>
        <v> </v>
      </c>
      <c r="G1752" s="23" t="str">
        <f>IF(OR(E1752="",E1752="!!!"),"",IF(OR(J1752=0,AND(J1752=1,K1752=1),AND(J1752=1,I1752="SBJ"),AND(J1752=1,I1752=0)),"?IN_FOCUS",IF(J1752&lt;=2,"?ACTIVATED",IF(J1752&lt;&gt;"","?FAMILIAR",IF(F1752="NEW",IF(ISNA(VLOOKUP(E1752,#REF!,1,FALSE())),"?TYPE_IDENTIFIABLE","?REFERENTIAL"),"_")))))</f>
        <v> </v>
      </c>
      <c r="H1752" s="24" t="str">
        <f>IF(J1752&lt;&gt;1,"",IF(I1752="SBJ","CB","?"))</f>
        <v> </v>
      </c>
      <c r="I1752" s="25" t="str">
        <f>IF(OR(E1752="",E1752="!!!",F1752="NEW"),"",INDEX(B1751:B$2,-1+SUMPRODUCT(MAX(ROW(E1751:E$2)*(E1752=E1751:E$2)))))</f>
        <v> </v>
      </c>
      <c r="J1752" s="25" t="str">
        <f>IF(OR(E1752="",E1752="!!!",F1752="NEW"),"",COUNTBLANK(OFFSET(A$1,,,SUMPRODUCT(MAX(ROW(E$2:E1752)*(E1752=E$2:E1752)))))-COUNTBLANK(OFFSET(A$1,,,SUMPRODUCT(MAX(ROW(E$1:E1751)*(E2=E$1:E1751))))))</f>
        <v> </v>
      </c>
      <c r="K1752" s="25" t="str">
        <f>IF(OR(E1752="",E1752="!!!",F1752="NEW"),"",INDEX(J$1:J1751,SUMPRODUCT(MAX(ROW(E$1:E1751)*(E1752=E$1:E1751)))))</f>
        <v> </v>
      </c>
      <c r="L1752" s="26"/>
    </row>
    <row r="1753" spans="1:12">
      <c r="A1753" s="20" t="s">
        <v>517</v>
      </c>
      <c r="E1753" s="21">
        <f>IF(D1753="?OLD","!!!","")</f>
        <v/>
      </c>
      <c r="F1753" s="22" t="str">
        <f>IF(OR(E1753="",E1753="!!!"),"",IF(NOT(ISNA(VLOOKUP(E1753,E$1:E1752,1,FALSE()))),"OLD",IF(AND(E1753&lt;&gt;"",E1753&lt;&gt;"!!!"),"NEW","")))</f>
        <v> </v>
      </c>
      <c r="G1753" s="23" t="str">
        <f>IF(OR(E1753="",E1753="!!!"),"",IF(OR(J1753=0,AND(J1753=1,K1753=1),AND(J1753=1,I1753="SBJ"),AND(J1753=1,I1753=0)),"?IN_FOCUS",IF(J1753&lt;=2,"?ACTIVATED",IF(J1753&lt;&gt;"","?FAMILIAR",IF(F1753="NEW",IF(ISNA(VLOOKUP(E1753,#REF!,1,FALSE())),"?TYPE_IDENTIFIABLE","?REFERENTIAL"),"_")))))</f>
        <v> </v>
      </c>
      <c r="H1753" s="24" t="str">
        <f>IF(J1753&lt;&gt;1,"",IF(I1753="SBJ","CB","?"))</f>
        <v> </v>
      </c>
      <c r="I1753" s="25" t="str">
        <f>IF(OR(E1753="",E1753="!!!",F1753="NEW"),"",INDEX(B1752:B$2,-1+SUMPRODUCT(MAX(ROW(E1752:E$2)*(E1753=E1752:E$2)))))</f>
        <v> </v>
      </c>
      <c r="J1753" s="25" t="str">
        <f>IF(OR(E1753="",E1753="!!!",F1753="NEW"),"",COUNTBLANK(OFFSET(A$1,,,SUMPRODUCT(MAX(ROW(E$2:E1753)*(E1753=E$2:E1753)))))-COUNTBLANK(OFFSET(A$1,,,SUMPRODUCT(MAX(ROW(E$1:E1752)*(E2=E$1:E1752))))))</f>
        <v> </v>
      </c>
      <c r="K1753" s="25" t="str">
        <f>IF(OR(E1753="",E1753="!!!",F1753="NEW"),"",INDEX(J$1:J1752,SUMPRODUCT(MAX(ROW(E$1:E1752)*(E1753=E$1:E1752)))))</f>
        <v> </v>
      </c>
      <c r="L1753" s="26"/>
    </row>
    <row r="1754" spans="1:12">
      <c r="A1754" s="20" t="s">
        <v>882</v>
      </c>
      <c r="B1754" s="27" t="s">
        <v>490</v>
      </c>
      <c r="C1754" s="27" t="s">
        <v>491</v>
      </c>
      <c r="D1754" s="27" t="s">
        <v>483</v>
      </c>
      <c r="E1754" s="21">
        <f>IF(D1754="?OLD","!!!","")</f>
        <v/>
      </c>
      <c r="F1754" s="22" t="str">
        <f>IF(OR(E1754="",E1754="!!!"),"",IF(NOT(ISNA(VLOOKUP(E1754,E$1:E1753,1,FALSE()))),"OLD",IF(AND(E1754&lt;&gt;"",E1754&lt;&gt;"!!!"),"NEW","")))</f>
        <v> </v>
      </c>
      <c r="G1754" s="23" t="str">
        <f>IF(OR(E1754="",E1754="!!!"),"",IF(OR(J1754=0,AND(J1754=1,K1754=1),AND(J1754=1,I1754="SBJ"),AND(J1754=1,I1754=0)),"?IN_FOCUS",IF(J1754&lt;=2,"?ACTIVATED",IF(J1754&lt;&gt;"","?FAMILIAR",IF(F1754="NEW",IF(ISNA(VLOOKUP(E1754,#REF!,1,FALSE())),"?TYPE_IDENTIFIABLE","?REFERENTIAL"),"_")))))</f>
        <v> </v>
      </c>
      <c r="H1754" s="24" t="str">
        <f>IF(J1754&lt;&gt;1,"",IF(I1754="SBJ","CB","?"))</f>
        <v> </v>
      </c>
      <c r="I1754" s="25" t="str">
        <f>IF(OR(E1754="",E1754="!!!",F1754="NEW"),"",INDEX(B1753:B$2,-1+SUMPRODUCT(MAX(ROW(E1753:E$2)*(E1754=E1753:E$2)))))</f>
        <v> </v>
      </c>
      <c r="J1754" s="25" t="str">
        <f>IF(OR(E1754="",E1754="!!!",F1754="NEW"),"",COUNTBLANK(OFFSET(A$1,,,SUMPRODUCT(MAX(ROW(E$2:E1754)*(E1754=E$2:E1754)))))-COUNTBLANK(OFFSET(A$1,,,SUMPRODUCT(MAX(ROW(E$1:E1753)*(E2=E$1:E1753))))))</f>
        <v> </v>
      </c>
      <c r="K1754" s="25" t="str">
        <f>IF(OR(E1754="",E1754="!!!",F1754="NEW"),"",INDEX(J$1:J1753,SUMPRODUCT(MAX(ROW(E$1:E1753)*(E1754=E$1:E1753)))))</f>
        <v> </v>
      </c>
      <c r="L1754" s="26"/>
    </row>
    <row r="1755" spans="1:12">
      <c r="A1755" s="20" t="s">
        <v>492</v>
      </c>
      <c r="B1755" s="27" t="s">
        <v>553</v>
      </c>
      <c r="E1755" s="21">
        <f>IF(D1755="?OLD","!!!","")</f>
        <v/>
      </c>
      <c r="F1755" s="22" t="str">
        <f>IF(OR(E1755="",E1755="!!!"),"",IF(NOT(ISNA(VLOOKUP(E1755,E$1:E1754,1,FALSE()))),"OLD",IF(AND(E1755&lt;&gt;"",E1755&lt;&gt;"!!!"),"NEW","")))</f>
        <v> </v>
      </c>
      <c r="G1755" s="23" t="str">
        <f>IF(OR(E1755="",E1755="!!!"),"",IF(OR(J1755=0,AND(J1755=1,K1755=1),AND(J1755=1,I1755="SBJ"),AND(J1755=1,I1755=0)),"?IN_FOCUS",IF(J1755&lt;=2,"?ACTIVATED",IF(J1755&lt;&gt;"","?FAMILIAR",IF(F1755="NEW",IF(ISNA(VLOOKUP(E1755,#REF!,1,FALSE())),"?TYPE_IDENTIFIABLE","?REFERENTIAL"),"_")))))</f>
        <v> </v>
      </c>
      <c r="H1755" s="24" t="str">
        <f>IF(J1755&lt;&gt;1,"",IF(I1755="SBJ","CB","?"))</f>
        <v> </v>
      </c>
      <c r="I1755" s="25" t="str">
        <f>IF(OR(E1755="",E1755="!!!",F1755="NEW"),"",INDEX(B1754:B$2,-1+SUMPRODUCT(MAX(ROW(E1754:E$2)*(E1755=E1754:E$2)))))</f>
        <v> </v>
      </c>
      <c r="J1755" s="25" t="str">
        <f>IF(OR(E1755="",E1755="!!!",F1755="NEW"),"",COUNTBLANK(OFFSET(A$1,,,SUMPRODUCT(MAX(ROW(E$2:E1755)*(E1755=E$2:E1755)))))-COUNTBLANK(OFFSET(A$1,,,SUMPRODUCT(MAX(ROW(E$1:E1754)*(E2=E$1:E1754))))))</f>
        <v> </v>
      </c>
      <c r="K1755" s="25" t="str">
        <f>IF(OR(E1755="",E1755="!!!",F1755="NEW"),"",INDEX(J$1:J1754,SUMPRODUCT(MAX(ROW(E$1:E1754)*(E1755=E$1:E1754)))))</f>
        <v> </v>
      </c>
      <c r="L1755" s="26"/>
    </row>
    <row r="1756" spans="1:12">
      <c r="A1756" s="20" t="s">
        <v>1061</v>
      </c>
      <c r="E1756" s="21">
        <f>IF(D1756="?OLD","!!!","")</f>
        <v/>
      </c>
      <c r="F1756" s="22" t="str">
        <f>IF(OR(E1756="",E1756="!!!"),"",IF(NOT(ISNA(VLOOKUP(E1756,E$1:E1755,1,FALSE()))),"OLD",IF(AND(E1756&lt;&gt;"",E1756&lt;&gt;"!!!"),"NEW","")))</f>
        <v> </v>
      </c>
      <c r="G1756" s="23" t="str">
        <f>IF(OR(E1756="",E1756="!!!"),"",IF(OR(J1756=0,AND(J1756=1,K1756=1),AND(J1756=1,I1756="SBJ"),AND(J1756=1,I1756=0)),"?IN_FOCUS",IF(J1756&lt;=2,"?ACTIVATED",IF(J1756&lt;&gt;"","?FAMILIAR",IF(F1756="NEW",IF(ISNA(VLOOKUP(E1756,#REF!,1,FALSE())),"?TYPE_IDENTIFIABLE","?REFERENTIAL"),"_")))))</f>
        <v> </v>
      </c>
      <c r="H1756" s="24" t="str">
        <f>IF(J1756&lt;&gt;1,"",IF(I1756="SBJ","CB","?"))</f>
        <v> </v>
      </c>
      <c r="I1756" s="25" t="str">
        <f>IF(OR(E1756="",E1756="!!!",F1756="NEW"),"",INDEX(B1755:B$2,-1+SUMPRODUCT(MAX(ROW(E1755:E$2)*(E1756=E1755:E$2)))))</f>
        <v> </v>
      </c>
      <c r="J1756" s="25" t="str">
        <f>IF(OR(E1756="",E1756="!!!",F1756="NEW"),"",COUNTBLANK(OFFSET(A$1,,,SUMPRODUCT(MAX(ROW(E$2:E1756)*(E1756=E$2:E1756)))))-COUNTBLANK(OFFSET(A$1,,,SUMPRODUCT(MAX(ROW(E$1:E1755)*(E2=E$1:E1755))))))</f>
        <v> </v>
      </c>
      <c r="K1756" s="25" t="str">
        <f>IF(OR(E1756="",E1756="!!!",F1756="NEW"),"",INDEX(J$1:J1755,SUMPRODUCT(MAX(ROW(E$1:E1755)*(E1756=E$1:E1755)))))</f>
        <v> </v>
      </c>
      <c r="L1756" s="26"/>
    </row>
    <row r="1757" spans="1:12">
      <c r="A1757" s="20" t="s">
        <v>652</v>
      </c>
      <c r="E1757" s="21">
        <f>IF(D1757="?OLD","!!!","")</f>
        <v/>
      </c>
      <c r="F1757" s="22" t="str">
        <f>IF(OR(E1757="",E1757="!!!"),"",IF(NOT(ISNA(VLOOKUP(E1757,E$1:E1756,1,FALSE()))),"OLD",IF(AND(E1757&lt;&gt;"",E1757&lt;&gt;"!!!"),"NEW","")))</f>
        <v> </v>
      </c>
      <c r="G1757" s="23" t="str">
        <f>IF(OR(E1757="",E1757="!!!"),"",IF(OR(J1757=0,AND(J1757=1,K1757=1),AND(J1757=1,I1757="SBJ"),AND(J1757=1,I1757=0)),"?IN_FOCUS",IF(J1757&lt;=2,"?ACTIVATED",IF(J1757&lt;&gt;"","?FAMILIAR",IF(F1757="NEW",IF(ISNA(VLOOKUP(E1757,#REF!,1,FALSE())),"?TYPE_IDENTIFIABLE","?REFERENTIAL"),"_")))))</f>
        <v> </v>
      </c>
      <c r="H1757" s="24" t="str">
        <f>IF(J1757&lt;&gt;1,"",IF(I1757="SBJ","CB","?"))</f>
        <v> </v>
      </c>
      <c r="I1757" s="25" t="str">
        <f>IF(OR(E1757="",E1757="!!!",F1757="NEW"),"",INDEX(B1756:B$2,-1+SUMPRODUCT(MAX(ROW(E1756:E$2)*(E1757=E1756:E$2)))))</f>
        <v> </v>
      </c>
      <c r="J1757" s="25" t="str">
        <f>IF(OR(E1757="",E1757="!!!",F1757="NEW"),"",COUNTBLANK(OFFSET(A$1,,,SUMPRODUCT(MAX(ROW(E$2:E1757)*(E1757=E$2:E1757)))))-COUNTBLANK(OFFSET(A$1,,,SUMPRODUCT(MAX(ROW(E$1:E1756)*(E2=E$1:E1756))))))</f>
        <v> </v>
      </c>
      <c r="K1757" s="25" t="str">
        <f>IF(OR(E1757="",E1757="!!!",F1757="NEW"),"",INDEX(J$1:J1756,SUMPRODUCT(MAX(ROW(E$1:E1756)*(E1757=E$1:E1756)))))</f>
        <v> </v>
      </c>
      <c r="L1757" s="26"/>
    </row>
    <row r="1758" spans="1:12">
      <c r="A1758" s="20" t="s">
        <v>1062</v>
      </c>
      <c r="B1758" s="27" t="s">
        <v>578</v>
      </c>
      <c r="C1758" s="27" t="s">
        <v>598</v>
      </c>
      <c r="D1758" s="27" t="s">
        <v>483</v>
      </c>
      <c r="E1758" s="21">
        <f>IF(D1758="?OLD","!!!","")</f>
        <v/>
      </c>
      <c r="F1758" s="22" t="str">
        <f>IF(OR(E1758="",E1758="!!!"),"",IF(NOT(ISNA(VLOOKUP(E1758,E$1:E1757,1,FALSE()))),"OLD",IF(AND(E1758&lt;&gt;"",E1758&lt;&gt;"!!!"),"NEW","")))</f>
        <v> </v>
      </c>
      <c r="G1758" s="23" t="str">
        <f>IF(OR(E1758="",E1758="!!!"),"",IF(OR(J1758=0,AND(J1758=1,K1758=1),AND(J1758=1,I1758="SBJ"),AND(J1758=1,I1758=0)),"?IN_FOCUS",IF(J1758&lt;=2,"?ACTIVATED",IF(J1758&lt;&gt;"","?FAMILIAR",IF(F1758="NEW",IF(ISNA(VLOOKUP(E1758,#REF!,1,FALSE())),"?TYPE_IDENTIFIABLE","?REFERENTIAL"),"_")))))</f>
        <v> </v>
      </c>
      <c r="H1758" s="24" t="str">
        <f>IF(J1758&lt;&gt;1,"",IF(I1758="SBJ","CB","?"))</f>
        <v> </v>
      </c>
      <c r="I1758" s="25" t="str">
        <f>IF(OR(E1758="",E1758="!!!",F1758="NEW"),"",INDEX(B1757:B$2,-1+SUMPRODUCT(MAX(ROW(E1757:E$2)*(E1758=E1757:E$2)))))</f>
        <v> </v>
      </c>
      <c r="J1758" s="25" t="str">
        <f>IF(OR(E1758="",E1758="!!!",F1758="NEW"),"",COUNTBLANK(OFFSET(A$1,,,SUMPRODUCT(MAX(ROW(E$2:E1758)*(E1758=E$2:E1758)))))-COUNTBLANK(OFFSET(A$1,,,SUMPRODUCT(MAX(ROW(E$1:E1757)*(E2=E$1:E1757))))))</f>
        <v> </v>
      </c>
      <c r="K1758" s="25" t="str">
        <f>IF(OR(E1758="",E1758="!!!",F1758="NEW"),"",INDEX(J$1:J1757,SUMPRODUCT(MAX(ROW(E$1:E1757)*(E1758=E$1:E1757)))))</f>
        <v> </v>
      </c>
      <c r="L1758" s="26"/>
    </row>
    <row r="1759" spans="1:12">
      <c r="A1759" s="20" t="s">
        <v>528</v>
      </c>
      <c r="E1759" s="21">
        <f>IF(D1759="?OLD","!!!","")</f>
        <v/>
      </c>
      <c r="F1759" s="22" t="str">
        <f>IF(OR(E1759="",E1759="!!!"),"",IF(NOT(ISNA(VLOOKUP(E1759,E$1:E1758,1,FALSE()))),"OLD",IF(AND(E1759&lt;&gt;"",E1759&lt;&gt;"!!!"),"NEW","")))</f>
        <v> </v>
      </c>
      <c r="G1759" s="23" t="str">
        <f>IF(OR(E1759="",E1759="!!!"),"",IF(OR(J1759=0,AND(J1759=1,K1759=1),AND(J1759=1,I1759="SBJ"),AND(J1759=1,I1759=0)),"?IN_FOCUS",IF(J1759&lt;=2,"?ACTIVATED",IF(J1759&lt;&gt;"","?FAMILIAR",IF(F1759="NEW",IF(ISNA(VLOOKUP(E1759,#REF!,1,FALSE())),"?TYPE_IDENTIFIABLE","?REFERENTIAL"),"_")))))</f>
        <v> </v>
      </c>
      <c r="H1759" s="24" t="str">
        <f>IF(J1759&lt;&gt;1,"",IF(I1759="SBJ","CB","?"))</f>
        <v> </v>
      </c>
      <c r="I1759" s="25" t="str">
        <f>IF(OR(E1759="",E1759="!!!",F1759="NEW"),"",INDEX(B1758:B$2,-1+SUMPRODUCT(MAX(ROW(E1758:E$2)*(E1759=E1758:E$2)))))</f>
        <v> </v>
      </c>
      <c r="J1759" s="25" t="str">
        <f>IF(OR(E1759="",E1759="!!!",F1759="NEW"),"",COUNTBLANK(OFFSET(A$1,,,SUMPRODUCT(MAX(ROW(E$2:E1759)*(E1759=E$2:E1759)))))-COUNTBLANK(OFFSET(A$1,,,SUMPRODUCT(MAX(ROW(E$1:E1758)*(E2=E$1:E1758))))))</f>
        <v> </v>
      </c>
      <c r="K1759" s="25" t="str">
        <f>IF(OR(E1759="",E1759="!!!",F1759="NEW"),"",INDEX(J$1:J1758,SUMPRODUCT(MAX(ROW(E$1:E1758)*(E1759=E$1:E1758)))))</f>
        <v> </v>
      </c>
      <c r="L1759" s="26"/>
    </row>
    <row r="1760" spans="1:12">
      <c r="A1760" s="20" t="s">
        <v>649</v>
      </c>
      <c r="E1760" s="21">
        <f>IF(D1760="?OLD","!!!","")</f>
        <v/>
      </c>
      <c r="F1760" s="22" t="str">
        <f>IF(OR(E1760="",E1760="!!!"),"",IF(NOT(ISNA(VLOOKUP(E1760,E$1:E1759,1,FALSE()))),"OLD",IF(AND(E1760&lt;&gt;"",E1760&lt;&gt;"!!!"),"NEW","")))</f>
        <v> </v>
      </c>
      <c r="G1760" s="23" t="str">
        <f>IF(OR(E1760="",E1760="!!!"),"",IF(OR(J1760=0,AND(J1760=1,K1760=1),AND(J1760=1,I1760="SBJ"),AND(J1760=1,I1760=0)),"?IN_FOCUS",IF(J1760&lt;=2,"?ACTIVATED",IF(J1760&lt;&gt;"","?FAMILIAR",IF(F1760="NEW",IF(ISNA(VLOOKUP(E1760,#REF!,1,FALSE())),"?TYPE_IDENTIFIABLE","?REFERENTIAL"),"_")))))</f>
        <v> </v>
      </c>
      <c r="H1760" s="24" t="str">
        <f>IF(J1760&lt;&gt;1,"",IF(I1760="SBJ","CB","?"))</f>
        <v> </v>
      </c>
      <c r="I1760" s="25" t="str">
        <f>IF(OR(E1760="",E1760="!!!",F1760="NEW"),"",INDEX(B1759:B$2,-1+SUMPRODUCT(MAX(ROW(E1759:E$2)*(E1760=E1759:E$2)))))</f>
        <v> </v>
      </c>
      <c r="J1760" s="25" t="str">
        <f>IF(OR(E1760="",E1760="!!!",F1760="NEW"),"",COUNTBLANK(OFFSET(A$1,,,SUMPRODUCT(MAX(ROW(E$2:E1760)*(E1760=E$2:E1760)))))-COUNTBLANK(OFFSET(A$1,,,SUMPRODUCT(MAX(ROW(E$1:E1759)*(E2=E$1:E1759))))))</f>
        <v> </v>
      </c>
      <c r="K1760" s="25" t="str">
        <f>IF(OR(E1760="",E1760="!!!",F1760="NEW"),"",INDEX(J$1:J1759,SUMPRODUCT(MAX(ROW(E$1:E1759)*(E1760=E$1:E1759)))))</f>
        <v> </v>
      </c>
      <c r="L1760" s="26"/>
    </row>
    <row r="1761" spans="1:12">
      <c r="A1761" s="20" t="s">
        <v>503</v>
      </c>
      <c r="E1761" s="21">
        <f>IF(D1761="?OLD","!!!","")</f>
        <v/>
      </c>
      <c r="F1761" s="22" t="str">
        <f>IF(OR(E1761="",E1761="!!!"),"",IF(NOT(ISNA(VLOOKUP(E1761,E$1:E1760,1,FALSE()))),"OLD",IF(AND(E1761&lt;&gt;"",E1761&lt;&gt;"!!!"),"NEW","")))</f>
        <v> </v>
      </c>
      <c r="G1761" s="23" t="str">
        <f>IF(OR(E1761="",E1761="!!!"),"",IF(OR(J1761=0,AND(J1761=1,K1761=1),AND(J1761=1,I1761="SBJ"),AND(J1761=1,I1761=0)),"?IN_FOCUS",IF(J1761&lt;=2,"?ACTIVATED",IF(J1761&lt;&gt;"","?FAMILIAR",IF(F1761="NEW",IF(ISNA(VLOOKUP(E1761,#REF!,1,FALSE())),"?TYPE_IDENTIFIABLE","?REFERENTIAL"),"_")))))</f>
        <v> </v>
      </c>
      <c r="H1761" s="24" t="str">
        <f>IF(J1761&lt;&gt;1,"",IF(I1761="SBJ","CB","?"))</f>
        <v> </v>
      </c>
      <c r="I1761" s="25" t="str">
        <f>IF(OR(E1761="",E1761="!!!",F1761="NEW"),"",INDEX(B1760:B$2,-1+SUMPRODUCT(MAX(ROW(E1760:E$2)*(E1761=E1760:E$2)))))</f>
        <v> </v>
      </c>
      <c r="J1761" s="25" t="str">
        <f>IF(OR(E1761="",E1761="!!!",F1761="NEW"),"",COUNTBLANK(OFFSET(A$1,,,SUMPRODUCT(MAX(ROW(E$2:E1761)*(E1761=E$2:E1761)))))-COUNTBLANK(OFFSET(A$1,,,SUMPRODUCT(MAX(ROW(E$1:E1760)*(E2=E$1:E1760))))))</f>
        <v> </v>
      </c>
      <c r="K1761" s="25" t="str">
        <f>IF(OR(E1761="",E1761="!!!",F1761="NEW"),"",INDEX(J$1:J1760,SUMPRODUCT(MAX(ROW(E$1:E1760)*(E1761=E$1:E1760)))))</f>
        <v> </v>
      </c>
      <c r="L1761" s="26"/>
    </row>
    <row r="1762" spans="1:12">
      <c r="A1762" s="20" t="s">
        <v>605</v>
      </c>
      <c r="B1762" s="27" t="s">
        <v>540</v>
      </c>
      <c r="C1762" s="27" t="s">
        <v>516</v>
      </c>
      <c r="E1762" s="21">
        <f>IF(D1762="?OLD","!!!","")</f>
        <v/>
      </c>
      <c r="F1762" s="22" t="str">
        <f>IF(OR(E1762="",E1762="!!!"),"",IF(NOT(ISNA(VLOOKUP(E1762,E$1:E1761,1,FALSE()))),"OLD",IF(AND(E1762&lt;&gt;"",E1762&lt;&gt;"!!!"),"NEW","")))</f>
        <v> </v>
      </c>
      <c r="G1762" s="23" t="str">
        <f>IF(OR(E1762="",E1762="!!!"),"",IF(OR(J1762=0,AND(J1762=1,K1762=1),AND(J1762=1,I1762="SBJ"),AND(J1762=1,I1762=0)),"?IN_FOCUS",IF(J1762&lt;=2,"?ACTIVATED",IF(J1762&lt;&gt;"","?FAMILIAR",IF(F1762="NEW",IF(ISNA(VLOOKUP(E1762,#REF!,1,FALSE())),"?TYPE_IDENTIFIABLE","?REFERENTIAL"),"_")))))</f>
        <v> </v>
      </c>
      <c r="H1762" s="24" t="str">
        <f>IF(J1762&lt;&gt;1,"",IF(I1762="SBJ","CB","?"))</f>
        <v> </v>
      </c>
      <c r="I1762" s="25" t="str">
        <f>IF(OR(E1762="",E1762="!!!",F1762="NEW"),"",INDEX(B1761:B$2,-1+SUMPRODUCT(MAX(ROW(E1761:E$2)*(E1762=E1761:E$2)))))</f>
        <v> </v>
      </c>
      <c r="J1762" s="25" t="str">
        <f>IF(OR(E1762="",E1762="!!!",F1762="NEW"),"",COUNTBLANK(OFFSET(A$1,,,SUMPRODUCT(MAX(ROW(E$2:E1762)*(E1762=E$2:E1762)))))-COUNTBLANK(OFFSET(A$1,,,SUMPRODUCT(MAX(ROW(E$1:E1761)*(E2=E$1:E1761))))))</f>
        <v> </v>
      </c>
      <c r="K1762" s="25" t="str">
        <f>IF(OR(E1762="",E1762="!!!",F1762="NEW"),"",INDEX(J$1:J1761,SUMPRODUCT(MAX(ROW(E$1:E1761)*(E1762=E$1:E1761)))))</f>
        <v> </v>
      </c>
      <c r="L1762" s="26"/>
    </row>
    <row r="1763" spans="1:12">
      <c r="A1763" s="20" t="s">
        <v>489</v>
      </c>
      <c r="E1763" s="21">
        <f>IF(D1763="?OLD","!!!","")</f>
        <v/>
      </c>
      <c r="F1763" s="22" t="str">
        <f>IF(OR(E1763="",E1763="!!!"),"",IF(NOT(ISNA(VLOOKUP(E1763,E$1:E1762,1,FALSE()))),"OLD",IF(AND(E1763&lt;&gt;"",E1763&lt;&gt;"!!!"),"NEW","")))</f>
        <v> </v>
      </c>
      <c r="G1763" s="23" t="str">
        <f>IF(OR(E1763="",E1763="!!!"),"",IF(OR(J1763=0,AND(J1763=1,K1763=1),AND(J1763=1,I1763="SBJ"),AND(J1763=1,I1763=0)),"?IN_FOCUS",IF(J1763&lt;=2,"?ACTIVATED",IF(J1763&lt;&gt;"","?FAMILIAR",IF(F1763="NEW",IF(ISNA(VLOOKUP(E1763,#REF!,1,FALSE())),"?TYPE_IDENTIFIABLE","?REFERENTIAL"),"_")))))</f>
        <v> </v>
      </c>
      <c r="H1763" s="24" t="str">
        <f>IF(J1763&lt;&gt;1,"",IF(I1763="SBJ","CB","?"))</f>
        <v> </v>
      </c>
      <c r="I1763" s="25" t="str">
        <f>IF(OR(E1763="",E1763="!!!",F1763="NEW"),"",INDEX(B1762:B$2,-1+SUMPRODUCT(MAX(ROW(E1762:E$2)*(E1763=E1762:E$2)))))</f>
        <v> </v>
      </c>
      <c r="J1763" s="25" t="str">
        <f>IF(OR(E1763="",E1763="!!!",F1763="NEW"),"",COUNTBLANK(OFFSET(A$1,,,SUMPRODUCT(MAX(ROW(E$2:E1763)*(E1763=E$2:E1763)))))-COUNTBLANK(OFFSET(A$1,,,SUMPRODUCT(MAX(ROW(E$1:E1762)*(E2=E$1:E1762))))))</f>
        <v> </v>
      </c>
      <c r="K1763" s="25" t="str">
        <f>IF(OR(E1763="",E1763="!!!",F1763="NEW"),"",INDEX(J$1:J1762,SUMPRODUCT(MAX(ROW(E$1:E1762)*(E1763=E$1:E1762)))))</f>
        <v> </v>
      </c>
      <c r="L1763" s="26"/>
    </row>
    <row r="1764" spans="1:12">
      <c r="A1764" s="20" t="s">
        <v>1063</v>
      </c>
      <c r="E1764" s="21">
        <f>IF(D1764="?OLD","!!!","")</f>
        <v/>
      </c>
      <c r="F1764" s="22" t="str">
        <f>IF(OR(E1764="",E1764="!!!"),"",IF(NOT(ISNA(VLOOKUP(E1764,E$1:E1763,1,FALSE()))),"OLD",IF(AND(E1764&lt;&gt;"",E1764&lt;&gt;"!!!"),"NEW","")))</f>
        <v> </v>
      </c>
      <c r="G1764" s="23" t="str">
        <f>IF(OR(E1764="",E1764="!!!"),"",IF(OR(J1764=0,AND(J1764=1,K1764=1),AND(J1764=1,I1764="SBJ"),AND(J1764=1,I1764=0)),"?IN_FOCUS",IF(J1764&lt;=2,"?ACTIVATED",IF(J1764&lt;&gt;"","?FAMILIAR",IF(F1764="NEW",IF(ISNA(VLOOKUP(E1764,#REF!,1,FALSE())),"?TYPE_IDENTIFIABLE","?REFERENTIAL"),"_")))))</f>
        <v> </v>
      </c>
      <c r="H1764" s="24" t="str">
        <f>IF(J1764&lt;&gt;1,"",IF(I1764="SBJ","CB","?"))</f>
        <v> </v>
      </c>
      <c r="I1764" s="25" t="str">
        <f>IF(OR(E1764="",E1764="!!!",F1764="NEW"),"",INDEX(B1763:B$2,-1+SUMPRODUCT(MAX(ROW(E1763:E$2)*(E1764=E1763:E$2)))))</f>
        <v> </v>
      </c>
      <c r="J1764" s="25" t="str">
        <f>IF(OR(E1764="",E1764="!!!",F1764="NEW"),"",COUNTBLANK(OFFSET(A$1,,,SUMPRODUCT(MAX(ROW(E$2:E1764)*(E1764=E$2:E1764)))))-COUNTBLANK(OFFSET(A$1,,,SUMPRODUCT(MAX(ROW(E$1:E1763)*(E2=E$1:E1763))))))</f>
        <v> </v>
      </c>
      <c r="K1764" s="25" t="str">
        <f>IF(OR(E1764="",E1764="!!!",F1764="NEW"),"",INDEX(J$1:J1763,SUMPRODUCT(MAX(ROW(E$1:E1763)*(E1764=E$1:E1763)))))</f>
        <v> </v>
      </c>
      <c r="L1764" s="26"/>
    </row>
    <row r="1765" spans="1:12">
      <c r="A1765" s="20" t="s">
        <v>124</v>
      </c>
      <c r="E1765" s="21">
        <f>IF(D1765="?OLD","!!!","")</f>
        <v/>
      </c>
      <c r="F1765" s="22" t="str">
        <f>IF(OR(E1765="",E1765="!!!"),"",IF(NOT(ISNA(VLOOKUP(E1765,E$1:E1764,1,FALSE()))),"OLD",IF(AND(E1765&lt;&gt;"",E1765&lt;&gt;"!!!"),"NEW","")))</f>
        <v> </v>
      </c>
      <c r="G1765" s="23" t="str">
        <f>IF(OR(E1765="",E1765="!!!"),"",IF(OR(J1765=0,AND(J1765=1,K1765=1),AND(J1765=1,I1765="SBJ"),AND(J1765=1,I1765=0)),"?IN_FOCUS",IF(J1765&lt;=2,"?ACTIVATED",IF(J1765&lt;&gt;"","?FAMILIAR",IF(F1765="NEW",IF(ISNA(VLOOKUP(E1765,#REF!,1,FALSE())),"?TYPE_IDENTIFIABLE","?REFERENTIAL"),"_")))))</f>
        <v> </v>
      </c>
      <c r="H1765" s="24" t="str">
        <f>IF(J1765&lt;&gt;1,"",IF(I1765="SBJ","CB","?"))</f>
        <v> </v>
      </c>
      <c r="I1765" s="25" t="str">
        <f>IF(OR(E1765="",E1765="!!!",F1765="NEW"),"",INDEX(B1764:B$2,-1+SUMPRODUCT(MAX(ROW(E1764:E$2)*(E1765=E1764:E$2)))))</f>
        <v> </v>
      </c>
      <c r="J1765" s="25" t="str">
        <f>IF(OR(E1765="",E1765="!!!",F1765="NEW"),"",COUNTBLANK(OFFSET(A$1,,,SUMPRODUCT(MAX(ROW(E$2:E1765)*(E1765=E$2:E1765)))))-COUNTBLANK(OFFSET(A$1,,,SUMPRODUCT(MAX(ROW(E$1:E1764)*(E2=E$1:E1764))))))</f>
        <v> </v>
      </c>
      <c r="K1765" s="25" t="str">
        <f>IF(OR(E1765="",E1765="!!!",F1765="NEW"),"",INDEX(J$1:J1764,SUMPRODUCT(MAX(ROW(E$1:E1764)*(E1765=E$1:E1764)))))</f>
        <v> </v>
      </c>
      <c r="L1765" s="26"/>
    </row>
    <row r="1766" spans="1:12">
      <c r="A1766" s="20" t="s">
        <v>917</v>
      </c>
      <c r="E1766" s="21">
        <f>IF(D1766="?OLD","!!!","")</f>
        <v/>
      </c>
      <c r="F1766" s="22" t="str">
        <f>IF(OR(E1766="",E1766="!!!"),"",IF(NOT(ISNA(VLOOKUP(E1766,E$1:E1765,1,FALSE()))),"OLD",IF(AND(E1766&lt;&gt;"",E1766&lt;&gt;"!!!"),"NEW","")))</f>
        <v> </v>
      </c>
      <c r="G1766" s="23" t="str">
        <f>IF(OR(E1766="",E1766="!!!"),"",IF(OR(J1766=0,AND(J1766=1,K1766=1),AND(J1766=1,I1766="SBJ"),AND(J1766=1,I1766=0)),"?IN_FOCUS",IF(J1766&lt;=2,"?ACTIVATED",IF(J1766&lt;&gt;"","?FAMILIAR",IF(F1766="NEW",IF(ISNA(VLOOKUP(E1766,#REF!,1,FALSE())),"?TYPE_IDENTIFIABLE","?REFERENTIAL"),"_")))))</f>
        <v> </v>
      </c>
      <c r="H1766" s="24" t="str">
        <f>IF(J1766&lt;&gt;1,"",IF(I1766="SBJ","CB","?"))</f>
        <v> </v>
      </c>
      <c r="I1766" s="25" t="str">
        <f>IF(OR(E1766="",E1766="!!!",F1766="NEW"),"",INDEX(B1765:B$2,-1+SUMPRODUCT(MAX(ROW(E1765:E$2)*(E1766=E1765:E$2)))))</f>
        <v> </v>
      </c>
      <c r="J1766" s="25" t="str">
        <f>IF(OR(E1766="",E1766="!!!",F1766="NEW"),"",COUNTBLANK(OFFSET(A$1,,,SUMPRODUCT(MAX(ROW(E$2:E1766)*(E1766=E$2:E1766)))))-COUNTBLANK(OFFSET(A$1,,,SUMPRODUCT(MAX(ROW(E$1:E1765)*(E2=E$1:E1765))))))</f>
        <v> </v>
      </c>
      <c r="K1766" s="25" t="str">
        <f>IF(OR(E1766="",E1766="!!!",F1766="NEW"),"",INDEX(J$1:J1765,SUMPRODUCT(MAX(ROW(E$1:E1765)*(E1766=E$1:E1765)))))</f>
        <v> </v>
      </c>
      <c r="L1766" s="26"/>
    </row>
    <row r="1767" spans="1:12">
      <c r="A1767" s="20" t="s">
        <v>610</v>
      </c>
      <c r="E1767" s="21">
        <f>IF(D1767="?OLD","!!!","")</f>
        <v/>
      </c>
      <c r="F1767" s="22" t="str">
        <f>IF(OR(E1767="",E1767="!!!"),"",IF(NOT(ISNA(VLOOKUP(E1767,E$1:E1766,1,FALSE()))),"OLD",IF(AND(E1767&lt;&gt;"",E1767&lt;&gt;"!!!"),"NEW","")))</f>
        <v> </v>
      </c>
      <c r="G1767" s="23" t="str">
        <f>IF(OR(E1767="",E1767="!!!"),"",IF(OR(J1767=0,AND(J1767=1,K1767=1),AND(J1767=1,I1767="SBJ"),AND(J1767=1,I1767=0)),"?IN_FOCUS",IF(J1767&lt;=2,"?ACTIVATED",IF(J1767&lt;&gt;"","?FAMILIAR",IF(F1767="NEW",IF(ISNA(VLOOKUP(E1767,#REF!,1,FALSE())),"?TYPE_IDENTIFIABLE","?REFERENTIAL"),"_")))))</f>
        <v> </v>
      </c>
      <c r="H1767" s="24" t="str">
        <f>IF(J1767&lt;&gt;1,"",IF(I1767="SBJ","CB","?"))</f>
        <v> </v>
      </c>
      <c r="I1767" s="25" t="str">
        <f>IF(OR(E1767="",E1767="!!!",F1767="NEW"),"",INDEX(B1766:B$2,-1+SUMPRODUCT(MAX(ROW(E1766:E$2)*(E1767=E1766:E$2)))))</f>
        <v> </v>
      </c>
      <c r="J1767" s="25" t="str">
        <f>IF(OR(E1767="",E1767="!!!",F1767="NEW"),"",COUNTBLANK(OFFSET(A$1,,,SUMPRODUCT(MAX(ROW(E$2:E1767)*(E1767=E$2:E1767)))))-COUNTBLANK(OFFSET(A$1,,,SUMPRODUCT(MAX(ROW(E$1:E1766)*(E2=E$1:E1766))))))</f>
        <v> </v>
      </c>
      <c r="K1767" s="25" t="str">
        <f>IF(OR(E1767="",E1767="!!!",F1767="NEW"),"",INDEX(J$1:J1766,SUMPRODUCT(MAX(ROW(E$1:E1766)*(E1767=E$1:E1766)))))</f>
        <v> </v>
      </c>
      <c r="L1767" s="26"/>
    </row>
    <row r="1768" spans="1:12">
      <c r="A1768" s="20" t="s">
        <v>1023</v>
      </c>
      <c r="E1768" s="21">
        <f>IF(D1768="?OLD","!!!","")</f>
        <v/>
      </c>
      <c r="F1768" s="22" t="str">
        <f>IF(OR(E1768="",E1768="!!!"),"",IF(NOT(ISNA(VLOOKUP(E1768,E$1:E1767,1,FALSE()))),"OLD",IF(AND(E1768&lt;&gt;"",E1768&lt;&gt;"!!!"),"NEW","")))</f>
        <v> </v>
      </c>
      <c r="G1768" s="23" t="str">
        <f>IF(OR(E1768="",E1768="!!!"),"",IF(OR(J1768=0,AND(J1768=1,K1768=1),AND(J1768=1,I1768="SBJ"),AND(J1768=1,I1768=0)),"?IN_FOCUS",IF(J1768&lt;=2,"?ACTIVATED",IF(J1768&lt;&gt;"","?FAMILIAR",IF(F1768="NEW",IF(ISNA(VLOOKUP(E1768,#REF!,1,FALSE())),"?TYPE_IDENTIFIABLE","?REFERENTIAL"),"_")))))</f>
        <v> </v>
      </c>
      <c r="H1768" s="24" t="str">
        <f>IF(J1768&lt;&gt;1,"",IF(I1768="SBJ","CB","?"))</f>
        <v> </v>
      </c>
      <c r="I1768" s="25" t="str">
        <f>IF(OR(E1768="",E1768="!!!",F1768="NEW"),"",INDEX(B1767:B$2,-1+SUMPRODUCT(MAX(ROW(E1767:E$2)*(E1768=E1767:E$2)))))</f>
        <v> </v>
      </c>
      <c r="J1768" s="25" t="str">
        <f>IF(OR(E1768="",E1768="!!!",F1768="NEW"),"",COUNTBLANK(OFFSET(A$1,,,SUMPRODUCT(MAX(ROW(E$2:E1768)*(E1768=E$2:E1768)))))-COUNTBLANK(OFFSET(A$1,,,SUMPRODUCT(MAX(ROW(E$1:E1767)*(E2=E$1:E1767))))))</f>
        <v> </v>
      </c>
      <c r="K1768" s="25" t="str">
        <f>IF(OR(E1768="",E1768="!!!",F1768="NEW"),"",INDEX(J$1:J1767,SUMPRODUCT(MAX(ROW(E$1:E1767)*(E1768=E$1:E1767)))))</f>
        <v> </v>
      </c>
      <c r="L1768" s="26"/>
    </row>
    <row r="1769" spans="1:12">
      <c r="A1769" s="20" t="s">
        <v>489</v>
      </c>
      <c r="E1769" s="21">
        <f>IF(D1769="?OLD","!!!","")</f>
        <v/>
      </c>
      <c r="F1769" s="22" t="str">
        <f>IF(OR(E1769="",E1769="!!!"),"",IF(NOT(ISNA(VLOOKUP(E1769,E$1:E1768,1,FALSE()))),"OLD",IF(AND(E1769&lt;&gt;"",E1769&lt;&gt;"!!!"),"NEW","")))</f>
        <v> </v>
      </c>
      <c r="G1769" s="23" t="str">
        <f>IF(OR(E1769="",E1769="!!!"),"",IF(OR(J1769=0,AND(J1769=1,K1769=1),AND(J1769=1,I1769="SBJ"),AND(J1769=1,I1769=0)),"?IN_FOCUS",IF(J1769&lt;=2,"?ACTIVATED",IF(J1769&lt;&gt;"","?FAMILIAR",IF(F1769="NEW",IF(ISNA(VLOOKUP(E1769,#REF!,1,FALSE())),"?TYPE_IDENTIFIABLE","?REFERENTIAL"),"_")))))</f>
        <v> </v>
      </c>
      <c r="H1769" s="24" t="str">
        <f>IF(J1769&lt;&gt;1,"",IF(I1769="SBJ","CB","?"))</f>
        <v> </v>
      </c>
      <c r="I1769" s="25" t="str">
        <f>IF(OR(E1769="",E1769="!!!",F1769="NEW"),"",INDEX(B1768:B$2,-1+SUMPRODUCT(MAX(ROW(E1768:E$2)*(E1769=E1768:E$2)))))</f>
        <v> </v>
      </c>
      <c r="J1769" s="25" t="str">
        <f>IF(OR(E1769="",E1769="!!!",F1769="NEW"),"",COUNTBLANK(OFFSET(A$1,,,SUMPRODUCT(MAX(ROW(E$2:E1769)*(E1769=E$2:E1769)))))-COUNTBLANK(OFFSET(A$1,,,SUMPRODUCT(MAX(ROW(E$1:E1768)*(E2=E$1:E1768))))))</f>
        <v> </v>
      </c>
      <c r="K1769" s="25" t="str">
        <f>IF(OR(E1769="",E1769="!!!",F1769="NEW"),"",INDEX(J$1:J1768,SUMPRODUCT(MAX(ROW(E$1:E1768)*(E1769=E$1:E1768)))))</f>
        <v> </v>
      </c>
      <c r="L1769" s="26"/>
    </row>
    <row r="1770" spans="1:12">
      <c r="A1770" s="20" t="s">
        <v>1048</v>
      </c>
      <c r="B1770" s="27" t="s">
        <v>537</v>
      </c>
      <c r="C1770" s="27" t="s">
        <v>491</v>
      </c>
      <c r="D1770" s="27" t="s">
        <v>483</v>
      </c>
      <c r="E1770" s="21">
        <f>IF(D1770="?OLD","!!!","")</f>
        <v/>
      </c>
      <c r="F1770" s="22" t="str">
        <f>IF(OR(E1770="",E1770="!!!"),"",IF(NOT(ISNA(VLOOKUP(E1770,E$1:E1769,1,FALSE()))),"OLD",IF(AND(E1770&lt;&gt;"",E1770&lt;&gt;"!!!"),"NEW","")))</f>
        <v> </v>
      </c>
      <c r="G1770" s="23" t="str">
        <f>IF(OR(E1770="",E1770="!!!"),"",IF(OR(J1770=0,AND(J1770=1,K1770=1),AND(J1770=1,I1770="SBJ"),AND(J1770=1,I1770=0)),"?IN_FOCUS",IF(J1770&lt;=2,"?ACTIVATED",IF(J1770&lt;&gt;"","?FAMILIAR",IF(F1770="NEW",IF(ISNA(VLOOKUP(E1770,#REF!,1,FALSE())),"?TYPE_IDENTIFIABLE","?REFERENTIAL"),"_")))))</f>
        <v> </v>
      </c>
      <c r="H1770" s="24" t="str">
        <f>IF(J1770&lt;&gt;1,"",IF(I1770="SBJ","CB","?"))</f>
        <v> </v>
      </c>
      <c r="I1770" s="25" t="str">
        <f>IF(OR(E1770="",E1770="!!!",F1770="NEW"),"",INDEX(B1769:B$2,-1+SUMPRODUCT(MAX(ROW(E1769:E$2)*(E1770=E1769:E$2)))))</f>
        <v> </v>
      </c>
      <c r="J1770" s="25" t="str">
        <f>IF(OR(E1770="",E1770="!!!",F1770="NEW"),"",COUNTBLANK(OFFSET(A$1,,,SUMPRODUCT(MAX(ROW(E$2:E1770)*(E1770=E$2:E1770)))))-COUNTBLANK(OFFSET(A$1,,,SUMPRODUCT(MAX(ROW(E$1:E1769)*(E2=E$1:E1769))))))</f>
        <v> </v>
      </c>
      <c r="K1770" s="25" t="str">
        <f>IF(OR(E1770="",E1770="!!!",F1770="NEW"),"",INDEX(J$1:J1769,SUMPRODUCT(MAX(ROW(E$1:E1769)*(E1770=E$1:E1769)))))</f>
        <v> </v>
      </c>
      <c r="L1770" s="26"/>
    </row>
    <row r="1771" spans="1:12">
      <c r="A1771" s="20" t="s">
        <v>1039</v>
      </c>
      <c r="E1771" s="21">
        <f>IF(D1771="?OLD","!!!","")</f>
        <v/>
      </c>
      <c r="F1771" s="22" t="str">
        <f>IF(OR(E1771="",E1771="!!!"),"",IF(NOT(ISNA(VLOOKUP(E1771,E$1:E1770,1,FALSE()))),"OLD",IF(AND(E1771&lt;&gt;"",E1771&lt;&gt;"!!!"),"NEW","")))</f>
        <v> </v>
      </c>
      <c r="G1771" s="23" t="str">
        <f>IF(OR(E1771="",E1771="!!!"),"",IF(OR(J1771=0,AND(J1771=1,K1771=1),AND(J1771=1,I1771="SBJ"),AND(J1771=1,I1771=0)),"?IN_FOCUS",IF(J1771&lt;=2,"?ACTIVATED",IF(J1771&lt;&gt;"","?FAMILIAR",IF(F1771="NEW",IF(ISNA(VLOOKUP(E1771,#REF!,1,FALSE())),"?TYPE_IDENTIFIABLE","?REFERENTIAL"),"_")))))</f>
        <v> </v>
      </c>
      <c r="H1771" s="24" t="str">
        <f>IF(J1771&lt;&gt;1,"",IF(I1771="SBJ","CB","?"))</f>
        <v> </v>
      </c>
      <c r="I1771" s="25" t="str">
        <f>IF(OR(E1771="",E1771="!!!",F1771="NEW"),"",INDEX(B1770:B$2,-1+SUMPRODUCT(MAX(ROW(E1770:E$2)*(E1771=E1770:E$2)))))</f>
        <v> </v>
      </c>
      <c r="J1771" s="25" t="str">
        <f>IF(OR(E1771="",E1771="!!!",F1771="NEW"),"",COUNTBLANK(OFFSET(A$1,,,SUMPRODUCT(MAX(ROW(E$2:E1771)*(E1771=E$2:E1771)))))-COUNTBLANK(OFFSET(A$1,,,SUMPRODUCT(MAX(ROW(E$1:E1770)*(E2=E$1:E1770))))))</f>
        <v> </v>
      </c>
      <c r="K1771" s="25" t="str">
        <f>IF(OR(E1771="",E1771="!!!",F1771="NEW"),"",INDEX(J$1:J1770,SUMPRODUCT(MAX(ROW(E$1:E1770)*(E1771=E$1:E1770)))))</f>
        <v> </v>
      </c>
      <c r="L1771" s="26"/>
    </row>
    <row r="1772" spans="1:12">
      <c r="A1772" s="20" t="s">
        <v>530</v>
      </c>
      <c r="E1772" s="21">
        <f>IF(D1772="?OLD","!!!","")</f>
        <v/>
      </c>
      <c r="F1772" s="22" t="str">
        <f>IF(OR(E1772="",E1772="!!!"),"",IF(NOT(ISNA(VLOOKUP(E1772,E$1:E1771,1,FALSE()))),"OLD",IF(AND(E1772&lt;&gt;"",E1772&lt;&gt;"!!!"),"NEW","")))</f>
        <v> </v>
      </c>
      <c r="G1772" s="23" t="str">
        <f>IF(OR(E1772="",E1772="!!!"),"",IF(OR(J1772=0,AND(J1772=1,K1772=1),AND(J1772=1,I1772="SBJ"),AND(J1772=1,I1772=0)),"?IN_FOCUS",IF(J1772&lt;=2,"?ACTIVATED",IF(J1772&lt;&gt;"","?FAMILIAR",IF(F1772="NEW",IF(ISNA(VLOOKUP(E1772,#REF!,1,FALSE())),"?TYPE_IDENTIFIABLE","?REFERENTIAL"),"_")))))</f>
        <v> </v>
      </c>
      <c r="H1772" s="24" t="str">
        <f>IF(J1772&lt;&gt;1,"",IF(I1772="SBJ","CB","?"))</f>
        <v> </v>
      </c>
      <c r="I1772" s="25" t="str">
        <f>IF(OR(E1772="",E1772="!!!",F1772="NEW"),"",INDEX(B1771:B$2,-1+SUMPRODUCT(MAX(ROW(E1771:E$2)*(E1772=E1771:E$2)))))</f>
        <v> </v>
      </c>
      <c r="J1772" s="25" t="str">
        <f>IF(OR(E1772="",E1772="!!!",F1772="NEW"),"",COUNTBLANK(OFFSET(A$1,,,SUMPRODUCT(MAX(ROW(E$2:E1772)*(E1772=E$2:E1772)))))-COUNTBLANK(OFFSET(A$1,,,SUMPRODUCT(MAX(ROW(E$1:E1771)*(E2=E$1:E1771))))))</f>
        <v> </v>
      </c>
      <c r="K1772" s="25" t="str">
        <f>IF(OR(E1772="",E1772="!!!",F1772="NEW"),"",INDEX(J$1:J1771,SUMPRODUCT(MAX(ROW(E$1:E1771)*(E1772=E$1:E1771)))))</f>
        <v> </v>
      </c>
      <c r="L1772" s="26"/>
    </row>
    <row r="1773" spans="1:12">
      <c r="A1773" s="20" t="s">
        <v>489</v>
      </c>
      <c r="E1773" s="21">
        <f>IF(D1773="?OLD","!!!","")</f>
        <v/>
      </c>
      <c r="F1773" s="22" t="str">
        <f>IF(OR(E1773="",E1773="!!!"),"",IF(NOT(ISNA(VLOOKUP(E1773,E$1:E1772,1,FALSE()))),"OLD",IF(AND(E1773&lt;&gt;"",E1773&lt;&gt;"!!!"),"NEW","")))</f>
        <v> </v>
      </c>
      <c r="G1773" s="23" t="str">
        <f>IF(OR(E1773="",E1773="!!!"),"",IF(OR(J1773=0,AND(J1773=1,K1773=1),AND(J1773=1,I1773="SBJ"),AND(J1773=1,I1773=0)),"?IN_FOCUS",IF(J1773&lt;=2,"?ACTIVATED",IF(J1773&lt;&gt;"","?FAMILIAR",IF(F1773="NEW",IF(ISNA(VLOOKUP(E1773,#REF!,1,FALSE())),"?TYPE_IDENTIFIABLE","?REFERENTIAL"),"_")))))</f>
        <v> </v>
      </c>
      <c r="H1773" s="24" t="str">
        <f>IF(J1773&lt;&gt;1,"",IF(I1773="SBJ","CB","?"))</f>
        <v> </v>
      </c>
      <c r="I1773" s="25" t="str">
        <f>IF(OR(E1773="",E1773="!!!",F1773="NEW"),"",INDEX(B1772:B$2,-1+SUMPRODUCT(MAX(ROW(E1772:E$2)*(E1773=E1772:E$2)))))</f>
        <v> </v>
      </c>
      <c r="J1773" s="25" t="str">
        <f>IF(OR(E1773="",E1773="!!!",F1773="NEW"),"",COUNTBLANK(OFFSET(A$1,,,SUMPRODUCT(MAX(ROW(E$2:E1773)*(E1773=E$2:E1773)))))-COUNTBLANK(OFFSET(A$1,,,SUMPRODUCT(MAX(ROW(E$1:E1772)*(E2=E$1:E1772))))))</f>
        <v> </v>
      </c>
      <c r="K1773" s="25" t="str">
        <f>IF(OR(E1773="",E1773="!!!",F1773="NEW"),"",INDEX(J$1:J1772,SUMPRODUCT(MAX(ROW(E$1:E1772)*(E1773=E$1:E1772)))))</f>
        <v> </v>
      </c>
      <c r="L1773" s="26"/>
    </row>
    <row r="1774" spans="1:12">
      <c r="A1774" s="20" t="s">
        <v>783</v>
      </c>
      <c r="E1774" s="21">
        <f>IF(D1774="?OLD","!!!","")</f>
        <v/>
      </c>
      <c r="F1774" s="22" t="str">
        <f>IF(OR(E1774="",E1774="!!!"),"",IF(NOT(ISNA(VLOOKUP(E1774,E$1:E1773,1,FALSE()))),"OLD",IF(AND(E1774&lt;&gt;"",E1774&lt;&gt;"!!!"),"NEW","")))</f>
        <v> </v>
      </c>
      <c r="G1774" s="23" t="str">
        <f>IF(OR(E1774="",E1774="!!!"),"",IF(OR(J1774=0,AND(J1774=1,K1774=1),AND(J1774=1,I1774="SBJ"),AND(J1774=1,I1774=0)),"?IN_FOCUS",IF(J1774&lt;=2,"?ACTIVATED",IF(J1774&lt;&gt;"","?FAMILIAR",IF(F1774="NEW",IF(ISNA(VLOOKUP(E1774,#REF!,1,FALSE())),"?TYPE_IDENTIFIABLE","?REFERENTIAL"),"_")))))</f>
        <v> </v>
      </c>
      <c r="H1774" s="24" t="str">
        <f>IF(J1774&lt;&gt;1,"",IF(I1774="SBJ","CB","?"))</f>
        <v> </v>
      </c>
      <c r="I1774" s="25" t="str">
        <f>IF(OR(E1774="",E1774="!!!",F1774="NEW"),"",INDEX(B1773:B$2,-1+SUMPRODUCT(MAX(ROW(E1773:E$2)*(E1774=E1773:E$2)))))</f>
        <v> </v>
      </c>
      <c r="J1774" s="25" t="str">
        <f>IF(OR(E1774="",E1774="!!!",F1774="NEW"),"",COUNTBLANK(OFFSET(A$1,,,SUMPRODUCT(MAX(ROW(E$2:E1774)*(E1774=E$2:E1774)))))-COUNTBLANK(OFFSET(A$1,,,SUMPRODUCT(MAX(ROW(E$1:E1773)*(E2=E$1:E1773))))))</f>
        <v> </v>
      </c>
      <c r="K1774" s="25" t="str">
        <f>IF(OR(E1774="",E1774="!!!",F1774="NEW"),"",INDEX(J$1:J1773,SUMPRODUCT(MAX(ROW(E$1:E1773)*(E1774=E$1:E1773)))))</f>
        <v> </v>
      </c>
      <c r="L1774" s="26"/>
    </row>
    <row r="1775" spans="1:12">
      <c r="A1775" s="20" t="s">
        <v>577</v>
      </c>
      <c r="E1775" s="21">
        <f>IF(D1775="?OLD","!!!","")</f>
        <v/>
      </c>
      <c r="F1775" s="22" t="str">
        <f>IF(OR(E1775="",E1775="!!!"),"",IF(NOT(ISNA(VLOOKUP(E1775,E$1:E1774,1,FALSE()))),"OLD",IF(AND(E1775&lt;&gt;"",E1775&lt;&gt;"!!!"),"NEW","")))</f>
        <v> </v>
      </c>
      <c r="G1775" s="23" t="str">
        <f>IF(OR(E1775="",E1775="!!!"),"",IF(OR(J1775=0,AND(J1775=1,K1775=1),AND(J1775=1,I1775="SBJ"),AND(J1775=1,I1775=0)),"?IN_FOCUS",IF(J1775&lt;=2,"?ACTIVATED",IF(J1775&lt;&gt;"","?FAMILIAR",IF(F1775="NEW",IF(ISNA(VLOOKUP(E1775,#REF!,1,FALSE())),"?TYPE_IDENTIFIABLE","?REFERENTIAL"),"_")))))</f>
        <v> </v>
      </c>
      <c r="H1775" s="24" t="str">
        <f>IF(J1775&lt;&gt;1,"",IF(I1775="SBJ","CB","?"))</f>
        <v> </v>
      </c>
      <c r="I1775" s="25" t="str">
        <f>IF(OR(E1775="",E1775="!!!",F1775="NEW"),"",INDEX(B1774:B$2,-1+SUMPRODUCT(MAX(ROW(E1774:E$2)*(E1775=E1774:E$2)))))</f>
        <v> </v>
      </c>
      <c r="J1775" s="25" t="str">
        <f>IF(OR(E1775="",E1775="!!!",F1775="NEW"),"",COUNTBLANK(OFFSET(A$1,,,SUMPRODUCT(MAX(ROW(E$2:E1775)*(E1775=E$2:E1775)))))-COUNTBLANK(OFFSET(A$1,,,SUMPRODUCT(MAX(ROW(E$1:E1774)*(E2=E$1:E1774))))))</f>
        <v> </v>
      </c>
      <c r="K1775" s="25" t="str">
        <f>IF(OR(E1775="",E1775="!!!",F1775="NEW"),"",INDEX(J$1:J1774,SUMPRODUCT(MAX(ROW(E$1:E1774)*(E1775=E$1:E1774)))))</f>
        <v> </v>
      </c>
      <c r="L1775" s="26"/>
    </row>
    <row r="1776" spans="1:12">
      <c r="A1776" s="20" t="s">
        <v>492</v>
      </c>
      <c r="E1776" s="21">
        <f>IF(D1776="?OLD","!!!","")</f>
        <v/>
      </c>
      <c r="F1776" s="22" t="str">
        <f>IF(OR(E1776="",E1776="!!!"),"",IF(NOT(ISNA(VLOOKUP(E1776,E$1:E1775,1,FALSE()))),"OLD",IF(AND(E1776&lt;&gt;"",E1776&lt;&gt;"!!!"),"NEW","")))</f>
        <v> </v>
      </c>
      <c r="G1776" s="23" t="str">
        <f>IF(OR(E1776="",E1776="!!!"),"",IF(OR(J1776=0,AND(J1776=1,K1776=1),AND(J1776=1,I1776="SBJ"),AND(J1776=1,I1776=0)),"?IN_FOCUS",IF(J1776&lt;=2,"?ACTIVATED",IF(J1776&lt;&gt;"","?FAMILIAR",IF(F1776="NEW",IF(ISNA(VLOOKUP(E1776,#REF!,1,FALSE())),"?TYPE_IDENTIFIABLE","?REFERENTIAL"),"_")))))</f>
        <v> </v>
      </c>
      <c r="H1776" s="24" t="str">
        <f>IF(J1776&lt;&gt;1,"",IF(I1776="SBJ","CB","?"))</f>
        <v> </v>
      </c>
      <c r="I1776" s="25" t="str">
        <f>IF(OR(E1776="",E1776="!!!",F1776="NEW"),"",INDEX(B1775:B$2,-1+SUMPRODUCT(MAX(ROW(E1775:E$2)*(E1776=E1775:E$2)))))</f>
        <v> </v>
      </c>
      <c r="J1776" s="25" t="str">
        <f>IF(OR(E1776="",E1776="!!!",F1776="NEW"),"",COUNTBLANK(OFFSET(A$1,,,SUMPRODUCT(MAX(ROW(E$2:E1776)*(E1776=E$2:E1776)))))-COUNTBLANK(OFFSET(A$1,,,SUMPRODUCT(MAX(ROW(E$1:E1775)*(E2=E$1:E1775))))))</f>
        <v> </v>
      </c>
      <c r="K1776" s="25" t="str">
        <f>IF(OR(E1776="",E1776="!!!",F1776="NEW"),"",INDEX(J$1:J1775,SUMPRODUCT(MAX(ROW(E$1:E1775)*(E1776=E$1:E1775)))))</f>
        <v> </v>
      </c>
      <c r="L1776" s="26"/>
    </row>
    <row r="1777" spans="1:12">
      <c r="A1777" s="20" t="s">
        <v>23</v>
      </c>
      <c r="E1777" s="21">
        <f>IF(D1777="?OLD","!!!","")</f>
        <v/>
      </c>
      <c r="F1777" s="22" t="str">
        <f>IF(OR(E1777="",E1777="!!!"),"",IF(NOT(ISNA(VLOOKUP(E1777,E$1:E1776,1,FALSE()))),"OLD",IF(AND(E1777&lt;&gt;"",E1777&lt;&gt;"!!!"),"NEW","")))</f>
        <v> </v>
      </c>
      <c r="G1777" s="23" t="str">
        <f>IF(OR(E1777="",E1777="!!!"),"",IF(OR(J1777=0,AND(J1777=1,K1777=1),AND(J1777=1,I1777="SBJ"),AND(J1777=1,I1777=0)),"?IN_FOCUS",IF(J1777&lt;=2,"?ACTIVATED",IF(J1777&lt;&gt;"","?FAMILIAR",IF(F1777="NEW",IF(ISNA(VLOOKUP(E1777,#REF!,1,FALSE())),"?TYPE_IDENTIFIABLE","?REFERENTIAL"),"_")))))</f>
        <v> </v>
      </c>
      <c r="H1777" s="24" t="str">
        <f>IF(J1777&lt;&gt;1,"",IF(I1777="SBJ","CB","?"))</f>
        <v> </v>
      </c>
      <c r="I1777" s="25" t="str">
        <f>IF(OR(E1777="",E1777="!!!",F1777="NEW"),"",INDEX(B1776:B$2,-1+SUMPRODUCT(MAX(ROW(E1776:E$2)*(E1777=E1776:E$2)))))</f>
        <v> </v>
      </c>
      <c r="J1777" s="25" t="str">
        <f>IF(OR(E1777="",E1777="!!!",F1777="NEW"),"",COUNTBLANK(OFFSET(A$1,,,SUMPRODUCT(MAX(ROW(E$2:E1777)*(E1777=E$2:E1777)))))-COUNTBLANK(OFFSET(A$1,,,SUMPRODUCT(MAX(ROW(E$1:E1776)*(E2=E$1:E1776))))))</f>
        <v> </v>
      </c>
      <c r="K1777" s="25" t="str">
        <f>IF(OR(E1777="",E1777="!!!",F1777="NEW"),"",INDEX(J$1:J1776,SUMPRODUCT(MAX(ROW(E$1:E1776)*(E1777=E$1:E1776)))))</f>
        <v> </v>
      </c>
      <c r="L1777" s="26"/>
    </row>
    <row r="1778" spans="1:12">
      <c r="A1778" s="20" t="s">
        <v>847</v>
      </c>
      <c r="E1778" s="21">
        <f>IF(D1778="?OLD","!!!","")</f>
        <v/>
      </c>
      <c r="F1778" s="22" t="str">
        <f>IF(OR(E1778="",E1778="!!!"),"",IF(NOT(ISNA(VLOOKUP(E1778,E$1:E1777,1,FALSE()))),"OLD",IF(AND(E1778&lt;&gt;"",E1778&lt;&gt;"!!!"),"NEW","")))</f>
        <v> </v>
      </c>
      <c r="G1778" s="23" t="str">
        <f>IF(OR(E1778="",E1778="!!!"),"",IF(OR(J1778=0,AND(J1778=1,K1778=1),AND(J1778=1,I1778="SBJ"),AND(J1778=1,I1778=0)),"?IN_FOCUS",IF(J1778&lt;=2,"?ACTIVATED",IF(J1778&lt;&gt;"","?FAMILIAR",IF(F1778="NEW",IF(ISNA(VLOOKUP(E1778,#REF!,1,FALSE())),"?TYPE_IDENTIFIABLE","?REFERENTIAL"),"_")))))</f>
        <v> </v>
      </c>
      <c r="H1778" s="24" t="str">
        <f>IF(J1778&lt;&gt;1,"",IF(I1778="SBJ","CB","?"))</f>
        <v> </v>
      </c>
      <c r="I1778" s="25" t="str">
        <f>IF(OR(E1778="",E1778="!!!",F1778="NEW"),"",INDEX(B1777:B$2,-1+SUMPRODUCT(MAX(ROW(E1777:E$2)*(E1778=E1777:E$2)))))</f>
        <v> </v>
      </c>
      <c r="J1778" s="25" t="str">
        <f>IF(OR(E1778="",E1778="!!!",F1778="NEW"),"",COUNTBLANK(OFFSET(A$1,,,SUMPRODUCT(MAX(ROW(E$2:E1778)*(E1778=E$2:E1778)))))-COUNTBLANK(OFFSET(A$1,,,SUMPRODUCT(MAX(ROW(E$1:E1777)*(E2=E$1:E1777))))))</f>
        <v> </v>
      </c>
      <c r="K1778" s="25" t="str">
        <f>IF(OR(E1778="",E1778="!!!",F1778="NEW"),"",INDEX(J$1:J1777,SUMPRODUCT(MAX(ROW(E$1:E1777)*(E1778=E$1:E1777)))))</f>
        <v> </v>
      </c>
      <c r="L1778" s="26"/>
    </row>
    <row r="1779" spans="1:12">
      <c r="A1779" s="20" t="s">
        <v>486</v>
      </c>
      <c r="B1779" s="27" t="s">
        <v>556</v>
      </c>
      <c r="C1779" s="27" t="s">
        <v>478</v>
      </c>
      <c r="E1779" s="21">
        <f>IF(D1779="?OLD","!!!","")</f>
        <v/>
      </c>
      <c r="F1779" s="22" t="str">
        <f>IF(OR(E1779="",E1779="!!!"),"",IF(NOT(ISNA(VLOOKUP(E1779,E$1:E1778,1,FALSE()))),"OLD",IF(AND(E1779&lt;&gt;"",E1779&lt;&gt;"!!!"),"NEW","")))</f>
        <v> </v>
      </c>
      <c r="G1779" s="23" t="str">
        <f>IF(OR(E1779="",E1779="!!!"),"",IF(OR(J1779=0,AND(J1779=1,K1779=1),AND(J1779=1,I1779="SBJ"),AND(J1779=1,I1779=0)),"?IN_FOCUS",IF(J1779&lt;=2,"?ACTIVATED",IF(J1779&lt;&gt;"","?FAMILIAR",IF(F1779="NEW",IF(ISNA(VLOOKUP(E1779,#REF!,1,FALSE())),"?TYPE_IDENTIFIABLE","?REFERENTIAL"),"_")))))</f>
        <v> </v>
      </c>
      <c r="H1779" s="24" t="str">
        <f>IF(J1779&lt;&gt;1,"",IF(I1779="SBJ","CB","?"))</f>
        <v> </v>
      </c>
      <c r="I1779" s="25" t="str">
        <f>IF(OR(E1779="",E1779="!!!",F1779="NEW"),"",INDEX(B1778:B$2,-1+SUMPRODUCT(MAX(ROW(E1778:E$2)*(E1779=E1778:E$2)))))</f>
        <v> </v>
      </c>
      <c r="J1779" s="25" t="str">
        <f>IF(OR(E1779="",E1779="!!!",F1779="NEW"),"",COUNTBLANK(OFFSET(A$1,,,SUMPRODUCT(MAX(ROW(E$2:E1779)*(E1779=E$2:E1779)))))-COUNTBLANK(OFFSET(A$1,,,SUMPRODUCT(MAX(ROW(E$1:E1778)*(E2=E$1:E1778))))))</f>
        <v> </v>
      </c>
      <c r="K1779" s="25" t="str">
        <f>IF(OR(E1779="",E1779="!!!",F1779="NEW"),"",INDEX(J$1:J1778,SUMPRODUCT(MAX(ROW(E$1:E1778)*(E1779=E$1:E1778)))))</f>
        <v> </v>
      </c>
      <c r="L1779" s="26"/>
    </row>
    <row r="1780" spans="1:12">
      <c r="A1780" s="20" t="s">
        <v>531</v>
      </c>
      <c r="E1780" s="21">
        <f>IF(D1780="?OLD","!!!","")</f>
        <v/>
      </c>
      <c r="F1780" s="22" t="str">
        <f>IF(OR(E1780="",E1780="!!!"),"",IF(NOT(ISNA(VLOOKUP(E1780,E$1:E1779,1,FALSE()))),"OLD",IF(AND(E1780&lt;&gt;"",E1780&lt;&gt;"!!!"),"NEW","")))</f>
        <v> </v>
      </c>
      <c r="G1780" s="23" t="str">
        <f>IF(OR(E1780="",E1780="!!!"),"",IF(OR(J1780=0,AND(J1780=1,K1780=1),AND(J1780=1,I1780="SBJ"),AND(J1780=1,I1780=0)),"?IN_FOCUS",IF(J1780&lt;=2,"?ACTIVATED",IF(J1780&lt;&gt;"","?FAMILIAR",IF(F1780="NEW",IF(ISNA(VLOOKUP(E1780,#REF!,1,FALSE())),"?TYPE_IDENTIFIABLE","?REFERENTIAL"),"_")))))</f>
        <v> </v>
      </c>
      <c r="H1780" s="24" t="str">
        <f>IF(J1780&lt;&gt;1,"",IF(I1780="SBJ","CB","?"))</f>
        <v> </v>
      </c>
      <c r="I1780" s="25" t="str">
        <f>IF(OR(E1780="",E1780="!!!",F1780="NEW"),"",INDEX(B1779:B$2,-1+SUMPRODUCT(MAX(ROW(E1779:E$2)*(E1780=E1779:E$2)))))</f>
        <v> </v>
      </c>
      <c r="J1780" s="25" t="str">
        <f>IF(OR(E1780="",E1780="!!!",F1780="NEW"),"",COUNTBLANK(OFFSET(A$1,,,SUMPRODUCT(MAX(ROW(E$2:E1780)*(E1780=E$2:E1780)))))-COUNTBLANK(OFFSET(A$1,,,SUMPRODUCT(MAX(ROW(E$1:E1779)*(E2=E$1:E1779))))))</f>
        <v> </v>
      </c>
      <c r="K1780" s="25" t="str">
        <f>IF(OR(E1780="",E1780="!!!",F1780="NEW"),"",INDEX(J$1:J1779,SUMPRODUCT(MAX(ROW(E$1:E1779)*(E1780=E$1:E1779)))))</f>
        <v> </v>
      </c>
      <c r="L1780" s="26"/>
    </row>
    <row r="1781" spans="1:12">
      <c r="A1781" s="20"/>
    </row>
    <row r="1782" spans="1:12">
      <c r="A1782" s="20" t="s">
        <v>606</v>
      </c>
      <c r="E1782" s="21">
        <f>IF(D1782="?OLD","!!!","")</f>
        <v/>
      </c>
      <c r="F1782" s="22" t="str">
        <f>IF(OR(E1782="",E1782="!!!"),"",IF(NOT(ISNA(VLOOKUP(E1782,E$1:E1781,1,FALSE()))),"OLD",IF(AND(E1782&lt;&gt;"",E1782&lt;&gt;"!!!"),"NEW","")))</f>
        <v> </v>
      </c>
      <c r="G1782" s="23" t="str">
        <f>IF(OR(E1782="",E1782="!!!"),"",IF(OR(J1782=0,AND(J1782=1,K1782=1),AND(J1782=1,I1782="SBJ"),AND(J1782=1,I1782=0)),"?IN_FOCUS",IF(J1782&lt;=2,"?ACTIVATED",IF(J1782&lt;&gt;"","?FAMILIAR",IF(F1782="NEW",IF(ISNA(VLOOKUP(E1782,#REF!,1,FALSE())),"?TYPE_IDENTIFIABLE","?REFERENTIAL"),"_")))))</f>
        <v> </v>
      </c>
      <c r="H1782" s="24" t="str">
        <f>IF(J1782&lt;&gt;1,"",IF(I1782="SBJ","CB","?"))</f>
        <v> </v>
      </c>
      <c r="I1782" s="25" t="str">
        <f>IF(OR(E1782="",E1782="!!!",F1782="NEW"),"",INDEX(B1781:B$2,-1+SUMPRODUCT(MAX(ROW(E1781:E$2)*(E1782=E1781:E$2)))))</f>
        <v> </v>
      </c>
      <c r="J1782" s="25" t="str">
        <f>IF(OR(E1782="",E1782="!!!",F1782="NEW"),"",COUNTBLANK(OFFSET(A$1,,,SUMPRODUCT(MAX(ROW(E$2:E1782)*(E1782=E$2:E1782)))))-COUNTBLANK(OFFSET(A$1,,,SUMPRODUCT(MAX(ROW(E$1:E1781)*(E2=E$1:E1781))))))</f>
        <v> </v>
      </c>
      <c r="K1782" s="25" t="str">
        <f>IF(OR(E1782="",E1782="!!!",F1782="NEW"),"",INDEX(J$1:J1781,SUMPRODUCT(MAX(ROW(E$1:E1781)*(E1782=E$1:E1781)))))</f>
        <v> </v>
      </c>
      <c r="L1782" s="26"/>
    </row>
    <row r="1783" spans="1:12">
      <c r="A1783" s="20" t="s">
        <v>1064</v>
      </c>
    </row>
    <row r="1784" spans="1:12">
      <c r="A1784" s="20" t="s">
        <v>610</v>
      </c>
      <c r="E1784" s="21">
        <f>IF(D1784="?OLD","!!!","")</f>
        <v/>
      </c>
      <c r="F1784" s="22" t="str">
        <f>IF(OR(E1784="",E1784="!!!"),"",IF(NOT(ISNA(VLOOKUP(E1784,E$1:E1783,1,FALSE()))),"OLD",IF(AND(E1784&lt;&gt;"",E1784&lt;&gt;"!!!"),"NEW","")))</f>
        <v> </v>
      </c>
      <c r="G1784" s="23" t="str">
        <f>IF(OR(E1784="",E1784="!!!"),"",IF(OR(J1784=0,AND(J1784=1,K1784=1),AND(J1784=1,I1784="SBJ"),AND(J1784=1,I1784=0)),"?IN_FOCUS",IF(J1784&lt;=2,"?ACTIVATED",IF(J1784&lt;&gt;"","?FAMILIAR",IF(F1784="NEW",IF(ISNA(VLOOKUP(E1784,#REF!,1,FALSE())),"?TYPE_IDENTIFIABLE","?REFERENTIAL"),"_")))))</f>
        <v> </v>
      </c>
      <c r="H1784" s="24" t="str">
        <f>IF(J1784&lt;&gt;1,"",IF(I1784="SBJ","CB","?"))</f>
        <v> </v>
      </c>
      <c r="I1784" s="25" t="str">
        <f>IF(OR(E1784="",E1784="!!!",F1784="NEW"),"",INDEX(B1783:B$2,-1+SUMPRODUCT(MAX(ROW(E1783:E$2)*(E1784=E1783:E$2)))))</f>
        <v> </v>
      </c>
      <c r="J1784" s="25" t="str">
        <f>IF(OR(E1784="",E1784="!!!",F1784="NEW"),"",COUNTBLANK(OFFSET(A$1,,,SUMPRODUCT(MAX(ROW(E$2:E1784)*(E1784=E$2:E1784)))))-COUNTBLANK(OFFSET(A$1,,,SUMPRODUCT(MAX(ROW(E$1:E1783)*(E2=E$1:E1783))))))</f>
        <v> </v>
      </c>
      <c r="K1784" s="25" t="str">
        <f>IF(OR(E1784="",E1784="!!!",F1784="NEW"),"",INDEX(J$1:J1783,SUMPRODUCT(MAX(ROW(E$1:E1783)*(E1784=E$1:E1783)))))</f>
        <v> </v>
      </c>
      <c r="L1784" s="26"/>
    </row>
    <row r="1785" spans="1:12">
      <c r="A1785" s="20" t="s">
        <v>566</v>
      </c>
      <c r="E1785" s="21">
        <f>IF(D1785="?OLD","!!!","")</f>
        <v/>
      </c>
      <c r="F1785" s="22" t="str">
        <f>IF(OR(E1785="",E1785="!!!"),"",IF(NOT(ISNA(VLOOKUP(E1785,E$1:E1784,1,FALSE()))),"OLD",IF(AND(E1785&lt;&gt;"",E1785&lt;&gt;"!!!"),"NEW","")))</f>
        <v> </v>
      </c>
      <c r="G1785" s="23" t="str">
        <f>IF(OR(E1785="",E1785="!!!"),"",IF(OR(J1785=0,AND(J1785=1,K1785=1),AND(J1785=1,I1785="SBJ"),AND(J1785=1,I1785=0)),"?IN_FOCUS",IF(J1785&lt;=2,"?ACTIVATED",IF(J1785&lt;&gt;"","?FAMILIAR",IF(F1785="NEW",IF(ISNA(VLOOKUP(E1785,#REF!,1,FALSE())),"?TYPE_IDENTIFIABLE","?REFERENTIAL"),"_")))))</f>
        <v> </v>
      </c>
      <c r="H1785" s="24" t="str">
        <f>IF(J1785&lt;&gt;1,"",IF(I1785="SBJ","CB","?"))</f>
        <v> </v>
      </c>
      <c r="I1785" s="25" t="str">
        <f>IF(OR(E1785="",E1785="!!!",F1785="NEW"),"",INDEX(B1784:B$2,-1+SUMPRODUCT(MAX(ROW(E1784:E$2)*(E1785=E1784:E$2)))))</f>
        <v> </v>
      </c>
      <c r="J1785" s="25" t="str">
        <f>IF(OR(E1785="",E1785="!!!",F1785="NEW"),"",COUNTBLANK(OFFSET(A$1,,,SUMPRODUCT(MAX(ROW(E$2:E1785)*(E1785=E$2:E1785)))))-COUNTBLANK(OFFSET(A$1,,,SUMPRODUCT(MAX(ROW(E$1:E1784)*(E2=E$1:E1784))))))</f>
        <v> </v>
      </c>
      <c r="K1785" s="25" t="str">
        <f>IF(OR(E1785="",E1785="!!!",F1785="NEW"),"",INDEX(J$1:J1784,SUMPRODUCT(MAX(ROW(E$1:E1784)*(E1785=E$1:E1784)))))</f>
        <v> </v>
      </c>
      <c r="L1785" s="26"/>
    </row>
    <row r="1786" spans="1:12">
      <c r="A1786" s="20" t="s">
        <v>1065</v>
      </c>
      <c r="E1786" s="21">
        <f>IF(D1786="?OLD","!!!","")</f>
        <v/>
      </c>
      <c r="F1786" s="22" t="str">
        <f>IF(OR(E1786="",E1786="!!!"),"",IF(NOT(ISNA(VLOOKUP(E1786,E$1:E1785,1,FALSE()))),"OLD",IF(AND(E1786&lt;&gt;"",E1786&lt;&gt;"!!!"),"NEW","")))</f>
        <v> </v>
      </c>
      <c r="G1786" s="23" t="str">
        <f>IF(OR(E1786="",E1786="!!!"),"",IF(OR(J1786=0,AND(J1786=1,K1786=1),AND(J1786=1,I1786="SBJ"),AND(J1786=1,I1786=0)),"?IN_FOCUS",IF(J1786&lt;=2,"?ACTIVATED",IF(J1786&lt;&gt;"","?FAMILIAR",IF(F1786="NEW",IF(ISNA(VLOOKUP(E1786,#REF!,1,FALSE())),"?TYPE_IDENTIFIABLE","?REFERENTIAL"),"_")))))</f>
        <v> </v>
      </c>
      <c r="H1786" s="24" t="str">
        <f>IF(J1786&lt;&gt;1,"",IF(I1786="SBJ","CB","?"))</f>
        <v> </v>
      </c>
      <c r="I1786" s="25" t="str">
        <f>IF(OR(E1786="",E1786="!!!",F1786="NEW"),"",INDEX(B1785:B$2,-1+SUMPRODUCT(MAX(ROW(E1785:E$2)*(E1786=E1785:E$2)))))</f>
        <v> </v>
      </c>
      <c r="J1786" s="25" t="str">
        <f>IF(OR(E1786="",E1786="!!!",F1786="NEW"),"",COUNTBLANK(OFFSET(A$1,,,SUMPRODUCT(MAX(ROW(E$2:E1786)*(E1786=E$2:E1786)))))-COUNTBLANK(OFFSET(A$1,,,SUMPRODUCT(MAX(ROW(E$1:E1785)*(E2=E$1:E1785))))))</f>
        <v> </v>
      </c>
      <c r="K1786" s="25" t="str">
        <f>IF(OR(E1786="",E1786="!!!",F1786="NEW"),"",INDEX(J$1:J1785,SUMPRODUCT(MAX(ROW(E$1:E1785)*(E1786=E$1:E1785)))))</f>
        <v> </v>
      </c>
      <c r="L1786" s="26"/>
    </row>
    <row r="1787" spans="1:12">
      <c r="A1787" s="20" t="s">
        <v>530</v>
      </c>
      <c r="E1787" s="21">
        <f>IF(D1787="?OLD","!!!","")</f>
        <v/>
      </c>
      <c r="F1787" s="22" t="str">
        <f>IF(OR(E1787="",E1787="!!!"),"",IF(NOT(ISNA(VLOOKUP(E1787,E$1:E1786,1,FALSE()))),"OLD",IF(AND(E1787&lt;&gt;"",E1787&lt;&gt;"!!!"),"NEW","")))</f>
        <v> </v>
      </c>
      <c r="G1787" s="23" t="str">
        <f>IF(OR(E1787="",E1787="!!!"),"",IF(OR(J1787=0,AND(J1787=1,K1787=1),AND(J1787=1,I1787="SBJ"),AND(J1787=1,I1787=0)),"?IN_FOCUS",IF(J1787&lt;=2,"?ACTIVATED",IF(J1787&lt;&gt;"","?FAMILIAR",IF(F1787="NEW",IF(ISNA(VLOOKUP(E1787,#REF!,1,FALSE())),"?TYPE_IDENTIFIABLE","?REFERENTIAL"),"_")))))</f>
        <v> </v>
      </c>
      <c r="H1787" s="24" t="str">
        <f>IF(J1787&lt;&gt;1,"",IF(I1787="SBJ","CB","?"))</f>
        <v> </v>
      </c>
      <c r="I1787" s="25" t="str">
        <f>IF(OR(E1787="",E1787="!!!",F1787="NEW"),"",INDEX(B1786:B$2,-1+SUMPRODUCT(MAX(ROW(E1786:E$2)*(E1787=E1786:E$2)))))</f>
        <v> </v>
      </c>
      <c r="J1787" s="25" t="str">
        <f>IF(OR(E1787="",E1787="!!!",F1787="NEW"),"",COUNTBLANK(OFFSET(A$1,,,SUMPRODUCT(MAX(ROW(E$2:E1787)*(E1787=E$2:E1787)))))-COUNTBLANK(OFFSET(A$1,,,SUMPRODUCT(MAX(ROW(E$1:E1786)*(E2=E$1:E1786))))))</f>
        <v> </v>
      </c>
      <c r="K1787" s="25" t="str">
        <f>IF(OR(E1787="",E1787="!!!",F1787="NEW"),"",INDEX(J$1:J1786,SUMPRODUCT(MAX(ROW(E$1:E1786)*(E1787=E$1:E1786)))))</f>
        <v> </v>
      </c>
      <c r="L1787" s="26"/>
    </row>
    <row r="1788" spans="1:12">
      <c r="A1788" s="20" t="s">
        <v>1029</v>
      </c>
      <c r="B1788" s="27" t="s">
        <v>549</v>
      </c>
      <c r="C1788" s="27" t="s">
        <v>482</v>
      </c>
      <c r="D1788" s="27" t="s">
        <v>483</v>
      </c>
      <c r="E1788" s="21">
        <f>IF(D1788="?OLD","!!!","")</f>
        <v/>
      </c>
      <c r="F1788" s="22" t="str">
        <f>IF(OR(E1788="",E1788="!!!"),"",IF(NOT(ISNA(VLOOKUP(E1788,E$1:E1787,1,FALSE()))),"OLD",IF(AND(E1788&lt;&gt;"",E1788&lt;&gt;"!!!"),"NEW","")))</f>
        <v> </v>
      </c>
      <c r="G1788" s="23" t="str">
        <f>IF(OR(E1788="",E1788="!!!"),"",IF(OR(J1788=0,AND(J1788=1,K1788=1),AND(J1788=1,I1788="SBJ"),AND(J1788=1,I1788=0)),"?IN_FOCUS",IF(J1788&lt;=2,"?ACTIVATED",IF(J1788&lt;&gt;"","?FAMILIAR",IF(F1788="NEW",IF(ISNA(VLOOKUP(E1788,#REF!,1,FALSE())),"?TYPE_IDENTIFIABLE","?REFERENTIAL"),"_")))))</f>
        <v> </v>
      </c>
      <c r="H1788" s="24" t="str">
        <f>IF(J1788&lt;&gt;1,"",IF(I1788="SBJ","CB","?"))</f>
        <v> </v>
      </c>
      <c r="I1788" s="25" t="str">
        <f>IF(OR(E1788="",E1788="!!!",F1788="NEW"),"",INDEX(B1787:B$2,-1+SUMPRODUCT(MAX(ROW(E1787:E$2)*(E1788=E1787:E$2)))))</f>
        <v> </v>
      </c>
      <c r="J1788" s="25" t="str">
        <f>IF(OR(E1788="",E1788="!!!",F1788="NEW"),"",COUNTBLANK(OFFSET(A$1,,,SUMPRODUCT(MAX(ROW(E$2:E1788)*(E1788=E$2:E1788)))))-COUNTBLANK(OFFSET(A$1,,,SUMPRODUCT(MAX(ROW(E$1:E1787)*(E2=E$1:E1787))))))</f>
        <v> </v>
      </c>
      <c r="K1788" s="25" t="str">
        <f>IF(OR(E1788="",E1788="!!!",F1788="NEW"),"",INDEX(J$1:J1787,SUMPRODUCT(MAX(ROW(E$1:E1787)*(E1788=E$1:E1787)))))</f>
        <v> </v>
      </c>
      <c r="L1788" s="26"/>
    </row>
    <row r="1789" spans="1:12">
      <c r="A1789" s="20" t="s">
        <v>1066</v>
      </c>
      <c r="E1789" s="21">
        <f>IF(D1789="?OLD","!!!","")</f>
        <v/>
      </c>
      <c r="F1789" s="22" t="str">
        <f>IF(OR(E1789="",E1789="!!!"),"",IF(NOT(ISNA(VLOOKUP(E1789,E$1:E1788,1,FALSE()))),"OLD",IF(AND(E1789&lt;&gt;"",E1789&lt;&gt;"!!!"),"NEW","")))</f>
        <v> </v>
      </c>
      <c r="G1789" s="23" t="str">
        <f>IF(OR(E1789="",E1789="!!!"),"",IF(OR(J1789=0,AND(J1789=1,K1789=1),AND(J1789=1,I1789="SBJ"),AND(J1789=1,I1789=0)),"?IN_FOCUS",IF(J1789&lt;=2,"?ACTIVATED",IF(J1789&lt;&gt;"","?FAMILIAR",IF(F1789="NEW",IF(ISNA(VLOOKUP(E1789,#REF!,1,FALSE())),"?TYPE_IDENTIFIABLE","?REFERENTIAL"),"_")))))</f>
        <v> </v>
      </c>
      <c r="H1789" s="24" t="str">
        <f>IF(J1789&lt;&gt;1,"",IF(I1789="SBJ","CB","?"))</f>
        <v> </v>
      </c>
      <c r="I1789" s="25" t="str">
        <f>IF(OR(E1789="",E1789="!!!",F1789="NEW"),"",INDEX(B1788:B$2,-1+SUMPRODUCT(MAX(ROW(E1788:E$2)*(E1789=E1788:E$2)))))</f>
        <v> </v>
      </c>
      <c r="J1789" s="25" t="str">
        <f>IF(OR(E1789="",E1789="!!!",F1789="NEW"),"",COUNTBLANK(OFFSET(A$1,,,SUMPRODUCT(MAX(ROW(E$2:E1789)*(E1789=E$2:E1789)))))-COUNTBLANK(OFFSET(A$1,,,SUMPRODUCT(MAX(ROW(E$1:E1788)*(E2=E$1:E1788))))))</f>
        <v> </v>
      </c>
      <c r="K1789" s="25" t="str">
        <f>IF(OR(E1789="",E1789="!!!",F1789="NEW"),"",INDEX(J$1:J1788,SUMPRODUCT(MAX(ROW(E$1:E1788)*(E1789=E$1:E1788)))))</f>
        <v> </v>
      </c>
      <c r="L1789" s="26"/>
    </row>
    <row r="1790" spans="1:12">
      <c r="A1790" s="20" t="s">
        <v>561</v>
      </c>
      <c r="E1790" s="21">
        <f>IF(D1790="?OLD","!!!","")</f>
        <v/>
      </c>
      <c r="F1790" s="22" t="str">
        <f>IF(OR(E1790="",E1790="!!!"),"",IF(NOT(ISNA(VLOOKUP(E1790,E$1:E1789,1,FALSE()))),"OLD",IF(AND(E1790&lt;&gt;"",E1790&lt;&gt;"!!!"),"NEW","")))</f>
        <v> </v>
      </c>
      <c r="G1790" s="23" t="str">
        <f>IF(OR(E1790="",E1790="!!!"),"",IF(OR(J1790=0,AND(J1790=1,K1790=1),AND(J1790=1,I1790="SBJ"),AND(J1790=1,I1790=0)),"?IN_FOCUS",IF(J1790&lt;=2,"?ACTIVATED",IF(J1790&lt;&gt;"","?FAMILIAR",IF(F1790="NEW",IF(ISNA(VLOOKUP(E1790,#REF!,1,FALSE())),"?TYPE_IDENTIFIABLE","?REFERENTIAL"),"_")))))</f>
        <v> </v>
      </c>
      <c r="H1790" s="24" t="str">
        <f>IF(J1790&lt;&gt;1,"",IF(I1790="SBJ","CB","?"))</f>
        <v> </v>
      </c>
      <c r="I1790" s="25" t="str">
        <f>IF(OR(E1790="",E1790="!!!",F1790="NEW"),"",INDEX(B1789:B$2,-1+SUMPRODUCT(MAX(ROW(E1789:E$2)*(E1790=E1789:E$2)))))</f>
        <v> </v>
      </c>
      <c r="J1790" s="25" t="str">
        <f>IF(OR(E1790="",E1790="!!!",F1790="NEW"),"",COUNTBLANK(OFFSET(A$1,,,SUMPRODUCT(MAX(ROW(E$2:E1790)*(E1790=E$2:E1790)))))-COUNTBLANK(OFFSET(A$1,,,SUMPRODUCT(MAX(ROW(E$1:E1789)*(E2=E$1:E1789))))))</f>
        <v> </v>
      </c>
      <c r="K1790" s="25" t="str">
        <f>IF(OR(E1790="",E1790="!!!",F1790="NEW"),"",INDEX(J$1:J1789,SUMPRODUCT(MAX(ROW(E$1:E1789)*(E1790=E$1:E1789)))))</f>
        <v> </v>
      </c>
      <c r="L1790" s="26"/>
    </row>
    <row r="1791" spans="1:12">
      <c r="A1791" s="20" t="s">
        <v>610</v>
      </c>
      <c r="E1791" s="21">
        <f>IF(D1791="?OLD","!!!","")</f>
        <v/>
      </c>
      <c r="F1791" s="22" t="str">
        <f>IF(OR(E1791="",E1791="!!!"),"",IF(NOT(ISNA(VLOOKUP(E1791,E$1:E1790,1,FALSE()))),"OLD",IF(AND(E1791&lt;&gt;"",E1791&lt;&gt;"!!!"),"NEW","")))</f>
        <v> </v>
      </c>
      <c r="G1791" s="23" t="str">
        <f>IF(OR(E1791="",E1791="!!!"),"",IF(OR(J1791=0,AND(J1791=1,K1791=1),AND(J1791=1,I1791="SBJ"),AND(J1791=1,I1791=0)),"?IN_FOCUS",IF(J1791&lt;=2,"?ACTIVATED",IF(J1791&lt;&gt;"","?FAMILIAR",IF(F1791="NEW",IF(ISNA(VLOOKUP(E1791,#REF!,1,FALSE())),"?TYPE_IDENTIFIABLE","?REFERENTIAL"),"_")))))</f>
        <v> </v>
      </c>
      <c r="H1791" s="24" t="str">
        <f>IF(J1791&lt;&gt;1,"",IF(I1791="SBJ","CB","?"))</f>
        <v> </v>
      </c>
      <c r="I1791" s="25" t="str">
        <f>IF(OR(E1791="",E1791="!!!",F1791="NEW"),"",INDEX(B1790:B$2,-1+SUMPRODUCT(MAX(ROW(E1790:E$2)*(E1791=E1790:E$2)))))</f>
        <v> </v>
      </c>
      <c r="J1791" s="25" t="str">
        <f>IF(OR(E1791="",E1791="!!!",F1791="NEW"),"",COUNTBLANK(OFFSET(A$1,,,SUMPRODUCT(MAX(ROW(E$2:E1791)*(E1791=E$2:E1791)))))-COUNTBLANK(OFFSET(A$1,,,SUMPRODUCT(MAX(ROW(E$1:E1790)*(E2=E$1:E1790))))))</f>
        <v> </v>
      </c>
      <c r="K1791" s="25" t="str">
        <f>IF(OR(E1791="",E1791="!!!",F1791="NEW"),"",INDEX(J$1:J1790,SUMPRODUCT(MAX(ROW(E$1:E1790)*(E1791=E$1:E1790)))))</f>
        <v> </v>
      </c>
      <c r="L1791" s="26"/>
    </row>
    <row r="1792" spans="1:12">
      <c r="A1792" s="20" t="s">
        <v>548</v>
      </c>
      <c r="E1792" s="21">
        <f>IF(D1792="?OLD","!!!","")</f>
        <v/>
      </c>
      <c r="F1792" s="22" t="str">
        <f>IF(OR(E1792="",E1792="!!!"),"",IF(NOT(ISNA(VLOOKUP(E1792,E$1:E1791,1,FALSE()))),"OLD",IF(AND(E1792&lt;&gt;"",E1792&lt;&gt;"!!!"),"NEW","")))</f>
        <v> </v>
      </c>
      <c r="G1792" s="23" t="str">
        <f>IF(OR(E1792="",E1792="!!!"),"",IF(OR(J1792=0,AND(J1792=1,K1792=1),AND(J1792=1,I1792="SBJ"),AND(J1792=1,I1792=0)),"?IN_FOCUS",IF(J1792&lt;=2,"?ACTIVATED",IF(J1792&lt;&gt;"","?FAMILIAR",IF(F1792="NEW",IF(ISNA(VLOOKUP(E1792,#REF!,1,FALSE())),"?TYPE_IDENTIFIABLE","?REFERENTIAL"),"_")))))</f>
        <v> </v>
      </c>
      <c r="H1792" s="24" t="str">
        <f>IF(J1792&lt;&gt;1,"",IF(I1792="SBJ","CB","?"))</f>
        <v> </v>
      </c>
      <c r="I1792" s="25" t="str">
        <f>IF(OR(E1792="",E1792="!!!",F1792="NEW"),"",INDEX(B1791:B$2,-1+SUMPRODUCT(MAX(ROW(E1791:E$2)*(E1792=E1791:E$2)))))</f>
        <v> </v>
      </c>
      <c r="J1792" s="25" t="str">
        <f>IF(OR(E1792="",E1792="!!!",F1792="NEW"),"",COUNTBLANK(OFFSET(A$1,,,SUMPRODUCT(MAX(ROW(E$2:E1792)*(E1792=E$2:E1792)))))-COUNTBLANK(OFFSET(A$1,,,SUMPRODUCT(MAX(ROW(E$1:E1791)*(E2=E$1:E1791))))))</f>
        <v> </v>
      </c>
      <c r="K1792" s="25" t="str">
        <f>IF(OR(E1792="",E1792="!!!",F1792="NEW"),"",INDEX(J$1:J1791,SUMPRODUCT(MAX(ROW(E$1:E1791)*(E1792=E$1:E1791)))))</f>
        <v> </v>
      </c>
      <c r="L1792" s="26"/>
    </row>
    <row r="1793" spans="1:12">
      <c r="A1793" s="20" t="s">
        <v>570</v>
      </c>
      <c r="E1793" s="21">
        <f>IF(D1793="?OLD","!!!","")</f>
        <v/>
      </c>
      <c r="F1793" s="22" t="str">
        <f>IF(OR(E1793="",E1793="!!!"),"",IF(NOT(ISNA(VLOOKUP(E1793,E$1:E1792,1,FALSE()))),"OLD",IF(AND(E1793&lt;&gt;"",E1793&lt;&gt;"!!!"),"NEW","")))</f>
        <v> </v>
      </c>
      <c r="G1793" s="23" t="str">
        <f>IF(OR(E1793="",E1793="!!!"),"",IF(OR(J1793=0,AND(J1793=1,K1793=1),AND(J1793=1,I1793="SBJ"),AND(J1793=1,I1793=0)),"?IN_FOCUS",IF(J1793&lt;=2,"?ACTIVATED",IF(J1793&lt;&gt;"","?FAMILIAR",IF(F1793="NEW",IF(ISNA(VLOOKUP(E1793,#REF!,1,FALSE())),"?TYPE_IDENTIFIABLE","?REFERENTIAL"),"_")))))</f>
        <v> </v>
      </c>
      <c r="H1793" s="24" t="str">
        <f>IF(J1793&lt;&gt;1,"",IF(I1793="SBJ","CB","?"))</f>
        <v> </v>
      </c>
      <c r="I1793" s="25" t="str">
        <f>IF(OR(E1793="",E1793="!!!",F1793="NEW"),"",INDEX(B1792:B$2,-1+SUMPRODUCT(MAX(ROW(E1792:E$2)*(E1793=E1792:E$2)))))</f>
        <v> </v>
      </c>
      <c r="J1793" s="25" t="str">
        <f>IF(OR(E1793="",E1793="!!!",F1793="NEW"),"",COUNTBLANK(OFFSET(A$1,,,SUMPRODUCT(MAX(ROW(E$2:E1793)*(E1793=E$2:E1793)))))-COUNTBLANK(OFFSET(A$1,,,SUMPRODUCT(MAX(ROW(E$1:E1792)*(E2=E$1:E1792))))))</f>
        <v> </v>
      </c>
      <c r="K1793" s="25" t="str">
        <f>IF(OR(E1793="",E1793="!!!",F1793="NEW"),"",INDEX(J$1:J1792,SUMPRODUCT(MAX(ROW(E$1:E1792)*(E1793=E$1:E1792)))))</f>
        <v> </v>
      </c>
      <c r="L1793" s="26"/>
    </row>
    <row r="1794" spans="1:12">
      <c r="A1794" s="20" t="s">
        <v>380</v>
      </c>
      <c r="E1794" s="21">
        <f>IF(D1794="?OLD","!!!","")</f>
        <v/>
      </c>
      <c r="F1794" s="22" t="str">
        <f>IF(OR(E1794="",E1794="!!!"),"",IF(NOT(ISNA(VLOOKUP(E1794,E$1:E1793,1,FALSE()))),"OLD",IF(AND(E1794&lt;&gt;"",E1794&lt;&gt;"!!!"),"NEW","")))</f>
        <v> </v>
      </c>
      <c r="G1794" s="23" t="str">
        <f>IF(OR(E1794="",E1794="!!!"),"",IF(OR(J1794=0,AND(J1794=1,K1794=1),AND(J1794=1,I1794="SBJ"),AND(J1794=1,I1794=0)),"?IN_FOCUS",IF(J1794&lt;=2,"?ACTIVATED",IF(J1794&lt;&gt;"","?FAMILIAR",IF(F1794="NEW",IF(ISNA(VLOOKUP(E1794,#REF!,1,FALSE())),"?TYPE_IDENTIFIABLE","?REFERENTIAL"),"_")))))</f>
        <v> </v>
      </c>
      <c r="H1794" s="24" t="str">
        <f>IF(J1794&lt;&gt;1,"",IF(I1794="SBJ","CB","?"))</f>
        <v> </v>
      </c>
      <c r="I1794" s="25" t="str">
        <f>IF(OR(E1794="",E1794="!!!",F1794="NEW"),"",INDEX(B1793:B$2,-1+SUMPRODUCT(MAX(ROW(E1793:E$2)*(E1794=E1793:E$2)))))</f>
        <v> </v>
      </c>
      <c r="J1794" s="25" t="str">
        <f>IF(OR(E1794="",E1794="!!!",F1794="NEW"),"",COUNTBLANK(OFFSET(A$1,,,SUMPRODUCT(MAX(ROW(E$2:E1794)*(E1794=E$2:E1794)))))-COUNTBLANK(OFFSET(A$1,,,SUMPRODUCT(MAX(ROW(E$1:E1793)*(E2=E$1:E1793))))))</f>
        <v> </v>
      </c>
      <c r="K1794" s="25" t="str">
        <f>IF(OR(E1794="",E1794="!!!",F1794="NEW"),"",INDEX(J$1:J1793,SUMPRODUCT(MAX(ROW(E$1:E1793)*(E1794=E$1:E1793)))))</f>
        <v> </v>
      </c>
      <c r="L1794" s="26"/>
    </row>
    <row r="1795" spans="1:12">
      <c r="A1795" s="20" t="s">
        <v>1067</v>
      </c>
      <c r="B1795" s="27" t="s">
        <v>542</v>
      </c>
      <c r="C1795" s="27" t="s">
        <v>498</v>
      </c>
      <c r="E1795" s="21">
        <f>IF(D1795="?OLD","!!!","")</f>
        <v/>
      </c>
      <c r="F1795" s="22" t="str">
        <f>IF(OR(E1795="",E1795="!!!"),"",IF(NOT(ISNA(VLOOKUP(E1795,E$1:E1794,1,FALSE()))),"OLD",IF(AND(E1795&lt;&gt;"",E1795&lt;&gt;"!!!"),"NEW","")))</f>
        <v> </v>
      </c>
      <c r="G1795" s="23" t="str">
        <f>IF(OR(E1795="",E1795="!!!"),"",IF(OR(J1795=0,AND(J1795=1,K1795=1),AND(J1795=1,I1795="SBJ"),AND(J1795=1,I1795=0)),"?IN_FOCUS",IF(J1795&lt;=2,"?ACTIVATED",IF(J1795&lt;&gt;"","?FAMILIAR",IF(F1795="NEW",IF(ISNA(VLOOKUP(E1795,#REF!,1,FALSE())),"?TYPE_IDENTIFIABLE","?REFERENTIAL"),"_")))))</f>
        <v> </v>
      </c>
      <c r="H1795" s="24" t="str">
        <f>IF(J1795&lt;&gt;1,"",IF(I1795="SBJ","CB","?"))</f>
        <v> </v>
      </c>
      <c r="I1795" s="25" t="str">
        <f>IF(OR(E1795="",E1795="!!!",F1795="NEW"),"",INDEX(B1794:B$2,-1+SUMPRODUCT(MAX(ROW(E1794:E$2)*(E1795=E1794:E$2)))))</f>
        <v> </v>
      </c>
      <c r="J1795" s="25" t="str">
        <f>IF(OR(E1795="",E1795="!!!",F1795="NEW"),"",COUNTBLANK(OFFSET(A$1,,,SUMPRODUCT(MAX(ROW(E$2:E1795)*(E1795=E$2:E1795)))))-COUNTBLANK(OFFSET(A$1,,,SUMPRODUCT(MAX(ROW(E$1:E1794)*(E2=E$1:E1794))))))</f>
        <v> </v>
      </c>
      <c r="K1795" s="25" t="str">
        <f>IF(OR(E1795="",E1795="!!!",F1795="NEW"),"",INDEX(J$1:J1794,SUMPRODUCT(MAX(ROW(E$1:E1794)*(E1795=E$1:E1794)))))</f>
        <v> </v>
      </c>
      <c r="L1795" s="26"/>
    </row>
    <row r="1796" spans="1:12">
      <c r="A1796" s="20" t="s">
        <v>649</v>
      </c>
      <c r="E1796" s="21">
        <f>IF(D1796="?OLD","!!!","")</f>
        <v/>
      </c>
      <c r="F1796" s="22" t="str">
        <f>IF(OR(E1796="",E1796="!!!"),"",IF(NOT(ISNA(VLOOKUP(E1796,E$1:E1795,1,FALSE()))),"OLD",IF(AND(E1796&lt;&gt;"",E1796&lt;&gt;"!!!"),"NEW","")))</f>
        <v> </v>
      </c>
      <c r="G1796" s="23" t="str">
        <f>IF(OR(E1796="",E1796="!!!"),"",IF(OR(J1796=0,AND(J1796=1,K1796=1),AND(J1796=1,I1796="SBJ"),AND(J1796=1,I1796=0)),"?IN_FOCUS",IF(J1796&lt;=2,"?ACTIVATED",IF(J1796&lt;&gt;"","?FAMILIAR",IF(F1796="NEW",IF(ISNA(VLOOKUP(E1796,#REF!,1,FALSE())),"?TYPE_IDENTIFIABLE","?REFERENTIAL"),"_")))))</f>
        <v> </v>
      </c>
      <c r="H1796" s="24" t="str">
        <f>IF(J1796&lt;&gt;1,"",IF(I1796="SBJ","CB","?"))</f>
        <v> </v>
      </c>
      <c r="I1796" s="25" t="str">
        <f>IF(OR(E1796="",E1796="!!!",F1796="NEW"),"",INDEX(B1795:B$2,-1+SUMPRODUCT(MAX(ROW(E1795:E$2)*(E1796=E1795:E$2)))))</f>
        <v> </v>
      </c>
      <c r="J1796" s="25" t="str">
        <f>IF(OR(E1796="",E1796="!!!",F1796="NEW"),"",COUNTBLANK(OFFSET(A$1,,,SUMPRODUCT(MAX(ROW(E$2:E1796)*(E1796=E$2:E1796)))))-COUNTBLANK(OFFSET(A$1,,,SUMPRODUCT(MAX(ROW(E$1:E1795)*(E2=E$1:E1795))))))</f>
        <v> </v>
      </c>
      <c r="K1796" s="25" t="str">
        <f>IF(OR(E1796="",E1796="!!!",F1796="NEW"),"",INDEX(J$1:J1795,SUMPRODUCT(MAX(ROW(E$1:E1795)*(E1796=E$1:E1795)))))</f>
        <v> </v>
      </c>
      <c r="L1796" s="26"/>
    </row>
    <row r="1797" spans="1:12">
      <c r="A1797" s="20" t="s">
        <v>592</v>
      </c>
      <c r="E1797" s="21">
        <f>IF(D1797="?OLD","!!!","")</f>
        <v/>
      </c>
      <c r="F1797" s="22" t="str">
        <f>IF(OR(E1797="",E1797="!!!"),"",IF(NOT(ISNA(VLOOKUP(E1797,E$1:E1796,1,FALSE()))),"OLD",IF(AND(E1797&lt;&gt;"",E1797&lt;&gt;"!!!"),"NEW","")))</f>
        <v> </v>
      </c>
      <c r="G1797" s="23" t="str">
        <f>IF(OR(E1797="",E1797="!!!"),"",IF(OR(J1797=0,AND(J1797=1,K1797=1),AND(J1797=1,I1797="SBJ"),AND(J1797=1,I1797=0)),"?IN_FOCUS",IF(J1797&lt;=2,"?ACTIVATED",IF(J1797&lt;&gt;"","?FAMILIAR",IF(F1797="NEW",IF(ISNA(VLOOKUP(E1797,#REF!,1,FALSE())),"?TYPE_IDENTIFIABLE","?REFERENTIAL"),"_")))))</f>
        <v> </v>
      </c>
      <c r="H1797" s="24" t="str">
        <f>IF(J1797&lt;&gt;1,"",IF(I1797="SBJ","CB","?"))</f>
        <v> </v>
      </c>
      <c r="I1797" s="25" t="str">
        <f>IF(OR(E1797="",E1797="!!!",F1797="NEW"),"",INDEX(B1796:B$2,-1+SUMPRODUCT(MAX(ROW(E1796:E$2)*(E1797=E1796:E$2)))))</f>
        <v> </v>
      </c>
      <c r="J1797" s="25" t="str">
        <f>IF(OR(E1797="",E1797="!!!",F1797="NEW"),"",COUNTBLANK(OFFSET(A$1,,,SUMPRODUCT(MAX(ROW(E$2:E1797)*(E1797=E$2:E1797)))))-COUNTBLANK(OFFSET(A$1,,,SUMPRODUCT(MAX(ROW(E$1:E1796)*(E2=E$1:E1796))))))</f>
        <v> </v>
      </c>
      <c r="K1797" s="25" t="str">
        <f>IF(OR(E1797="",E1797="!!!",F1797="NEW"),"",INDEX(J$1:J1796,SUMPRODUCT(MAX(ROW(E$1:E1796)*(E1797=E$1:E1796)))))</f>
        <v> </v>
      </c>
      <c r="L1797" s="26"/>
    </row>
    <row r="1798" spans="1:12">
      <c r="A1798" s="20" t="s">
        <v>380</v>
      </c>
      <c r="E1798" s="21">
        <f>IF(D1798="?OLD","!!!","")</f>
        <v/>
      </c>
      <c r="F1798" s="22" t="str">
        <f>IF(OR(E1798="",E1798="!!!"),"",IF(NOT(ISNA(VLOOKUP(E1798,E$1:E1797,1,FALSE()))),"OLD",IF(AND(E1798&lt;&gt;"",E1798&lt;&gt;"!!!"),"NEW","")))</f>
        <v> </v>
      </c>
      <c r="G1798" s="23" t="str">
        <f>IF(OR(E1798="",E1798="!!!"),"",IF(OR(J1798=0,AND(J1798=1,K1798=1),AND(J1798=1,I1798="SBJ"),AND(J1798=1,I1798=0)),"?IN_FOCUS",IF(J1798&lt;=2,"?ACTIVATED",IF(J1798&lt;&gt;"","?FAMILIAR",IF(F1798="NEW",IF(ISNA(VLOOKUP(E1798,#REF!,1,FALSE())),"?TYPE_IDENTIFIABLE","?REFERENTIAL"),"_")))))</f>
        <v> </v>
      </c>
      <c r="H1798" s="24" t="str">
        <f>IF(J1798&lt;&gt;1,"",IF(I1798="SBJ","CB","?"))</f>
        <v> </v>
      </c>
      <c r="I1798" s="25" t="str">
        <f>IF(OR(E1798="",E1798="!!!",F1798="NEW"),"",INDEX(B1797:B$2,-1+SUMPRODUCT(MAX(ROW(E1797:E$2)*(E1798=E1797:E$2)))))</f>
        <v> </v>
      </c>
      <c r="J1798" s="25" t="str">
        <f>IF(OR(E1798="",E1798="!!!",F1798="NEW"),"",COUNTBLANK(OFFSET(A$1,,,SUMPRODUCT(MAX(ROW(E$2:E1798)*(E1798=E$2:E1798)))))-COUNTBLANK(OFFSET(A$1,,,SUMPRODUCT(MAX(ROW(E$1:E1797)*(E2=E$1:E1797))))))</f>
        <v> </v>
      </c>
      <c r="K1798" s="25" t="str">
        <f>IF(OR(E1798="",E1798="!!!",F1798="NEW"),"",INDEX(J$1:J1797,SUMPRODUCT(MAX(ROW(E$1:E1797)*(E1798=E$1:E1797)))))</f>
        <v> </v>
      </c>
      <c r="L1798" s="26"/>
    </row>
    <row r="1799" spans="1:12">
      <c r="A1799" s="20" t="s">
        <v>1067</v>
      </c>
      <c r="B1799" s="27" t="s">
        <v>540</v>
      </c>
      <c r="C1799" s="27" t="s">
        <v>498</v>
      </c>
      <c r="E1799" s="21">
        <f>IF(D1799="?OLD","!!!","")</f>
        <v/>
      </c>
      <c r="F1799" s="22" t="str">
        <f>IF(OR(E1799="",E1799="!!!"),"",IF(NOT(ISNA(VLOOKUP(E1799,E$1:E1798,1,FALSE()))),"OLD",IF(AND(E1799&lt;&gt;"",E1799&lt;&gt;"!!!"),"NEW","")))</f>
        <v> </v>
      </c>
      <c r="G1799" s="23" t="str">
        <f>IF(OR(E1799="",E1799="!!!"),"",IF(OR(J1799=0,AND(J1799=1,K1799=1),AND(J1799=1,I1799="SBJ"),AND(J1799=1,I1799=0)),"?IN_FOCUS",IF(J1799&lt;=2,"?ACTIVATED",IF(J1799&lt;&gt;"","?FAMILIAR",IF(F1799="NEW",IF(ISNA(VLOOKUP(E1799,#REF!,1,FALSE())),"?TYPE_IDENTIFIABLE","?REFERENTIAL"),"_")))))</f>
        <v> </v>
      </c>
      <c r="H1799" s="24" t="str">
        <f>IF(J1799&lt;&gt;1,"",IF(I1799="SBJ","CB","?"))</f>
        <v> </v>
      </c>
      <c r="I1799" s="25" t="str">
        <f>IF(OR(E1799="",E1799="!!!",F1799="NEW"),"",INDEX(B1798:B$2,-1+SUMPRODUCT(MAX(ROW(E1798:E$2)*(E1799=E1798:E$2)))))</f>
        <v> </v>
      </c>
      <c r="J1799" s="25" t="str">
        <f>IF(OR(E1799="",E1799="!!!",F1799="NEW"),"",COUNTBLANK(OFFSET(A$1,,,SUMPRODUCT(MAX(ROW(E$2:E1799)*(E1799=E$2:E1799)))))-COUNTBLANK(OFFSET(A$1,,,SUMPRODUCT(MAX(ROW(E$1:E1798)*(E2=E$1:E1798))))))</f>
        <v> </v>
      </c>
      <c r="K1799" s="25" t="str">
        <f>IF(OR(E1799="",E1799="!!!",F1799="NEW"),"",INDEX(J$1:J1798,SUMPRODUCT(MAX(ROW(E$1:E1798)*(E1799=E$1:E1798)))))</f>
        <v> </v>
      </c>
      <c r="L1799" s="26"/>
    </row>
    <row r="1800" spans="1:12">
      <c r="A1800" s="20" t="s">
        <v>1068</v>
      </c>
      <c r="E1800" s="21">
        <f>IF(D1800="?OLD","!!!","")</f>
        <v/>
      </c>
      <c r="F1800" s="22" t="str">
        <f>IF(OR(E1800="",E1800="!!!"),"",IF(NOT(ISNA(VLOOKUP(E1800,E$1:E1799,1,FALSE()))),"OLD",IF(AND(E1800&lt;&gt;"",E1800&lt;&gt;"!!!"),"NEW","")))</f>
        <v> </v>
      </c>
      <c r="G1800" s="23" t="str">
        <f>IF(OR(E1800="",E1800="!!!"),"",IF(OR(J1800=0,AND(J1800=1,K1800=1),AND(J1800=1,I1800="SBJ"),AND(J1800=1,I1800=0)),"?IN_FOCUS",IF(J1800&lt;=2,"?ACTIVATED",IF(J1800&lt;&gt;"","?FAMILIAR",IF(F1800="NEW",IF(ISNA(VLOOKUP(E1800,#REF!,1,FALSE())),"?TYPE_IDENTIFIABLE","?REFERENTIAL"),"_")))))</f>
        <v> </v>
      </c>
      <c r="H1800" s="24" t="str">
        <f>IF(J1800&lt;&gt;1,"",IF(I1800="SBJ","CB","?"))</f>
        <v> </v>
      </c>
      <c r="I1800" s="25" t="str">
        <f>IF(OR(E1800="",E1800="!!!",F1800="NEW"),"",INDEX(B1799:B$2,-1+SUMPRODUCT(MAX(ROW(E1799:E$2)*(E1800=E1799:E$2)))))</f>
        <v> </v>
      </c>
      <c r="J1800" s="25" t="str">
        <f>IF(OR(E1800="",E1800="!!!",F1800="NEW"),"",COUNTBLANK(OFFSET(A$1,,,SUMPRODUCT(MAX(ROW(E$2:E1800)*(E1800=E$2:E1800)))))-COUNTBLANK(OFFSET(A$1,,,SUMPRODUCT(MAX(ROW(E$1:E1799)*(E2=E$1:E1799))))))</f>
        <v> </v>
      </c>
      <c r="K1800" s="25" t="str">
        <f>IF(OR(E1800="",E1800="!!!",F1800="NEW"),"",INDEX(J$1:J1799,SUMPRODUCT(MAX(ROW(E$1:E1799)*(E1800=E$1:E1799)))))</f>
        <v> </v>
      </c>
      <c r="L1800" s="26"/>
    </row>
    <row r="1801" spans="1:12">
      <c r="A1801" s="20" t="s">
        <v>548</v>
      </c>
      <c r="E1801" s="21">
        <f>IF(D1801="?OLD","!!!","")</f>
        <v/>
      </c>
      <c r="F1801" s="22" t="str">
        <f>IF(OR(E1801="",E1801="!!!"),"",IF(NOT(ISNA(VLOOKUP(E1801,E$1:E1800,1,FALSE()))),"OLD",IF(AND(E1801&lt;&gt;"",E1801&lt;&gt;"!!!"),"NEW","")))</f>
        <v> </v>
      </c>
      <c r="G1801" s="23" t="str">
        <f>IF(OR(E1801="",E1801="!!!"),"",IF(OR(J1801=0,AND(J1801=1,K1801=1),AND(J1801=1,I1801="SBJ"),AND(J1801=1,I1801=0)),"?IN_FOCUS",IF(J1801&lt;=2,"?ACTIVATED",IF(J1801&lt;&gt;"","?FAMILIAR",IF(F1801="NEW",IF(ISNA(VLOOKUP(E1801,#REF!,1,FALSE())),"?TYPE_IDENTIFIABLE","?REFERENTIAL"),"_")))))</f>
        <v> </v>
      </c>
      <c r="H1801" s="24" t="str">
        <f>IF(J1801&lt;&gt;1,"",IF(I1801="SBJ","CB","?"))</f>
        <v> </v>
      </c>
      <c r="I1801" s="25" t="str">
        <f>IF(OR(E1801="",E1801="!!!",F1801="NEW"),"",INDEX(B1800:B$2,-1+SUMPRODUCT(MAX(ROW(E1800:E$2)*(E1801=E1800:E$2)))))</f>
        <v> </v>
      </c>
      <c r="J1801" s="25" t="str">
        <f>IF(OR(E1801="",E1801="!!!",F1801="NEW"),"",COUNTBLANK(OFFSET(A$1,,,SUMPRODUCT(MAX(ROW(E$2:E1801)*(E1801=E$2:E1801)))))-COUNTBLANK(OFFSET(A$1,,,SUMPRODUCT(MAX(ROW(E$1:E1800)*(E2=E$1:E1800))))))</f>
        <v> </v>
      </c>
      <c r="K1801" s="25" t="str">
        <f>IF(OR(E1801="",E1801="!!!",F1801="NEW"),"",INDEX(J$1:J1800,SUMPRODUCT(MAX(ROW(E$1:E1800)*(E1801=E$1:E1800)))))</f>
        <v> </v>
      </c>
      <c r="L1801" s="26"/>
    </row>
    <row r="1802" spans="1:12">
      <c r="A1802" s="20" t="s">
        <v>529</v>
      </c>
      <c r="E1802" s="21">
        <f>IF(D1802="?OLD","!!!","")</f>
        <v/>
      </c>
      <c r="F1802" s="22" t="str">
        <f>IF(OR(E1802="",E1802="!!!"),"",IF(NOT(ISNA(VLOOKUP(E1802,E$1:E1801,1,FALSE()))),"OLD",IF(AND(E1802&lt;&gt;"",E1802&lt;&gt;"!!!"),"NEW","")))</f>
        <v> </v>
      </c>
      <c r="G1802" s="23" t="str">
        <f>IF(OR(E1802="",E1802="!!!"),"",IF(OR(J1802=0,AND(J1802=1,K1802=1),AND(J1802=1,I1802="SBJ"),AND(J1802=1,I1802=0)),"?IN_FOCUS",IF(J1802&lt;=2,"?ACTIVATED",IF(J1802&lt;&gt;"","?FAMILIAR",IF(F1802="NEW",IF(ISNA(VLOOKUP(E1802,#REF!,1,FALSE())),"?TYPE_IDENTIFIABLE","?REFERENTIAL"),"_")))))</f>
        <v> </v>
      </c>
      <c r="H1802" s="24" t="str">
        <f>IF(J1802&lt;&gt;1,"",IF(I1802="SBJ","CB","?"))</f>
        <v> </v>
      </c>
      <c r="I1802" s="25" t="str">
        <f>IF(OR(E1802="",E1802="!!!",F1802="NEW"),"",INDEX(B1801:B$2,-1+SUMPRODUCT(MAX(ROW(E1801:E$2)*(E1802=E1801:E$2)))))</f>
        <v> </v>
      </c>
      <c r="J1802" s="25" t="str">
        <f>IF(OR(E1802="",E1802="!!!",F1802="NEW"),"",COUNTBLANK(OFFSET(A$1,,,SUMPRODUCT(MAX(ROW(E$2:E1802)*(E1802=E$2:E1802)))))-COUNTBLANK(OFFSET(A$1,,,SUMPRODUCT(MAX(ROW(E$1:E1801)*(E2=E$1:E1801))))))</f>
        <v> </v>
      </c>
      <c r="K1802" s="25" t="str">
        <f>IF(OR(E1802="",E1802="!!!",F1802="NEW"),"",INDEX(J$1:J1801,SUMPRODUCT(MAX(ROW(E$1:E1801)*(E1802=E$1:E1801)))))</f>
        <v> </v>
      </c>
      <c r="L1802" s="26"/>
    </row>
    <row r="1803" spans="1:12">
      <c r="A1803" s="20" t="s">
        <v>1065</v>
      </c>
      <c r="E1803" s="21">
        <f>IF(D1803="?OLD","!!!","")</f>
        <v/>
      </c>
      <c r="F1803" s="22" t="str">
        <f>IF(OR(E1803="",E1803="!!!"),"",IF(NOT(ISNA(VLOOKUP(E1803,E$1:E1802,1,FALSE()))),"OLD",IF(AND(E1803&lt;&gt;"",E1803&lt;&gt;"!!!"),"NEW","")))</f>
        <v> </v>
      </c>
      <c r="G1803" s="23" t="str">
        <f>IF(OR(E1803="",E1803="!!!"),"",IF(OR(J1803=0,AND(J1803=1,K1803=1),AND(J1803=1,I1803="SBJ"),AND(J1803=1,I1803=0)),"?IN_FOCUS",IF(J1803&lt;=2,"?ACTIVATED",IF(J1803&lt;&gt;"","?FAMILIAR",IF(F1803="NEW",IF(ISNA(VLOOKUP(E1803,#REF!,1,FALSE())),"?TYPE_IDENTIFIABLE","?REFERENTIAL"),"_")))))</f>
        <v> </v>
      </c>
      <c r="H1803" s="24" t="str">
        <f>IF(J1803&lt;&gt;1,"",IF(I1803="SBJ","CB","?"))</f>
        <v> </v>
      </c>
      <c r="I1803" s="25" t="str">
        <f>IF(OR(E1803="",E1803="!!!",F1803="NEW"),"",INDEX(B1802:B$2,-1+SUMPRODUCT(MAX(ROW(E1802:E$2)*(E1803=E1802:E$2)))))</f>
        <v> </v>
      </c>
      <c r="J1803" s="25" t="str">
        <f>IF(OR(E1803="",E1803="!!!",F1803="NEW"),"",COUNTBLANK(OFFSET(A$1,,,SUMPRODUCT(MAX(ROW(E$2:E1803)*(E1803=E$2:E1803)))))-COUNTBLANK(OFFSET(A$1,,,SUMPRODUCT(MAX(ROW(E$1:E1802)*(E2=E$1:E1802))))))</f>
        <v> </v>
      </c>
      <c r="K1803" s="25" t="str">
        <f>IF(OR(E1803="",E1803="!!!",F1803="NEW"),"",INDEX(J$1:J1802,SUMPRODUCT(MAX(ROW(E$1:E1802)*(E1803=E$1:E1802)))))</f>
        <v> </v>
      </c>
      <c r="L1803" s="26"/>
    </row>
    <row r="1804" spans="1:12">
      <c r="A1804" s="20" t="s">
        <v>530</v>
      </c>
      <c r="E1804" s="21">
        <f>IF(D1804="?OLD","!!!","")</f>
        <v/>
      </c>
      <c r="F1804" s="22" t="str">
        <f>IF(OR(E1804="",E1804="!!!"),"",IF(NOT(ISNA(VLOOKUP(E1804,E$1:E1803,1,FALSE()))),"OLD",IF(AND(E1804&lt;&gt;"",E1804&lt;&gt;"!!!"),"NEW","")))</f>
        <v> </v>
      </c>
      <c r="G1804" s="23" t="str">
        <f>IF(OR(E1804="",E1804="!!!"),"",IF(OR(J1804=0,AND(J1804=1,K1804=1),AND(J1804=1,I1804="SBJ"),AND(J1804=1,I1804=0)),"?IN_FOCUS",IF(J1804&lt;=2,"?ACTIVATED",IF(J1804&lt;&gt;"","?FAMILIAR",IF(F1804="NEW",IF(ISNA(VLOOKUP(E1804,#REF!,1,FALSE())),"?TYPE_IDENTIFIABLE","?REFERENTIAL"),"_")))))</f>
        <v> </v>
      </c>
      <c r="H1804" s="24" t="str">
        <f>IF(J1804&lt;&gt;1,"",IF(I1804="SBJ","CB","?"))</f>
        <v> </v>
      </c>
      <c r="I1804" s="25" t="str">
        <f>IF(OR(E1804="",E1804="!!!",F1804="NEW"),"",INDEX(B1803:B$2,-1+SUMPRODUCT(MAX(ROW(E1803:E$2)*(E1804=E1803:E$2)))))</f>
        <v> </v>
      </c>
      <c r="J1804" s="25" t="str">
        <f>IF(OR(E1804="",E1804="!!!",F1804="NEW"),"",COUNTBLANK(OFFSET(A$1,,,SUMPRODUCT(MAX(ROW(E$2:E1804)*(E1804=E$2:E1804)))))-COUNTBLANK(OFFSET(A$1,,,SUMPRODUCT(MAX(ROW(E$1:E1803)*(E2=E$1:E1803))))))</f>
        <v> </v>
      </c>
      <c r="K1804" s="25" t="str">
        <f>IF(OR(E1804="",E1804="!!!",F1804="NEW"),"",INDEX(J$1:J1803,SUMPRODUCT(MAX(ROW(E$1:E1803)*(E1804=E$1:E1803)))))</f>
        <v> </v>
      </c>
      <c r="L1804" s="26"/>
    </row>
    <row r="1805" spans="1:12">
      <c r="A1805" s="20" t="s">
        <v>489</v>
      </c>
      <c r="E1805" s="21">
        <f>IF(D1805="?OLD","!!!","")</f>
        <v/>
      </c>
      <c r="F1805" s="22" t="str">
        <f>IF(OR(E1805="",E1805="!!!"),"",IF(NOT(ISNA(VLOOKUP(E1805,E$1:E1804,1,FALSE()))),"OLD",IF(AND(E1805&lt;&gt;"",E1805&lt;&gt;"!!!"),"NEW","")))</f>
        <v> </v>
      </c>
      <c r="G1805" s="23" t="str">
        <f>IF(OR(E1805="",E1805="!!!"),"",IF(OR(J1805=0,AND(J1805=1,K1805=1),AND(J1805=1,I1805="SBJ"),AND(J1805=1,I1805=0)),"?IN_FOCUS",IF(J1805&lt;=2,"?ACTIVATED",IF(J1805&lt;&gt;"","?FAMILIAR",IF(F1805="NEW",IF(ISNA(VLOOKUP(E1805,#REF!,1,FALSE())),"?TYPE_IDENTIFIABLE","?REFERENTIAL"),"_")))))</f>
        <v> </v>
      </c>
      <c r="H1805" s="24" t="str">
        <f>IF(J1805&lt;&gt;1,"",IF(I1805="SBJ","CB","?"))</f>
        <v> </v>
      </c>
      <c r="I1805" s="25" t="str">
        <f>IF(OR(E1805="",E1805="!!!",F1805="NEW"),"",INDEX(B1804:B$2,-1+SUMPRODUCT(MAX(ROW(E1804:E$2)*(E1805=E1804:E$2)))))</f>
        <v> </v>
      </c>
      <c r="J1805" s="25" t="str">
        <f>IF(OR(E1805="",E1805="!!!",F1805="NEW"),"",COUNTBLANK(OFFSET(A$1,,,SUMPRODUCT(MAX(ROW(E$2:E1805)*(E1805=E$2:E1805)))))-COUNTBLANK(OFFSET(A$1,,,SUMPRODUCT(MAX(ROW(E$1:E1804)*(E2=E$1:E1804))))))</f>
        <v> </v>
      </c>
      <c r="K1805" s="25" t="str">
        <f>IF(OR(E1805="",E1805="!!!",F1805="NEW"),"",INDEX(J$1:J1804,SUMPRODUCT(MAX(ROW(E$1:E1804)*(E1805=E$1:E1804)))))</f>
        <v> </v>
      </c>
      <c r="L1805" s="26"/>
    </row>
    <row r="1806" spans="1:12">
      <c r="A1806" s="20" t="s">
        <v>1029</v>
      </c>
      <c r="B1806" s="27" t="s">
        <v>493</v>
      </c>
      <c r="C1806" s="27" t="s">
        <v>482</v>
      </c>
      <c r="D1806" s="27" t="s">
        <v>483</v>
      </c>
      <c r="E1806" s="21">
        <f>IF(D1806="?OLD","!!!","")</f>
        <v/>
      </c>
      <c r="F1806" s="22" t="str">
        <f>IF(OR(E1806="",E1806="!!!"),"",IF(NOT(ISNA(VLOOKUP(E1806,E$1:E1805,1,FALSE()))),"OLD",IF(AND(E1806&lt;&gt;"",E1806&lt;&gt;"!!!"),"NEW","")))</f>
        <v> </v>
      </c>
      <c r="G1806" s="23" t="str">
        <f>IF(OR(E1806="",E1806="!!!"),"",IF(OR(J1806=0,AND(J1806=1,K1806=1),AND(J1806=1,I1806="SBJ"),AND(J1806=1,I1806=0)),"?IN_FOCUS",IF(J1806&lt;=2,"?ACTIVATED",IF(J1806&lt;&gt;"","?FAMILIAR",IF(F1806="NEW",IF(ISNA(VLOOKUP(E1806,#REF!,1,FALSE())),"?TYPE_IDENTIFIABLE","?REFERENTIAL"),"_")))))</f>
        <v> </v>
      </c>
      <c r="H1806" s="24" t="str">
        <f>IF(J1806&lt;&gt;1,"",IF(I1806="SBJ","CB","?"))</f>
        <v> </v>
      </c>
      <c r="I1806" s="25" t="str">
        <f>IF(OR(E1806="",E1806="!!!",F1806="NEW"),"",INDEX(B1805:B$2,-1+SUMPRODUCT(MAX(ROW(E1805:E$2)*(E1806=E1805:E$2)))))</f>
        <v> </v>
      </c>
      <c r="J1806" s="25" t="str">
        <f>IF(OR(E1806="",E1806="!!!",F1806="NEW"),"",COUNTBLANK(OFFSET(A$1,,,SUMPRODUCT(MAX(ROW(E$2:E1806)*(E1806=E$2:E1806)))))-COUNTBLANK(OFFSET(A$1,,,SUMPRODUCT(MAX(ROW(E$1:E1805)*(E2=E$1:E1805))))))</f>
        <v> </v>
      </c>
      <c r="K1806" s="25" t="str">
        <f>IF(OR(E1806="",E1806="!!!",F1806="NEW"),"",INDEX(J$1:J1805,SUMPRODUCT(MAX(ROW(E$1:E1805)*(E1806=E$1:E1805)))))</f>
        <v> </v>
      </c>
      <c r="L1806" s="26"/>
    </row>
    <row r="1807" spans="1:12">
      <c r="A1807" s="20" t="s">
        <v>1066</v>
      </c>
      <c r="E1807" s="21">
        <f>IF(D1807="?OLD","!!!","")</f>
        <v/>
      </c>
      <c r="F1807" s="22" t="str">
        <f>IF(OR(E1807="",E1807="!!!"),"",IF(NOT(ISNA(VLOOKUP(E1807,E$1:E1806,1,FALSE()))),"OLD",IF(AND(E1807&lt;&gt;"",E1807&lt;&gt;"!!!"),"NEW","")))</f>
        <v> </v>
      </c>
      <c r="G1807" s="23" t="str">
        <f>IF(OR(E1807="",E1807="!!!"),"",IF(OR(J1807=0,AND(J1807=1,K1807=1),AND(J1807=1,I1807="SBJ"),AND(J1807=1,I1807=0)),"?IN_FOCUS",IF(J1807&lt;=2,"?ACTIVATED",IF(J1807&lt;&gt;"","?FAMILIAR",IF(F1807="NEW",IF(ISNA(VLOOKUP(E1807,#REF!,1,FALSE())),"?TYPE_IDENTIFIABLE","?REFERENTIAL"),"_")))))</f>
        <v> </v>
      </c>
      <c r="H1807" s="24" t="str">
        <f>IF(J1807&lt;&gt;1,"",IF(I1807="SBJ","CB","?"))</f>
        <v> </v>
      </c>
      <c r="I1807" s="25" t="str">
        <f>IF(OR(E1807="",E1807="!!!",F1807="NEW"),"",INDEX(B1806:B$2,-1+SUMPRODUCT(MAX(ROW(E1806:E$2)*(E1807=E1806:E$2)))))</f>
        <v> </v>
      </c>
      <c r="J1807" s="25" t="str">
        <f>IF(OR(E1807="",E1807="!!!",F1807="NEW"),"",COUNTBLANK(OFFSET(A$1,,,SUMPRODUCT(MAX(ROW(E$2:E1807)*(E1807=E$2:E1807)))))-COUNTBLANK(OFFSET(A$1,,,SUMPRODUCT(MAX(ROW(E$1:E1806)*(E2=E$1:E1806))))))</f>
        <v> </v>
      </c>
      <c r="K1807" s="25" t="str">
        <f>IF(OR(E1807="",E1807="!!!",F1807="NEW"),"",INDEX(J$1:J1806,SUMPRODUCT(MAX(ROW(E$1:E1806)*(E1807=E$1:E1806)))))</f>
        <v> </v>
      </c>
      <c r="L1807" s="26"/>
    </row>
    <row r="1808" spans="1:12">
      <c r="A1808" s="20" t="s">
        <v>503</v>
      </c>
      <c r="E1808" s="21">
        <f>IF(D1808="?OLD","!!!","")</f>
        <v/>
      </c>
      <c r="F1808" s="22" t="str">
        <f>IF(OR(E1808="",E1808="!!!"),"",IF(NOT(ISNA(VLOOKUP(E1808,E$1:E1807,1,FALSE()))),"OLD",IF(AND(E1808&lt;&gt;"",E1808&lt;&gt;"!!!"),"NEW","")))</f>
        <v> </v>
      </c>
      <c r="G1808" s="23" t="str">
        <f>IF(OR(E1808="",E1808="!!!"),"",IF(OR(J1808=0,AND(J1808=1,K1808=1),AND(J1808=1,I1808="SBJ"),AND(J1808=1,I1808=0)),"?IN_FOCUS",IF(J1808&lt;=2,"?ACTIVATED",IF(J1808&lt;&gt;"","?FAMILIAR",IF(F1808="NEW",IF(ISNA(VLOOKUP(E1808,#REF!,1,FALSE())),"?TYPE_IDENTIFIABLE","?REFERENTIAL"),"_")))))</f>
        <v> </v>
      </c>
      <c r="H1808" s="24" t="str">
        <f>IF(J1808&lt;&gt;1,"",IF(I1808="SBJ","CB","?"))</f>
        <v> </v>
      </c>
      <c r="I1808" s="25" t="str">
        <f>IF(OR(E1808="",E1808="!!!",F1808="NEW"),"",INDEX(B1807:B$2,-1+SUMPRODUCT(MAX(ROW(E1807:E$2)*(E1808=E1807:E$2)))))</f>
        <v> </v>
      </c>
      <c r="J1808" s="25" t="str">
        <f>IF(OR(E1808="",E1808="!!!",F1808="NEW"),"",COUNTBLANK(OFFSET(A$1,,,SUMPRODUCT(MAX(ROW(E$2:E1808)*(E1808=E$2:E1808)))))-COUNTBLANK(OFFSET(A$1,,,SUMPRODUCT(MAX(ROW(E$1:E1807)*(E2=E$1:E1807))))))</f>
        <v> </v>
      </c>
      <c r="K1808" s="25" t="str">
        <f>IF(OR(E1808="",E1808="!!!",F1808="NEW"),"",INDEX(J$1:J1807,SUMPRODUCT(MAX(ROW(E$1:E1807)*(E1808=E$1:E1807)))))</f>
        <v> </v>
      </c>
      <c r="L1808" s="26"/>
    </row>
    <row r="1809" spans="1:12">
      <c r="A1809" s="20" t="s">
        <v>1069</v>
      </c>
      <c r="E1809" s="21">
        <f>IF(D1809="?OLD","!!!","")</f>
        <v/>
      </c>
      <c r="F1809" s="22" t="str">
        <f>IF(OR(E1809="",E1809="!!!"),"",IF(NOT(ISNA(VLOOKUP(E1809,E$1:E1808,1,FALSE()))),"OLD",IF(AND(E1809&lt;&gt;"",E1809&lt;&gt;"!!!"),"NEW","")))</f>
        <v> </v>
      </c>
      <c r="G1809" s="23" t="str">
        <f>IF(OR(E1809="",E1809="!!!"),"",IF(OR(J1809=0,AND(J1809=1,K1809=1),AND(J1809=1,I1809="SBJ"),AND(J1809=1,I1809=0)),"?IN_FOCUS",IF(J1809&lt;=2,"?ACTIVATED",IF(J1809&lt;&gt;"","?FAMILIAR",IF(F1809="NEW",IF(ISNA(VLOOKUP(E1809,#REF!,1,FALSE())),"?TYPE_IDENTIFIABLE","?REFERENTIAL"),"_")))))</f>
        <v> </v>
      </c>
      <c r="H1809" s="24" t="str">
        <f>IF(J1809&lt;&gt;1,"",IF(I1809="SBJ","CB","?"))</f>
        <v> </v>
      </c>
      <c r="I1809" s="25" t="str">
        <f>IF(OR(E1809="",E1809="!!!",F1809="NEW"),"",INDEX(B1808:B$2,-1+SUMPRODUCT(MAX(ROW(E1808:E$2)*(E1809=E1808:E$2)))))</f>
        <v> </v>
      </c>
      <c r="J1809" s="25" t="str">
        <f>IF(OR(E1809="",E1809="!!!",F1809="NEW"),"",COUNTBLANK(OFFSET(A$1,,,SUMPRODUCT(MAX(ROW(E$2:E1809)*(E1809=E$2:E1809)))))-COUNTBLANK(OFFSET(A$1,,,SUMPRODUCT(MAX(ROW(E$1:E1808)*(E2=E$1:E1808))))))</f>
        <v> </v>
      </c>
      <c r="K1809" s="25" t="str">
        <f>IF(OR(E1809="",E1809="!!!",F1809="NEW"),"",INDEX(J$1:J1808,SUMPRODUCT(MAX(ROW(E$1:E1808)*(E1809=E$1:E1808)))))</f>
        <v> </v>
      </c>
      <c r="L1809" s="26"/>
    </row>
    <row r="1810" spans="1:12">
      <c r="A1810" s="20" t="s">
        <v>531</v>
      </c>
      <c r="E1810" s="21">
        <f>IF(D1810="?OLD","!!!","")</f>
        <v/>
      </c>
      <c r="F1810" s="22" t="str">
        <f>IF(OR(E1810="",E1810="!!!"),"",IF(NOT(ISNA(VLOOKUP(E1810,E$1:E1809,1,FALSE()))),"OLD",IF(AND(E1810&lt;&gt;"",E1810&lt;&gt;"!!!"),"NEW","")))</f>
        <v> </v>
      </c>
      <c r="G1810" s="23" t="str">
        <f>IF(OR(E1810="",E1810="!!!"),"",IF(OR(J1810=0,AND(J1810=1,K1810=1),AND(J1810=1,I1810="SBJ"),AND(J1810=1,I1810=0)),"?IN_FOCUS",IF(J1810&lt;=2,"?ACTIVATED",IF(J1810&lt;&gt;"","?FAMILIAR",IF(F1810="NEW",IF(ISNA(VLOOKUP(E1810,#REF!,1,FALSE())),"?TYPE_IDENTIFIABLE","?REFERENTIAL"),"_")))))</f>
        <v> </v>
      </c>
      <c r="H1810" s="24" t="str">
        <f>IF(J1810&lt;&gt;1,"",IF(I1810="SBJ","CB","?"))</f>
        <v> </v>
      </c>
      <c r="I1810" s="25" t="str">
        <f>IF(OR(E1810="",E1810="!!!",F1810="NEW"),"",INDEX(B1809:B$2,-1+SUMPRODUCT(MAX(ROW(E1809:E$2)*(E1810=E1809:E$2)))))</f>
        <v> </v>
      </c>
      <c r="J1810" s="25" t="str">
        <f>IF(OR(E1810="",E1810="!!!",F1810="NEW"),"",COUNTBLANK(OFFSET(A$1,,,SUMPRODUCT(MAX(ROW(E$2:E1810)*(E1810=E$2:E1810)))))-COUNTBLANK(OFFSET(A$1,,,SUMPRODUCT(MAX(ROW(E$1:E1809)*(E2=E$1:E1809))))))</f>
        <v> </v>
      </c>
      <c r="K1810" s="25" t="str">
        <f>IF(OR(E1810="",E1810="!!!",F1810="NEW"),"",INDEX(J$1:J1809,SUMPRODUCT(MAX(ROW(E$1:E1809)*(E1810=E$1:E1809)))))</f>
        <v> </v>
      </c>
      <c r="L1810" s="26"/>
    </row>
    <row r="1811" spans="1:12">
      <c r="A1811" s="20"/>
    </row>
    <row r="1812" spans="1:12">
      <c r="A1812" s="20" t="s">
        <v>1070</v>
      </c>
    </row>
    <row r="1813" spans="1:12">
      <c r="A1813" s="20" t="s">
        <v>1071</v>
      </c>
      <c r="B1813" s="27" t="s">
        <v>549</v>
      </c>
      <c r="C1813" s="27" t="s">
        <v>612</v>
      </c>
      <c r="D1813" s="27" t="s">
        <v>483</v>
      </c>
      <c r="E1813" s="21">
        <f>IF(D1813="?OLD","!!!","")</f>
        <v/>
      </c>
      <c r="F1813" s="22" t="str">
        <f>IF(OR(E1813="",E1813="!!!"),"",IF(NOT(ISNA(VLOOKUP(E1813,E$1:E1812,1,FALSE()))),"OLD",IF(AND(E1813&lt;&gt;"",E1813&lt;&gt;"!!!"),"NEW","")))</f>
        <v> </v>
      </c>
      <c r="G1813" s="23" t="str">
        <f>IF(OR(E1813="",E1813="!!!"),"",IF(OR(J1813=0,AND(J1813=1,K1813=1),AND(J1813=1,I1813="SBJ"),AND(J1813=1,I1813=0)),"?IN_FOCUS",IF(J1813&lt;=2,"?ACTIVATED",IF(J1813&lt;&gt;"","?FAMILIAR",IF(F1813="NEW",IF(ISNA(VLOOKUP(E1813,#REF!,1,FALSE())),"?TYPE_IDENTIFIABLE","?REFERENTIAL"),"_")))))</f>
        <v> </v>
      </c>
      <c r="H1813" s="24" t="str">
        <f>IF(J1813&lt;&gt;1,"",IF(I1813="SBJ","CB","?"))</f>
        <v> </v>
      </c>
      <c r="I1813" s="25" t="str">
        <f>IF(OR(E1813="",E1813="!!!",F1813="NEW"),"",INDEX(B1812:B$2,-1+SUMPRODUCT(MAX(ROW(E1812:E$2)*(E1813=E1812:E$2)))))</f>
        <v> </v>
      </c>
      <c r="J1813" s="25" t="str">
        <f>IF(OR(E1813="",E1813="!!!",F1813="NEW"),"",COUNTBLANK(OFFSET(A$1,,,SUMPRODUCT(MAX(ROW(E$2:E1813)*(E1813=E$2:E1813)))))-COUNTBLANK(OFFSET(A$1,,,SUMPRODUCT(MAX(ROW(E$1:E1812)*(E2=E$1:E1812))))))</f>
        <v> </v>
      </c>
      <c r="K1813" s="25" t="str">
        <f>IF(OR(E1813="",E1813="!!!",F1813="NEW"),"",INDEX(J$1:J1812,SUMPRODUCT(MAX(ROW(E$1:E1812)*(E1813=E$1:E1812)))))</f>
        <v> </v>
      </c>
      <c r="L1813" s="26"/>
    </row>
    <row r="1814" spans="1:12">
      <c r="A1814" s="20" t="s">
        <v>489</v>
      </c>
      <c r="E1814" s="21">
        <f>IF(D1814="?OLD","!!!","")</f>
        <v/>
      </c>
      <c r="F1814" s="22" t="str">
        <f>IF(OR(E1814="",E1814="!!!"),"",IF(NOT(ISNA(VLOOKUP(E1814,E$1:E1813,1,FALSE()))),"OLD",IF(AND(E1814&lt;&gt;"",E1814&lt;&gt;"!!!"),"NEW","")))</f>
        <v> </v>
      </c>
      <c r="G1814" s="23" t="str">
        <f>IF(OR(E1814="",E1814="!!!"),"",IF(OR(J1814=0,AND(J1814=1,K1814=1),AND(J1814=1,I1814="SBJ"),AND(J1814=1,I1814=0)),"?IN_FOCUS",IF(J1814&lt;=2,"?ACTIVATED",IF(J1814&lt;&gt;"","?FAMILIAR",IF(F1814="NEW",IF(ISNA(VLOOKUP(E1814,#REF!,1,FALSE())),"?TYPE_IDENTIFIABLE","?REFERENTIAL"),"_")))))</f>
        <v> </v>
      </c>
      <c r="H1814" s="24" t="str">
        <f>IF(J1814&lt;&gt;1,"",IF(I1814="SBJ","CB","?"))</f>
        <v> </v>
      </c>
      <c r="I1814" s="25" t="str">
        <f>IF(OR(E1814="",E1814="!!!",F1814="NEW"),"",INDEX(B1813:B$2,-1+SUMPRODUCT(MAX(ROW(E1813:E$2)*(E1814=E1813:E$2)))))</f>
        <v> </v>
      </c>
      <c r="J1814" s="25" t="str">
        <f>IF(OR(E1814="",E1814="!!!",F1814="NEW"),"",COUNTBLANK(OFFSET(A$1,,,SUMPRODUCT(MAX(ROW(E$2:E1814)*(E1814=E$2:E1814)))))-COUNTBLANK(OFFSET(A$1,,,SUMPRODUCT(MAX(ROW(E$1:E1813)*(E2=E$1:E1813))))))</f>
        <v> </v>
      </c>
      <c r="K1814" s="25" t="str">
        <f>IF(OR(E1814="",E1814="!!!",F1814="NEW"),"",INDEX(J$1:J1813,SUMPRODUCT(MAX(ROW(E$1:E1813)*(E1814=E$1:E1813)))))</f>
        <v> </v>
      </c>
      <c r="L1814" s="26"/>
    </row>
    <row r="1815" spans="1:12">
      <c r="A1815" s="20" t="s">
        <v>593</v>
      </c>
      <c r="E1815" s="21">
        <f>IF(D1815="?OLD","!!!","")</f>
        <v/>
      </c>
      <c r="F1815" s="22" t="str">
        <f>IF(OR(E1815="",E1815="!!!"),"",IF(NOT(ISNA(VLOOKUP(E1815,E$1:E1814,1,FALSE()))),"OLD",IF(AND(E1815&lt;&gt;"",E1815&lt;&gt;"!!!"),"NEW","")))</f>
        <v> </v>
      </c>
      <c r="G1815" s="23" t="str">
        <f>IF(OR(E1815="",E1815="!!!"),"",IF(OR(J1815=0,AND(J1815=1,K1815=1),AND(J1815=1,I1815="SBJ"),AND(J1815=1,I1815=0)),"?IN_FOCUS",IF(J1815&lt;=2,"?ACTIVATED",IF(J1815&lt;&gt;"","?FAMILIAR",IF(F1815="NEW",IF(ISNA(VLOOKUP(E1815,#REF!,1,FALSE())),"?TYPE_IDENTIFIABLE","?REFERENTIAL"),"_")))))</f>
        <v> </v>
      </c>
      <c r="H1815" s="24" t="str">
        <f>IF(J1815&lt;&gt;1,"",IF(I1815="SBJ","CB","?"))</f>
        <v> </v>
      </c>
      <c r="I1815" s="25" t="str">
        <f>IF(OR(E1815="",E1815="!!!",F1815="NEW"),"",INDEX(B1814:B$2,-1+SUMPRODUCT(MAX(ROW(E1814:E$2)*(E1815=E1814:E$2)))))</f>
        <v> </v>
      </c>
      <c r="J1815" s="25" t="str">
        <f>IF(OR(E1815="",E1815="!!!",F1815="NEW"),"",COUNTBLANK(OFFSET(A$1,,,SUMPRODUCT(MAX(ROW(E$2:E1815)*(E1815=E$2:E1815)))))-COUNTBLANK(OFFSET(A$1,,,SUMPRODUCT(MAX(ROW(E$1:E1814)*(E2=E$1:E1814))))))</f>
        <v> </v>
      </c>
      <c r="K1815" s="25" t="str">
        <f>IF(OR(E1815="",E1815="!!!",F1815="NEW"),"",INDEX(J$1:J1814,SUMPRODUCT(MAX(ROW(E$1:E1814)*(E1815=E$1:E1814)))))</f>
        <v> </v>
      </c>
      <c r="L1815" s="26"/>
    </row>
    <row r="1816" spans="1:12">
      <c r="A1816" s="20" t="s">
        <v>435</v>
      </c>
      <c r="E1816" s="21">
        <f>IF(D1816="?OLD","!!!","")</f>
        <v/>
      </c>
      <c r="F1816" s="22" t="str">
        <f>IF(OR(E1816="",E1816="!!!"),"",IF(NOT(ISNA(VLOOKUP(E1816,E$1:E1815,1,FALSE()))),"OLD",IF(AND(E1816&lt;&gt;"",E1816&lt;&gt;"!!!"),"NEW","")))</f>
        <v> </v>
      </c>
      <c r="G1816" s="23" t="str">
        <f>IF(OR(E1816="",E1816="!!!"),"",IF(OR(J1816=0,AND(J1816=1,K1816=1),AND(J1816=1,I1816="SBJ"),AND(J1816=1,I1816=0)),"?IN_FOCUS",IF(J1816&lt;=2,"?ACTIVATED",IF(J1816&lt;&gt;"","?FAMILIAR",IF(F1816="NEW",IF(ISNA(VLOOKUP(E1816,#REF!,1,FALSE())),"?TYPE_IDENTIFIABLE","?REFERENTIAL"),"_")))))</f>
        <v> </v>
      </c>
      <c r="H1816" s="24" t="str">
        <f>IF(J1816&lt;&gt;1,"",IF(I1816="SBJ","CB","?"))</f>
        <v> </v>
      </c>
      <c r="I1816" s="25" t="str">
        <f>IF(OR(E1816="",E1816="!!!",F1816="NEW"),"",INDEX(B1815:B$2,-1+SUMPRODUCT(MAX(ROW(E1815:E$2)*(E1816=E1815:E$2)))))</f>
        <v> </v>
      </c>
      <c r="J1816" s="25" t="str">
        <f>IF(OR(E1816="",E1816="!!!",F1816="NEW"),"",COUNTBLANK(OFFSET(A$1,,,SUMPRODUCT(MAX(ROW(E$2:E1816)*(E1816=E$2:E1816)))))-COUNTBLANK(OFFSET(A$1,,,SUMPRODUCT(MAX(ROW(E$1:E1815)*(E2=E$1:E1815))))))</f>
        <v> </v>
      </c>
      <c r="K1816" s="25" t="str">
        <f>IF(OR(E1816="",E1816="!!!",F1816="NEW"),"",INDEX(J$1:J1815,SUMPRODUCT(MAX(ROW(E$1:E1815)*(E1816=E$1:E1815)))))</f>
        <v> </v>
      </c>
      <c r="L1816" s="26"/>
    </row>
    <row r="1817" spans="1:12">
      <c r="A1817" s="20" t="s">
        <v>380</v>
      </c>
      <c r="E1817" s="21">
        <f>IF(D1817="?OLD","!!!","")</f>
        <v/>
      </c>
      <c r="F1817" s="22" t="str">
        <f>IF(OR(E1817="",E1817="!!!"),"",IF(NOT(ISNA(VLOOKUP(E1817,E$1:E1816,1,FALSE()))),"OLD",IF(AND(E1817&lt;&gt;"",E1817&lt;&gt;"!!!"),"NEW","")))</f>
        <v> </v>
      </c>
      <c r="G1817" s="23" t="str">
        <f>IF(OR(E1817="",E1817="!!!"),"",IF(OR(J1817=0,AND(J1817=1,K1817=1),AND(J1817=1,I1817="SBJ"),AND(J1817=1,I1817=0)),"?IN_FOCUS",IF(J1817&lt;=2,"?ACTIVATED",IF(J1817&lt;&gt;"","?FAMILIAR",IF(F1817="NEW",IF(ISNA(VLOOKUP(E1817,#REF!,1,FALSE())),"?TYPE_IDENTIFIABLE","?REFERENTIAL"),"_")))))</f>
        <v> </v>
      </c>
      <c r="H1817" s="24" t="str">
        <f>IF(J1817&lt;&gt;1,"",IF(I1817="SBJ","CB","?"))</f>
        <v> </v>
      </c>
      <c r="I1817" s="25" t="str">
        <f>IF(OR(E1817="",E1817="!!!",F1817="NEW"),"",INDEX(B1816:B$2,-1+SUMPRODUCT(MAX(ROW(E1816:E$2)*(E1817=E1816:E$2)))))</f>
        <v> </v>
      </c>
      <c r="J1817" s="25" t="str">
        <f>IF(OR(E1817="",E1817="!!!",F1817="NEW"),"",COUNTBLANK(OFFSET(A$1,,,SUMPRODUCT(MAX(ROW(E$2:E1817)*(E1817=E$2:E1817)))))-COUNTBLANK(OFFSET(A$1,,,SUMPRODUCT(MAX(ROW(E$1:E1816)*(E2=E$1:E1816))))))</f>
        <v> </v>
      </c>
      <c r="K1817" s="25" t="str">
        <f>IF(OR(E1817="",E1817="!!!",F1817="NEW"),"",INDEX(J$1:J1816,SUMPRODUCT(MAX(ROW(E$1:E1816)*(E1817=E$1:E1816)))))</f>
        <v> </v>
      </c>
      <c r="L1817" s="26"/>
    </row>
    <row r="1818" spans="1:12">
      <c r="A1818" s="20" t="s">
        <v>1072</v>
      </c>
      <c r="B1818" s="27" t="s">
        <v>481</v>
      </c>
      <c r="C1818" s="27" t="s">
        <v>538</v>
      </c>
      <c r="D1818" s="27" t="s">
        <v>483</v>
      </c>
      <c r="E1818" s="21">
        <f>IF(D1818="?OLD","!!!","")</f>
        <v/>
      </c>
      <c r="F1818" s="22" t="str">
        <f>IF(OR(E1818="",E1818="!!!"),"",IF(NOT(ISNA(VLOOKUP(E1818,E$1:E1817,1,FALSE()))),"OLD",IF(AND(E1818&lt;&gt;"",E1818&lt;&gt;"!!!"),"NEW","")))</f>
        <v> </v>
      </c>
      <c r="G1818" s="23" t="str">
        <f>IF(OR(E1818="",E1818="!!!"),"",IF(OR(J1818=0,AND(J1818=1,K1818=1),AND(J1818=1,I1818="SBJ"),AND(J1818=1,I1818=0)),"?IN_FOCUS",IF(J1818&lt;=2,"?ACTIVATED",IF(J1818&lt;&gt;"","?FAMILIAR",IF(F1818="NEW",IF(ISNA(VLOOKUP(E1818,#REF!,1,FALSE())),"?TYPE_IDENTIFIABLE","?REFERENTIAL"),"_")))))</f>
        <v> </v>
      </c>
      <c r="H1818" s="24" t="str">
        <f>IF(J1818&lt;&gt;1,"",IF(I1818="SBJ","CB","?"))</f>
        <v> </v>
      </c>
      <c r="I1818" s="25" t="str">
        <f>IF(OR(E1818="",E1818="!!!",F1818="NEW"),"",INDEX(B1817:B$2,-1+SUMPRODUCT(MAX(ROW(E1817:E$2)*(E1818=E1817:E$2)))))</f>
        <v> </v>
      </c>
      <c r="J1818" s="25" t="str">
        <f>IF(OR(E1818="",E1818="!!!",F1818="NEW"),"",COUNTBLANK(OFFSET(A$1,,,SUMPRODUCT(MAX(ROW(E$2:E1818)*(E1818=E$2:E1818)))))-COUNTBLANK(OFFSET(A$1,,,SUMPRODUCT(MAX(ROW(E$1:E1817)*(E2=E$1:E1817))))))</f>
        <v> </v>
      </c>
      <c r="K1818" s="25" t="str">
        <f>IF(OR(E1818="",E1818="!!!",F1818="NEW"),"",INDEX(J$1:J1817,SUMPRODUCT(MAX(ROW(E$1:E1817)*(E1818=E$1:E1817)))))</f>
        <v> </v>
      </c>
      <c r="L1818" s="26"/>
    </row>
    <row r="1819" spans="1:12">
      <c r="A1819" s="20" t="s">
        <v>528</v>
      </c>
      <c r="E1819" s="21">
        <f>IF(D1819="?OLD","!!!","")</f>
        <v/>
      </c>
      <c r="F1819" s="22" t="str">
        <f>IF(OR(E1819="",E1819="!!!"),"",IF(NOT(ISNA(VLOOKUP(E1819,E$1:E1818,1,FALSE()))),"OLD",IF(AND(E1819&lt;&gt;"",E1819&lt;&gt;"!!!"),"NEW","")))</f>
        <v> </v>
      </c>
      <c r="G1819" s="23" t="str">
        <f>IF(OR(E1819="",E1819="!!!"),"",IF(OR(J1819=0,AND(J1819=1,K1819=1),AND(J1819=1,I1819="SBJ"),AND(J1819=1,I1819=0)),"?IN_FOCUS",IF(J1819&lt;=2,"?ACTIVATED",IF(J1819&lt;&gt;"","?FAMILIAR",IF(F1819="NEW",IF(ISNA(VLOOKUP(E1819,#REF!,1,FALSE())),"?TYPE_IDENTIFIABLE","?REFERENTIAL"),"_")))))</f>
        <v> </v>
      </c>
      <c r="H1819" s="24" t="str">
        <f>IF(J1819&lt;&gt;1,"",IF(I1819="SBJ","CB","?"))</f>
        <v> </v>
      </c>
      <c r="I1819" s="25" t="str">
        <f>IF(OR(E1819="",E1819="!!!",F1819="NEW"),"",INDEX(B1818:B$2,-1+SUMPRODUCT(MAX(ROW(E1818:E$2)*(E1819=E1818:E$2)))))</f>
        <v> </v>
      </c>
      <c r="J1819" s="25" t="str">
        <f>IF(OR(E1819="",E1819="!!!",F1819="NEW"),"",COUNTBLANK(OFFSET(A$1,,,SUMPRODUCT(MAX(ROW(E$2:E1819)*(E1819=E$2:E1819)))))-COUNTBLANK(OFFSET(A$1,,,SUMPRODUCT(MAX(ROW(E$1:E1818)*(E2=E$1:E1818))))))</f>
        <v> </v>
      </c>
      <c r="K1819" s="25" t="str">
        <f>IF(OR(E1819="",E1819="!!!",F1819="NEW"),"",INDEX(J$1:J1818,SUMPRODUCT(MAX(ROW(E$1:E1818)*(E1819=E$1:E1818)))))</f>
        <v> </v>
      </c>
      <c r="L1819" s="26"/>
    </row>
    <row r="1820" spans="1:12">
      <c r="A1820" s="20" t="s">
        <v>1073</v>
      </c>
      <c r="B1820" s="27" t="s">
        <v>490</v>
      </c>
      <c r="C1820" s="27" t="s">
        <v>516</v>
      </c>
      <c r="E1820" s="21">
        <f>IF(D1820="?OLD","!!!","")</f>
        <v/>
      </c>
      <c r="F1820" s="22" t="str">
        <f>IF(OR(E1820="",E1820="!!!"),"",IF(NOT(ISNA(VLOOKUP(E1820,E$1:E1819,1,FALSE()))),"OLD",IF(AND(E1820&lt;&gt;"",E1820&lt;&gt;"!!!"),"NEW","")))</f>
        <v> </v>
      </c>
      <c r="G1820" s="23" t="str">
        <f>IF(OR(E1820="",E1820="!!!"),"",IF(OR(J1820=0,AND(J1820=1,K1820=1),AND(J1820=1,I1820="SBJ"),AND(J1820=1,I1820=0)),"?IN_FOCUS",IF(J1820&lt;=2,"?ACTIVATED",IF(J1820&lt;&gt;"","?FAMILIAR",IF(F1820="NEW",IF(ISNA(VLOOKUP(E1820,#REF!,1,FALSE())),"?TYPE_IDENTIFIABLE","?REFERENTIAL"),"_")))))</f>
        <v> </v>
      </c>
      <c r="H1820" s="24" t="str">
        <f>IF(J1820&lt;&gt;1,"",IF(I1820="SBJ","CB","?"))</f>
        <v> </v>
      </c>
      <c r="I1820" s="25" t="str">
        <f>IF(OR(E1820="",E1820="!!!",F1820="NEW"),"",INDEX(B1819:B$2,-1+SUMPRODUCT(MAX(ROW(E1819:E$2)*(E1820=E1819:E$2)))))</f>
        <v> </v>
      </c>
      <c r="J1820" s="25" t="str">
        <f>IF(OR(E1820="",E1820="!!!",F1820="NEW"),"",COUNTBLANK(OFFSET(A$1,,,SUMPRODUCT(MAX(ROW(E$2:E1820)*(E1820=E$2:E1820)))))-COUNTBLANK(OFFSET(A$1,,,SUMPRODUCT(MAX(ROW(E$1:E1819)*(E2=E$1:E1819))))))</f>
        <v> </v>
      </c>
      <c r="K1820" s="25" t="str">
        <f>IF(OR(E1820="",E1820="!!!",F1820="NEW"),"",INDEX(J$1:J1819,SUMPRODUCT(MAX(ROW(E$1:E1819)*(E1820=E$1:E1819)))))</f>
        <v> </v>
      </c>
      <c r="L1820" s="26"/>
    </row>
    <row r="1821" spans="1:12">
      <c r="A1821" s="20" t="s">
        <v>531</v>
      </c>
      <c r="E1821" s="21">
        <f>IF(D1821="?OLD","!!!","")</f>
        <v/>
      </c>
      <c r="F1821" s="22" t="str">
        <f>IF(OR(E1821="",E1821="!!!"),"",IF(NOT(ISNA(VLOOKUP(E1821,E$1:E1820,1,FALSE()))),"OLD",IF(AND(E1821&lt;&gt;"",E1821&lt;&gt;"!!!"),"NEW","")))</f>
        <v> </v>
      </c>
      <c r="G1821" s="23" t="str">
        <f>IF(OR(E1821="",E1821="!!!"),"",IF(OR(J1821=0,AND(J1821=1,K1821=1),AND(J1821=1,I1821="SBJ"),AND(J1821=1,I1821=0)),"?IN_FOCUS",IF(J1821&lt;=2,"?ACTIVATED",IF(J1821&lt;&gt;"","?FAMILIAR",IF(F1821="NEW",IF(ISNA(VLOOKUP(E1821,#REF!,1,FALSE())),"?TYPE_IDENTIFIABLE","?REFERENTIAL"),"_")))))</f>
        <v> </v>
      </c>
      <c r="H1821" s="24" t="str">
        <f>IF(J1821&lt;&gt;1,"",IF(I1821="SBJ","CB","?"))</f>
        <v> </v>
      </c>
      <c r="I1821" s="25" t="str">
        <f>IF(OR(E1821="",E1821="!!!",F1821="NEW"),"",INDEX(B1820:B$2,-1+SUMPRODUCT(MAX(ROW(E1820:E$2)*(E1821=E1820:E$2)))))</f>
        <v> </v>
      </c>
      <c r="J1821" s="25" t="str">
        <f>IF(OR(E1821="",E1821="!!!",F1821="NEW"),"",COUNTBLANK(OFFSET(A$1,,,SUMPRODUCT(MAX(ROW(E$2:E1821)*(E1821=E$2:E1821)))))-COUNTBLANK(OFFSET(A$1,,,SUMPRODUCT(MAX(ROW(E$1:E1820)*(E2=E$1:E1820))))))</f>
        <v> </v>
      </c>
      <c r="K1821" s="25" t="str">
        <f>IF(OR(E1821="",E1821="!!!",F1821="NEW"),"",INDEX(J$1:J1820,SUMPRODUCT(MAX(ROW(E$1:E1820)*(E1821=E$1:E1820)))))</f>
        <v> </v>
      </c>
      <c r="L1821" s="26"/>
    </row>
    <row r="1822" spans="1:12">
      <c r="A1822" s="20"/>
    </row>
    <row r="1823" spans="1:12">
      <c r="A1823" s="20" t="s">
        <v>1074</v>
      </c>
    </row>
    <row r="1824" spans="1:12">
      <c r="A1824" s="20" t="s">
        <v>1023</v>
      </c>
      <c r="E1824" s="21">
        <f>IF(D1824="?OLD","!!!","")</f>
        <v/>
      </c>
      <c r="F1824" s="22" t="str">
        <f>IF(OR(E1824="",E1824="!!!"),"",IF(NOT(ISNA(VLOOKUP(E1824,E$1:E1823,1,FALSE()))),"OLD",IF(AND(E1824&lt;&gt;"",E1824&lt;&gt;"!!!"),"NEW","")))</f>
        <v> </v>
      </c>
      <c r="G1824" s="23" t="str">
        <f>IF(OR(E1824="",E1824="!!!"),"",IF(OR(J1824=0,AND(J1824=1,K1824=1),AND(J1824=1,I1824="SBJ"),AND(J1824=1,I1824=0)),"?IN_FOCUS",IF(J1824&lt;=2,"?ACTIVATED",IF(J1824&lt;&gt;"","?FAMILIAR",IF(F1824="NEW",IF(ISNA(VLOOKUP(E1824,#REF!,1,FALSE())),"?TYPE_IDENTIFIABLE","?REFERENTIAL"),"_")))))</f>
        <v> </v>
      </c>
      <c r="H1824" s="24" t="str">
        <f>IF(J1824&lt;&gt;1,"",IF(I1824="SBJ","CB","?"))</f>
        <v> </v>
      </c>
      <c r="I1824" s="25" t="str">
        <f>IF(OR(E1824="",E1824="!!!",F1824="NEW"),"",INDEX(B1823:B$2,-1+SUMPRODUCT(MAX(ROW(E1823:E$2)*(E1824=E1823:E$2)))))</f>
        <v> </v>
      </c>
      <c r="J1824" s="25" t="str">
        <f>IF(OR(E1824="",E1824="!!!",F1824="NEW"),"",COUNTBLANK(OFFSET(A$1,,,SUMPRODUCT(MAX(ROW(E$2:E1824)*(E1824=E$2:E1824)))))-COUNTBLANK(OFFSET(A$1,,,SUMPRODUCT(MAX(ROW(E$1:E1823)*(E2=E$1:E1823))))))</f>
        <v> </v>
      </c>
      <c r="K1824" s="25" t="str">
        <f>IF(OR(E1824="",E1824="!!!",F1824="NEW"),"",INDEX(J$1:J1823,SUMPRODUCT(MAX(ROW(E$1:E1823)*(E1824=E$1:E1823)))))</f>
        <v> </v>
      </c>
      <c r="L1824" s="26"/>
    </row>
    <row r="1825" spans="1:12">
      <c r="A1825" s="20" t="s">
        <v>489</v>
      </c>
      <c r="E1825" s="21">
        <f>IF(D1825="?OLD","!!!","")</f>
        <v/>
      </c>
      <c r="F1825" s="22" t="str">
        <f>IF(OR(E1825="",E1825="!!!"),"",IF(NOT(ISNA(VLOOKUP(E1825,E$1:E1824,1,FALSE()))),"OLD",IF(AND(E1825&lt;&gt;"",E1825&lt;&gt;"!!!"),"NEW","")))</f>
        <v> </v>
      </c>
      <c r="G1825" s="23" t="str">
        <f>IF(OR(E1825="",E1825="!!!"),"",IF(OR(J1825=0,AND(J1825=1,K1825=1),AND(J1825=1,I1825="SBJ"),AND(J1825=1,I1825=0)),"?IN_FOCUS",IF(J1825&lt;=2,"?ACTIVATED",IF(J1825&lt;&gt;"","?FAMILIAR",IF(F1825="NEW",IF(ISNA(VLOOKUP(E1825,#REF!,1,FALSE())),"?TYPE_IDENTIFIABLE","?REFERENTIAL"),"_")))))</f>
        <v> </v>
      </c>
      <c r="H1825" s="24" t="str">
        <f>IF(J1825&lt;&gt;1,"",IF(I1825="SBJ","CB","?"))</f>
        <v> </v>
      </c>
      <c r="I1825" s="25" t="str">
        <f>IF(OR(E1825="",E1825="!!!",F1825="NEW"),"",INDEX(B1824:B$2,-1+SUMPRODUCT(MAX(ROW(E1824:E$2)*(E1825=E1824:E$2)))))</f>
        <v> </v>
      </c>
      <c r="J1825" s="25" t="str">
        <f>IF(OR(E1825="",E1825="!!!",F1825="NEW"),"",COUNTBLANK(OFFSET(A$1,,,SUMPRODUCT(MAX(ROW(E$2:E1825)*(E1825=E$2:E1825)))))-COUNTBLANK(OFFSET(A$1,,,SUMPRODUCT(MAX(ROW(E$1:E1824)*(E2=E$1:E1824))))))</f>
        <v> </v>
      </c>
      <c r="K1825" s="25" t="str">
        <f>IF(OR(E1825="",E1825="!!!",F1825="NEW"),"",INDEX(J$1:J1824,SUMPRODUCT(MAX(ROW(E$1:E1824)*(E1825=E$1:E1824)))))</f>
        <v> </v>
      </c>
      <c r="L1825" s="26"/>
    </row>
    <row r="1826" spans="1:12">
      <c r="A1826" s="20" t="s">
        <v>1075</v>
      </c>
      <c r="E1826" s="21">
        <f>IF(D1826="?OLD","!!!","")</f>
        <v/>
      </c>
      <c r="F1826" s="22" t="str">
        <f>IF(OR(E1826="",E1826="!!!"),"",IF(NOT(ISNA(VLOOKUP(E1826,E$1:E1825,1,FALSE()))),"OLD",IF(AND(E1826&lt;&gt;"",E1826&lt;&gt;"!!!"),"NEW","")))</f>
        <v> </v>
      </c>
      <c r="G1826" s="23" t="str">
        <f>IF(OR(E1826="",E1826="!!!"),"",IF(OR(J1826=0,AND(J1826=1,K1826=1),AND(J1826=1,I1826="SBJ"),AND(J1826=1,I1826=0)),"?IN_FOCUS",IF(J1826&lt;=2,"?ACTIVATED",IF(J1826&lt;&gt;"","?FAMILIAR",IF(F1826="NEW",IF(ISNA(VLOOKUP(E1826,#REF!,1,FALSE())),"?TYPE_IDENTIFIABLE","?REFERENTIAL"),"_")))))</f>
        <v> </v>
      </c>
      <c r="H1826" s="24" t="str">
        <f>IF(J1826&lt;&gt;1,"",IF(I1826="SBJ","CB","?"))</f>
        <v> </v>
      </c>
      <c r="I1826" s="25" t="str">
        <f>IF(OR(E1826="",E1826="!!!",F1826="NEW"),"",INDEX(B1825:B$2,-1+SUMPRODUCT(MAX(ROW(E1825:E$2)*(E1826=E1825:E$2)))))</f>
        <v> </v>
      </c>
      <c r="J1826" s="25" t="str">
        <f>IF(OR(E1826="",E1826="!!!",F1826="NEW"),"",COUNTBLANK(OFFSET(A$1,,,SUMPRODUCT(MAX(ROW(E$2:E1826)*(E1826=E$2:E1826)))))-COUNTBLANK(OFFSET(A$1,,,SUMPRODUCT(MAX(ROW(E$1:E1825)*(E2=E$1:E1825))))))</f>
        <v> </v>
      </c>
      <c r="K1826" s="25" t="str">
        <f>IF(OR(E1826="",E1826="!!!",F1826="NEW"),"",INDEX(J$1:J1825,SUMPRODUCT(MAX(ROW(E$1:E1825)*(E1826=E$1:E1825)))))</f>
        <v> </v>
      </c>
      <c r="L1826" s="26"/>
    </row>
    <row r="1827" spans="1:12">
      <c r="A1827" s="20" t="s">
        <v>557</v>
      </c>
      <c r="E1827" s="21">
        <f>IF(D1827="?OLD","!!!","")</f>
        <v/>
      </c>
      <c r="F1827" s="22" t="str">
        <f>IF(OR(E1827="",E1827="!!!"),"",IF(NOT(ISNA(VLOOKUP(E1827,E$1:E1826,1,FALSE()))),"OLD",IF(AND(E1827&lt;&gt;"",E1827&lt;&gt;"!!!"),"NEW","")))</f>
        <v> </v>
      </c>
      <c r="G1827" s="23" t="str">
        <f>IF(OR(E1827="",E1827="!!!"),"",IF(OR(J1827=0,AND(J1827=1,K1827=1),AND(J1827=1,I1827="SBJ"),AND(J1827=1,I1827=0)),"?IN_FOCUS",IF(J1827&lt;=2,"?ACTIVATED",IF(J1827&lt;&gt;"","?FAMILIAR",IF(F1827="NEW",IF(ISNA(VLOOKUP(E1827,#REF!,1,FALSE())),"?TYPE_IDENTIFIABLE","?REFERENTIAL"),"_")))))</f>
        <v> </v>
      </c>
      <c r="H1827" s="24" t="str">
        <f>IF(J1827&lt;&gt;1,"",IF(I1827="SBJ","CB","?"))</f>
        <v> </v>
      </c>
      <c r="I1827" s="25" t="str">
        <f>IF(OR(E1827="",E1827="!!!",F1827="NEW"),"",INDEX(B1826:B$2,-1+SUMPRODUCT(MAX(ROW(E1826:E$2)*(E1827=E1826:E$2)))))</f>
        <v> </v>
      </c>
      <c r="J1827" s="25" t="str">
        <f>IF(OR(E1827="",E1827="!!!",F1827="NEW"),"",COUNTBLANK(OFFSET(A$1,,,SUMPRODUCT(MAX(ROW(E$2:E1827)*(E1827=E$2:E1827)))))-COUNTBLANK(OFFSET(A$1,,,SUMPRODUCT(MAX(ROW(E$1:E1826)*(E2=E$1:E1826))))))</f>
        <v> </v>
      </c>
      <c r="K1827" s="25" t="str">
        <f>IF(OR(E1827="",E1827="!!!",F1827="NEW"),"",INDEX(J$1:J1826,SUMPRODUCT(MAX(ROW(E$1:E1826)*(E1827=E$1:E1826)))))</f>
        <v> </v>
      </c>
      <c r="L1827" s="26"/>
    </row>
    <row r="1828" spans="1:12">
      <c r="A1828" s="20" t="s">
        <v>1029</v>
      </c>
      <c r="B1828" s="27" t="s">
        <v>477</v>
      </c>
      <c r="C1828" s="27" t="s">
        <v>482</v>
      </c>
      <c r="D1828" s="27" t="s">
        <v>483</v>
      </c>
      <c r="E1828" s="21">
        <f>IF(D1828="?OLD","!!!","")</f>
        <v/>
      </c>
      <c r="F1828" s="22" t="str">
        <f>IF(OR(E1828="",E1828="!!!"),"",IF(NOT(ISNA(VLOOKUP(E1828,E$1:E1827,1,FALSE()))),"OLD",IF(AND(E1828&lt;&gt;"",E1828&lt;&gt;"!!!"),"NEW","")))</f>
        <v> </v>
      </c>
      <c r="G1828" s="23" t="str">
        <f>IF(OR(E1828="",E1828="!!!"),"",IF(OR(J1828=0,AND(J1828=1,K1828=1),AND(J1828=1,I1828="SBJ"),AND(J1828=1,I1828=0)),"?IN_FOCUS",IF(J1828&lt;=2,"?ACTIVATED",IF(J1828&lt;&gt;"","?FAMILIAR",IF(F1828="NEW",IF(ISNA(VLOOKUP(E1828,#REF!,1,FALSE())),"?TYPE_IDENTIFIABLE","?REFERENTIAL"),"_")))))</f>
        <v> </v>
      </c>
      <c r="H1828" s="24" t="str">
        <f>IF(J1828&lt;&gt;1,"",IF(I1828="SBJ","CB","?"))</f>
        <v> </v>
      </c>
      <c r="I1828" s="25" t="str">
        <f>IF(OR(E1828="",E1828="!!!",F1828="NEW"),"",INDEX(B1827:B$2,-1+SUMPRODUCT(MAX(ROW(E1827:E$2)*(E1828=E1827:E$2)))))</f>
        <v> </v>
      </c>
      <c r="J1828" s="25" t="str">
        <f>IF(OR(E1828="",E1828="!!!",F1828="NEW"),"",COUNTBLANK(OFFSET(A$1,,,SUMPRODUCT(MAX(ROW(E$2:E1828)*(E1828=E$2:E1828)))))-COUNTBLANK(OFFSET(A$1,,,SUMPRODUCT(MAX(ROW(E$1:E1827)*(E2=E$1:E1827))))))</f>
        <v> </v>
      </c>
      <c r="K1828" s="25" t="str">
        <f>IF(OR(E1828="",E1828="!!!",F1828="NEW"),"",INDEX(J$1:J1827,SUMPRODUCT(MAX(ROW(E$1:E1827)*(E1828=E$1:E1827)))))</f>
        <v> </v>
      </c>
      <c r="L1828" s="26"/>
    </row>
    <row r="1829" spans="1:12">
      <c r="A1829" s="20" t="s">
        <v>531</v>
      </c>
      <c r="E1829" s="21">
        <f>IF(D1829="?OLD","!!!","")</f>
        <v/>
      </c>
      <c r="F1829" s="22" t="str">
        <f>IF(OR(E1829="",E1829="!!!"),"",IF(NOT(ISNA(VLOOKUP(E1829,E$1:E1828,1,FALSE()))),"OLD",IF(AND(E1829&lt;&gt;"",E1829&lt;&gt;"!!!"),"NEW","")))</f>
        <v> </v>
      </c>
      <c r="G1829" s="23" t="str">
        <f>IF(OR(E1829="",E1829="!!!"),"",IF(OR(J1829=0,AND(J1829=1,K1829=1),AND(J1829=1,I1829="SBJ"),AND(J1829=1,I1829=0)),"?IN_FOCUS",IF(J1829&lt;=2,"?ACTIVATED",IF(J1829&lt;&gt;"","?FAMILIAR",IF(F1829="NEW",IF(ISNA(VLOOKUP(E1829,#REF!,1,FALSE())),"?TYPE_IDENTIFIABLE","?REFERENTIAL"),"_")))))</f>
        <v> </v>
      </c>
      <c r="H1829" s="24" t="str">
        <f>IF(J1829&lt;&gt;1,"",IF(I1829="SBJ","CB","?"))</f>
        <v> </v>
      </c>
      <c r="I1829" s="25" t="str">
        <f>IF(OR(E1829="",E1829="!!!",F1829="NEW"),"",INDEX(B1828:B$2,-1+SUMPRODUCT(MAX(ROW(E1828:E$2)*(E1829=E1828:E$2)))))</f>
        <v> </v>
      </c>
      <c r="J1829" s="25" t="str">
        <f>IF(OR(E1829="",E1829="!!!",F1829="NEW"),"",COUNTBLANK(OFFSET(A$1,,,SUMPRODUCT(MAX(ROW(E$2:E1829)*(E1829=E$2:E1829)))))-COUNTBLANK(OFFSET(A$1,,,SUMPRODUCT(MAX(ROW(E$1:E1828)*(E2=E$1:E1828))))))</f>
        <v> </v>
      </c>
      <c r="K1829" s="25" t="str">
        <f>IF(OR(E1829="",E1829="!!!",F1829="NEW"),"",INDEX(J$1:J1828,SUMPRODUCT(MAX(ROW(E$1:E1828)*(E1829=E$1:E1828)))))</f>
        <v> </v>
      </c>
      <c r="L1829" s="26"/>
    </row>
    <row r="1830" spans="1:12">
      <c r="A1830" s="20"/>
    </row>
    <row r="1831" spans="1:12">
      <c r="A1831" s="20" t="s">
        <v>1076</v>
      </c>
    </row>
    <row r="1832" spans="1:12">
      <c r="A1832" s="20" t="s">
        <v>1077</v>
      </c>
      <c r="E1832" s="21">
        <f>IF(D1832="?OLD","!!!","")</f>
        <v/>
      </c>
      <c r="F1832" s="22" t="str">
        <f>IF(OR(E1832="",E1832="!!!"),"",IF(NOT(ISNA(VLOOKUP(E1832,E$1:E1831,1,FALSE()))),"OLD",IF(AND(E1832&lt;&gt;"",E1832&lt;&gt;"!!!"),"NEW","")))</f>
        <v> </v>
      </c>
      <c r="G1832" s="23" t="str">
        <f>IF(OR(E1832="",E1832="!!!"),"",IF(OR(J1832=0,AND(J1832=1,K1832=1),AND(J1832=1,I1832="SBJ"),AND(J1832=1,I1832=0)),"?IN_FOCUS",IF(J1832&lt;=2,"?ACTIVATED",IF(J1832&lt;&gt;"","?FAMILIAR",IF(F1832="NEW",IF(ISNA(VLOOKUP(E1832,#REF!,1,FALSE())),"?TYPE_IDENTIFIABLE","?REFERENTIAL"),"_")))))</f>
        <v> </v>
      </c>
      <c r="H1832" s="24" t="str">
        <f>IF(J1832&lt;&gt;1,"",IF(I1832="SBJ","CB","?"))</f>
        <v> </v>
      </c>
      <c r="I1832" s="25" t="str">
        <f>IF(OR(E1832="",E1832="!!!",F1832="NEW"),"",INDEX(B1831:B$2,-1+SUMPRODUCT(MAX(ROW(E1831:E$2)*(E1832=E1831:E$2)))))</f>
        <v> </v>
      </c>
      <c r="J1832" s="25" t="str">
        <f>IF(OR(E1832="",E1832="!!!",F1832="NEW"),"",COUNTBLANK(OFFSET(A$1,,,SUMPRODUCT(MAX(ROW(E$2:E1832)*(E1832=E$2:E1832)))))-COUNTBLANK(OFFSET(A$1,,,SUMPRODUCT(MAX(ROW(E$1:E1831)*(E2=E$1:E1831))))))</f>
        <v> </v>
      </c>
      <c r="K1832" s="25" t="str">
        <f>IF(OR(E1832="",E1832="!!!",F1832="NEW"),"",INDEX(J$1:J1831,SUMPRODUCT(MAX(ROW(E$1:E1831)*(E1832=E$1:E1831)))))</f>
        <v> </v>
      </c>
      <c r="L1832" s="26"/>
    </row>
    <row r="1833" spans="1:12">
      <c r="A1833" s="20" t="s">
        <v>489</v>
      </c>
      <c r="E1833" s="21">
        <f>IF(D1833="?OLD","!!!","")</f>
        <v/>
      </c>
      <c r="F1833" s="22" t="str">
        <f>IF(OR(E1833="",E1833="!!!"),"",IF(NOT(ISNA(VLOOKUP(E1833,E$1:E1832,1,FALSE()))),"OLD",IF(AND(E1833&lt;&gt;"",E1833&lt;&gt;"!!!"),"NEW","")))</f>
        <v> </v>
      </c>
      <c r="G1833" s="23" t="str">
        <f>IF(OR(E1833="",E1833="!!!"),"",IF(OR(J1833=0,AND(J1833=1,K1833=1),AND(J1833=1,I1833="SBJ"),AND(J1833=1,I1833=0)),"?IN_FOCUS",IF(J1833&lt;=2,"?ACTIVATED",IF(J1833&lt;&gt;"","?FAMILIAR",IF(F1833="NEW",IF(ISNA(VLOOKUP(E1833,#REF!,1,FALSE())),"?TYPE_IDENTIFIABLE","?REFERENTIAL"),"_")))))</f>
        <v> </v>
      </c>
      <c r="H1833" s="24" t="str">
        <f>IF(J1833&lt;&gt;1,"",IF(I1833="SBJ","CB","?"))</f>
        <v> </v>
      </c>
      <c r="I1833" s="25" t="str">
        <f>IF(OR(E1833="",E1833="!!!",F1833="NEW"),"",INDEX(B1832:B$2,-1+SUMPRODUCT(MAX(ROW(E1832:E$2)*(E1833=E1832:E$2)))))</f>
        <v> </v>
      </c>
      <c r="J1833" s="25" t="str">
        <f>IF(OR(E1833="",E1833="!!!",F1833="NEW"),"",COUNTBLANK(OFFSET(A$1,,,SUMPRODUCT(MAX(ROW(E$2:E1833)*(E1833=E$2:E1833)))))-COUNTBLANK(OFFSET(A$1,,,SUMPRODUCT(MAX(ROW(E$1:E1832)*(E2=E$1:E1832))))))</f>
        <v> </v>
      </c>
      <c r="K1833" s="25" t="str">
        <f>IF(OR(E1833="",E1833="!!!",F1833="NEW"),"",INDEX(J$1:J1832,SUMPRODUCT(MAX(ROW(E$1:E1832)*(E1833=E$1:E1832)))))</f>
        <v> </v>
      </c>
      <c r="L1833" s="26"/>
    </row>
    <row r="1834" spans="1:12">
      <c r="A1834" s="20" t="s">
        <v>507</v>
      </c>
      <c r="E1834" s="21">
        <f>IF(D1834="?OLD","!!!","")</f>
        <v/>
      </c>
      <c r="F1834" s="22" t="str">
        <f>IF(OR(E1834="",E1834="!!!"),"",IF(NOT(ISNA(VLOOKUP(E1834,E$1:E1833,1,FALSE()))),"OLD",IF(AND(E1834&lt;&gt;"",E1834&lt;&gt;"!!!"),"NEW","")))</f>
        <v> </v>
      </c>
      <c r="G1834" s="23" t="str">
        <f>IF(OR(E1834="",E1834="!!!"),"",IF(OR(J1834=0,AND(J1834=1,K1834=1),AND(J1834=1,I1834="SBJ"),AND(J1834=1,I1834=0)),"?IN_FOCUS",IF(J1834&lt;=2,"?ACTIVATED",IF(J1834&lt;&gt;"","?FAMILIAR",IF(F1834="NEW",IF(ISNA(VLOOKUP(E1834,#REF!,1,FALSE())),"?TYPE_IDENTIFIABLE","?REFERENTIAL"),"_")))))</f>
        <v> </v>
      </c>
      <c r="H1834" s="24" t="str">
        <f>IF(J1834&lt;&gt;1,"",IF(I1834="SBJ","CB","?"))</f>
        <v> </v>
      </c>
      <c r="I1834" s="25" t="str">
        <f>IF(OR(E1834="",E1834="!!!",F1834="NEW"),"",INDEX(B1833:B$2,-1+SUMPRODUCT(MAX(ROW(E1833:E$2)*(E1834=E1833:E$2)))))</f>
        <v> </v>
      </c>
      <c r="J1834" s="25" t="str">
        <f>IF(OR(E1834="",E1834="!!!",F1834="NEW"),"",COUNTBLANK(OFFSET(A$1,,,SUMPRODUCT(MAX(ROW(E$2:E1834)*(E1834=E$2:E1834)))))-COUNTBLANK(OFFSET(A$1,,,SUMPRODUCT(MAX(ROW(E$1:E1833)*(E2=E$1:E1833))))))</f>
        <v> </v>
      </c>
      <c r="K1834" s="25" t="str">
        <f>IF(OR(E1834="",E1834="!!!",F1834="NEW"),"",INDEX(J$1:J1833,SUMPRODUCT(MAX(ROW(E$1:E1833)*(E1834=E$1:E1833)))))</f>
        <v> </v>
      </c>
      <c r="L1834" s="26"/>
    </row>
    <row r="1835" spans="1:12">
      <c r="A1835" s="20" t="s">
        <v>769</v>
      </c>
      <c r="E1835" s="21">
        <f>IF(D1835="?OLD","!!!","")</f>
        <v/>
      </c>
      <c r="F1835" s="22" t="str">
        <f>IF(OR(E1835="",E1835="!!!"),"",IF(NOT(ISNA(VLOOKUP(E1835,E$1:E1834,1,FALSE()))),"OLD",IF(AND(E1835&lt;&gt;"",E1835&lt;&gt;"!!!"),"NEW","")))</f>
        <v> </v>
      </c>
      <c r="G1835" s="23" t="str">
        <f>IF(OR(E1835="",E1835="!!!"),"",IF(OR(J1835=0,AND(J1835=1,K1835=1),AND(J1835=1,I1835="SBJ"),AND(J1835=1,I1835=0)),"?IN_FOCUS",IF(J1835&lt;=2,"?ACTIVATED",IF(J1835&lt;&gt;"","?FAMILIAR",IF(F1835="NEW",IF(ISNA(VLOOKUP(E1835,#REF!,1,FALSE())),"?TYPE_IDENTIFIABLE","?REFERENTIAL"),"_")))))</f>
        <v> </v>
      </c>
      <c r="H1835" s="24" t="str">
        <f>IF(J1835&lt;&gt;1,"",IF(I1835="SBJ","CB","?"))</f>
        <v> </v>
      </c>
      <c r="I1835" s="25" t="str">
        <f>IF(OR(E1835="",E1835="!!!",F1835="NEW"),"",INDEX(B1834:B$2,-1+SUMPRODUCT(MAX(ROW(E1834:E$2)*(E1835=E1834:E$2)))))</f>
        <v> </v>
      </c>
      <c r="J1835" s="25" t="str">
        <f>IF(OR(E1835="",E1835="!!!",F1835="NEW"),"",COUNTBLANK(OFFSET(A$1,,,SUMPRODUCT(MAX(ROW(E$2:E1835)*(E1835=E$2:E1835)))))-COUNTBLANK(OFFSET(A$1,,,SUMPRODUCT(MAX(ROW(E$1:E1834)*(E2=E$1:E1834))))))</f>
        <v> </v>
      </c>
      <c r="K1835" s="25" t="str">
        <f>IF(OR(E1835="",E1835="!!!",F1835="NEW"),"",INDEX(J$1:J1834,SUMPRODUCT(MAX(ROW(E$1:E1834)*(E1835=E$1:E1834)))))</f>
        <v> </v>
      </c>
      <c r="L1835" s="26"/>
    </row>
    <row r="1836" spans="1:12">
      <c r="A1836" s="20" t="s">
        <v>913</v>
      </c>
      <c r="B1836" s="27" t="s">
        <v>477</v>
      </c>
      <c r="C1836" s="27" t="s">
        <v>598</v>
      </c>
      <c r="D1836" s="27" t="s">
        <v>483</v>
      </c>
      <c r="E1836" s="21">
        <f>IF(D1836="?OLD","!!!","")</f>
        <v/>
      </c>
      <c r="F1836" s="22" t="str">
        <f>IF(OR(E1836="",E1836="!!!"),"",IF(NOT(ISNA(VLOOKUP(E1836,E$1:E1835,1,FALSE()))),"OLD",IF(AND(E1836&lt;&gt;"",E1836&lt;&gt;"!!!"),"NEW","")))</f>
        <v> </v>
      </c>
      <c r="G1836" s="23" t="str">
        <f>IF(OR(E1836="",E1836="!!!"),"",IF(OR(J1836=0,AND(J1836=1,K1836=1),AND(J1836=1,I1836="SBJ"),AND(J1836=1,I1836=0)),"?IN_FOCUS",IF(J1836&lt;=2,"?ACTIVATED",IF(J1836&lt;&gt;"","?FAMILIAR",IF(F1836="NEW",IF(ISNA(VLOOKUP(E1836,#REF!,1,FALSE())),"?TYPE_IDENTIFIABLE","?REFERENTIAL"),"_")))))</f>
        <v> </v>
      </c>
      <c r="H1836" s="24" t="str">
        <f>IF(J1836&lt;&gt;1,"",IF(I1836="SBJ","CB","?"))</f>
        <v> </v>
      </c>
      <c r="I1836" s="25" t="str">
        <f>IF(OR(E1836="",E1836="!!!",F1836="NEW"),"",INDEX(B1835:B$2,-1+SUMPRODUCT(MAX(ROW(E1835:E$2)*(E1836=E1835:E$2)))))</f>
        <v> </v>
      </c>
      <c r="J1836" s="25" t="str">
        <f>IF(OR(E1836="",E1836="!!!",F1836="NEW"),"",COUNTBLANK(OFFSET(A$1,,,SUMPRODUCT(MAX(ROW(E$2:E1836)*(E1836=E$2:E1836)))))-COUNTBLANK(OFFSET(A$1,,,SUMPRODUCT(MAX(ROW(E$1:E1835)*(E2=E$1:E1835))))))</f>
        <v> </v>
      </c>
      <c r="K1836" s="25" t="str">
        <f>IF(OR(E1836="",E1836="!!!",F1836="NEW"),"",INDEX(J$1:J1835,SUMPRODUCT(MAX(ROW(E$1:E1835)*(E1836=E$1:E1835)))))</f>
        <v> </v>
      </c>
      <c r="L1836" s="26"/>
    </row>
    <row r="1837" spans="1:12">
      <c r="A1837" s="20" t="s">
        <v>489</v>
      </c>
      <c r="E1837" s="21">
        <f>IF(D1837="?OLD","!!!","")</f>
        <v/>
      </c>
      <c r="F1837" s="22" t="str">
        <f>IF(OR(E1837="",E1837="!!!"),"",IF(NOT(ISNA(VLOOKUP(E1837,E$1:E1836,1,FALSE()))),"OLD",IF(AND(E1837&lt;&gt;"",E1837&lt;&gt;"!!!"),"NEW","")))</f>
        <v> </v>
      </c>
      <c r="G1837" s="23" t="str">
        <f>IF(OR(E1837="",E1837="!!!"),"",IF(OR(J1837=0,AND(J1837=1,K1837=1),AND(J1837=1,I1837="SBJ"),AND(J1837=1,I1837=0)),"?IN_FOCUS",IF(J1837&lt;=2,"?ACTIVATED",IF(J1837&lt;&gt;"","?FAMILIAR",IF(F1837="NEW",IF(ISNA(VLOOKUP(E1837,#REF!,1,FALSE())),"?TYPE_IDENTIFIABLE","?REFERENTIAL"),"_")))))</f>
        <v> </v>
      </c>
      <c r="H1837" s="24" t="str">
        <f>IF(J1837&lt;&gt;1,"",IF(I1837="SBJ","CB","?"))</f>
        <v> </v>
      </c>
      <c r="I1837" s="25" t="str">
        <f>IF(OR(E1837="",E1837="!!!",F1837="NEW"),"",INDEX(B1836:B$2,-1+SUMPRODUCT(MAX(ROW(E1836:E$2)*(E1837=E1836:E$2)))))</f>
        <v> </v>
      </c>
      <c r="J1837" s="25" t="str">
        <f>IF(OR(E1837="",E1837="!!!",F1837="NEW"),"",COUNTBLANK(OFFSET(A$1,,,SUMPRODUCT(MAX(ROW(E$2:E1837)*(E1837=E$2:E1837)))))-COUNTBLANK(OFFSET(A$1,,,SUMPRODUCT(MAX(ROW(E$1:E1836)*(E2=E$1:E1836))))))</f>
        <v> </v>
      </c>
      <c r="K1837" s="25" t="str">
        <f>IF(OR(E1837="",E1837="!!!",F1837="NEW"),"",INDEX(J$1:J1836,SUMPRODUCT(MAX(ROW(E$1:E1836)*(E1837=E$1:E1836)))))</f>
        <v> </v>
      </c>
      <c r="L1837" s="26"/>
    </row>
    <row r="1838" spans="1:12">
      <c r="A1838" s="20" t="s">
        <v>1078</v>
      </c>
      <c r="B1838" s="27" t="s">
        <v>490</v>
      </c>
      <c r="C1838" s="27" t="s">
        <v>538</v>
      </c>
      <c r="D1838" s="27" t="s">
        <v>483</v>
      </c>
      <c r="E1838" s="21">
        <f>IF(D1838="?OLD","!!!","")</f>
        <v/>
      </c>
      <c r="F1838" s="22" t="str">
        <f>IF(OR(E1838="",E1838="!!!"),"",IF(NOT(ISNA(VLOOKUP(E1838,E$1:E1837,1,FALSE()))),"OLD",IF(AND(E1838&lt;&gt;"",E1838&lt;&gt;"!!!"),"NEW","")))</f>
        <v> </v>
      </c>
      <c r="G1838" s="23" t="str">
        <f>IF(OR(E1838="",E1838="!!!"),"",IF(OR(J1838=0,AND(J1838=1,K1838=1),AND(J1838=1,I1838="SBJ"),AND(J1838=1,I1838=0)),"?IN_FOCUS",IF(J1838&lt;=2,"?ACTIVATED",IF(J1838&lt;&gt;"","?FAMILIAR",IF(F1838="NEW",IF(ISNA(VLOOKUP(E1838,#REF!,1,FALSE())),"?TYPE_IDENTIFIABLE","?REFERENTIAL"),"_")))))</f>
        <v> </v>
      </c>
      <c r="H1838" s="24" t="str">
        <f>IF(J1838&lt;&gt;1,"",IF(I1838="SBJ","CB","?"))</f>
        <v> </v>
      </c>
      <c r="I1838" s="25" t="str">
        <f>IF(OR(E1838="",E1838="!!!",F1838="NEW"),"",INDEX(B1837:B$2,-1+SUMPRODUCT(MAX(ROW(E1837:E$2)*(E1838=E1837:E$2)))))</f>
        <v> </v>
      </c>
      <c r="J1838" s="25" t="str">
        <f>IF(OR(E1838="",E1838="!!!",F1838="NEW"),"",COUNTBLANK(OFFSET(A$1,,,SUMPRODUCT(MAX(ROW(E$2:E1838)*(E1838=E$2:E1838)))))-COUNTBLANK(OFFSET(A$1,,,SUMPRODUCT(MAX(ROW(E$1:E1837)*(E2=E$1:E1837))))))</f>
        <v> </v>
      </c>
      <c r="K1838" s="25" t="str">
        <f>IF(OR(E1838="",E1838="!!!",F1838="NEW"),"",INDEX(J$1:J1837,SUMPRODUCT(MAX(ROW(E$1:E1837)*(E1838=E$1:E1837)))))</f>
        <v> </v>
      </c>
      <c r="L1838" s="26"/>
    </row>
    <row r="1839" spans="1:12">
      <c r="A1839" s="20" t="s">
        <v>503</v>
      </c>
      <c r="E1839" s="21">
        <f>IF(D1839="?OLD","!!!","")</f>
        <v/>
      </c>
      <c r="F1839" s="22" t="str">
        <f>IF(OR(E1839="",E1839="!!!"),"",IF(NOT(ISNA(VLOOKUP(E1839,E$1:E1838,1,FALSE()))),"OLD",IF(AND(E1839&lt;&gt;"",E1839&lt;&gt;"!!!"),"NEW","")))</f>
        <v> </v>
      </c>
      <c r="G1839" s="23" t="str">
        <f>IF(OR(E1839="",E1839="!!!"),"",IF(OR(J1839=0,AND(J1839=1,K1839=1),AND(J1839=1,I1839="SBJ"),AND(J1839=1,I1839=0)),"?IN_FOCUS",IF(J1839&lt;=2,"?ACTIVATED",IF(J1839&lt;&gt;"","?FAMILIAR",IF(F1839="NEW",IF(ISNA(VLOOKUP(E1839,#REF!,1,FALSE())),"?TYPE_IDENTIFIABLE","?REFERENTIAL"),"_")))))</f>
        <v> </v>
      </c>
      <c r="H1839" s="24" t="str">
        <f>IF(J1839&lt;&gt;1,"",IF(I1839="SBJ","CB","?"))</f>
        <v> </v>
      </c>
      <c r="I1839" s="25" t="str">
        <f>IF(OR(E1839="",E1839="!!!",F1839="NEW"),"",INDEX(B1838:B$2,-1+SUMPRODUCT(MAX(ROW(E1838:E$2)*(E1839=E1838:E$2)))))</f>
        <v> </v>
      </c>
      <c r="J1839" s="25" t="str">
        <f>IF(OR(E1839="",E1839="!!!",F1839="NEW"),"",COUNTBLANK(OFFSET(A$1,,,SUMPRODUCT(MAX(ROW(E$2:E1839)*(E1839=E$2:E1839)))))-COUNTBLANK(OFFSET(A$1,,,SUMPRODUCT(MAX(ROW(E$1:E1838)*(E2=E$1:E1838))))))</f>
        <v> </v>
      </c>
      <c r="K1839" s="25" t="str">
        <f>IF(OR(E1839="",E1839="!!!",F1839="NEW"),"",INDEX(J$1:J1838,SUMPRODUCT(MAX(ROW(E$1:E1838)*(E1839=E$1:E1838)))))</f>
        <v> </v>
      </c>
      <c r="L1839" s="26"/>
    </row>
    <row r="1840" spans="1:12">
      <c r="A1840" s="20" t="s">
        <v>267</v>
      </c>
      <c r="B1840" s="27" t="s">
        <v>540</v>
      </c>
      <c r="C1840" s="27" t="s">
        <v>516</v>
      </c>
      <c r="E1840" s="21">
        <f>IF(D1840="?OLD","!!!","")</f>
        <v/>
      </c>
      <c r="F1840" s="22" t="str">
        <f>IF(OR(E1840="",E1840="!!!"),"",IF(NOT(ISNA(VLOOKUP(E1840,E$1:E1839,1,FALSE()))),"OLD",IF(AND(E1840&lt;&gt;"",E1840&lt;&gt;"!!!"),"NEW","")))</f>
        <v> </v>
      </c>
      <c r="G1840" s="23" t="str">
        <f>IF(OR(E1840="",E1840="!!!"),"",IF(OR(J1840=0,AND(J1840=1,K1840=1),AND(J1840=1,I1840="SBJ"),AND(J1840=1,I1840=0)),"?IN_FOCUS",IF(J1840&lt;=2,"?ACTIVATED",IF(J1840&lt;&gt;"","?FAMILIAR",IF(F1840="NEW",IF(ISNA(VLOOKUP(E1840,#REF!,1,FALSE())),"?TYPE_IDENTIFIABLE","?REFERENTIAL"),"_")))))</f>
        <v> </v>
      </c>
      <c r="H1840" s="24" t="str">
        <f>IF(J1840&lt;&gt;1,"",IF(I1840="SBJ","CB","?"))</f>
        <v> </v>
      </c>
      <c r="I1840" s="25" t="str">
        <f>IF(OR(E1840="",E1840="!!!",F1840="NEW"),"",INDEX(B1839:B$2,-1+SUMPRODUCT(MAX(ROW(E1839:E$2)*(E1840=E1839:E$2)))))</f>
        <v> </v>
      </c>
      <c r="J1840" s="25" t="str">
        <f>IF(OR(E1840="",E1840="!!!",F1840="NEW"),"",COUNTBLANK(OFFSET(A$1,,,SUMPRODUCT(MAX(ROW(E$2:E1840)*(E1840=E$2:E1840)))))-COUNTBLANK(OFFSET(A$1,,,SUMPRODUCT(MAX(ROW(E$1:E1839)*(E2=E$1:E1839))))))</f>
        <v> </v>
      </c>
      <c r="K1840" s="25" t="str">
        <f>IF(OR(E1840="",E1840="!!!",F1840="NEW"),"",INDEX(J$1:J1839,SUMPRODUCT(MAX(ROW(E$1:E1839)*(E1840=E$1:E1839)))))</f>
        <v> </v>
      </c>
      <c r="L1840" s="26"/>
    </row>
    <row r="1841" spans="1:12">
      <c r="A1841" s="20" t="s">
        <v>489</v>
      </c>
      <c r="E1841" s="21">
        <f>IF(D1841="?OLD","!!!","")</f>
        <v/>
      </c>
      <c r="F1841" s="22" t="str">
        <f>IF(OR(E1841="",E1841="!!!"),"",IF(NOT(ISNA(VLOOKUP(E1841,E$1:E1840,1,FALSE()))),"OLD",IF(AND(E1841&lt;&gt;"",E1841&lt;&gt;"!!!"),"NEW","")))</f>
        <v> </v>
      </c>
      <c r="G1841" s="23" t="str">
        <f>IF(OR(E1841="",E1841="!!!"),"",IF(OR(J1841=0,AND(J1841=1,K1841=1),AND(J1841=1,I1841="SBJ"),AND(J1841=1,I1841=0)),"?IN_FOCUS",IF(J1841&lt;=2,"?ACTIVATED",IF(J1841&lt;&gt;"","?FAMILIAR",IF(F1841="NEW",IF(ISNA(VLOOKUP(E1841,#REF!,1,FALSE())),"?TYPE_IDENTIFIABLE","?REFERENTIAL"),"_")))))</f>
        <v> </v>
      </c>
      <c r="H1841" s="24" t="str">
        <f>IF(J1841&lt;&gt;1,"",IF(I1841="SBJ","CB","?"))</f>
        <v> </v>
      </c>
      <c r="I1841" s="25" t="str">
        <f>IF(OR(E1841="",E1841="!!!",F1841="NEW"),"",INDEX(B1840:B$2,-1+SUMPRODUCT(MAX(ROW(E1840:E$2)*(E1841=E1840:E$2)))))</f>
        <v> </v>
      </c>
      <c r="J1841" s="25" t="str">
        <f>IF(OR(E1841="",E1841="!!!",F1841="NEW"),"",COUNTBLANK(OFFSET(A$1,,,SUMPRODUCT(MAX(ROW(E$2:E1841)*(E1841=E$2:E1841)))))-COUNTBLANK(OFFSET(A$1,,,SUMPRODUCT(MAX(ROW(E$1:E1840)*(E2=E$1:E1840))))))</f>
        <v> </v>
      </c>
      <c r="K1841" s="25" t="str">
        <f>IF(OR(E1841="",E1841="!!!",F1841="NEW"),"",INDEX(J$1:J1840,SUMPRODUCT(MAX(ROW(E$1:E1840)*(E1841=E$1:E1840)))))</f>
        <v> </v>
      </c>
      <c r="L1841" s="26"/>
    </row>
    <row r="1842" spans="1:12">
      <c r="A1842" s="20" t="s">
        <v>1079</v>
      </c>
      <c r="E1842" s="21">
        <f>IF(D1842="?OLD","!!!","")</f>
        <v/>
      </c>
      <c r="F1842" s="22" t="str">
        <f>IF(OR(E1842="",E1842="!!!"),"",IF(NOT(ISNA(VLOOKUP(E1842,E$1:E1841,1,FALSE()))),"OLD",IF(AND(E1842&lt;&gt;"",E1842&lt;&gt;"!!!"),"NEW","")))</f>
        <v> </v>
      </c>
      <c r="G1842" s="23" t="str">
        <f>IF(OR(E1842="",E1842="!!!"),"",IF(OR(J1842=0,AND(J1842=1,K1842=1),AND(J1842=1,I1842="SBJ"),AND(J1842=1,I1842=0)),"?IN_FOCUS",IF(J1842&lt;=2,"?ACTIVATED",IF(J1842&lt;&gt;"","?FAMILIAR",IF(F1842="NEW",IF(ISNA(VLOOKUP(E1842,#REF!,1,FALSE())),"?TYPE_IDENTIFIABLE","?REFERENTIAL"),"_")))))</f>
        <v> </v>
      </c>
      <c r="H1842" s="24" t="str">
        <f>IF(J1842&lt;&gt;1,"",IF(I1842="SBJ","CB","?"))</f>
        <v> </v>
      </c>
      <c r="I1842" s="25" t="str">
        <f>IF(OR(E1842="",E1842="!!!",F1842="NEW"),"",INDEX(B1841:B$2,-1+SUMPRODUCT(MAX(ROW(E1841:E$2)*(E1842=E1841:E$2)))))</f>
        <v> </v>
      </c>
      <c r="J1842" s="25" t="str">
        <f>IF(OR(E1842="",E1842="!!!",F1842="NEW"),"",COUNTBLANK(OFFSET(A$1,,,SUMPRODUCT(MAX(ROW(E$2:E1842)*(E1842=E$2:E1842)))))-COUNTBLANK(OFFSET(A$1,,,SUMPRODUCT(MAX(ROW(E$1:E1841)*(E2=E$1:E1841))))))</f>
        <v> </v>
      </c>
      <c r="K1842" s="25" t="str">
        <f>IF(OR(E1842="",E1842="!!!",F1842="NEW"),"",INDEX(J$1:J1841,SUMPRODUCT(MAX(ROW(E$1:E1841)*(E1842=E$1:E1841)))))</f>
        <v> </v>
      </c>
      <c r="L1842" s="26"/>
    </row>
    <row r="1843" spans="1:12">
      <c r="A1843" s="20" t="s">
        <v>485</v>
      </c>
      <c r="E1843" s="21">
        <f>IF(D1843="?OLD","!!!","")</f>
        <v/>
      </c>
      <c r="F1843" s="22" t="str">
        <f>IF(OR(E1843="",E1843="!!!"),"",IF(NOT(ISNA(VLOOKUP(E1843,E$1:E1842,1,FALSE()))),"OLD",IF(AND(E1843&lt;&gt;"",E1843&lt;&gt;"!!!"),"NEW","")))</f>
        <v> </v>
      </c>
      <c r="G1843" s="23" t="str">
        <f>IF(OR(E1843="",E1843="!!!"),"",IF(OR(J1843=0,AND(J1843=1,K1843=1),AND(J1843=1,I1843="SBJ"),AND(J1843=1,I1843=0)),"?IN_FOCUS",IF(J1843&lt;=2,"?ACTIVATED",IF(J1843&lt;&gt;"","?FAMILIAR",IF(F1843="NEW",IF(ISNA(VLOOKUP(E1843,#REF!,1,FALSE())),"?TYPE_IDENTIFIABLE","?REFERENTIAL"),"_")))))</f>
        <v> </v>
      </c>
      <c r="H1843" s="24" t="str">
        <f>IF(J1843&lt;&gt;1,"",IF(I1843="SBJ","CB","?"))</f>
        <v> </v>
      </c>
      <c r="I1843" s="25" t="str">
        <f>IF(OR(E1843="",E1843="!!!",F1843="NEW"),"",INDEX(B1842:B$2,-1+SUMPRODUCT(MAX(ROW(E1842:E$2)*(E1843=E1842:E$2)))))</f>
        <v> </v>
      </c>
      <c r="J1843" s="25" t="str">
        <f>IF(OR(E1843="",E1843="!!!",F1843="NEW"),"",COUNTBLANK(OFFSET(A$1,,,SUMPRODUCT(MAX(ROW(E$2:E1843)*(E1843=E$2:E1843)))))-COUNTBLANK(OFFSET(A$1,,,SUMPRODUCT(MAX(ROW(E$1:E1842)*(E2=E$1:E1842))))))</f>
        <v> </v>
      </c>
      <c r="K1843" s="25" t="str">
        <f>IF(OR(E1843="",E1843="!!!",F1843="NEW"),"",INDEX(J$1:J1842,SUMPRODUCT(MAX(ROW(E$1:E1842)*(E1843=E$1:E1842)))))</f>
        <v> </v>
      </c>
      <c r="L1843" s="26"/>
    </row>
    <row r="1844" spans="1:12">
      <c r="A1844" s="20" t="s">
        <v>997</v>
      </c>
      <c r="B1844" s="27" t="s">
        <v>556</v>
      </c>
      <c r="C1844" s="27" t="s">
        <v>487</v>
      </c>
      <c r="D1844" s="27" t="s">
        <v>483</v>
      </c>
      <c r="E1844" s="21">
        <f>IF(D1844="?OLD","!!!","")</f>
        <v/>
      </c>
      <c r="F1844" s="22" t="str">
        <f>IF(OR(E1844="",E1844="!!!"),"",IF(NOT(ISNA(VLOOKUP(E1844,E$1:E1843,1,FALSE()))),"OLD",IF(AND(E1844&lt;&gt;"",E1844&lt;&gt;"!!!"),"NEW","")))</f>
        <v> </v>
      </c>
      <c r="G1844" s="23" t="str">
        <f>IF(OR(E1844="",E1844="!!!"),"",IF(OR(J1844=0,AND(J1844=1,K1844=1),AND(J1844=1,I1844="SBJ"),AND(J1844=1,I1844=0)),"?IN_FOCUS",IF(J1844&lt;=2,"?ACTIVATED",IF(J1844&lt;&gt;"","?FAMILIAR",IF(F1844="NEW",IF(ISNA(VLOOKUP(E1844,#REF!,1,FALSE())),"?TYPE_IDENTIFIABLE","?REFERENTIAL"),"_")))))</f>
        <v> </v>
      </c>
      <c r="H1844" s="24" t="str">
        <f>IF(J1844&lt;&gt;1,"",IF(I1844="SBJ","CB","?"))</f>
        <v> </v>
      </c>
      <c r="I1844" s="25" t="str">
        <f>IF(OR(E1844="",E1844="!!!",F1844="NEW"),"",INDEX(B1843:B$2,-1+SUMPRODUCT(MAX(ROW(E1843:E$2)*(E1844=E1843:E$2)))))</f>
        <v> </v>
      </c>
      <c r="J1844" s="25" t="str">
        <f>IF(OR(E1844="",E1844="!!!",F1844="NEW"),"",COUNTBLANK(OFFSET(A$1,,,SUMPRODUCT(MAX(ROW(E$2:E1844)*(E1844=E$2:E1844)))))-COUNTBLANK(OFFSET(A$1,,,SUMPRODUCT(MAX(ROW(E$1:E1843)*(E2=E$1:E1843))))))</f>
        <v> </v>
      </c>
      <c r="K1844" s="25" t="str">
        <f>IF(OR(E1844="",E1844="!!!",F1844="NEW"),"",INDEX(J$1:J1843,SUMPRODUCT(MAX(ROW(E$1:E1843)*(E1844=E$1:E1843)))))</f>
        <v> </v>
      </c>
      <c r="L1844" s="26"/>
    </row>
    <row r="1845" spans="1:12">
      <c r="A1845" s="20" t="s">
        <v>592</v>
      </c>
      <c r="E1845" s="21">
        <f>IF(D1845="?OLD","!!!","")</f>
        <v/>
      </c>
      <c r="F1845" s="22" t="str">
        <f>IF(OR(E1845="",E1845="!!!"),"",IF(NOT(ISNA(VLOOKUP(E1845,E$1:E1844,1,FALSE()))),"OLD",IF(AND(E1845&lt;&gt;"",E1845&lt;&gt;"!!!"),"NEW","")))</f>
        <v> </v>
      </c>
      <c r="G1845" s="23" t="str">
        <f>IF(OR(E1845="",E1845="!!!"),"",IF(OR(J1845=0,AND(J1845=1,K1845=1),AND(J1845=1,I1845="SBJ"),AND(J1845=1,I1845=0)),"?IN_FOCUS",IF(J1845&lt;=2,"?ACTIVATED",IF(J1845&lt;&gt;"","?FAMILIAR",IF(F1845="NEW",IF(ISNA(VLOOKUP(E1845,#REF!,1,FALSE())),"?TYPE_IDENTIFIABLE","?REFERENTIAL"),"_")))))</f>
        <v> </v>
      </c>
      <c r="H1845" s="24" t="str">
        <f>IF(J1845&lt;&gt;1,"",IF(I1845="SBJ","CB","?"))</f>
        <v> </v>
      </c>
      <c r="I1845" s="25" t="str">
        <f>IF(OR(E1845="",E1845="!!!",F1845="NEW"),"",INDEX(B1844:B$2,-1+SUMPRODUCT(MAX(ROW(E1844:E$2)*(E1845=E1844:E$2)))))</f>
        <v> </v>
      </c>
      <c r="J1845" s="25" t="str">
        <f>IF(OR(E1845="",E1845="!!!",F1845="NEW"),"",COUNTBLANK(OFFSET(A$1,,,SUMPRODUCT(MAX(ROW(E$2:E1845)*(E1845=E$2:E1845)))))-COUNTBLANK(OFFSET(A$1,,,SUMPRODUCT(MAX(ROW(E$1:E1844)*(E2=E$1:E1844))))))</f>
        <v> </v>
      </c>
      <c r="K1845" s="25" t="str">
        <f>IF(OR(E1845="",E1845="!!!",F1845="NEW"),"",INDEX(J$1:J1844,SUMPRODUCT(MAX(ROW(E$1:E1844)*(E1845=E$1:E1844)))))</f>
        <v> </v>
      </c>
      <c r="L1845" s="26"/>
    </row>
    <row r="1846" spans="1:12">
      <c r="A1846" s="20" t="s">
        <v>912</v>
      </c>
      <c r="B1846" s="27" t="s">
        <v>659</v>
      </c>
      <c r="C1846" s="27" t="s">
        <v>516</v>
      </c>
      <c r="E1846" s="21">
        <f>IF(D1846="?OLD","!!!","")</f>
        <v/>
      </c>
      <c r="F1846" s="22" t="str">
        <f>IF(OR(E1846="",E1846="!!!"),"",IF(NOT(ISNA(VLOOKUP(E1846,E$1:E1845,1,FALSE()))),"OLD",IF(AND(E1846&lt;&gt;"",E1846&lt;&gt;"!!!"),"NEW","")))</f>
        <v> </v>
      </c>
      <c r="G1846" s="23" t="str">
        <f>IF(OR(E1846="",E1846="!!!"),"",IF(OR(J1846=0,AND(J1846=1,K1846=1),AND(J1846=1,I1846="SBJ"),AND(J1846=1,I1846=0)),"?IN_FOCUS",IF(J1846&lt;=2,"?ACTIVATED",IF(J1846&lt;&gt;"","?FAMILIAR",IF(F1846="NEW",IF(ISNA(VLOOKUP(E1846,#REF!,1,FALSE())),"?TYPE_IDENTIFIABLE","?REFERENTIAL"),"_")))))</f>
        <v> </v>
      </c>
      <c r="H1846" s="24" t="str">
        <f>IF(J1846&lt;&gt;1,"",IF(I1846="SBJ","CB","?"))</f>
        <v> </v>
      </c>
      <c r="I1846" s="25" t="str">
        <f>IF(OR(E1846="",E1846="!!!",F1846="NEW"),"",INDEX(B1845:B$2,-1+SUMPRODUCT(MAX(ROW(E1845:E$2)*(E1846=E1845:E$2)))))</f>
        <v> </v>
      </c>
      <c r="J1846" s="25" t="str">
        <f>IF(OR(E1846="",E1846="!!!",F1846="NEW"),"",COUNTBLANK(OFFSET(A$1,,,SUMPRODUCT(MAX(ROW(E$2:E1846)*(E1846=E$2:E1846)))))-COUNTBLANK(OFFSET(A$1,,,SUMPRODUCT(MAX(ROW(E$1:E1845)*(E2=E$1:E1845))))))</f>
        <v> </v>
      </c>
      <c r="K1846" s="25" t="str">
        <f>IF(OR(E1846="",E1846="!!!",F1846="NEW"),"",INDEX(J$1:J1845,SUMPRODUCT(MAX(ROW(E$1:E1845)*(E1846=E$1:E1845)))))</f>
        <v> </v>
      </c>
      <c r="L1846" s="26"/>
    </row>
    <row r="1847" spans="1:12">
      <c r="A1847" s="20" t="s">
        <v>492</v>
      </c>
      <c r="E1847" s="21">
        <f>IF(D1847="?OLD","!!!","")</f>
        <v/>
      </c>
      <c r="F1847" s="22" t="str">
        <f>IF(OR(E1847="",E1847="!!!"),"",IF(NOT(ISNA(VLOOKUP(E1847,E$1:E1846,1,FALSE()))),"OLD",IF(AND(E1847&lt;&gt;"",E1847&lt;&gt;"!!!"),"NEW","")))</f>
        <v> </v>
      </c>
      <c r="G1847" s="23" t="str">
        <f>IF(OR(E1847="",E1847="!!!"),"",IF(OR(J1847=0,AND(J1847=1,K1847=1),AND(J1847=1,I1847="SBJ"),AND(J1847=1,I1847=0)),"?IN_FOCUS",IF(J1847&lt;=2,"?ACTIVATED",IF(J1847&lt;&gt;"","?FAMILIAR",IF(F1847="NEW",IF(ISNA(VLOOKUP(E1847,#REF!,1,FALSE())),"?TYPE_IDENTIFIABLE","?REFERENTIAL"),"_")))))</f>
        <v> </v>
      </c>
      <c r="H1847" s="24" t="str">
        <f>IF(J1847&lt;&gt;1,"",IF(I1847="SBJ","CB","?"))</f>
        <v> </v>
      </c>
      <c r="I1847" s="25" t="str">
        <f>IF(OR(E1847="",E1847="!!!",F1847="NEW"),"",INDEX(B1846:B$2,-1+SUMPRODUCT(MAX(ROW(E1846:E$2)*(E1847=E1846:E$2)))))</f>
        <v> </v>
      </c>
      <c r="J1847" s="25" t="str">
        <f>IF(OR(E1847="",E1847="!!!",F1847="NEW"),"",COUNTBLANK(OFFSET(A$1,,,SUMPRODUCT(MAX(ROW(E$2:E1847)*(E1847=E$2:E1847)))))-COUNTBLANK(OFFSET(A$1,,,SUMPRODUCT(MAX(ROW(E$1:E1846)*(E2=E$1:E1846))))))</f>
        <v> </v>
      </c>
      <c r="K1847" s="25" t="str">
        <f>IF(OR(E1847="",E1847="!!!",F1847="NEW"),"",INDEX(J$1:J1846,SUMPRODUCT(MAX(ROW(E$1:E1846)*(E1847=E$1:E1846)))))</f>
        <v> </v>
      </c>
      <c r="L1847" s="26"/>
    </row>
    <row r="1848" spans="1:12">
      <c r="A1848" s="20" t="s">
        <v>680</v>
      </c>
      <c r="E1848" s="21">
        <f>IF(D1848="?OLD","!!!","")</f>
        <v/>
      </c>
      <c r="F1848" s="22" t="str">
        <f>IF(OR(E1848="",E1848="!!!"),"",IF(NOT(ISNA(VLOOKUP(E1848,E$1:E1847,1,FALSE()))),"OLD",IF(AND(E1848&lt;&gt;"",E1848&lt;&gt;"!!!"),"NEW","")))</f>
        <v> </v>
      </c>
      <c r="G1848" s="23" t="str">
        <f>IF(OR(E1848="",E1848="!!!"),"",IF(OR(J1848=0,AND(J1848=1,K1848=1),AND(J1848=1,I1848="SBJ"),AND(J1848=1,I1848=0)),"?IN_FOCUS",IF(J1848&lt;=2,"?ACTIVATED",IF(J1848&lt;&gt;"","?FAMILIAR",IF(F1848="NEW",IF(ISNA(VLOOKUP(E1848,#REF!,1,FALSE())),"?TYPE_IDENTIFIABLE","?REFERENTIAL"),"_")))))</f>
        <v> </v>
      </c>
      <c r="H1848" s="24" t="str">
        <f>IF(J1848&lt;&gt;1,"",IF(I1848="SBJ","CB","?"))</f>
        <v> </v>
      </c>
      <c r="I1848" s="25" t="str">
        <f>IF(OR(E1848="",E1848="!!!",F1848="NEW"),"",INDEX(B1847:B$2,-1+SUMPRODUCT(MAX(ROW(E1847:E$2)*(E1848=E1847:E$2)))))</f>
        <v> </v>
      </c>
      <c r="J1848" s="25" t="str">
        <f>IF(OR(E1848="",E1848="!!!",F1848="NEW"),"",COUNTBLANK(OFFSET(A$1,,,SUMPRODUCT(MAX(ROW(E$2:E1848)*(E1848=E$2:E1848)))))-COUNTBLANK(OFFSET(A$1,,,SUMPRODUCT(MAX(ROW(E$1:E1847)*(E2=E$1:E1847))))))</f>
        <v> </v>
      </c>
      <c r="K1848" s="25" t="str">
        <f>IF(OR(E1848="",E1848="!!!",F1848="NEW"),"",INDEX(J$1:J1847,SUMPRODUCT(MAX(ROW(E$1:E1847)*(E1848=E$1:E1847)))))</f>
        <v> </v>
      </c>
      <c r="L1848" s="26"/>
    </row>
    <row r="1849" spans="1:12">
      <c r="A1849" s="20" t="s">
        <v>570</v>
      </c>
      <c r="E1849" s="21">
        <f>IF(D1849="?OLD","!!!","")</f>
        <v/>
      </c>
      <c r="F1849" s="22" t="str">
        <f>IF(OR(E1849="",E1849="!!!"),"",IF(NOT(ISNA(VLOOKUP(E1849,E$1:E1848,1,FALSE()))),"OLD",IF(AND(E1849&lt;&gt;"",E1849&lt;&gt;"!!!"),"NEW","")))</f>
        <v> </v>
      </c>
      <c r="G1849" s="23" t="str">
        <f>IF(OR(E1849="",E1849="!!!"),"",IF(OR(J1849=0,AND(J1849=1,K1849=1),AND(J1849=1,I1849="SBJ"),AND(J1849=1,I1849=0)),"?IN_FOCUS",IF(J1849&lt;=2,"?ACTIVATED",IF(J1849&lt;&gt;"","?FAMILIAR",IF(F1849="NEW",IF(ISNA(VLOOKUP(E1849,#REF!,1,FALSE())),"?TYPE_IDENTIFIABLE","?REFERENTIAL"),"_")))))</f>
        <v> </v>
      </c>
      <c r="H1849" s="24" t="str">
        <f>IF(J1849&lt;&gt;1,"",IF(I1849="SBJ","CB","?"))</f>
        <v> </v>
      </c>
      <c r="I1849" s="25" t="str">
        <f>IF(OR(E1849="",E1849="!!!",F1849="NEW"),"",INDEX(B1848:B$2,-1+SUMPRODUCT(MAX(ROW(E1848:E$2)*(E1849=E1848:E$2)))))</f>
        <v> </v>
      </c>
      <c r="J1849" s="25" t="str">
        <f>IF(OR(E1849="",E1849="!!!",F1849="NEW"),"",COUNTBLANK(OFFSET(A$1,,,SUMPRODUCT(MAX(ROW(E$2:E1849)*(E1849=E$2:E1849)))))-COUNTBLANK(OFFSET(A$1,,,SUMPRODUCT(MAX(ROW(E$1:E1848)*(E2=E$1:E1848))))))</f>
        <v> </v>
      </c>
      <c r="K1849" s="25" t="str">
        <f>IF(OR(E1849="",E1849="!!!",F1849="NEW"),"",INDEX(J$1:J1848,SUMPRODUCT(MAX(ROW(E$1:E1848)*(E1849=E$1:E1848)))))</f>
        <v> </v>
      </c>
      <c r="L1849" s="26"/>
    </row>
    <row r="1850" spans="1:12">
      <c r="A1850" s="20" t="s">
        <v>1080</v>
      </c>
      <c r="B1850" s="27" t="s">
        <v>505</v>
      </c>
      <c r="C1850" s="27" t="s">
        <v>516</v>
      </c>
      <c r="E1850" s="21">
        <f>IF(D1850="?OLD","!!!","")</f>
        <v/>
      </c>
      <c r="F1850" s="22" t="str">
        <f>IF(OR(E1850="",E1850="!!!"),"",IF(NOT(ISNA(VLOOKUP(E1850,E$1:E1849,1,FALSE()))),"OLD",IF(AND(E1850&lt;&gt;"",E1850&lt;&gt;"!!!"),"NEW","")))</f>
        <v> </v>
      </c>
      <c r="G1850" s="23" t="str">
        <f>IF(OR(E1850="",E1850="!!!"),"",IF(OR(J1850=0,AND(J1850=1,K1850=1),AND(J1850=1,I1850="SBJ"),AND(J1850=1,I1850=0)),"?IN_FOCUS",IF(J1850&lt;=2,"?ACTIVATED",IF(J1850&lt;&gt;"","?FAMILIAR",IF(F1850="NEW",IF(ISNA(VLOOKUP(E1850,#REF!,1,FALSE())),"?TYPE_IDENTIFIABLE","?REFERENTIAL"),"_")))))</f>
        <v> </v>
      </c>
      <c r="H1850" s="24" t="str">
        <f>IF(J1850&lt;&gt;1,"",IF(I1850="SBJ","CB","?"))</f>
        <v> </v>
      </c>
      <c r="I1850" s="25" t="str">
        <f>IF(OR(E1850="",E1850="!!!",F1850="NEW"),"",INDEX(B1849:B$2,-1+SUMPRODUCT(MAX(ROW(E1849:E$2)*(E1850=E1849:E$2)))))</f>
        <v> </v>
      </c>
      <c r="J1850" s="25" t="str">
        <f>IF(OR(E1850="",E1850="!!!",F1850="NEW"),"",COUNTBLANK(OFFSET(A$1,,,SUMPRODUCT(MAX(ROW(E$2:E1850)*(E1850=E$2:E1850)))))-COUNTBLANK(OFFSET(A$1,,,SUMPRODUCT(MAX(ROW(E$1:E1849)*(E2=E$1:E1849))))))</f>
        <v> </v>
      </c>
      <c r="K1850" s="25" t="str">
        <f>IF(OR(E1850="",E1850="!!!",F1850="NEW"),"",INDEX(J$1:J1849,SUMPRODUCT(MAX(ROW(E$1:E1849)*(E1850=E$1:E1849)))))</f>
        <v> </v>
      </c>
      <c r="L1850" s="26"/>
    </row>
    <row r="1851" spans="1:12">
      <c r="A1851" s="20" t="s">
        <v>531</v>
      </c>
      <c r="E1851" s="21">
        <f>IF(D1851="?OLD","!!!","")</f>
        <v/>
      </c>
      <c r="F1851" s="22" t="str">
        <f>IF(OR(E1851="",E1851="!!!"),"",IF(NOT(ISNA(VLOOKUP(E1851,E$1:E1850,1,FALSE()))),"OLD",IF(AND(E1851&lt;&gt;"",E1851&lt;&gt;"!!!"),"NEW","")))</f>
        <v> </v>
      </c>
      <c r="G1851" s="23" t="str">
        <f>IF(OR(E1851="",E1851="!!!"),"",IF(OR(J1851=0,AND(J1851=1,K1851=1),AND(J1851=1,I1851="SBJ"),AND(J1851=1,I1851=0)),"?IN_FOCUS",IF(J1851&lt;=2,"?ACTIVATED",IF(J1851&lt;&gt;"","?FAMILIAR",IF(F1851="NEW",IF(ISNA(VLOOKUP(E1851,#REF!,1,FALSE())),"?TYPE_IDENTIFIABLE","?REFERENTIAL"),"_")))))</f>
        <v> </v>
      </c>
      <c r="H1851" s="24" t="str">
        <f>IF(J1851&lt;&gt;1,"",IF(I1851="SBJ","CB","?"))</f>
        <v> </v>
      </c>
      <c r="I1851" s="25" t="str">
        <f>IF(OR(E1851="",E1851="!!!",F1851="NEW"),"",INDEX(B1850:B$2,-1+SUMPRODUCT(MAX(ROW(E1850:E$2)*(E1851=E1850:E$2)))))</f>
        <v> </v>
      </c>
      <c r="J1851" s="25" t="str">
        <f>IF(OR(E1851="",E1851="!!!",F1851="NEW"),"",COUNTBLANK(OFFSET(A$1,,,SUMPRODUCT(MAX(ROW(E$2:E1851)*(E1851=E$2:E1851)))))-COUNTBLANK(OFFSET(A$1,,,SUMPRODUCT(MAX(ROW(E$1:E1850)*(E2=E$1:E1850))))))</f>
        <v> </v>
      </c>
      <c r="K1851" s="25" t="str">
        <f>IF(OR(E1851="",E1851="!!!",F1851="NEW"),"",INDEX(J$1:J1850,SUMPRODUCT(MAX(ROW(E$1:E1850)*(E1851=E$1:E1850)))))</f>
        <v> </v>
      </c>
      <c r="L1851" s="26"/>
    </row>
    <row r="1852" spans="1:12">
      <c r="A1852" s="20"/>
    </row>
    <row r="1853" spans="1:12">
      <c r="A1853" s="20" t="s">
        <v>1081</v>
      </c>
    </row>
    <row r="1854" spans="1:12">
      <c r="A1854" s="20" t="s">
        <v>776</v>
      </c>
      <c r="E1854" s="21">
        <f>IF(D1854="?OLD","!!!","")</f>
        <v/>
      </c>
      <c r="F1854" s="22" t="str">
        <f>IF(OR(E1854="",E1854="!!!"),"",IF(NOT(ISNA(VLOOKUP(E1854,E$1:E1853,1,FALSE()))),"OLD",IF(AND(E1854&lt;&gt;"",E1854&lt;&gt;"!!!"),"NEW","")))</f>
        <v> </v>
      </c>
      <c r="G1854" s="23" t="str">
        <f>IF(OR(E1854="",E1854="!!!"),"",IF(OR(J1854=0,AND(J1854=1,K1854=1),AND(J1854=1,I1854="SBJ"),AND(J1854=1,I1854=0)),"?IN_FOCUS",IF(J1854&lt;=2,"?ACTIVATED",IF(J1854&lt;&gt;"","?FAMILIAR",IF(F1854="NEW",IF(ISNA(VLOOKUP(E1854,#REF!,1,FALSE())),"?TYPE_IDENTIFIABLE","?REFERENTIAL"),"_")))))</f>
        <v> </v>
      </c>
      <c r="H1854" s="24" t="str">
        <f>IF(J1854&lt;&gt;1,"",IF(I1854="SBJ","CB","?"))</f>
        <v> </v>
      </c>
      <c r="I1854" s="25" t="str">
        <f>IF(OR(E1854="",E1854="!!!",F1854="NEW"),"",INDEX(B1853:B$2,-1+SUMPRODUCT(MAX(ROW(E1853:E$2)*(E1854=E1853:E$2)))))</f>
        <v> </v>
      </c>
      <c r="J1854" s="25" t="str">
        <f>IF(OR(E1854="",E1854="!!!",F1854="NEW"),"",COUNTBLANK(OFFSET(A$1,,,SUMPRODUCT(MAX(ROW(E$2:E1854)*(E1854=E$2:E1854)))))-COUNTBLANK(OFFSET(A$1,,,SUMPRODUCT(MAX(ROW(E$1:E1853)*(E2=E$1:E1853))))))</f>
        <v> </v>
      </c>
      <c r="K1854" s="25" t="str">
        <f>IF(OR(E1854="",E1854="!!!",F1854="NEW"),"",INDEX(J$1:J1853,SUMPRODUCT(MAX(ROW(E$1:E1853)*(E1854=E$1:E1853)))))</f>
        <v> </v>
      </c>
      <c r="L1854" s="26"/>
    </row>
    <row r="1855" spans="1:12">
      <c r="A1855" s="20" t="s">
        <v>1082</v>
      </c>
      <c r="E1855" s="21">
        <f>IF(D1855="?OLD","!!!","")</f>
        <v/>
      </c>
      <c r="F1855" s="22" t="str">
        <f>IF(OR(E1855="",E1855="!!!"),"",IF(NOT(ISNA(VLOOKUP(E1855,E$1:E1854,1,FALSE()))),"OLD",IF(AND(E1855&lt;&gt;"",E1855&lt;&gt;"!!!"),"NEW","")))</f>
        <v> </v>
      </c>
      <c r="G1855" s="23" t="str">
        <f>IF(OR(E1855="",E1855="!!!"),"",IF(OR(J1855=0,AND(J1855=1,K1855=1),AND(J1855=1,I1855="SBJ"),AND(J1855=1,I1855=0)),"?IN_FOCUS",IF(J1855&lt;=2,"?ACTIVATED",IF(J1855&lt;&gt;"","?FAMILIAR",IF(F1855="NEW",IF(ISNA(VLOOKUP(E1855,#REF!,1,FALSE())),"?TYPE_IDENTIFIABLE","?REFERENTIAL"),"_")))))</f>
        <v> </v>
      </c>
      <c r="H1855" s="24" t="str">
        <f>IF(J1855&lt;&gt;1,"",IF(I1855="SBJ","CB","?"))</f>
        <v> </v>
      </c>
      <c r="I1855" s="25" t="str">
        <f>IF(OR(E1855="",E1855="!!!",F1855="NEW"),"",INDEX(B1854:B$2,-1+SUMPRODUCT(MAX(ROW(E1854:E$2)*(E1855=E1854:E$2)))))</f>
        <v> </v>
      </c>
      <c r="J1855" s="25" t="str">
        <f>IF(OR(E1855="",E1855="!!!",F1855="NEW"),"",COUNTBLANK(OFFSET(A$1,,,SUMPRODUCT(MAX(ROW(E$2:E1855)*(E1855=E$2:E1855)))))-COUNTBLANK(OFFSET(A$1,,,SUMPRODUCT(MAX(ROW(E$1:E1854)*(E2=E$1:E1854))))))</f>
        <v> </v>
      </c>
      <c r="K1855" s="25" t="str">
        <f>IF(OR(E1855="",E1855="!!!",F1855="NEW"),"",INDEX(J$1:J1854,SUMPRODUCT(MAX(ROW(E$1:E1854)*(E1855=E$1:E1854)))))</f>
        <v> </v>
      </c>
      <c r="L1855" s="26"/>
    </row>
    <row r="1856" spans="1:12">
      <c r="A1856" s="20" t="s">
        <v>492</v>
      </c>
      <c r="E1856" s="21">
        <f>IF(D1856="?OLD","!!!","")</f>
        <v/>
      </c>
      <c r="F1856" s="22" t="str">
        <f>IF(OR(E1856="",E1856="!!!"),"",IF(NOT(ISNA(VLOOKUP(E1856,E$1:E1855,1,FALSE()))),"OLD",IF(AND(E1856&lt;&gt;"",E1856&lt;&gt;"!!!"),"NEW","")))</f>
        <v> </v>
      </c>
      <c r="G1856" s="23" t="str">
        <f>IF(OR(E1856="",E1856="!!!"),"",IF(OR(J1856=0,AND(J1856=1,K1856=1),AND(J1856=1,I1856="SBJ"),AND(J1856=1,I1856=0)),"?IN_FOCUS",IF(J1856&lt;=2,"?ACTIVATED",IF(J1856&lt;&gt;"","?FAMILIAR",IF(F1856="NEW",IF(ISNA(VLOOKUP(E1856,#REF!,1,FALSE())),"?TYPE_IDENTIFIABLE","?REFERENTIAL"),"_")))))</f>
        <v> </v>
      </c>
      <c r="H1856" s="24" t="str">
        <f>IF(J1856&lt;&gt;1,"",IF(I1856="SBJ","CB","?"))</f>
        <v> </v>
      </c>
      <c r="I1856" s="25" t="str">
        <f>IF(OR(E1856="",E1856="!!!",F1856="NEW"),"",INDEX(B1855:B$2,-1+SUMPRODUCT(MAX(ROW(E1855:E$2)*(E1856=E1855:E$2)))))</f>
        <v> </v>
      </c>
      <c r="J1856" s="25" t="str">
        <f>IF(OR(E1856="",E1856="!!!",F1856="NEW"),"",COUNTBLANK(OFFSET(A$1,,,SUMPRODUCT(MAX(ROW(E$2:E1856)*(E1856=E$2:E1856)))))-COUNTBLANK(OFFSET(A$1,,,SUMPRODUCT(MAX(ROW(E$1:E1855)*(E2=E$1:E1855))))))</f>
        <v> </v>
      </c>
      <c r="K1856" s="25" t="str">
        <f>IF(OR(E1856="",E1856="!!!",F1856="NEW"),"",INDEX(J$1:J1855,SUMPRODUCT(MAX(ROW(E$1:E1855)*(E1856=E$1:E1855)))))</f>
        <v> </v>
      </c>
      <c r="L1856" s="26"/>
    </row>
    <row r="1857" spans="1:12">
      <c r="A1857" s="20" t="s">
        <v>489</v>
      </c>
      <c r="E1857" s="21">
        <f>IF(D1857="?OLD","!!!","")</f>
        <v/>
      </c>
      <c r="F1857" s="22" t="str">
        <f>IF(OR(E1857="",E1857="!!!"),"",IF(NOT(ISNA(VLOOKUP(E1857,E$1:E1856,1,FALSE()))),"OLD",IF(AND(E1857&lt;&gt;"",E1857&lt;&gt;"!!!"),"NEW","")))</f>
        <v> </v>
      </c>
      <c r="G1857" s="23" t="str">
        <f>IF(OR(E1857="",E1857="!!!"),"",IF(OR(J1857=0,AND(J1857=1,K1857=1),AND(J1857=1,I1857="SBJ"),AND(J1857=1,I1857=0)),"?IN_FOCUS",IF(J1857&lt;=2,"?ACTIVATED",IF(J1857&lt;&gt;"","?FAMILIAR",IF(F1857="NEW",IF(ISNA(VLOOKUP(E1857,#REF!,1,FALSE())),"?TYPE_IDENTIFIABLE","?REFERENTIAL"),"_")))))</f>
        <v> </v>
      </c>
      <c r="H1857" s="24" t="str">
        <f>IF(J1857&lt;&gt;1,"",IF(I1857="SBJ","CB","?"))</f>
        <v> </v>
      </c>
      <c r="I1857" s="25" t="str">
        <f>IF(OR(E1857="",E1857="!!!",F1857="NEW"),"",INDEX(B1856:B$2,-1+SUMPRODUCT(MAX(ROW(E1856:E$2)*(E1857=E1856:E$2)))))</f>
        <v> </v>
      </c>
      <c r="J1857" s="25" t="str">
        <f>IF(OR(E1857="",E1857="!!!",F1857="NEW"),"",COUNTBLANK(OFFSET(A$1,,,SUMPRODUCT(MAX(ROW(E$2:E1857)*(E1857=E$2:E1857)))))-COUNTBLANK(OFFSET(A$1,,,SUMPRODUCT(MAX(ROW(E$1:E1856)*(E2=E$1:E1856))))))</f>
        <v> </v>
      </c>
      <c r="K1857" s="25" t="str">
        <f>IF(OR(E1857="",E1857="!!!",F1857="NEW"),"",INDEX(J$1:J1856,SUMPRODUCT(MAX(ROW(E$1:E1856)*(E1857=E$1:E1856)))))</f>
        <v> </v>
      </c>
      <c r="L1857" s="26"/>
    </row>
    <row r="1858" spans="1:12">
      <c r="A1858" s="20" t="s">
        <v>507</v>
      </c>
      <c r="E1858" s="21">
        <f>IF(D1858="?OLD","!!!","")</f>
        <v/>
      </c>
      <c r="F1858" s="22" t="str">
        <f>IF(OR(E1858="",E1858="!!!"),"",IF(NOT(ISNA(VLOOKUP(E1858,E$1:E1857,1,FALSE()))),"OLD",IF(AND(E1858&lt;&gt;"",E1858&lt;&gt;"!!!"),"NEW","")))</f>
        <v> </v>
      </c>
      <c r="G1858" s="23" t="str">
        <f>IF(OR(E1858="",E1858="!!!"),"",IF(OR(J1858=0,AND(J1858=1,K1858=1),AND(J1858=1,I1858="SBJ"),AND(J1858=1,I1858=0)),"?IN_FOCUS",IF(J1858&lt;=2,"?ACTIVATED",IF(J1858&lt;&gt;"","?FAMILIAR",IF(F1858="NEW",IF(ISNA(VLOOKUP(E1858,#REF!,1,FALSE())),"?TYPE_IDENTIFIABLE","?REFERENTIAL"),"_")))))</f>
        <v> </v>
      </c>
      <c r="H1858" s="24" t="str">
        <f>IF(J1858&lt;&gt;1,"",IF(I1858="SBJ","CB","?"))</f>
        <v> </v>
      </c>
      <c r="I1858" s="25" t="str">
        <f>IF(OR(E1858="",E1858="!!!",F1858="NEW"),"",INDEX(B1857:B$2,-1+SUMPRODUCT(MAX(ROW(E1857:E$2)*(E1858=E1857:E$2)))))</f>
        <v> </v>
      </c>
      <c r="J1858" s="25" t="str">
        <f>IF(OR(E1858="",E1858="!!!",F1858="NEW"),"",COUNTBLANK(OFFSET(A$1,,,SUMPRODUCT(MAX(ROW(E$2:E1858)*(E1858=E$2:E1858)))))-COUNTBLANK(OFFSET(A$1,,,SUMPRODUCT(MAX(ROW(E$1:E1857)*(E2=E$1:E1857))))))</f>
        <v> </v>
      </c>
      <c r="K1858" s="25" t="str">
        <f>IF(OR(E1858="",E1858="!!!",F1858="NEW"),"",INDEX(J$1:J1857,SUMPRODUCT(MAX(ROW(E$1:E1857)*(E1858=E$1:E1857)))))</f>
        <v> </v>
      </c>
      <c r="L1858" s="26"/>
    </row>
    <row r="1859" spans="1:12">
      <c r="A1859" s="20" t="s">
        <v>652</v>
      </c>
      <c r="E1859" s="21">
        <f>IF(D1859="?OLD","!!!","")</f>
        <v/>
      </c>
      <c r="F1859" s="22" t="str">
        <f>IF(OR(E1859="",E1859="!!!"),"",IF(NOT(ISNA(VLOOKUP(E1859,E$1:E1858,1,FALSE()))),"OLD",IF(AND(E1859&lt;&gt;"",E1859&lt;&gt;"!!!"),"NEW","")))</f>
        <v> </v>
      </c>
      <c r="G1859" s="23" t="str">
        <f>IF(OR(E1859="",E1859="!!!"),"",IF(OR(J1859=0,AND(J1859=1,K1859=1),AND(J1859=1,I1859="SBJ"),AND(J1859=1,I1859=0)),"?IN_FOCUS",IF(J1859&lt;=2,"?ACTIVATED",IF(J1859&lt;&gt;"","?FAMILIAR",IF(F1859="NEW",IF(ISNA(VLOOKUP(E1859,#REF!,1,FALSE())),"?TYPE_IDENTIFIABLE","?REFERENTIAL"),"_")))))</f>
        <v> </v>
      </c>
      <c r="H1859" s="24" t="str">
        <f>IF(J1859&lt;&gt;1,"",IF(I1859="SBJ","CB","?"))</f>
        <v> </v>
      </c>
      <c r="I1859" s="25" t="str">
        <f>IF(OR(E1859="",E1859="!!!",F1859="NEW"),"",INDEX(B1858:B$2,-1+SUMPRODUCT(MAX(ROW(E1858:E$2)*(E1859=E1858:E$2)))))</f>
        <v> </v>
      </c>
      <c r="J1859" s="25" t="str">
        <f>IF(OR(E1859="",E1859="!!!",F1859="NEW"),"",COUNTBLANK(OFFSET(A$1,,,SUMPRODUCT(MAX(ROW(E$2:E1859)*(E1859=E$2:E1859)))))-COUNTBLANK(OFFSET(A$1,,,SUMPRODUCT(MAX(ROW(E$1:E1858)*(E2=E$1:E1858))))))</f>
        <v> </v>
      </c>
      <c r="K1859" s="25" t="str">
        <f>IF(OR(E1859="",E1859="!!!",F1859="NEW"),"",INDEX(J$1:J1858,SUMPRODUCT(MAX(ROW(E$1:E1858)*(E1859=E$1:E1858)))))</f>
        <v> </v>
      </c>
      <c r="L1859" s="26"/>
    </row>
    <row r="1860" spans="1:12">
      <c r="A1860" s="20" t="s">
        <v>1083</v>
      </c>
      <c r="B1860" s="27" t="s">
        <v>490</v>
      </c>
      <c r="C1860" s="27" t="s">
        <v>598</v>
      </c>
      <c r="D1860" s="27" t="s">
        <v>483</v>
      </c>
      <c r="E1860" s="21">
        <f>IF(D1860="?OLD","!!!","")</f>
        <v/>
      </c>
      <c r="F1860" s="22" t="str">
        <f>IF(OR(E1860="",E1860="!!!"),"",IF(NOT(ISNA(VLOOKUP(E1860,E$1:E1859,1,FALSE()))),"OLD",IF(AND(E1860&lt;&gt;"",E1860&lt;&gt;"!!!"),"NEW","")))</f>
        <v> </v>
      </c>
      <c r="G1860" s="23" t="str">
        <f>IF(OR(E1860="",E1860="!!!"),"",IF(OR(J1860=0,AND(J1860=1,K1860=1),AND(J1860=1,I1860="SBJ"),AND(J1860=1,I1860=0)),"?IN_FOCUS",IF(J1860&lt;=2,"?ACTIVATED",IF(J1860&lt;&gt;"","?FAMILIAR",IF(F1860="NEW",IF(ISNA(VLOOKUP(E1860,#REF!,1,FALSE())),"?TYPE_IDENTIFIABLE","?REFERENTIAL"),"_")))))</f>
        <v> </v>
      </c>
      <c r="H1860" s="24" t="str">
        <f>IF(J1860&lt;&gt;1,"",IF(I1860="SBJ","CB","?"))</f>
        <v> </v>
      </c>
      <c r="I1860" s="25" t="str">
        <f>IF(OR(E1860="",E1860="!!!",F1860="NEW"),"",INDEX(B1859:B$2,-1+SUMPRODUCT(MAX(ROW(E1859:E$2)*(E1860=E1859:E$2)))))</f>
        <v> </v>
      </c>
      <c r="J1860" s="25" t="str">
        <f>IF(OR(E1860="",E1860="!!!",F1860="NEW"),"",COUNTBLANK(OFFSET(A$1,,,SUMPRODUCT(MAX(ROW(E$2:E1860)*(E1860=E$2:E1860)))))-COUNTBLANK(OFFSET(A$1,,,SUMPRODUCT(MAX(ROW(E$1:E1859)*(E2=E$1:E1859))))))</f>
        <v> </v>
      </c>
      <c r="K1860" s="25" t="str">
        <f>IF(OR(E1860="",E1860="!!!",F1860="NEW"),"",INDEX(J$1:J1859,SUMPRODUCT(MAX(ROW(E$1:E1859)*(E1860=E$1:E1859)))))</f>
        <v> </v>
      </c>
      <c r="L1860" s="26"/>
    </row>
    <row r="1861" spans="1:12">
      <c r="A1861" s="20" t="s">
        <v>489</v>
      </c>
      <c r="E1861" s="21">
        <f>IF(D1861="?OLD","!!!","")</f>
        <v/>
      </c>
      <c r="F1861" s="22" t="str">
        <f>IF(OR(E1861="",E1861="!!!"),"",IF(NOT(ISNA(VLOOKUP(E1861,E$1:E1860,1,FALSE()))),"OLD",IF(AND(E1861&lt;&gt;"",E1861&lt;&gt;"!!!"),"NEW","")))</f>
        <v> </v>
      </c>
      <c r="G1861" s="23" t="str">
        <f>IF(OR(E1861="",E1861="!!!"),"",IF(OR(J1861=0,AND(J1861=1,K1861=1),AND(J1861=1,I1861="SBJ"),AND(J1861=1,I1861=0)),"?IN_FOCUS",IF(J1861&lt;=2,"?ACTIVATED",IF(J1861&lt;&gt;"","?FAMILIAR",IF(F1861="NEW",IF(ISNA(VLOOKUP(E1861,#REF!,1,FALSE())),"?TYPE_IDENTIFIABLE","?REFERENTIAL"),"_")))))</f>
        <v> </v>
      </c>
      <c r="H1861" s="24" t="str">
        <f>IF(J1861&lt;&gt;1,"",IF(I1861="SBJ","CB","?"))</f>
        <v> </v>
      </c>
      <c r="I1861" s="25" t="str">
        <f>IF(OR(E1861="",E1861="!!!",F1861="NEW"),"",INDEX(B1860:B$2,-1+SUMPRODUCT(MAX(ROW(E1860:E$2)*(E1861=E1860:E$2)))))</f>
        <v> </v>
      </c>
      <c r="J1861" s="25" t="str">
        <f>IF(OR(E1861="",E1861="!!!",F1861="NEW"),"",COUNTBLANK(OFFSET(A$1,,,SUMPRODUCT(MAX(ROW(E$2:E1861)*(E1861=E$2:E1861)))))-COUNTBLANK(OFFSET(A$1,,,SUMPRODUCT(MAX(ROW(E$1:E1860)*(E2=E$1:E1860))))))</f>
        <v> </v>
      </c>
      <c r="K1861" s="25" t="str">
        <f>IF(OR(E1861="",E1861="!!!",F1861="NEW"),"",INDEX(J$1:J1860,SUMPRODUCT(MAX(ROW(E$1:E1860)*(E1861=E$1:E1860)))))</f>
        <v> </v>
      </c>
      <c r="L1861" s="26"/>
    </row>
    <row r="1862" spans="1:12">
      <c r="A1862" s="20" t="s">
        <v>805</v>
      </c>
      <c r="E1862" s="21">
        <f>IF(D1862="?OLD","!!!","")</f>
        <v/>
      </c>
      <c r="F1862" s="22" t="str">
        <f>IF(OR(E1862="",E1862="!!!"),"",IF(NOT(ISNA(VLOOKUP(E1862,E$1:E1861,1,FALSE()))),"OLD",IF(AND(E1862&lt;&gt;"",E1862&lt;&gt;"!!!"),"NEW","")))</f>
        <v> </v>
      </c>
      <c r="G1862" s="23" t="str">
        <f>IF(OR(E1862="",E1862="!!!"),"",IF(OR(J1862=0,AND(J1862=1,K1862=1),AND(J1862=1,I1862="SBJ"),AND(J1862=1,I1862=0)),"?IN_FOCUS",IF(J1862&lt;=2,"?ACTIVATED",IF(J1862&lt;&gt;"","?FAMILIAR",IF(F1862="NEW",IF(ISNA(VLOOKUP(E1862,#REF!,1,FALSE())),"?TYPE_IDENTIFIABLE","?REFERENTIAL"),"_")))))</f>
        <v> </v>
      </c>
      <c r="H1862" s="24" t="str">
        <f>IF(J1862&lt;&gt;1,"",IF(I1862="SBJ","CB","?"))</f>
        <v> </v>
      </c>
      <c r="I1862" s="25" t="str">
        <f>IF(OR(E1862="",E1862="!!!",F1862="NEW"),"",INDEX(B1861:B$2,-1+SUMPRODUCT(MAX(ROW(E1861:E$2)*(E1862=E1861:E$2)))))</f>
        <v> </v>
      </c>
      <c r="J1862" s="25" t="str">
        <f>IF(OR(E1862="",E1862="!!!",F1862="NEW"),"",COUNTBLANK(OFFSET(A$1,,,SUMPRODUCT(MAX(ROW(E$2:E1862)*(E1862=E$2:E1862)))))-COUNTBLANK(OFFSET(A$1,,,SUMPRODUCT(MAX(ROW(E$1:E1861)*(E2=E$1:E1861))))))</f>
        <v> </v>
      </c>
      <c r="K1862" s="25" t="str">
        <f>IF(OR(E1862="",E1862="!!!",F1862="NEW"),"",INDEX(J$1:J1861,SUMPRODUCT(MAX(ROW(E$1:E1861)*(E1862=E$1:E1861)))))</f>
        <v> </v>
      </c>
      <c r="L1862" s="26"/>
    </row>
    <row r="1863" spans="1:12">
      <c r="A1863" s="20" t="s">
        <v>503</v>
      </c>
      <c r="E1863" s="21">
        <f>IF(D1863="?OLD","!!!","")</f>
        <v/>
      </c>
      <c r="F1863" s="22" t="str">
        <f>IF(OR(E1863="",E1863="!!!"),"",IF(NOT(ISNA(VLOOKUP(E1863,E$1:E1862,1,FALSE()))),"OLD",IF(AND(E1863&lt;&gt;"",E1863&lt;&gt;"!!!"),"NEW","")))</f>
        <v> </v>
      </c>
      <c r="G1863" s="23" t="str">
        <f>IF(OR(E1863="",E1863="!!!"),"",IF(OR(J1863=0,AND(J1863=1,K1863=1),AND(J1863=1,I1863="SBJ"),AND(J1863=1,I1863=0)),"?IN_FOCUS",IF(J1863&lt;=2,"?ACTIVATED",IF(J1863&lt;&gt;"","?FAMILIAR",IF(F1863="NEW",IF(ISNA(VLOOKUP(E1863,#REF!,1,FALSE())),"?TYPE_IDENTIFIABLE","?REFERENTIAL"),"_")))))</f>
        <v> </v>
      </c>
      <c r="H1863" s="24" t="str">
        <f>IF(J1863&lt;&gt;1,"",IF(I1863="SBJ","CB","?"))</f>
        <v> </v>
      </c>
      <c r="I1863" s="25" t="str">
        <f>IF(OR(E1863="",E1863="!!!",F1863="NEW"),"",INDEX(B1862:B$2,-1+SUMPRODUCT(MAX(ROW(E1862:E$2)*(E1863=E1862:E$2)))))</f>
        <v> </v>
      </c>
      <c r="J1863" s="25" t="str">
        <f>IF(OR(E1863="",E1863="!!!",F1863="NEW"),"",COUNTBLANK(OFFSET(A$1,,,SUMPRODUCT(MAX(ROW(E$2:E1863)*(E1863=E$2:E1863)))))-COUNTBLANK(OFFSET(A$1,,,SUMPRODUCT(MAX(ROW(E$1:E1862)*(E2=E$1:E1862))))))</f>
        <v> </v>
      </c>
      <c r="K1863" s="25" t="str">
        <f>IF(OR(E1863="",E1863="!!!",F1863="NEW"),"",INDEX(J$1:J1862,SUMPRODUCT(MAX(ROW(E$1:E1862)*(E1863=E$1:E1862)))))</f>
        <v> </v>
      </c>
      <c r="L1863" s="26"/>
    </row>
    <row r="1864" spans="1:12">
      <c r="A1864" s="20" t="s">
        <v>930</v>
      </c>
      <c r="B1864" s="27" t="s">
        <v>540</v>
      </c>
      <c r="C1864" s="27" t="s">
        <v>487</v>
      </c>
      <c r="D1864" s="27" t="s">
        <v>483</v>
      </c>
      <c r="E1864" s="21">
        <f>IF(D1864="?OLD","!!!","")</f>
        <v/>
      </c>
      <c r="F1864" s="22" t="str">
        <f>IF(OR(E1864="",E1864="!!!"),"",IF(NOT(ISNA(VLOOKUP(E1864,E$1:E1863,1,FALSE()))),"OLD",IF(AND(E1864&lt;&gt;"",E1864&lt;&gt;"!!!"),"NEW","")))</f>
        <v> </v>
      </c>
      <c r="G1864" s="23" t="str">
        <f>IF(OR(E1864="",E1864="!!!"),"",IF(OR(J1864=0,AND(J1864=1,K1864=1),AND(J1864=1,I1864="SBJ"),AND(J1864=1,I1864=0)),"?IN_FOCUS",IF(J1864&lt;=2,"?ACTIVATED",IF(J1864&lt;&gt;"","?FAMILIAR",IF(F1864="NEW",IF(ISNA(VLOOKUP(E1864,#REF!,1,FALSE())),"?TYPE_IDENTIFIABLE","?REFERENTIAL"),"_")))))</f>
        <v> </v>
      </c>
      <c r="H1864" s="24" t="str">
        <f>IF(J1864&lt;&gt;1,"",IF(I1864="SBJ","CB","?"))</f>
        <v> </v>
      </c>
      <c r="I1864" s="25" t="str">
        <f>IF(OR(E1864="",E1864="!!!",F1864="NEW"),"",INDEX(B1863:B$2,-1+SUMPRODUCT(MAX(ROW(E1863:E$2)*(E1864=E1863:E$2)))))</f>
        <v> </v>
      </c>
      <c r="J1864" s="25" t="str">
        <f>IF(OR(E1864="",E1864="!!!",F1864="NEW"),"",COUNTBLANK(OFFSET(A$1,,,SUMPRODUCT(MAX(ROW(E$2:E1864)*(E1864=E$2:E1864)))))-COUNTBLANK(OFFSET(A$1,,,SUMPRODUCT(MAX(ROW(E$1:E1863)*(E2=E$1:E1863))))))</f>
        <v> </v>
      </c>
      <c r="K1864" s="25" t="str">
        <f>IF(OR(E1864="",E1864="!!!",F1864="NEW"),"",INDEX(J$1:J1863,SUMPRODUCT(MAX(ROW(E$1:E1863)*(E1864=E$1:E1863)))))</f>
        <v> </v>
      </c>
      <c r="L1864" s="26"/>
    </row>
    <row r="1865" spans="1:12">
      <c r="A1865" s="20" t="s">
        <v>528</v>
      </c>
      <c r="E1865" s="21">
        <f>IF(D1865="?OLD","!!!","")</f>
        <v/>
      </c>
      <c r="F1865" s="22" t="str">
        <f>IF(OR(E1865="",E1865="!!!"),"",IF(NOT(ISNA(VLOOKUP(E1865,E$1:E1864,1,FALSE()))),"OLD",IF(AND(E1865&lt;&gt;"",E1865&lt;&gt;"!!!"),"NEW","")))</f>
        <v> </v>
      </c>
      <c r="G1865" s="23" t="str">
        <f>IF(OR(E1865="",E1865="!!!"),"",IF(OR(J1865=0,AND(J1865=1,K1865=1),AND(J1865=1,I1865="SBJ"),AND(J1865=1,I1865=0)),"?IN_FOCUS",IF(J1865&lt;=2,"?ACTIVATED",IF(J1865&lt;&gt;"","?FAMILIAR",IF(F1865="NEW",IF(ISNA(VLOOKUP(E1865,#REF!,1,FALSE())),"?TYPE_IDENTIFIABLE","?REFERENTIAL"),"_")))))</f>
        <v> </v>
      </c>
      <c r="H1865" s="24" t="str">
        <f>IF(J1865&lt;&gt;1,"",IF(I1865="SBJ","CB","?"))</f>
        <v> </v>
      </c>
      <c r="I1865" s="25" t="str">
        <f>IF(OR(E1865="",E1865="!!!",F1865="NEW"),"",INDEX(B1864:B$2,-1+SUMPRODUCT(MAX(ROW(E1864:E$2)*(E1865=E1864:E$2)))))</f>
        <v> </v>
      </c>
      <c r="J1865" s="25" t="str">
        <f>IF(OR(E1865="",E1865="!!!",F1865="NEW"),"",COUNTBLANK(OFFSET(A$1,,,SUMPRODUCT(MAX(ROW(E$2:E1865)*(E1865=E$2:E1865)))))-COUNTBLANK(OFFSET(A$1,,,SUMPRODUCT(MAX(ROW(E$1:E1864)*(E2=E$1:E1864))))))</f>
        <v> </v>
      </c>
      <c r="K1865" s="25" t="str">
        <f>IF(OR(E1865="",E1865="!!!",F1865="NEW"),"",INDEX(J$1:J1864,SUMPRODUCT(MAX(ROW(E$1:E1864)*(E1865=E$1:E1864)))))</f>
        <v> </v>
      </c>
      <c r="L1865" s="26"/>
    </row>
    <row r="1866" spans="1:12">
      <c r="A1866" s="20" t="s">
        <v>894</v>
      </c>
      <c r="E1866" s="21">
        <f>IF(D1866="?OLD","!!!","")</f>
        <v/>
      </c>
      <c r="F1866" s="22" t="str">
        <f>IF(OR(E1866="",E1866="!!!"),"",IF(NOT(ISNA(VLOOKUP(E1866,E$1:E1865,1,FALSE()))),"OLD",IF(AND(E1866&lt;&gt;"",E1866&lt;&gt;"!!!"),"NEW","")))</f>
        <v> </v>
      </c>
      <c r="G1866" s="23" t="str">
        <f>IF(OR(E1866="",E1866="!!!"),"",IF(OR(J1866=0,AND(J1866=1,K1866=1),AND(J1866=1,I1866="SBJ"),AND(J1866=1,I1866=0)),"?IN_FOCUS",IF(J1866&lt;=2,"?ACTIVATED",IF(J1866&lt;&gt;"","?FAMILIAR",IF(F1866="NEW",IF(ISNA(VLOOKUP(E1866,#REF!,1,FALSE())),"?TYPE_IDENTIFIABLE","?REFERENTIAL"),"_")))))</f>
        <v> </v>
      </c>
      <c r="H1866" s="24" t="str">
        <f>IF(J1866&lt;&gt;1,"",IF(I1866="SBJ","CB","?"))</f>
        <v> </v>
      </c>
      <c r="I1866" s="25" t="str">
        <f>IF(OR(E1866="",E1866="!!!",F1866="NEW"),"",INDEX(B1865:B$2,-1+SUMPRODUCT(MAX(ROW(E1865:E$2)*(E1866=E1865:E$2)))))</f>
        <v> </v>
      </c>
      <c r="J1866" s="25" t="str">
        <f>IF(OR(E1866="",E1866="!!!",F1866="NEW"),"",COUNTBLANK(OFFSET(A$1,,,SUMPRODUCT(MAX(ROW(E$2:E1866)*(E1866=E$2:E1866)))))-COUNTBLANK(OFFSET(A$1,,,SUMPRODUCT(MAX(ROW(E$1:E1865)*(E2=E$1:E1865))))))</f>
        <v> </v>
      </c>
      <c r="K1866" s="25" t="str">
        <f>IF(OR(E1866="",E1866="!!!",F1866="NEW"),"",INDEX(J$1:J1865,SUMPRODUCT(MAX(ROW(E$1:E1865)*(E1866=E$1:E1865)))))</f>
        <v> </v>
      </c>
      <c r="L1866" s="26"/>
    </row>
    <row r="1867" spans="1:12">
      <c r="A1867" s="20" t="s">
        <v>507</v>
      </c>
      <c r="E1867" s="21">
        <f>IF(D1867="?OLD","!!!","")</f>
        <v/>
      </c>
      <c r="F1867" s="22" t="str">
        <f>IF(OR(E1867="",E1867="!!!"),"",IF(NOT(ISNA(VLOOKUP(E1867,E$1:E1866,1,FALSE()))),"OLD",IF(AND(E1867&lt;&gt;"",E1867&lt;&gt;"!!!"),"NEW","")))</f>
        <v> </v>
      </c>
      <c r="G1867" s="23" t="str">
        <f>IF(OR(E1867="",E1867="!!!"),"",IF(OR(J1867=0,AND(J1867=1,K1867=1),AND(J1867=1,I1867="SBJ"),AND(J1867=1,I1867=0)),"?IN_FOCUS",IF(J1867&lt;=2,"?ACTIVATED",IF(J1867&lt;&gt;"","?FAMILIAR",IF(F1867="NEW",IF(ISNA(VLOOKUP(E1867,#REF!,1,FALSE())),"?TYPE_IDENTIFIABLE","?REFERENTIAL"),"_")))))</f>
        <v> </v>
      </c>
      <c r="H1867" s="24" t="str">
        <f>IF(J1867&lt;&gt;1,"",IF(I1867="SBJ","CB","?"))</f>
        <v> </v>
      </c>
      <c r="I1867" s="25" t="str">
        <f>IF(OR(E1867="",E1867="!!!",F1867="NEW"),"",INDEX(B1866:B$2,-1+SUMPRODUCT(MAX(ROW(E1866:E$2)*(E1867=E1866:E$2)))))</f>
        <v> </v>
      </c>
      <c r="J1867" s="25" t="str">
        <f>IF(OR(E1867="",E1867="!!!",F1867="NEW"),"",COUNTBLANK(OFFSET(A$1,,,SUMPRODUCT(MAX(ROW(E$2:E1867)*(E1867=E$2:E1867)))))-COUNTBLANK(OFFSET(A$1,,,SUMPRODUCT(MAX(ROW(E$1:E1866)*(E2=E$1:E1866))))))</f>
        <v> </v>
      </c>
      <c r="K1867" s="25" t="str">
        <f>IF(OR(E1867="",E1867="!!!",F1867="NEW"),"",INDEX(J$1:J1866,SUMPRODUCT(MAX(ROW(E$1:E1866)*(E1867=E$1:E1866)))))</f>
        <v> </v>
      </c>
      <c r="L1867" s="26"/>
    </row>
    <row r="1868" spans="1:12">
      <c r="A1868" s="20" t="s">
        <v>495</v>
      </c>
      <c r="E1868" s="21">
        <f>IF(D1868="?OLD","!!!","")</f>
        <v/>
      </c>
      <c r="F1868" s="22" t="str">
        <f>IF(OR(E1868="",E1868="!!!"),"",IF(NOT(ISNA(VLOOKUP(E1868,E$1:E1867,1,FALSE()))),"OLD",IF(AND(E1868&lt;&gt;"",E1868&lt;&gt;"!!!"),"NEW","")))</f>
        <v> </v>
      </c>
      <c r="G1868" s="23" t="str">
        <f>IF(OR(E1868="",E1868="!!!"),"",IF(OR(J1868=0,AND(J1868=1,K1868=1),AND(J1868=1,I1868="SBJ"),AND(J1868=1,I1868=0)),"?IN_FOCUS",IF(J1868&lt;=2,"?ACTIVATED",IF(J1868&lt;&gt;"","?FAMILIAR",IF(F1868="NEW",IF(ISNA(VLOOKUP(E1868,#REF!,1,FALSE())),"?TYPE_IDENTIFIABLE","?REFERENTIAL"),"_")))))</f>
        <v> </v>
      </c>
      <c r="H1868" s="24" t="str">
        <f>IF(J1868&lt;&gt;1,"",IF(I1868="SBJ","CB","?"))</f>
        <v> </v>
      </c>
      <c r="I1868" s="25" t="str">
        <f>IF(OR(E1868="",E1868="!!!",F1868="NEW"),"",INDEX(B1867:B$2,-1+SUMPRODUCT(MAX(ROW(E1867:E$2)*(E1868=E1867:E$2)))))</f>
        <v> </v>
      </c>
      <c r="J1868" s="25" t="str">
        <f>IF(OR(E1868="",E1868="!!!",F1868="NEW"),"",COUNTBLANK(OFFSET(A$1,,,SUMPRODUCT(MAX(ROW(E$2:E1868)*(E1868=E$2:E1868)))))-COUNTBLANK(OFFSET(A$1,,,SUMPRODUCT(MAX(ROW(E$1:E1867)*(E2=E$1:E1867))))))</f>
        <v> </v>
      </c>
      <c r="K1868" s="25" t="str">
        <f>IF(OR(E1868="",E1868="!!!",F1868="NEW"),"",INDEX(J$1:J1867,SUMPRODUCT(MAX(ROW(E$1:E1867)*(E1868=E$1:E1867)))))</f>
        <v> </v>
      </c>
      <c r="L1868" s="26"/>
    </row>
    <row r="1869" spans="1:12">
      <c r="A1869" s="20" t="s">
        <v>496</v>
      </c>
      <c r="B1869" s="27" t="s">
        <v>659</v>
      </c>
      <c r="C1869" s="27" t="s">
        <v>498</v>
      </c>
      <c r="E1869" s="21">
        <f>IF(D1869="?OLD","!!!","")</f>
        <v/>
      </c>
      <c r="F1869" s="22" t="str">
        <f>IF(OR(E1869="",E1869="!!!"),"",IF(NOT(ISNA(VLOOKUP(E1869,E$1:E1868,1,FALSE()))),"OLD",IF(AND(E1869&lt;&gt;"",E1869&lt;&gt;"!!!"),"NEW","")))</f>
        <v> </v>
      </c>
      <c r="G1869" s="23" t="str">
        <f>IF(OR(E1869="",E1869="!!!"),"",IF(OR(J1869=0,AND(J1869=1,K1869=1),AND(J1869=1,I1869="SBJ"),AND(J1869=1,I1869=0)),"?IN_FOCUS",IF(J1869&lt;=2,"?ACTIVATED",IF(J1869&lt;&gt;"","?FAMILIAR",IF(F1869="NEW",IF(ISNA(VLOOKUP(E1869,#REF!,1,FALSE())),"?TYPE_IDENTIFIABLE","?REFERENTIAL"),"_")))))</f>
        <v> </v>
      </c>
      <c r="H1869" s="24" t="str">
        <f>IF(J1869&lt;&gt;1,"",IF(I1869="SBJ","CB","?"))</f>
        <v> </v>
      </c>
      <c r="I1869" s="25" t="str">
        <f>IF(OR(E1869="",E1869="!!!",F1869="NEW"),"",INDEX(B1868:B$2,-1+SUMPRODUCT(MAX(ROW(E1868:E$2)*(E1869=E1868:E$2)))))</f>
        <v> </v>
      </c>
      <c r="J1869" s="25" t="str">
        <f>IF(OR(E1869="",E1869="!!!",F1869="NEW"),"",COUNTBLANK(OFFSET(A$1,,,SUMPRODUCT(MAX(ROW(E$2:E1869)*(E1869=E$2:E1869)))))-COUNTBLANK(OFFSET(A$1,,,SUMPRODUCT(MAX(ROW(E$1:E1868)*(E2=E$1:E1868))))))</f>
        <v> </v>
      </c>
      <c r="K1869" s="25" t="str">
        <f>IF(OR(E1869="",E1869="!!!",F1869="NEW"),"",INDEX(J$1:J1868,SUMPRODUCT(MAX(ROW(E$1:E1868)*(E1869=E$1:E1868)))))</f>
        <v> </v>
      </c>
      <c r="L1869" s="26"/>
    </row>
    <row r="1870" spans="1:12">
      <c r="A1870" s="20" t="s">
        <v>520</v>
      </c>
      <c r="E1870" s="21">
        <f>IF(D1870="?OLD","!!!","")</f>
        <v/>
      </c>
      <c r="F1870" s="22" t="str">
        <f>IF(OR(E1870="",E1870="!!!"),"",IF(NOT(ISNA(VLOOKUP(E1870,E$1:E1869,1,FALSE()))),"OLD",IF(AND(E1870&lt;&gt;"",E1870&lt;&gt;"!!!"),"NEW","")))</f>
        <v> </v>
      </c>
      <c r="G1870" s="23" t="str">
        <f>IF(OR(E1870="",E1870="!!!"),"",IF(OR(J1870=0,AND(J1870=1,K1870=1),AND(J1870=1,I1870="SBJ"),AND(J1870=1,I1870=0)),"?IN_FOCUS",IF(J1870&lt;=2,"?ACTIVATED",IF(J1870&lt;&gt;"","?FAMILIAR",IF(F1870="NEW",IF(ISNA(VLOOKUP(E1870,#REF!,1,FALSE())),"?TYPE_IDENTIFIABLE","?REFERENTIAL"),"_")))))</f>
        <v> </v>
      </c>
      <c r="H1870" s="24" t="str">
        <f>IF(J1870&lt;&gt;1,"",IF(I1870="SBJ","CB","?"))</f>
        <v> </v>
      </c>
      <c r="I1870" s="25" t="str">
        <f>IF(OR(E1870="",E1870="!!!",F1870="NEW"),"",INDEX(B1869:B$2,-1+SUMPRODUCT(MAX(ROW(E1869:E$2)*(E1870=E1869:E$2)))))</f>
        <v> </v>
      </c>
      <c r="J1870" s="25" t="str">
        <f>IF(OR(E1870="",E1870="!!!",F1870="NEW"),"",COUNTBLANK(OFFSET(A$1,,,SUMPRODUCT(MAX(ROW(E$2:E1870)*(E1870=E$2:E1870)))))-COUNTBLANK(OFFSET(A$1,,,SUMPRODUCT(MAX(ROW(E$1:E1869)*(E2=E$1:E1869))))))</f>
        <v> </v>
      </c>
      <c r="K1870" s="25" t="str">
        <f>IF(OR(E1870="",E1870="!!!",F1870="NEW"),"",INDEX(J$1:J1869,SUMPRODUCT(MAX(ROW(E$1:E1869)*(E1870=E$1:E1869)))))</f>
        <v> </v>
      </c>
      <c r="L1870" s="26"/>
    </row>
    <row r="1871" spans="1:12">
      <c r="A1871" s="20" t="s">
        <v>592</v>
      </c>
      <c r="E1871" s="21">
        <f>IF(D1871="?OLD","!!!","")</f>
        <v/>
      </c>
      <c r="F1871" s="22" t="str">
        <f>IF(OR(E1871="",E1871="!!!"),"",IF(NOT(ISNA(VLOOKUP(E1871,E$1:E1870,1,FALSE()))),"OLD",IF(AND(E1871&lt;&gt;"",E1871&lt;&gt;"!!!"),"NEW","")))</f>
        <v> </v>
      </c>
      <c r="G1871" s="23" t="str">
        <f>IF(OR(E1871="",E1871="!!!"),"",IF(OR(J1871=0,AND(J1871=1,K1871=1),AND(J1871=1,I1871="SBJ"),AND(J1871=1,I1871=0)),"?IN_FOCUS",IF(J1871&lt;=2,"?ACTIVATED",IF(J1871&lt;&gt;"","?FAMILIAR",IF(F1871="NEW",IF(ISNA(VLOOKUP(E1871,#REF!,1,FALSE())),"?TYPE_IDENTIFIABLE","?REFERENTIAL"),"_")))))</f>
        <v> </v>
      </c>
      <c r="H1871" s="24" t="str">
        <f>IF(J1871&lt;&gt;1,"",IF(I1871="SBJ","CB","?"))</f>
        <v> </v>
      </c>
      <c r="I1871" s="25" t="str">
        <f>IF(OR(E1871="",E1871="!!!",F1871="NEW"),"",INDEX(B1870:B$2,-1+SUMPRODUCT(MAX(ROW(E1870:E$2)*(E1871=E1870:E$2)))))</f>
        <v> </v>
      </c>
      <c r="J1871" s="25" t="str">
        <f>IF(OR(E1871="",E1871="!!!",F1871="NEW"),"",COUNTBLANK(OFFSET(A$1,,,SUMPRODUCT(MAX(ROW(E$2:E1871)*(E1871=E$2:E1871)))))-COUNTBLANK(OFFSET(A$1,,,SUMPRODUCT(MAX(ROW(E$1:E1870)*(E2=E$1:E1870))))))</f>
        <v> </v>
      </c>
      <c r="K1871" s="25" t="str">
        <f>IF(OR(E1871="",E1871="!!!",F1871="NEW"),"",INDEX(J$1:J1870,SUMPRODUCT(MAX(ROW(E$1:E1870)*(E1871=E$1:E1870)))))</f>
        <v> </v>
      </c>
      <c r="L1871" s="26"/>
    </row>
    <row r="1872" spans="1:12">
      <c r="A1872" s="20" t="s">
        <v>1084</v>
      </c>
      <c r="E1872" s="21">
        <f>IF(D1872="?OLD","!!!","")</f>
        <v/>
      </c>
      <c r="F1872" s="22" t="str">
        <f>IF(OR(E1872="",E1872="!!!"),"",IF(NOT(ISNA(VLOOKUP(E1872,E$1:E1871,1,FALSE()))),"OLD",IF(AND(E1872&lt;&gt;"",E1872&lt;&gt;"!!!"),"NEW","")))</f>
        <v> </v>
      </c>
      <c r="G1872" s="23" t="str">
        <f>IF(OR(E1872="",E1872="!!!"),"",IF(OR(J1872=0,AND(J1872=1,K1872=1),AND(J1872=1,I1872="SBJ"),AND(J1872=1,I1872=0)),"?IN_FOCUS",IF(J1872&lt;=2,"?ACTIVATED",IF(J1872&lt;&gt;"","?FAMILIAR",IF(F1872="NEW",IF(ISNA(VLOOKUP(E1872,#REF!,1,FALSE())),"?TYPE_IDENTIFIABLE","?REFERENTIAL"),"_")))))</f>
        <v> </v>
      </c>
      <c r="H1872" s="24" t="str">
        <f>IF(J1872&lt;&gt;1,"",IF(I1872="SBJ","CB","?"))</f>
        <v> </v>
      </c>
      <c r="I1872" s="25" t="str">
        <f>IF(OR(E1872="",E1872="!!!",F1872="NEW"),"",INDEX(B1871:B$2,-1+SUMPRODUCT(MAX(ROW(E1871:E$2)*(E1872=E1871:E$2)))))</f>
        <v> </v>
      </c>
      <c r="J1872" s="25" t="str">
        <f>IF(OR(E1872="",E1872="!!!",F1872="NEW"),"",COUNTBLANK(OFFSET(A$1,,,SUMPRODUCT(MAX(ROW(E$2:E1872)*(E1872=E$2:E1872)))))-COUNTBLANK(OFFSET(A$1,,,SUMPRODUCT(MAX(ROW(E$1:E1871)*(E2=E$1:E1871))))))</f>
        <v> </v>
      </c>
      <c r="K1872" s="25" t="str">
        <f>IF(OR(E1872="",E1872="!!!",F1872="NEW"),"",INDEX(J$1:J1871,SUMPRODUCT(MAX(ROW(E$1:E1871)*(E1872=E$1:E1871)))))</f>
        <v> </v>
      </c>
      <c r="L1872" s="26"/>
    </row>
    <row r="1873" spans="1:12">
      <c r="A1873" s="20" t="s">
        <v>679</v>
      </c>
      <c r="B1873" s="27" t="s">
        <v>502</v>
      </c>
      <c r="C1873" s="27" t="s">
        <v>482</v>
      </c>
      <c r="D1873" s="27" t="s">
        <v>483</v>
      </c>
      <c r="E1873" s="21">
        <f>IF(D1873="?OLD","!!!","")</f>
        <v/>
      </c>
      <c r="F1873" s="22" t="str">
        <f>IF(OR(E1873="",E1873="!!!"),"",IF(NOT(ISNA(VLOOKUP(E1873,E$1:E1872,1,FALSE()))),"OLD",IF(AND(E1873&lt;&gt;"",E1873&lt;&gt;"!!!"),"NEW","")))</f>
        <v> </v>
      </c>
      <c r="G1873" s="23" t="str">
        <f>IF(OR(E1873="",E1873="!!!"),"",IF(OR(J1873=0,AND(J1873=1,K1873=1),AND(J1873=1,I1873="SBJ"),AND(J1873=1,I1873=0)),"?IN_FOCUS",IF(J1873&lt;=2,"?ACTIVATED",IF(J1873&lt;&gt;"","?FAMILIAR",IF(F1873="NEW",IF(ISNA(VLOOKUP(E1873,#REF!,1,FALSE())),"?TYPE_IDENTIFIABLE","?REFERENTIAL"),"_")))))</f>
        <v> </v>
      </c>
      <c r="H1873" s="24" t="str">
        <f>IF(J1873&lt;&gt;1,"",IF(I1873="SBJ","CB","?"))</f>
        <v> </v>
      </c>
      <c r="I1873" s="25" t="str">
        <f>IF(OR(E1873="",E1873="!!!",F1873="NEW"),"",INDEX(B1872:B$2,-1+SUMPRODUCT(MAX(ROW(E1872:E$2)*(E1873=E1872:E$2)))))</f>
        <v> </v>
      </c>
      <c r="J1873" s="25" t="str">
        <f>IF(OR(E1873="",E1873="!!!",F1873="NEW"),"",COUNTBLANK(OFFSET(A$1,,,SUMPRODUCT(MAX(ROW(E$2:E1873)*(E1873=E$2:E1873)))))-COUNTBLANK(OFFSET(A$1,,,SUMPRODUCT(MAX(ROW(E$1:E1872)*(E2=E$1:E1872))))))</f>
        <v> </v>
      </c>
      <c r="K1873" s="25" t="str">
        <f>IF(OR(E1873="",E1873="!!!",F1873="NEW"),"",INDEX(J$1:J1872,SUMPRODUCT(MAX(ROW(E$1:E1872)*(E1873=E$1:E1872)))))</f>
        <v> </v>
      </c>
      <c r="L1873" s="26"/>
    </row>
    <row r="1874" spans="1:12">
      <c r="A1874" s="20" t="s">
        <v>530</v>
      </c>
      <c r="E1874" s="21">
        <f>IF(D1874="?OLD","!!!","")</f>
        <v/>
      </c>
      <c r="F1874" s="22" t="str">
        <f>IF(OR(E1874="",E1874="!!!"),"",IF(NOT(ISNA(VLOOKUP(E1874,E$1:E1873,1,FALSE()))),"OLD",IF(AND(E1874&lt;&gt;"",E1874&lt;&gt;"!!!"),"NEW","")))</f>
        <v> </v>
      </c>
      <c r="G1874" s="23" t="str">
        <f>IF(OR(E1874="",E1874="!!!"),"",IF(OR(J1874=0,AND(J1874=1,K1874=1),AND(J1874=1,I1874="SBJ"),AND(J1874=1,I1874=0)),"?IN_FOCUS",IF(J1874&lt;=2,"?ACTIVATED",IF(J1874&lt;&gt;"","?FAMILIAR",IF(F1874="NEW",IF(ISNA(VLOOKUP(E1874,#REF!,1,FALSE())),"?TYPE_IDENTIFIABLE","?REFERENTIAL"),"_")))))</f>
        <v> </v>
      </c>
      <c r="H1874" s="24" t="str">
        <f>IF(J1874&lt;&gt;1,"",IF(I1874="SBJ","CB","?"))</f>
        <v> </v>
      </c>
      <c r="I1874" s="25" t="str">
        <f>IF(OR(E1874="",E1874="!!!",F1874="NEW"),"",INDEX(B1873:B$2,-1+SUMPRODUCT(MAX(ROW(E1873:E$2)*(E1874=E1873:E$2)))))</f>
        <v> </v>
      </c>
      <c r="J1874" s="25" t="str">
        <f>IF(OR(E1874="",E1874="!!!",F1874="NEW"),"",COUNTBLANK(OFFSET(A$1,,,SUMPRODUCT(MAX(ROW(E$2:E1874)*(E1874=E$2:E1874)))))-COUNTBLANK(OFFSET(A$1,,,SUMPRODUCT(MAX(ROW(E$1:E1873)*(E2=E$1:E1873))))))</f>
        <v> </v>
      </c>
      <c r="K1874" s="25" t="str">
        <f>IF(OR(E1874="",E1874="!!!",F1874="NEW"),"",INDEX(J$1:J1873,SUMPRODUCT(MAX(ROW(E$1:E1873)*(E1874=E$1:E1873)))))</f>
        <v> </v>
      </c>
      <c r="L1874" s="26"/>
    </row>
    <row r="1875" spans="1:12">
      <c r="A1875" s="20" t="s">
        <v>489</v>
      </c>
      <c r="E1875" s="21">
        <f>IF(D1875="?OLD","!!!","")</f>
        <v/>
      </c>
      <c r="F1875" s="22" t="str">
        <f>IF(OR(E1875="",E1875="!!!"),"",IF(NOT(ISNA(VLOOKUP(E1875,E$1:E1874,1,FALSE()))),"OLD",IF(AND(E1875&lt;&gt;"",E1875&lt;&gt;"!!!"),"NEW","")))</f>
        <v> </v>
      </c>
      <c r="G1875" s="23" t="str">
        <f>IF(OR(E1875="",E1875="!!!"),"",IF(OR(J1875=0,AND(J1875=1,K1875=1),AND(J1875=1,I1875="SBJ"),AND(J1875=1,I1875=0)),"?IN_FOCUS",IF(J1875&lt;=2,"?ACTIVATED",IF(J1875&lt;&gt;"","?FAMILIAR",IF(F1875="NEW",IF(ISNA(VLOOKUP(E1875,#REF!,1,FALSE())),"?TYPE_IDENTIFIABLE","?REFERENTIAL"),"_")))))</f>
        <v> </v>
      </c>
      <c r="H1875" s="24" t="str">
        <f>IF(J1875&lt;&gt;1,"",IF(I1875="SBJ","CB","?"))</f>
        <v> </v>
      </c>
      <c r="I1875" s="25" t="str">
        <f>IF(OR(E1875="",E1875="!!!",F1875="NEW"),"",INDEX(B1874:B$2,-1+SUMPRODUCT(MAX(ROW(E1874:E$2)*(E1875=E1874:E$2)))))</f>
        <v> </v>
      </c>
      <c r="J1875" s="25" t="str">
        <f>IF(OR(E1875="",E1875="!!!",F1875="NEW"),"",COUNTBLANK(OFFSET(A$1,,,SUMPRODUCT(MAX(ROW(E$2:E1875)*(E1875=E$2:E1875)))))-COUNTBLANK(OFFSET(A$1,,,SUMPRODUCT(MAX(ROW(E$1:E1874)*(E2=E$1:E1874))))))</f>
        <v> </v>
      </c>
      <c r="K1875" s="25" t="str">
        <f>IF(OR(E1875="",E1875="!!!",F1875="NEW"),"",INDEX(J$1:J1874,SUMPRODUCT(MAX(ROW(E$1:E1874)*(E1875=E$1:E1874)))))</f>
        <v> </v>
      </c>
      <c r="L1875" s="26"/>
    </row>
    <row r="1876" spans="1:12">
      <c r="A1876" s="20" t="s">
        <v>593</v>
      </c>
      <c r="E1876" s="21">
        <f>IF(D1876="?OLD","!!!","")</f>
        <v/>
      </c>
      <c r="F1876" s="22" t="str">
        <f>IF(OR(E1876="",E1876="!!!"),"",IF(NOT(ISNA(VLOOKUP(E1876,E$1:E1875,1,FALSE()))),"OLD",IF(AND(E1876&lt;&gt;"",E1876&lt;&gt;"!!!"),"NEW","")))</f>
        <v> </v>
      </c>
      <c r="G1876" s="23" t="str">
        <f>IF(OR(E1876="",E1876="!!!"),"",IF(OR(J1876=0,AND(J1876=1,K1876=1),AND(J1876=1,I1876="SBJ"),AND(J1876=1,I1876=0)),"?IN_FOCUS",IF(J1876&lt;=2,"?ACTIVATED",IF(J1876&lt;&gt;"","?FAMILIAR",IF(F1876="NEW",IF(ISNA(VLOOKUP(E1876,#REF!,1,FALSE())),"?TYPE_IDENTIFIABLE","?REFERENTIAL"),"_")))))</f>
        <v> </v>
      </c>
      <c r="H1876" s="24" t="str">
        <f>IF(J1876&lt;&gt;1,"",IF(I1876="SBJ","CB","?"))</f>
        <v> </v>
      </c>
      <c r="I1876" s="25" t="str">
        <f>IF(OR(E1876="",E1876="!!!",F1876="NEW"),"",INDEX(B1875:B$2,-1+SUMPRODUCT(MAX(ROW(E1875:E$2)*(E1876=E1875:E$2)))))</f>
        <v> </v>
      </c>
      <c r="J1876" s="25" t="str">
        <f>IF(OR(E1876="",E1876="!!!",F1876="NEW"),"",COUNTBLANK(OFFSET(A$1,,,SUMPRODUCT(MAX(ROW(E$2:E1876)*(E1876=E$2:E1876)))))-COUNTBLANK(OFFSET(A$1,,,SUMPRODUCT(MAX(ROW(E$1:E1875)*(E2=E$1:E1875))))))</f>
        <v> </v>
      </c>
      <c r="K1876" s="25" t="str">
        <f>IF(OR(E1876="",E1876="!!!",F1876="NEW"),"",INDEX(J$1:J1875,SUMPRODUCT(MAX(ROW(E$1:E1875)*(E1876=E$1:E1875)))))</f>
        <v> </v>
      </c>
      <c r="L1876" s="26"/>
    </row>
    <row r="1877" spans="1:12">
      <c r="A1877" s="20" t="s">
        <v>1085</v>
      </c>
      <c r="E1877" s="21">
        <f>IF(D1877="?OLD","!!!","")</f>
        <v/>
      </c>
      <c r="F1877" s="22" t="str">
        <f>IF(OR(E1877="",E1877="!!!"),"",IF(NOT(ISNA(VLOOKUP(E1877,E$1:E1876,1,FALSE()))),"OLD",IF(AND(E1877&lt;&gt;"",E1877&lt;&gt;"!!!"),"NEW","")))</f>
        <v> </v>
      </c>
      <c r="G1877" s="23" t="str">
        <f>IF(OR(E1877="",E1877="!!!"),"",IF(OR(J1877=0,AND(J1877=1,K1877=1),AND(J1877=1,I1877="SBJ"),AND(J1877=1,I1877=0)),"?IN_FOCUS",IF(J1877&lt;=2,"?ACTIVATED",IF(J1877&lt;&gt;"","?FAMILIAR",IF(F1877="NEW",IF(ISNA(VLOOKUP(E1877,#REF!,1,FALSE())),"?TYPE_IDENTIFIABLE","?REFERENTIAL"),"_")))))</f>
        <v> </v>
      </c>
      <c r="H1877" s="24" t="str">
        <f>IF(J1877&lt;&gt;1,"",IF(I1877="SBJ","CB","?"))</f>
        <v> </v>
      </c>
      <c r="I1877" s="25" t="str">
        <f>IF(OR(E1877="",E1877="!!!",F1877="NEW"),"",INDEX(B1876:B$2,-1+SUMPRODUCT(MAX(ROW(E1876:E$2)*(E1877=E1876:E$2)))))</f>
        <v> </v>
      </c>
      <c r="J1877" s="25" t="str">
        <f>IF(OR(E1877="",E1877="!!!",F1877="NEW"),"",COUNTBLANK(OFFSET(A$1,,,SUMPRODUCT(MAX(ROW(E$2:E1877)*(E1877=E$2:E1877)))))-COUNTBLANK(OFFSET(A$1,,,SUMPRODUCT(MAX(ROW(E$1:E1876)*(E2=E$1:E1876))))))</f>
        <v> </v>
      </c>
      <c r="K1877" s="25" t="str">
        <f>IF(OR(E1877="",E1877="!!!",F1877="NEW"),"",INDEX(J$1:J1876,SUMPRODUCT(MAX(ROW(E$1:E1876)*(E1877=E$1:E1876)))))</f>
        <v> </v>
      </c>
      <c r="L1877" s="26"/>
    </row>
    <row r="1878" spans="1:12">
      <c r="A1878" s="20" t="s">
        <v>484</v>
      </c>
      <c r="E1878" s="21">
        <f>IF(D1878="?OLD","!!!","")</f>
        <v/>
      </c>
      <c r="F1878" s="22" t="str">
        <f>IF(OR(E1878="",E1878="!!!"),"",IF(NOT(ISNA(VLOOKUP(E1878,E$1:E1877,1,FALSE()))),"OLD",IF(AND(E1878&lt;&gt;"",E1878&lt;&gt;"!!!"),"NEW","")))</f>
        <v> </v>
      </c>
      <c r="G1878" s="23" t="str">
        <f>IF(OR(E1878="",E1878="!!!"),"",IF(OR(J1878=0,AND(J1878=1,K1878=1),AND(J1878=1,I1878="SBJ"),AND(J1878=1,I1878=0)),"?IN_FOCUS",IF(J1878&lt;=2,"?ACTIVATED",IF(J1878&lt;&gt;"","?FAMILIAR",IF(F1878="NEW",IF(ISNA(VLOOKUP(E1878,#REF!,1,FALSE())),"?TYPE_IDENTIFIABLE","?REFERENTIAL"),"_")))))</f>
        <v> </v>
      </c>
      <c r="H1878" s="24" t="str">
        <f>IF(J1878&lt;&gt;1,"",IF(I1878="SBJ","CB","?"))</f>
        <v> </v>
      </c>
      <c r="I1878" s="25" t="str">
        <f>IF(OR(E1878="",E1878="!!!",F1878="NEW"),"",INDEX(B1877:B$2,-1+SUMPRODUCT(MAX(ROW(E1877:E$2)*(E1878=E1877:E$2)))))</f>
        <v> </v>
      </c>
      <c r="J1878" s="25" t="str">
        <f>IF(OR(E1878="",E1878="!!!",F1878="NEW"),"",COUNTBLANK(OFFSET(A$1,,,SUMPRODUCT(MAX(ROW(E$2:E1878)*(E1878=E$2:E1878)))))-COUNTBLANK(OFFSET(A$1,,,SUMPRODUCT(MAX(ROW(E$1:E1877)*(E2=E$1:E1877))))))</f>
        <v> </v>
      </c>
      <c r="K1878" s="25" t="str">
        <f>IF(OR(E1878="",E1878="!!!",F1878="NEW"),"",INDEX(J$1:J1877,SUMPRODUCT(MAX(ROW(E$1:E1877)*(E1878=E$1:E1877)))))</f>
        <v> </v>
      </c>
      <c r="L1878" s="26"/>
    </row>
    <row r="1879" spans="1:12">
      <c r="A1879" s="20" t="s">
        <v>649</v>
      </c>
      <c r="E1879" s="21">
        <f>IF(D1879="?OLD","!!!","")</f>
        <v/>
      </c>
      <c r="F1879" s="22" t="str">
        <f>IF(OR(E1879="",E1879="!!!"),"",IF(NOT(ISNA(VLOOKUP(E1879,E$1:E1878,1,FALSE()))),"OLD",IF(AND(E1879&lt;&gt;"",E1879&lt;&gt;"!!!"),"NEW","")))</f>
        <v> </v>
      </c>
      <c r="G1879" s="23" t="str">
        <f>IF(OR(E1879="",E1879="!!!"),"",IF(OR(J1879=0,AND(J1879=1,K1879=1),AND(J1879=1,I1879="SBJ"),AND(J1879=1,I1879=0)),"?IN_FOCUS",IF(J1879&lt;=2,"?ACTIVATED",IF(J1879&lt;&gt;"","?FAMILIAR",IF(F1879="NEW",IF(ISNA(VLOOKUP(E1879,#REF!,1,FALSE())),"?TYPE_IDENTIFIABLE","?REFERENTIAL"),"_")))))</f>
        <v> </v>
      </c>
      <c r="H1879" s="24" t="str">
        <f>IF(J1879&lt;&gt;1,"",IF(I1879="SBJ","CB","?"))</f>
        <v> </v>
      </c>
      <c r="I1879" s="25" t="str">
        <f>IF(OR(E1879="",E1879="!!!",F1879="NEW"),"",INDEX(B1878:B$2,-1+SUMPRODUCT(MAX(ROW(E1878:E$2)*(E1879=E1878:E$2)))))</f>
        <v> </v>
      </c>
      <c r="J1879" s="25" t="str">
        <f>IF(OR(E1879="",E1879="!!!",F1879="NEW"),"",COUNTBLANK(OFFSET(A$1,,,SUMPRODUCT(MAX(ROW(E$2:E1879)*(E1879=E$2:E1879)))))-COUNTBLANK(OFFSET(A$1,,,SUMPRODUCT(MAX(ROW(E$1:E1878)*(E2=E$1:E1878))))))</f>
        <v> </v>
      </c>
      <c r="K1879" s="25" t="str">
        <f>IF(OR(E1879="",E1879="!!!",F1879="NEW"),"",INDEX(J$1:J1878,SUMPRODUCT(MAX(ROW(E$1:E1878)*(E1879=E$1:E1878)))))</f>
        <v> </v>
      </c>
      <c r="L1879" s="26"/>
    </row>
    <row r="1880" spans="1:12">
      <c r="A1880" s="20" t="s">
        <v>489</v>
      </c>
      <c r="E1880" s="21">
        <f>IF(D1880="?OLD","!!!","")</f>
        <v/>
      </c>
      <c r="F1880" s="22" t="str">
        <f>IF(OR(E1880="",E1880="!!!"),"",IF(NOT(ISNA(VLOOKUP(E1880,E$1:E1879,1,FALSE()))),"OLD",IF(AND(E1880&lt;&gt;"",E1880&lt;&gt;"!!!"),"NEW","")))</f>
        <v> </v>
      </c>
      <c r="G1880" s="23" t="str">
        <f>IF(OR(E1880="",E1880="!!!"),"",IF(OR(J1880=0,AND(J1880=1,K1880=1),AND(J1880=1,I1880="SBJ"),AND(J1880=1,I1880=0)),"?IN_FOCUS",IF(J1880&lt;=2,"?ACTIVATED",IF(J1880&lt;&gt;"","?FAMILIAR",IF(F1880="NEW",IF(ISNA(VLOOKUP(E1880,#REF!,1,FALSE())),"?TYPE_IDENTIFIABLE","?REFERENTIAL"),"_")))))</f>
        <v> </v>
      </c>
      <c r="H1880" s="24" t="str">
        <f>IF(J1880&lt;&gt;1,"",IF(I1880="SBJ","CB","?"))</f>
        <v> </v>
      </c>
      <c r="I1880" s="25" t="str">
        <f>IF(OR(E1880="",E1880="!!!",F1880="NEW"),"",INDEX(B1879:B$2,-1+SUMPRODUCT(MAX(ROW(E1879:E$2)*(E1880=E1879:E$2)))))</f>
        <v> </v>
      </c>
      <c r="J1880" s="25" t="str">
        <f>IF(OR(E1880="",E1880="!!!",F1880="NEW"),"",COUNTBLANK(OFFSET(A$1,,,SUMPRODUCT(MAX(ROW(E$2:E1880)*(E1880=E$2:E1880)))))-COUNTBLANK(OFFSET(A$1,,,SUMPRODUCT(MAX(ROW(E$1:E1879)*(E2=E$1:E1879))))))</f>
        <v> </v>
      </c>
      <c r="K1880" s="25" t="str">
        <f>IF(OR(E1880="",E1880="!!!",F1880="NEW"),"",INDEX(J$1:J1879,SUMPRODUCT(MAX(ROW(E$1:E1879)*(E1880=E$1:E1879)))))</f>
        <v> </v>
      </c>
      <c r="L1880" s="26"/>
    </row>
    <row r="1881" spans="1:12">
      <c r="A1881" s="20" t="s">
        <v>592</v>
      </c>
      <c r="E1881" s="21">
        <f>IF(D1881="?OLD","!!!","")</f>
        <v/>
      </c>
      <c r="F1881" s="22" t="str">
        <f>IF(OR(E1881="",E1881="!!!"),"",IF(NOT(ISNA(VLOOKUP(E1881,E$1:E1880,1,FALSE()))),"OLD",IF(AND(E1881&lt;&gt;"",E1881&lt;&gt;"!!!"),"NEW","")))</f>
        <v> </v>
      </c>
      <c r="G1881" s="23" t="str">
        <f>IF(OR(E1881="",E1881="!!!"),"",IF(OR(J1881=0,AND(J1881=1,K1881=1),AND(J1881=1,I1881="SBJ"),AND(J1881=1,I1881=0)),"?IN_FOCUS",IF(J1881&lt;=2,"?ACTIVATED",IF(J1881&lt;&gt;"","?FAMILIAR",IF(F1881="NEW",IF(ISNA(VLOOKUP(E1881,#REF!,1,FALSE())),"?TYPE_IDENTIFIABLE","?REFERENTIAL"),"_")))))</f>
        <v> </v>
      </c>
      <c r="H1881" s="24" t="str">
        <f>IF(J1881&lt;&gt;1,"",IF(I1881="SBJ","CB","?"))</f>
        <v> </v>
      </c>
      <c r="I1881" s="25" t="str">
        <f>IF(OR(E1881="",E1881="!!!",F1881="NEW"),"",INDEX(B1880:B$2,-1+SUMPRODUCT(MAX(ROW(E1880:E$2)*(E1881=E1880:E$2)))))</f>
        <v> </v>
      </c>
      <c r="J1881" s="25" t="str">
        <f>IF(OR(E1881="",E1881="!!!",F1881="NEW"),"",COUNTBLANK(OFFSET(A$1,,,SUMPRODUCT(MAX(ROW(E$2:E1881)*(E1881=E$2:E1881)))))-COUNTBLANK(OFFSET(A$1,,,SUMPRODUCT(MAX(ROW(E$1:E1880)*(E2=E$1:E1880))))))</f>
        <v> </v>
      </c>
      <c r="K1881" s="25" t="str">
        <f>IF(OR(E1881="",E1881="!!!",F1881="NEW"),"",INDEX(J$1:J1880,SUMPRODUCT(MAX(ROW(E$1:E1880)*(E1881=E$1:E1880)))))</f>
        <v> </v>
      </c>
      <c r="L1881" s="26"/>
    </row>
    <row r="1882" spans="1:12">
      <c r="A1882" s="20" t="s">
        <v>361</v>
      </c>
      <c r="E1882" s="21">
        <f>IF(D1882="?OLD","!!!","")</f>
        <v/>
      </c>
      <c r="F1882" s="22" t="str">
        <f>IF(OR(E1882="",E1882="!!!"),"",IF(NOT(ISNA(VLOOKUP(E1882,E$1:E1881,1,FALSE()))),"OLD",IF(AND(E1882&lt;&gt;"",E1882&lt;&gt;"!!!"),"NEW","")))</f>
        <v> </v>
      </c>
      <c r="G1882" s="23" t="str">
        <f>IF(OR(E1882="",E1882="!!!"),"",IF(OR(J1882=0,AND(J1882=1,K1882=1),AND(J1882=1,I1882="SBJ"),AND(J1882=1,I1882=0)),"?IN_FOCUS",IF(J1882&lt;=2,"?ACTIVATED",IF(J1882&lt;&gt;"","?FAMILIAR",IF(F1882="NEW",IF(ISNA(VLOOKUP(E1882,#REF!,1,FALSE())),"?TYPE_IDENTIFIABLE","?REFERENTIAL"),"_")))))</f>
        <v> </v>
      </c>
      <c r="H1882" s="24" t="str">
        <f>IF(J1882&lt;&gt;1,"",IF(I1882="SBJ","CB","?"))</f>
        <v> </v>
      </c>
      <c r="I1882" s="25" t="str">
        <f>IF(OR(E1882="",E1882="!!!",F1882="NEW"),"",INDEX(B1881:B$2,-1+SUMPRODUCT(MAX(ROW(E1881:E$2)*(E1882=E1881:E$2)))))</f>
        <v> </v>
      </c>
      <c r="J1882" s="25" t="str">
        <f>IF(OR(E1882="",E1882="!!!",F1882="NEW"),"",COUNTBLANK(OFFSET(A$1,,,SUMPRODUCT(MAX(ROW(E$2:E1882)*(E1882=E$2:E1882)))))-COUNTBLANK(OFFSET(A$1,,,SUMPRODUCT(MAX(ROW(E$1:E1881)*(E2=E$1:E1881))))))</f>
        <v> </v>
      </c>
      <c r="K1882" s="25" t="str">
        <f>IF(OR(E1882="",E1882="!!!",F1882="NEW"),"",INDEX(J$1:J1881,SUMPRODUCT(MAX(ROW(E$1:E1881)*(E1882=E$1:E1881)))))</f>
        <v> </v>
      </c>
      <c r="L1882" s="26"/>
    </row>
    <row r="1883" spans="1:12">
      <c r="A1883" s="20" t="s">
        <v>528</v>
      </c>
      <c r="E1883" s="21">
        <f>IF(D1883="?OLD","!!!","")</f>
        <v/>
      </c>
      <c r="F1883" s="22" t="str">
        <f>IF(OR(E1883="",E1883="!!!"),"",IF(NOT(ISNA(VLOOKUP(E1883,E$1:E1882,1,FALSE()))),"OLD",IF(AND(E1883&lt;&gt;"",E1883&lt;&gt;"!!!"),"NEW","")))</f>
        <v> </v>
      </c>
      <c r="G1883" s="23" t="str">
        <f>IF(OR(E1883="",E1883="!!!"),"",IF(OR(J1883=0,AND(J1883=1,K1883=1),AND(J1883=1,I1883="SBJ"),AND(J1883=1,I1883=0)),"?IN_FOCUS",IF(J1883&lt;=2,"?ACTIVATED",IF(J1883&lt;&gt;"","?FAMILIAR",IF(F1883="NEW",IF(ISNA(VLOOKUP(E1883,#REF!,1,FALSE())),"?TYPE_IDENTIFIABLE","?REFERENTIAL"),"_")))))</f>
        <v> </v>
      </c>
      <c r="H1883" s="24" t="str">
        <f>IF(J1883&lt;&gt;1,"",IF(I1883="SBJ","CB","?"))</f>
        <v> </v>
      </c>
      <c r="I1883" s="25" t="str">
        <f>IF(OR(E1883="",E1883="!!!",F1883="NEW"),"",INDEX(B1882:B$2,-1+SUMPRODUCT(MAX(ROW(E1882:E$2)*(E1883=E1882:E$2)))))</f>
        <v> </v>
      </c>
      <c r="J1883" s="25" t="str">
        <f>IF(OR(E1883="",E1883="!!!",F1883="NEW"),"",COUNTBLANK(OFFSET(A$1,,,SUMPRODUCT(MAX(ROW(E$2:E1883)*(E1883=E$2:E1883)))))-COUNTBLANK(OFFSET(A$1,,,SUMPRODUCT(MAX(ROW(E$1:E1882)*(E2=E$1:E1882))))))</f>
        <v> </v>
      </c>
      <c r="K1883" s="25" t="str">
        <f>IF(OR(E1883="",E1883="!!!",F1883="NEW"),"",INDEX(J$1:J1882,SUMPRODUCT(MAX(ROW(E$1:E1882)*(E1883=E$1:E1882)))))</f>
        <v> </v>
      </c>
      <c r="L1883" s="26"/>
    </row>
    <row r="1884" spans="1:12">
      <c r="A1884" s="20" t="s">
        <v>485</v>
      </c>
      <c r="E1884" s="21">
        <f>IF(D1884="?OLD","!!!","")</f>
        <v/>
      </c>
      <c r="F1884" s="22" t="str">
        <f>IF(OR(E1884="",E1884="!!!"),"",IF(NOT(ISNA(VLOOKUP(E1884,E$1:E1883,1,FALSE()))),"OLD",IF(AND(E1884&lt;&gt;"",E1884&lt;&gt;"!!!"),"NEW","")))</f>
        <v> </v>
      </c>
      <c r="G1884" s="23" t="str">
        <f>IF(OR(E1884="",E1884="!!!"),"",IF(OR(J1884=0,AND(J1884=1,K1884=1),AND(J1884=1,I1884="SBJ"),AND(J1884=1,I1884=0)),"?IN_FOCUS",IF(J1884&lt;=2,"?ACTIVATED",IF(J1884&lt;&gt;"","?FAMILIAR",IF(F1884="NEW",IF(ISNA(VLOOKUP(E1884,#REF!,1,FALSE())),"?TYPE_IDENTIFIABLE","?REFERENTIAL"),"_")))))</f>
        <v> </v>
      </c>
      <c r="H1884" s="24" t="str">
        <f>IF(J1884&lt;&gt;1,"",IF(I1884="SBJ","CB","?"))</f>
        <v> </v>
      </c>
      <c r="I1884" s="25" t="str">
        <f>IF(OR(E1884="",E1884="!!!",F1884="NEW"),"",INDEX(B1883:B$2,-1+SUMPRODUCT(MAX(ROW(E1883:E$2)*(E1884=E1883:E$2)))))</f>
        <v> </v>
      </c>
      <c r="J1884" s="25" t="str">
        <f>IF(OR(E1884="",E1884="!!!",F1884="NEW"),"",COUNTBLANK(OFFSET(A$1,,,SUMPRODUCT(MAX(ROW(E$2:E1884)*(E1884=E$2:E1884)))))-COUNTBLANK(OFFSET(A$1,,,SUMPRODUCT(MAX(ROW(E$1:E1883)*(E2=E$1:E1883))))))</f>
        <v> </v>
      </c>
      <c r="K1884" s="25" t="str">
        <f>IF(OR(E1884="",E1884="!!!",F1884="NEW"),"",INDEX(J$1:J1883,SUMPRODUCT(MAX(ROW(E$1:E1883)*(E1884=E$1:E1883)))))</f>
        <v> </v>
      </c>
      <c r="L1884" s="26"/>
    </row>
    <row r="1885" spans="1:12">
      <c r="A1885" s="20" t="s">
        <v>1086</v>
      </c>
      <c r="B1885" s="27" t="s">
        <v>542</v>
      </c>
      <c r="C1885" s="27" t="s">
        <v>487</v>
      </c>
      <c r="D1885" s="27" t="s">
        <v>483</v>
      </c>
      <c r="E1885" s="21">
        <f>IF(D1885="?OLD","!!!","")</f>
        <v/>
      </c>
      <c r="F1885" s="22" t="str">
        <f>IF(OR(E1885="",E1885="!!!"),"",IF(NOT(ISNA(VLOOKUP(E1885,E$1:E1884,1,FALSE()))),"OLD",IF(AND(E1885&lt;&gt;"",E1885&lt;&gt;"!!!"),"NEW","")))</f>
        <v> </v>
      </c>
      <c r="G1885" s="23" t="str">
        <f>IF(OR(E1885="",E1885="!!!"),"",IF(OR(J1885=0,AND(J1885=1,K1885=1),AND(J1885=1,I1885="SBJ"),AND(J1885=1,I1885=0)),"?IN_FOCUS",IF(J1885&lt;=2,"?ACTIVATED",IF(J1885&lt;&gt;"","?FAMILIAR",IF(F1885="NEW",IF(ISNA(VLOOKUP(E1885,#REF!,1,FALSE())),"?TYPE_IDENTIFIABLE","?REFERENTIAL"),"_")))))</f>
        <v> </v>
      </c>
      <c r="H1885" s="24" t="str">
        <f>IF(J1885&lt;&gt;1,"",IF(I1885="SBJ","CB","?"))</f>
        <v> </v>
      </c>
      <c r="I1885" s="25" t="str">
        <f>IF(OR(E1885="",E1885="!!!",F1885="NEW"),"",INDEX(B1884:B$2,-1+SUMPRODUCT(MAX(ROW(E1884:E$2)*(E1885=E1884:E$2)))))</f>
        <v> </v>
      </c>
      <c r="J1885" s="25" t="str">
        <f>IF(OR(E1885="",E1885="!!!",F1885="NEW"),"",COUNTBLANK(OFFSET(A$1,,,SUMPRODUCT(MAX(ROW(E$2:E1885)*(E1885=E$2:E1885)))))-COUNTBLANK(OFFSET(A$1,,,SUMPRODUCT(MAX(ROW(E$1:E1884)*(E2=E$1:E1884))))))</f>
        <v> </v>
      </c>
      <c r="K1885" s="25" t="str">
        <f>IF(OR(E1885="",E1885="!!!",F1885="NEW"),"",INDEX(J$1:J1884,SUMPRODUCT(MAX(ROW(E$1:E1884)*(E1885=E$1:E1884)))))</f>
        <v> </v>
      </c>
      <c r="L1885" s="26"/>
    </row>
    <row r="1886" spans="1:12">
      <c r="A1886" s="20" t="s">
        <v>531</v>
      </c>
      <c r="E1886" s="21">
        <f>IF(D1886="?OLD","!!!","")</f>
        <v/>
      </c>
      <c r="F1886" s="22" t="str">
        <f>IF(OR(E1886="",E1886="!!!"),"",IF(NOT(ISNA(VLOOKUP(E1886,E$1:E1885,1,FALSE()))),"OLD",IF(AND(E1886&lt;&gt;"",E1886&lt;&gt;"!!!"),"NEW","")))</f>
        <v> </v>
      </c>
      <c r="G1886" s="23" t="str">
        <f>IF(OR(E1886="",E1886="!!!"),"",IF(OR(J1886=0,AND(J1886=1,K1886=1),AND(J1886=1,I1886="SBJ"),AND(J1886=1,I1886=0)),"?IN_FOCUS",IF(J1886&lt;=2,"?ACTIVATED",IF(J1886&lt;&gt;"","?FAMILIAR",IF(F1886="NEW",IF(ISNA(VLOOKUP(E1886,#REF!,1,FALSE())),"?TYPE_IDENTIFIABLE","?REFERENTIAL"),"_")))))</f>
        <v> </v>
      </c>
      <c r="H1886" s="24" t="str">
        <f>IF(J1886&lt;&gt;1,"",IF(I1886="SBJ","CB","?"))</f>
        <v> </v>
      </c>
      <c r="I1886" s="25" t="str">
        <f>IF(OR(E1886="",E1886="!!!",F1886="NEW"),"",INDEX(B1885:B$2,-1+SUMPRODUCT(MAX(ROW(E1885:E$2)*(E1886=E1885:E$2)))))</f>
        <v> </v>
      </c>
      <c r="J1886" s="25" t="str">
        <f>IF(OR(E1886="",E1886="!!!",F1886="NEW"),"",COUNTBLANK(OFFSET(A$1,,,SUMPRODUCT(MAX(ROW(E$2:E1886)*(E1886=E$2:E1886)))))-COUNTBLANK(OFFSET(A$1,,,SUMPRODUCT(MAX(ROW(E$1:E1885)*(E2=E$1:E1885))))))</f>
        <v> </v>
      </c>
      <c r="K1886" s="25" t="str">
        <f>IF(OR(E1886="",E1886="!!!",F1886="NEW"),"",INDEX(J$1:J1885,SUMPRODUCT(MAX(ROW(E$1:E1885)*(E1886=E$1:E1885)))))</f>
        <v> </v>
      </c>
      <c r="L1886" s="26"/>
    </row>
    <row r="1887" spans="1:12">
      <c r="A1887" s="20"/>
    </row>
    <row r="1888" spans="1:12">
      <c r="A1888" s="20" t="s">
        <v>1087</v>
      </c>
    </row>
    <row r="1889" spans="1:12">
      <c r="A1889" s="20" t="s">
        <v>617</v>
      </c>
      <c r="E1889" s="21">
        <f>IF(D1889="?OLD","!!!","")</f>
        <v/>
      </c>
      <c r="F1889" s="22" t="str">
        <f>IF(OR(E1889="",E1889="!!!"),"",IF(NOT(ISNA(VLOOKUP(E1889,E$1:E1888,1,FALSE()))),"OLD",IF(AND(E1889&lt;&gt;"",E1889&lt;&gt;"!!!"),"NEW","")))</f>
        <v> </v>
      </c>
      <c r="G1889" s="23" t="str">
        <f>IF(OR(E1889="",E1889="!!!"),"",IF(OR(J1889=0,AND(J1889=1,K1889=1),AND(J1889=1,I1889="SBJ"),AND(J1889=1,I1889=0)),"?IN_FOCUS",IF(J1889&lt;=2,"?ACTIVATED",IF(J1889&lt;&gt;"","?FAMILIAR",IF(F1889="NEW",IF(ISNA(VLOOKUP(E1889,#REF!,1,FALSE())),"?TYPE_IDENTIFIABLE","?REFERENTIAL"),"_")))))</f>
        <v> </v>
      </c>
      <c r="H1889" s="24" t="str">
        <f>IF(J1889&lt;&gt;1,"",IF(I1889="SBJ","CB","?"))</f>
        <v> </v>
      </c>
      <c r="I1889" s="25" t="str">
        <f>IF(OR(E1889="",E1889="!!!",F1889="NEW"),"",INDEX(B1888:B$2,-1+SUMPRODUCT(MAX(ROW(E1888:E$2)*(E1889=E1888:E$2)))))</f>
        <v> </v>
      </c>
      <c r="J1889" s="25" t="str">
        <f>IF(OR(E1889="",E1889="!!!",F1889="NEW"),"",COUNTBLANK(OFFSET(A$1,,,SUMPRODUCT(MAX(ROW(E$2:E1889)*(E1889=E$2:E1889)))))-COUNTBLANK(OFFSET(A$1,,,SUMPRODUCT(MAX(ROW(E$1:E1888)*(E2=E$1:E1888))))))</f>
        <v> </v>
      </c>
      <c r="K1889" s="25" t="str">
        <f>IF(OR(E1889="",E1889="!!!",F1889="NEW"),"",INDEX(J$1:J1888,SUMPRODUCT(MAX(ROW(E$1:E1888)*(E1889=E$1:E1888)))))</f>
        <v> </v>
      </c>
      <c r="L1889" s="26"/>
    </row>
    <row r="1890" spans="1:12">
      <c r="A1890" s="20" t="s">
        <v>72</v>
      </c>
      <c r="E1890" s="21">
        <f>IF(D1890="?OLD","!!!","")</f>
        <v/>
      </c>
      <c r="F1890" s="22" t="str">
        <f>IF(OR(E1890="",E1890="!!!"),"",IF(NOT(ISNA(VLOOKUP(E1890,E$1:E1889,1,FALSE()))),"OLD",IF(AND(E1890&lt;&gt;"",E1890&lt;&gt;"!!!"),"NEW","")))</f>
        <v> </v>
      </c>
      <c r="G1890" s="23" t="str">
        <f>IF(OR(E1890="",E1890="!!!"),"",IF(OR(J1890=0,AND(J1890=1,K1890=1),AND(J1890=1,I1890="SBJ"),AND(J1890=1,I1890=0)),"?IN_FOCUS",IF(J1890&lt;=2,"?ACTIVATED",IF(J1890&lt;&gt;"","?FAMILIAR",IF(F1890="NEW",IF(ISNA(VLOOKUP(E1890,#REF!,1,FALSE())),"?TYPE_IDENTIFIABLE","?REFERENTIAL"),"_")))))</f>
        <v> </v>
      </c>
      <c r="H1890" s="24" t="str">
        <f>IF(J1890&lt;&gt;1,"",IF(I1890="SBJ","CB","?"))</f>
        <v> </v>
      </c>
      <c r="I1890" s="25" t="str">
        <f>IF(OR(E1890="",E1890="!!!",F1890="NEW"),"",INDEX(B1889:B$2,-1+SUMPRODUCT(MAX(ROW(E1889:E$2)*(E1890=E1889:E$2)))))</f>
        <v> </v>
      </c>
      <c r="J1890" s="25" t="str">
        <f>IF(OR(E1890="",E1890="!!!",F1890="NEW"),"",COUNTBLANK(OFFSET(A$1,,,SUMPRODUCT(MAX(ROW(E$2:E1890)*(E1890=E$2:E1890)))))-COUNTBLANK(OFFSET(A$1,,,SUMPRODUCT(MAX(ROW(E$1:E1889)*(E2=E$1:E1889))))))</f>
        <v> </v>
      </c>
      <c r="K1890" s="25" t="str">
        <f>IF(OR(E1890="",E1890="!!!",F1890="NEW"),"",INDEX(J$1:J1889,SUMPRODUCT(MAX(ROW(E$1:E1889)*(E1890=E$1:E1889)))))</f>
        <v> </v>
      </c>
      <c r="L1890" s="26"/>
    </row>
    <row r="1891" spans="1:12">
      <c r="A1891" s="20" t="s">
        <v>585</v>
      </c>
      <c r="B1891" s="27" t="s">
        <v>542</v>
      </c>
      <c r="C1891" s="27" t="s">
        <v>482</v>
      </c>
      <c r="D1891" s="27" t="s">
        <v>483</v>
      </c>
      <c r="E1891" s="21">
        <f>IF(D1891="?OLD","!!!","")</f>
        <v/>
      </c>
      <c r="F1891" s="22" t="str">
        <f>IF(OR(E1891="",E1891="!!!"),"",IF(NOT(ISNA(VLOOKUP(E1891,E$1:E1890,1,FALSE()))),"OLD",IF(AND(E1891&lt;&gt;"",E1891&lt;&gt;"!!!"),"NEW","")))</f>
        <v> </v>
      </c>
      <c r="G1891" s="23" t="str">
        <f>IF(OR(E1891="",E1891="!!!"),"",IF(OR(J1891=0,AND(J1891=1,K1891=1),AND(J1891=1,I1891="SBJ"),AND(J1891=1,I1891=0)),"?IN_FOCUS",IF(J1891&lt;=2,"?ACTIVATED",IF(J1891&lt;&gt;"","?FAMILIAR",IF(F1891="NEW",IF(ISNA(VLOOKUP(E1891,#REF!,1,FALSE())),"?TYPE_IDENTIFIABLE","?REFERENTIAL"),"_")))))</f>
        <v> </v>
      </c>
      <c r="H1891" s="24" t="str">
        <f>IF(J1891&lt;&gt;1,"",IF(I1891="SBJ","CB","?"))</f>
        <v> </v>
      </c>
      <c r="I1891" s="25" t="str">
        <f>IF(OR(E1891="",E1891="!!!",F1891="NEW"),"",INDEX(B1890:B$2,-1+SUMPRODUCT(MAX(ROW(E1890:E$2)*(E1891=E1890:E$2)))))</f>
        <v> </v>
      </c>
      <c r="J1891" s="25" t="str">
        <f>IF(OR(E1891="",E1891="!!!",F1891="NEW"),"",COUNTBLANK(OFFSET(A$1,,,SUMPRODUCT(MAX(ROW(E$2:E1891)*(E1891=E$2:E1891)))))-COUNTBLANK(OFFSET(A$1,,,SUMPRODUCT(MAX(ROW(E$1:E1890)*(E2=E$1:E1890))))))</f>
        <v> </v>
      </c>
      <c r="K1891" s="25" t="str">
        <f>IF(OR(E1891="",E1891="!!!",F1891="NEW"),"",INDEX(J$1:J1890,SUMPRODUCT(MAX(ROW(E$1:E1890)*(E1891=E$1:E1890)))))</f>
        <v> </v>
      </c>
      <c r="L1891" s="26"/>
    </row>
    <row r="1892" spans="1:12">
      <c r="A1892" s="20" t="s">
        <v>1088</v>
      </c>
      <c r="E1892" s="21">
        <f>IF(D1892="?OLD","!!!","")</f>
        <v/>
      </c>
      <c r="F1892" s="22" t="str">
        <f>IF(OR(E1892="",E1892="!!!"),"",IF(NOT(ISNA(VLOOKUP(E1892,E$1:E1891,1,FALSE()))),"OLD",IF(AND(E1892&lt;&gt;"",E1892&lt;&gt;"!!!"),"NEW","")))</f>
        <v> </v>
      </c>
      <c r="G1892" s="23" t="str">
        <f>IF(OR(E1892="",E1892="!!!"),"",IF(OR(J1892=0,AND(J1892=1,K1892=1),AND(J1892=1,I1892="SBJ"),AND(J1892=1,I1892=0)),"?IN_FOCUS",IF(J1892&lt;=2,"?ACTIVATED",IF(J1892&lt;&gt;"","?FAMILIAR",IF(F1892="NEW",IF(ISNA(VLOOKUP(E1892,#REF!,1,FALSE())),"?TYPE_IDENTIFIABLE","?REFERENTIAL"),"_")))))</f>
        <v> </v>
      </c>
      <c r="H1892" s="24" t="str">
        <f>IF(J1892&lt;&gt;1,"",IF(I1892="SBJ","CB","?"))</f>
        <v> </v>
      </c>
      <c r="I1892" s="25" t="str">
        <f>IF(OR(E1892="",E1892="!!!",F1892="NEW"),"",INDEX(B1891:B$2,-1+SUMPRODUCT(MAX(ROW(E1891:E$2)*(E1892=E1891:E$2)))))</f>
        <v> </v>
      </c>
      <c r="J1892" s="25" t="str">
        <f>IF(OR(E1892="",E1892="!!!",F1892="NEW"),"",COUNTBLANK(OFFSET(A$1,,,SUMPRODUCT(MAX(ROW(E$2:E1892)*(E1892=E$2:E1892)))))-COUNTBLANK(OFFSET(A$1,,,SUMPRODUCT(MAX(ROW(E$1:E1891)*(E2=E$1:E1891))))))</f>
        <v> </v>
      </c>
      <c r="K1892" s="25" t="str">
        <f>IF(OR(E1892="",E1892="!!!",F1892="NEW"),"",INDEX(J$1:J1891,SUMPRODUCT(MAX(ROW(E$1:E1891)*(E1892=E$1:E1891)))))</f>
        <v> </v>
      </c>
      <c r="L1892" s="26"/>
    </row>
    <row r="1893" spans="1:12">
      <c r="A1893" s="20" t="s">
        <v>877</v>
      </c>
      <c r="B1893" s="27" t="s">
        <v>542</v>
      </c>
      <c r="C1893" s="27" t="s">
        <v>478</v>
      </c>
      <c r="E1893" s="21">
        <f>IF(D1893="?OLD","!!!","")</f>
        <v/>
      </c>
      <c r="F1893" s="22" t="str">
        <f>IF(OR(E1893="",E1893="!!!"),"",IF(NOT(ISNA(VLOOKUP(E1893,E$1:E1892,1,FALSE()))),"OLD",IF(AND(E1893&lt;&gt;"",E1893&lt;&gt;"!!!"),"NEW","")))</f>
        <v> </v>
      </c>
      <c r="G1893" s="23" t="str">
        <f>IF(OR(E1893="",E1893="!!!"),"",IF(OR(J1893=0,AND(J1893=1,K1893=1),AND(J1893=1,I1893="SBJ"),AND(J1893=1,I1893=0)),"?IN_FOCUS",IF(J1893&lt;=2,"?ACTIVATED",IF(J1893&lt;&gt;"","?FAMILIAR",IF(F1893="NEW",IF(ISNA(VLOOKUP(E1893,#REF!,1,FALSE())),"?TYPE_IDENTIFIABLE","?REFERENTIAL"),"_")))))</f>
        <v> </v>
      </c>
      <c r="H1893" s="24" t="str">
        <f>IF(J1893&lt;&gt;1,"",IF(I1893="SBJ","CB","?"))</f>
        <v> </v>
      </c>
      <c r="I1893" s="25" t="str">
        <f>IF(OR(E1893="",E1893="!!!",F1893="NEW"),"",INDEX(B1892:B$2,-1+SUMPRODUCT(MAX(ROW(E1892:E$2)*(E1893=E1892:E$2)))))</f>
        <v> </v>
      </c>
      <c r="J1893" s="25" t="str">
        <f>IF(OR(E1893="",E1893="!!!",F1893="NEW"),"",COUNTBLANK(OFFSET(A$1,,,SUMPRODUCT(MAX(ROW(E$2:E1893)*(E1893=E$2:E1893)))))-COUNTBLANK(OFFSET(A$1,,,SUMPRODUCT(MAX(ROW(E$1:E1892)*(E2=E$1:E1892))))))</f>
        <v> </v>
      </c>
      <c r="K1893" s="25" t="str">
        <f>IF(OR(E1893="",E1893="!!!",F1893="NEW"),"",INDEX(J$1:J1892,SUMPRODUCT(MAX(ROW(E$1:E1892)*(E1893=E$1:E1892)))))</f>
        <v> </v>
      </c>
      <c r="L1893" s="26"/>
    </row>
    <row r="1894" spans="1:12">
      <c r="A1894" s="20" t="s">
        <v>507</v>
      </c>
      <c r="E1894" s="21">
        <f>IF(D1894="?OLD","!!!","")</f>
        <v/>
      </c>
      <c r="F1894" s="22" t="str">
        <f>IF(OR(E1894="",E1894="!!!"),"",IF(NOT(ISNA(VLOOKUP(E1894,E$1:E1893,1,FALSE()))),"OLD",IF(AND(E1894&lt;&gt;"",E1894&lt;&gt;"!!!"),"NEW","")))</f>
        <v> </v>
      </c>
      <c r="G1894" s="23" t="str">
        <f>IF(OR(E1894="",E1894="!!!"),"",IF(OR(J1894=0,AND(J1894=1,K1894=1),AND(J1894=1,I1894="SBJ"),AND(J1894=1,I1894=0)),"?IN_FOCUS",IF(J1894&lt;=2,"?ACTIVATED",IF(J1894&lt;&gt;"","?FAMILIAR",IF(F1894="NEW",IF(ISNA(VLOOKUP(E1894,#REF!,1,FALSE())),"?TYPE_IDENTIFIABLE","?REFERENTIAL"),"_")))))</f>
        <v> </v>
      </c>
      <c r="H1894" s="24" t="str">
        <f>IF(J1894&lt;&gt;1,"",IF(I1894="SBJ","CB","?"))</f>
        <v> </v>
      </c>
      <c r="I1894" s="25" t="str">
        <f>IF(OR(E1894="",E1894="!!!",F1894="NEW"),"",INDEX(B1893:B$2,-1+SUMPRODUCT(MAX(ROW(E1893:E$2)*(E1894=E1893:E$2)))))</f>
        <v> </v>
      </c>
      <c r="J1894" s="25" t="str">
        <f>IF(OR(E1894="",E1894="!!!",F1894="NEW"),"",COUNTBLANK(OFFSET(A$1,,,SUMPRODUCT(MAX(ROW(E$2:E1894)*(E1894=E$2:E1894)))))-COUNTBLANK(OFFSET(A$1,,,SUMPRODUCT(MAX(ROW(E$1:E1893)*(E2=E$1:E1893))))))</f>
        <v> </v>
      </c>
      <c r="K1894" s="25" t="str">
        <f>IF(OR(E1894="",E1894="!!!",F1894="NEW"),"",INDEX(J$1:J1893,SUMPRODUCT(MAX(ROW(E$1:E1893)*(E1894=E$1:E1893)))))</f>
        <v> </v>
      </c>
      <c r="L1894" s="26"/>
    </row>
    <row r="1895" spans="1:12">
      <c r="A1895" s="20" t="s">
        <v>508</v>
      </c>
      <c r="E1895" s="21">
        <f>IF(D1895="?OLD","!!!","")</f>
        <v/>
      </c>
      <c r="F1895" s="22" t="str">
        <f>IF(OR(E1895="",E1895="!!!"),"",IF(NOT(ISNA(VLOOKUP(E1895,E$1:E1894,1,FALSE()))),"OLD",IF(AND(E1895&lt;&gt;"",E1895&lt;&gt;"!!!"),"NEW","")))</f>
        <v> </v>
      </c>
      <c r="G1895" s="23" t="str">
        <f>IF(OR(E1895="",E1895="!!!"),"",IF(OR(J1895=0,AND(J1895=1,K1895=1),AND(J1895=1,I1895="SBJ"),AND(J1895=1,I1895=0)),"?IN_FOCUS",IF(J1895&lt;=2,"?ACTIVATED",IF(J1895&lt;&gt;"","?FAMILIAR",IF(F1895="NEW",IF(ISNA(VLOOKUP(E1895,#REF!,1,FALSE())),"?TYPE_IDENTIFIABLE","?REFERENTIAL"),"_")))))</f>
        <v> </v>
      </c>
      <c r="H1895" s="24" t="str">
        <f>IF(J1895&lt;&gt;1,"",IF(I1895="SBJ","CB","?"))</f>
        <v> </v>
      </c>
      <c r="I1895" s="25" t="str">
        <f>IF(OR(E1895="",E1895="!!!",F1895="NEW"),"",INDEX(B1894:B$2,-1+SUMPRODUCT(MAX(ROW(E1894:E$2)*(E1895=E1894:E$2)))))</f>
        <v> </v>
      </c>
      <c r="J1895" s="25" t="str">
        <f>IF(OR(E1895="",E1895="!!!",F1895="NEW"),"",COUNTBLANK(OFFSET(A$1,,,SUMPRODUCT(MAX(ROW(E$2:E1895)*(E1895=E$2:E1895)))))-COUNTBLANK(OFFSET(A$1,,,SUMPRODUCT(MAX(ROW(E$1:E1894)*(E2=E$1:E1894))))))</f>
        <v> </v>
      </c>
      <c r="K1895" s="25" t="str">
        <f>IF(OR(E1895="",E1895="!!!",F1895="NEW"),"",INDEX(J$1:J1894,SUMPRODUCT(MAX(ROW(E$1:E1894)*(E1895=E$1:E1894)))))</f>
        <v> </v>
      </c>
      <c r="L1895" s="26"/>
    </row>
    <row r="1896" spans="1:12">
      <c r="A1896" s="20" t="s">
        <v>985</v>
      </c>
      <c r="E1896" s="21">
        <f>IF(D1896="?OLD","!!!","")</f>
        <v/>
      </c>
      <c r="F1896" s="22" t="str">
        <f>IF(OR(E1896="",E1896="!!!"),"",IF(NOT(ISNA(VLOOKUP(E1896,E$1:E1895,1,FALSE()))),"OLD",IF(AND(E1896&lt;&gt;"",E1896&lt;&gt;"!!!"),"NEW","")))</f>
        <v> </v>
      </c>
      <c r="G1896" s="23" t="str">
        <f>IF(OR(E1896="",E1896="!!!"),"",IF(OR(J1896=0,AND(J1896=1,K1896=1),AND(J1896=1,I1896="SBJ"),AND(J1896=1,I1896=0)),"?IN_FOCUS",IF(J1896&lt;=2,"?ACTIVATED",IF(J1896&lt;&gt;"","?FAMILIAR",IF(F1896="NEW",IF(ISNA(VLOOKUP(E1896,#REF!,1,FALSE())),"?TYPE_IDENTIFIABLE","?REFERENTIAL"),"_")))))</f>
        <v> </v>
      </c>
      <c r="H1896" s="24" t="str">
        <f>IF(J1896&lt;&gt;1,"",IF(I1896="SBJ","CB","?"))</f>
        <v> </v>
      </c>
      <c r="I1896" s="25" t="str">
        <f>IF(OR(E1896="",E1896="!!!",F1896="NEW"),"",INDEX(B1895:B$2,-1+SUMPRODUCT(MAX(ROW(E1895:E$2)*(E1896=E1895:E$2)))))</f>
        <v> </v>
      </c>
      <c r="J1896" s="25" t="str">
        <f>IF(OR(E1896="",E1896="!!!",F1896="NEW"),"",COUNTBLANK(OFFSET(A$1,,,SUMPRODUCT(MAX(ROW(E$2:E1896)*(E1896=E$2:E1896)))))-COUNTBLANK(OFFSET(A$1,,,SUMPRODUCT(MAX(ROW(E$1:E1895)*(E2=E$1:E1895))))))</f>
        <v> </v>
      </c>
      <c r="K1896" s="25" t="str">
        <f>IF(OR(E1896="",E1896="!!!",F1896="NEW"),"",INDEX(J$1:J1895,SUMPRODUCT(MAX(ROW(E$1:E1895)*(E1896=E$1:E1895)))))</f>
        <v> </v>
      </c>
      <c r="L1896" s="26"/>
    </row>
    <row r="1897" spans="1:12">
      <c r="A1897" s="20" t="s">
        <v>1089</v>
      </c>
      <c r="B1897" s="27" t="s">
        <v>490</v>
      </c>
      <c r="C1897" s="27" t="s">
        <v>487</v>
      </c>
      <c r="D1897" s="27" t="s">
        <v>483</v>
      </c>
      <c r="E1897" s="21">
        <f>IF(D1897="?OLD","!!!","")</f>
        <v/>
      </c>
      <c r="F1897" s="22" t="str">
        <f>IF(OR(E1897="",E1897="!!!"),"",IF(NOT(ISNA(VLOOKUP(E1897,E$1:E1896,1,FALSE()))),"OLD",IF(AND(E1897&lt;&gt;"",E1897&lt;&gt;"!!!"),"NEW","")))</f>
        <v> </v>
      </c>
      <c r="G1897" s="23" t="str">
        <f>IF(OR(E1897="",E1897="!!!"),"",IF(OR(J1897=0,AND(J1897=1,K1897=1),AND(J1897=1,I1897="SBJ"),AND(J1897=1,I1897=0)),"?IN_FOCUS",IF(J1897&lt;=2,"?ACTIVATED",IF(J1897&lt;&gt;"","?FAMILIAR",IF(F1897="NEW",IF(ISNA(VLOOKUP(E1897,#REF!,1,FALSE())),"?TYPE_IDENTIFIABLE","?REFERENTIAL"),"_")))))</f>
        <v> </v>
      </c>
      <c r="H1897" s="24" t="str">
        <f>IF(J1897&lt;&gt;1,"",IF(I1897="SBJ","CB","?"))</f>
        <v> </v>
      </c>
      <c r="I1897" s="25" t="str">
        <f>IF(OR(E1897="",E1897="!!!",F1897="NEW"),"",INDEX(B1896:B$2,-1+SUMPRODUCT(MAX(ROW(E1896:E$2)*(E1897=E1896:E$2)))))</f>
        <v> </v>
      </c>
      <c r="J1897" s="25" t="str">
        <f>IF(OR(E1897="",E1897="!!!",F1897="NEW"),"",COUNTBLANK(OFFSET(A$1,,,SUMPRODUCT(MAX(ROW(E$2:E1897)*(E1897=E$2:E1897)))))-COUNTBLANK(OFFSET(A$1,,,SUMPRODUCT(MAX(ROW(E$1:E1896)*(E2=E$1:E1896))))))</f>
        <v> </v>
      </c>
      <c r="K1897" s="25" t="str">
        <f>IF(OR(E1897="",E1897="!!!",F1897="NEW"),"",INDEX(J$1:J1896,SUMPRODUCT(MAX(ROW(E$1:E1896)*(E1897=E$1:E1896)))))</f>
        <v> </v>
      </c>
      <c r="L1897" s="26"/>
    </row>
    <row r="1898" spans="1:12">
      <c r="A1898" s="20" t="s">
        <v>531</v>
      </c>
      <c r="E1898" s="21">
        <f>IF(D1898="?OLD","!!!","")</f>
        <v/>
      </c>
      <c r="F1898" s="22" t="str">
        <f>IF(OR(E1898="",E1898="!!!"),"",IF(NOT(ISNA(VLOOKUP(E1898,E$1:E1897,1,FALSE()))),"OLD",IF(AND(E1898&lt;&gt;"",E1898&lt;&gt;"!!!"),"NEW","")))</f>
        <v> </v>
      </c>
      <c r="G1898" s="23" t="str">
        <f>IF(OR(E1898="",E1898="!!!"),"",IF(OR(J1898=0,AND(J1898=1,K1898=1),AND(J1898=1,I1898="SBJ"),AND(J1898=1,I1898=0)),"?IN_FOCUS",IF(J1898&lt;=2,"?ACTIVATED",IF(J1898&lt;&gt;"","?FAMILIAR",IF(F1898="NEW",IF(ISNA(VLOOKUP(E1898,#REF!,1,FALSE())),"?TYPE_IDENTIFIABLE","?REFERENTIAL"),"_")))))</f>
        <v> </v>
      </c>
      <c r="H1898" s="24" t="str">
        <f>IF(J1898&lt;&gt;1,"",IF(I1898="SBJ","CB","?"))</f>
        <v> </v>
      </c>
      <c r="I1898" s="25" t="str">
        <f>IF(OR(E1898="",E1898="!!!",F1898="NEW"),"",INDEX(B1897:B$2,-1+SUMPRODUCT(MAX(ROW(E1897:E$2)*(E1898=E1897:E$2)))))</f>
        <v> </v>
      </c>
      <c r="J1898" s="25" t="str">
        <f>IF(OR(E1898="",E1898="!!!",F1898="NEW"),"",COUNTBLANK(OFFSET(A$1,,,SUMPRODUCT(MAX(ROW(E$2:E1898)*(E1898=E$2:E1898)))))-COUNTBLANK(OFFSET(A$1,,,SUMPRODUCT(MAX(ROW(E$1:E1897)*(E2=E$1:E1897))))))</f>
        <v> </v>
      </c>
      <c r="K1898" s="25" t="str">
        <f>IF(OR(E1898="",E1898="!!!",F1898="NEW"),"",INDEX(J$1:J1897,SUMPRODUCT(MAX(ROW(E$1:E1897)*(E1898=E$1:E1897)))))</f>
        <v> </v>
      </c>
      <c r="L1898" s="26"/>
    </row>
    <row r="1899" spans="1:12">
      <c r="A1899" s="20"/>
    </row>
    <row r="1900" spans="1:12">
      <c r="A1900" s="20" t="s">
        <v>1090</v>
      </c>
    </row>
    <row r="1901" spans="1:12">
      <c r="A1901" s="20" t="s">
        <v>1091</v>
      </c>
      <c r="E1901" s="21">
        <f>IF(D1901="?OLD","!!!","")</f>
        <v/>
      </c>
      <c r="F1901" s="22" t="str">
        <f>IF(OR(E1901="",E1901="!!!"),"",IF(NOT(ISNA(VLOOKUP(E1901,E$1:E1900,1,FALSE()))),"OLD",IF(AND(E1901&lt;&gt;"",E1901&lt;&gt;"!!!"),"NEW","")))</f>
        <v> </v>
      </c>
      <c r="G1901" s="23" t="str">
        <f>IF(OR(E1901="",E1901="!!!"),"",IF(OR(J1901=0,AND(J1901=1,K1901=1),AND(J1901=1,I1901="SBJ"),AND(J1901=1,I1901=0)),"?IN_FOCUS",IF(J1901&lt;=2,"?ACTIVATED",IF(J1901&lt;&gt;"","?FAMILIAR",IF(F1901="NEW",IF(ISNA(VLOOKUP(E1901,#REF!,1,FALSE())),"?TYPE_IDENTIFIABLE","?REFERENTIAL"),"_")))))</f>
        <v> </v>
      </c>
      <c r="H1901" s="24" t="str">
        <f>IF(J1901&lt;&gt;1,"",IF(I1901="SBJ","CB","?"))</f>
        <v> </v>
      </c>
      <c r="I1901" s="25" t="str">
        <f>IF(OR(E1901="",E1901="!!!",F1901="NEW"),"",INDEX(B1900:B$2,-1+SUMPRODUCT(MAX(ROW(E1900:E$2)*(E1901=E1900:E$2)))))</f>
        <v> </v>
      </c>
      <c r="J1901" s="25" t="str">
        <f>IF(OR(E1901="",E1901="!!!",F1901="NEW"),"",COUNTBLANK(OFFSET(A$1,,,SUMPRODUCT(MAX(ROW(E$2:E1901)*(E1901=E$2:E1901)))))-COUNTBLANK(OFFSET(A$1,,,SUMPRODUCT(MAX(ROW(E$1:E1900)*(E2=E$1:E1900))))))</f>
        <v> </v>
      </c>
      <c r="K1901" s="25" t="str">
        <f>IF(OR(E1901="",E1901="!!!",F1901="NEW"),"",INDEX(J$1:J1900,SUMPRODUCT(MAX(ROW(E$1:E1900)*(E1901=E$1:E1900)))))</f>
        <v> </v>
      </c>
      <c r="L1901" s="26"/>
    </row>
    <row r="1902" spans="1:12">
      <c r="A1902" s="20" t="s">
        <v>492</v>
      </c>
      <c r="E1902" s="21">
        <f>IF(D1902="?OLD","!!!","")</f>
        <v/>
      </c>
      <c r="F1902" s="22" t="str">
        <f>IF(OR(E1902="",E1902="!!!"),"",IF(NOT(ISNA(VLOOKUP(E1902,E$1:E1901,1,FALSE()))),"OLD",IF(AND(E1902&lt;&gt;"",E1902&lt;&gt;"!!!"),"NEW","")))</f>
        <v> </v>
      </c>
      <c r="G1902" s="23" t="str">
        <f>IF(OR(E1902="",E1902="!!!"),"",IF(OR(J1902=0,AND(J1902=1,K1902=1),AND(J1902=1,I1902="SBJ"),AND(J1902=1,I1902=0)),"?IN_FOCUS",IF(J1902&lt;=2,"?ACTIVATED",IF(J1902&lt;&gt;"","?FAMILIAR",IF(F1902="NEW",IF(ISNA(VLOOKUP(E1902,#REF!,1,FALSE())),"?TYPE_IDENTIFIABLE","?REFERENTIAL"),"_")))))</f>
        <v> </v>
      </c>
      <c r="H1902" s="24" t="str">
        <f>IF(J1902&lt;&gt;1,"",IF(I1902="SBJ","CB","?"))</f>
        <v> </v>
      </c>
      <c r="I1902" s="25" t="str">
        <f>IF(OR(E1902="",E1902="!!!",F1902="NEW"),"",INDEX(B1901:B$2,-1+SUMPRODUCT(MAX(ROW(E1901:E$2)*(E1902=E1901:E$2)))))</f>
        <v> </v>
      </c>
      <c r="J1902" s="25" t="str">
        <f>IF(OR(E1902="",E1902="!!!",F1902="NEW"),"",COUNTBLANK(OFFSET(A$1,,,SUMPRODUCT(MAX(ROW(E$2:E1902)*(E1902=E$2:E1902)))))-COUNTBLANK(OFFSET(A$1,,,SUMPRODUCT(MAX(ROW(E$1:E1901)*(E2=E$1:E1901))))))</f>
        <v> </v>
      </c>
      <c r="K1902" s="25" t="str">
        <f>IF(OR(E1902="",E1902="!!!",F1902="NEW"),"",INDEX(J$1:J1901,SUMPRODUCT(MAX(ROW(E$1:E1901)*(E1902=E$1:E1901)))))</f>
        <v> </v>
      </c>
      <c r="L1902" s="26"/>
    </row>
    <row r="1903" spans="1:12">
      <c r="A1903" s="20" t="s">
        <v>1092</v>
      </c>
      <c r="E1903" s="21">
        <f>IF(D1903="?OLD","!!!","")</f>
        <v/>
      </c>
      <c r="F1903" s="22" t="str">
        <f>IF(OR(E1903="",E1903="!!!"),"",IF(NOT(ISNA(VLOOKUP(E1903,E$1:E1902,1,FALSE()))),"OLD",IF(AND(E1903&lt;&gt;"",E1903&lt;&gt;"!!!"),"NEW","")))</f>
        <v> </v>
      </c>
      <c r="G1903" s="23" t="str">
        <f>IF(OR(E1903="",E1903="!!!"),"",IF(OR(J1903=0,AND(J1903=1,K1903=1),AND(J1903=1,I1903="SBJ"),AND(J1903=1,I1903=0)),"?IN_FOCUS",IF(J1903&lt;=2,"?ACTIVATED",IF(J1903&lt;&gt;"","?FAMILIAR",IF(F1903="NEW",IF(ISNA(VLOOKUP(E1903,#REF!,1,FALSE())),"?TYPE_IDENTIFIABLE","?REFERENTIAL"),"_")))))</f>
        <v> </v>
      </c>
      <c r="H1903" s="24" t="str">
        <f>IF(J1903&lt;&gt;1,"",IF(I1903="SBJ","CB","?"))</f>
        <v> </v>
      </c>
      <c r="I1903" s="25" t="str">
        <f>IF(OR(E1903="",E1903="!!!",F1903="NEW"),"",INDEX(B1902:B$2,-1+SUMPRODUCT(MAX(ROW(E1902:E$2)*(E1903=E1902:E$2)))))</f>
        <v> </v>
      </c>
      <c r="J1903" s="25" t="str">
        <f>IF(OR(E1903="",E1903="!!!",F1903="NEW"),"",COUNTBLANK(OFFSET(A$1,,,SUMPRODUCT(MAX(ROW(E$2:E1903)*(E1903=E$2:E1903)))))-COUNTBLANK(OFFSET(A$1,,,SUMPRODUCT(MAX(ROW(E$1:E1902)*(E2=E$1:E1902))))))</f>
        <v> </v>
      </c>
      <c r="K1903" s="25" t="str">
        <f>IF(OR(E1903="",E1903="!!!",F1903="NEW"),"",INDEX(J$1:J1902,SUMPRODUCT(MAX(ROW(E$1:E1902)*(E1903=E$1:E1902)))))</f>
        <v> </v>
      </c>
      <c r="L1903" s="26"/>
    </row>
    <row r="1904" spans="1:12">
      <c r="A1904" s="20" t="s">
        <v>1093</v>
      </c>
      <c r="E1904" s="21">
        <f>IF(D1904="?OLD","!!!","")</f>
        <v/>
      </c>
      <c r="F1904" s="22" t="str">
        <f>IF(OR(E1904="",E1904="!!!"),"",IF(NOT(ISNA(VLOOKUP(E1904,E$1:E1903,1,FALSE()))),"OLD",IF(AND(E1904&lt;&gt;"",E1904&lt;&gt;"!!!"),"NEW","")))</f>
        <v> </v>
      </c>
      <c r="G1904" s="23" t="str">
        <f>IF(OR(E1904="",E1904="!!!"),"",IF(OR(J1904=0,AND(J1904=1,K1904=1),AND(J1904=1,I1904="SBJ"),AND(J1904=1,I1904=0)),"?IN_FOCUS",IF(J1904&lt;=2,"?ACTIVATED",IF(J1904&lt;&gt;"","?FAMILIAR",IF(F1904="NEW",IF(ISNA(VLOOKUP(E1904,#REF!,1,FALSE())),"?TYPE_IDENTIFIABLE","?REFERENTIAL"),"_")))))</f>
        <v> </v>
      </c>
      <c r="H1904" s="24" t="str">
        <f>IF(J1904&lt;&gt;1,"",IF(I1904="SBJ","CB","?"))</f>
        <v> </v>
      </c>
      <c r="I1904" s="25" t="str">
        <f>IF(OR(E1904="",E1904="!!!",F1904="NEW"),"",INDEX(B1903:B$2,-1+SUMPRODUCT(MAX(ROW(E1903:E$2)*(E1904=E1903:E$2)))))</f>
        <v> </v>
      </c>
      <c r="J1904" s="25" t="str">
        <f>IF(OR(E1904="",E1904="!!!",F1904="NEW"),"",COUNTBLANK(OFFSET(A$1,,,SUMPRODUCT(MAX(ROW(E$2:E1904)*(E1904=E$2:E1904)))))-COUNTBLANK(OFFSET(A$1,,,SUMPRODUCT(MAX(ROW(E$1:E1903)*(E2=E$1:E1903))))))</f>
        <v> </v>
      </c>
      <c r="K1904" s="25" t="str">
        <f>IF(OR(E1904="",E1904="!!!",F1904="NEW"),"",INDEX(J$1:J1903,SUMPRODUCT(MAX(ROW(E$1:E1903)*(E1904=E$1:E1903)))))</f>
        <v> </v>
      </c>
      <c r="L1904" s="26"/>
    </row>
    <row r="1905" spans="1:12">
      <c r="A1905" s="20" t="s">
        <v>492</v>
      </c>
      <c r="E1905" s="21">
        <f>IF(D1905="?OLD","!!!","")</f>
        <v/>
      </c>
      <c r="F1905" s="22" t="str">
        <f>IF(OR(E1905="",E1905="!!!"),"",IF(NOT(ISNA(VLOOKUP(E1905,E$1:E1904,1,FALSE()))),"OLD",IF(AND(E1905&lt;&gt;"",E1905&lt;&gt;"!!!"),"NEW","")))</f>
        <v> </v>
      </c>
      <c r="G1905" s="23" t="str">
        <f>IF(OR(E1905="",E1905="!!!"),"",IF(OR(J1905=0,AND(J1905=1,K1905=1),AND(J1905=1,I1905="SBJ"),AND(J1905=1,I1905=0)),"?IN_FOCUS",IF(J1905&lt;=2,"?ACTIVATED",IF(J1905&lt;&gt;"","?FAMILIAR",IF(F1905="NEW",IF(ISNA(VLOOKUP(E1905,#REF!,1,FALSE())),"?TYPE_IDENTIFIABLE","?REFERENTIAL"),"_")))))</f>
        <v> </v>
      </c>
      <c r="H1905" s="24" t="str">
        <f>IF(J1905&lt;&gt;1,"",IF(I1905="SBJ","CB","?"))</f>
        <v> </v>
      </c>
      <c r="I1905" s="25" t="str">
        <f>IF(OR(E1905="",E1905="!!!",F1905="NEW"),"",INDEX(B1904:B$2,-1+SUMPRODUCT(MAX(ROW(E1904:E$2)*(E1905=E1904:E$2)))))</f>
        <v> </v>
      </c>
      <c r="J1905" s="25" t="str">
        <f>IF(OR(E1905="",E1905="!!!",F1905="NEW"),"",COUNTBLANK(OFFSET(A$1,,,SUMPRODUCT(MAX(ROW(E$2:E1905)*(E1905=E$2:E1905)))))-COUNTBLANK(OFFSET(A$1,,,SUMPRODUCT(MAX(ROW(E$1:E1904)*(E2=E$1:E1904))))))</f>
        <v> </v>
      </c>
      <c r="K1905" s="25" t="str">
        <f>IF(OR(E1905="",E1905="!!!",F1905="NEW"),"",INDEX(J$1:J1904,SUMPRODUCT(MAX(ROW(E$1:E1904)*(E1905=E$1:E1904)))))</f>
        <v> </v>
      </c>
      <c r="L1905" s="26"/>
    </row>
    <row r="1906" spans="1:12">
      <c r="A1906" s="20" t="s">
        <v>569</v>
      </c>
      <c r="B1906" s="27" t="s">
        <v>553</v>
      </c>
      <c r="C1906" s="27" t="s">
        <v>491</v>
      </c>
      <c r="D1906" s="27" t="s">
        <v>483</v>
      </c>
      <c r="E1906" s="21">
        <f>IF(D1906="?OLD","!!!","")</f>
        <v/>
      </c>
      <c r="F1906" s="22" t="str">
        <f>IF(OR(E1906="",E1906="!!!"),"",IF(NOT(ISNA(VLOOKUP(E1906,E$1:E1905,1,FALSE()))),"OLD",IF(AND(E1906&lt;&gt;"",E1906&lt;&gt;"!!!"),"NEW","")))</f>
        <v> </v>
      </c>
      <c r="G1906" s="23" t="str">
        <f>IF(OR(E1906="",E1906="!!!"),"",IF(OR(J1906=0,AND(J1906=1,K1906=1),AND(J1906=1,I1906="SBJ"),AND(J1906=1,I1906=0)),"?IN_FOCUS",IF(J1906&lt;=2,"?ACTIVATED",IF(J1906&lt;&gt;"","?FAMILIAR",IF(F1906="NEW",IF(ISNA(VLOOKUP(E1906,#REF!,1,FALSE())),"?TYPE_IDENTIFIABLE","?REFERENTIAL"),"_")))))</f>
        <v> </v>
      </c>
      <c r="H1906" s="24" t="str">
        <f>IF(J1906&lt;&gt;1,"",IF(I1906="SBJ","CB","?"))</f>
        <v> </v>
      </c>
      <c r="I1906" s="25" t="str">
        <f>IF(OR(E1906="",E1906="!!!",F1906="NEW"),"",INDEX(B1905:B$2,-1+SUMPRODUCT(MAX(ROW(E1905:E$2)*(E1906=E1905:E$2)))))</f>
        <v> </v>
      </c>
      <c r="J1906" s="25" t="str">
        <f>IF(OR(E1906="",E1906="!!!",F1906="NEW"),"",COUNTBLANK(OFFSET(A$1,,,SUMPRODUCT(MAX(ROW(E$2:E1906)*(E1906=E$2:E1906)))))-COUNTBLANK(OFFSET(A$1,,,SUMPRODUCT(MAX(ROW(E$1:E1905)*(E2=E$1:E1905))))))</f>
        <v> </v>
      </c>
      <c r="K1906" s="25" t="str">
        <f>IF(OR(E1906="",E1906="!!!",F1906="NEW"),"",INDEX(J$1:J1905,SUMPRODUCT(MAX(ROW(E$1:E1905)*(E1906=E$1:E1905)))))</f>
        <v> </v>
      </c>
      <c r="L1906" s="26"/>
    </row>
    <row r="1907" spans="1:12">
      <c r="A1907" s="20" t="s">
        <v>1094</v>
      </c>
      <c r="E1907" s="21">
        <f>IF(D1907="?OLD","!!!","")</f>
        <v/>
      </c>
      <c r="F1907" s="22" t="str">
        <f>IF(OR(E1907="",E1907="!!!"),"",IF(NOT(ISNA(VLOOKUP(E1907,E$1:E1906,1,FALSE()))),"OLD",IF(AND(E1907&lt;&gt;"",E1907&lt;&gt;"!!!"),"NEW","")))</f>
        <v> </v>
      </c>
      <c r="G1907" s="23" t="str">
        <f>IF(OR(E1907="",E1907="!!!"),"",IF(OR(J1907=0,AND(J1907=1,K1907=1),AND(J1907=1,I1907="SBJ"),AND(J1907=1,I1907=0)),"?IN_FOCUS",IF(J1907&lt;=2,"?ACTIVATED",IF(J1907&lt;&gt;"","?FAMILIAR",IF(F1907="NEW",IF(ISNA(VLOOKUP(E1907,#REF!,1,FALSE())),"?TYPE_IDENTIFIABLE","?REFERENTIAL"),"_")))))</f>
        <v> </v>
      </c>
      <c r="H1907" s="24" t="str">
        <f>IF(J1907&lt;&gt;1,"",IF(I1907="SBJ","CB","?"))</f>
        <v> </v>
      </c>
      <c r="I1907" s="25" t="str">
        <f>IF(OR(E1907="",E1907="!!!",F1907="NEW"),"",INDEX(B1906:B$2,-1+SUMPRODUCT(MAX(ROW(E1906:E$2)*(E1907=E1906:E$2)))))</f>
        <v> </v>
      </c>
      <c r="J1907" s="25" t="str">
        <f>IF(OR(E1907="",E1907="!!!",F1907="NEW"),"",COUNTBLANK(OFFSET(A$1,,,SUMPRODUCT(MAX(ROW(E$2:E1907)*(E1907=E$2:E1907)))))-COUNTBLANK(OFFSET(A$1,,,SUMPRODUCT(MAX(ROW(E$1:E1906)*(E2=E$1:E1906))))))</f>
        <v> </v>
      </c>
      <c r="K1907" s="25" t="str">
        <f>IF(OR(E1907="",E1907="!!!",F1907="NEW"),"",INDEX(J$1:J1906,SUMPRODUCT(MAX(ROW(E$1:E1906)*(E1907=E$1:E1906)))))</f>
        <v> </v>
      </c>
      <c r="L1907" s="26"/>
    </row>
    <row r="1908" spans="1:12">
      <c r="A1908" s="20" t="s">
        <v>531</v>
      </c>
      <c r="E1908" s="21">
        <f>IF(D1908="?OLD","!!!","")</f>
        <v/>
      </c>
      <c r="F1908" s="22" t="str">
        <f>IF(OR(E1908="",E1908="!!!"),"",IF(NOT(ISNA(VLOOKUP(E1908,E$1:E1907,1,FALSE()))),"OLD",IF(AND(E1908&lt;&gt;"",E1908&lt;&gt;"!!!"),"NEW","")))</f>
        <v> </v>
      </c>
      <c r="G1908" s="23" t="str">
        <f>IF(OR(E1908="",E1908="!!!"),"",IF(OR(J1908=0,AND(J1908=1,K1908=1),AND(J1908=1,I1908="SBJ"),AND(J1908=1,I1908=0)),"?IN_FOCUS",IF(J1908&lt;=2,"?ACTIVATED",IF(J1908&lt;&gt;"","?FAMILIAR",IF(F1908="NEW",IF(ISNA(VLOOKUP(E1908,#REF!,1,FALSE())),"?TYPE_IDENTIFIABLE","?REFERENTIAL"),"_")))))</f>
        <v> </v>
      </c>
      <c r="H1908" s="24" t="str">
        <f>IF(J1908&lt;&gt;1,"",IF(I1908="SBJ","CB","?"))</f>
        <v> </v>
      </c>
      <c r="I1908" s="25" t="str">
        <f>IF(OR(E1908="",E1908="!!!",F1908="NEW"),"",INDEX(B1907:B$2,-1+SUMPRODUCT(MAX(ROW(E1907:E$2)*(E1908=E1907:E$2)))))</f>
        <v> </v>
      </c>
      <c r="J1908" s="25" t="str">
        <f>IF(OR(E1908="",E1908="!!!",F1908="NEW"),"",COUNTBLANK(OFFSET(A$1,,,SUMPRODUCT(MAX(ROW(E$2:E1908)*(E1908=E$2:E1908)))))-COUNTBLANK(OFFSET(A$1,,,SUMPRODUCT(MAX(ROW(E$1:E1907)*(E2=E$1:E1907))))))</f>
        <v> </v>
      </c>
      <c r="K1908" s="25" t="str">
        <f>IF(OR(E1908="",E1908="!!!",F1908="NEW"),"",INDEX(J$1:J1907,SUMPRODUCT(MAX(ROW(E$1:E1907)*(E1908=E$1:E1907)))))</f>
        <v> </v>
      </c>
      <c r="L1908" s="26"/>
    </row>
    <row r="1909" spans="1:12">
      <c r="A1909" s="20"/>
    </row>
    <row r="1910" spans="1:12">
      <c r="A1910" s="20" t="s">
        <v>1095</v>
      </c>
    </row>
    <row r="1911" spans="1:12">
      <c r="A1911" s="20" t="s">
        <v>1096</v>
      </c>
      <c r="E1911" s="21">
        <f>IF(D1911="?OLD","!!!","")</f>
        <v/>
      </c>
      <c r="F1911" s="22" t="str">
        <f>IF(OR(E1911="",E1911="!!!"),"",IF(NOT(ISNA(VLOOKUP(E1911,E$1:E1910,1,FALSE()))),"OLD",IF(AND(E1911&lt;&gt;"",E1911&lt;&gt;"!!!"),"NEW","")))</f>
        <v> </v>
      </c>
      <c r="G1911" s="23" t="str">
        <f>IF(OR(E1911="",E1911="!!!"),"",IF(OR(J1911=0,AND(J1911=1,K1911=1),AND(J1911=1,I1911="SBJ"),AND(J1911=1,I1911=0)),"?IN_FOCUS",IF(J1911&lt;=2,"?ACTIVATED",IF(J1911&lt;&gt;"","?FAMILIAR",IF(F1911="NEW",IF(ISNA(VLOOKUP(E1911,#REF!,1,FALSE())),"?TYPE_IDENTIFIABLE","?REFERENTIAL"),"_")))))</f>
        <v> </v>
      </c>
      <c r="H1911" s="24" t="str">
        <f>IF(J1911&lt;&gt;1,"",IF(I1911="SBJ","CB","?"))</f>
        <v> </v>
      </c>
      <c r="I1911" s="25" t="str">
        <f>IF(OR(E1911="",E1911="!!!",F1911="NEW"),"",INDEX(B1910:B$2,-1+SUMPRODUCT(MAX(ROW(E1910:E$2)*(E1911=E1910:E$2)))))</f>
        <v> </v>
      </c>
      <c r="J1911" s="25" t="str">
        <f>IF(OR(E1911="",E1911="!!!",F1911="NEW"),"",COUNTBLANK(OFFSET(A$1,,,SUMPRODUCT(MAX(ROW(E$2:E1911)*(E1911=E$2:E1911)))))-COUNTBLANK(OFFSET(A$1,,,SUMPRODUCT(MAX(ROW(E$1:E1910)*(E2=E$1:E1910))))))</f>
        <v> </v>
      </c>
      <c r="K1911" s="25" t="str">
        <f>IF(OR(E1911="",E1911="!!!",F1911="NEW"),"",INDEX(J$1:J1910,SUMPRODUCT(MAX(ROW(E$1:E1910)*(E1911=E$1:E1910)))))</f>
        <v> </v>
      </c>
      <c r="L1911" s="26"/>
    </row>
    <row r="1912" spans="1:12">
      <c r="A1912" s="20" t="s">
        <v>459</v>
      </c>
      <c r="E1912" s="21">
        <f>IF(D1912="?OLD","!!!","")</f>
        <v/>
      </c>
      <c r="F1912" s="22" t="str">
        <f>IF(OR(E1912="",E1912="!!!"),"",IF(NOT(ISNA(VLOOKUP(E1912,E$1:E1911,1,FALSE()))),"OLD",IF(AND(E1912&lt;&gt;"",E1912&lt;&gt;"!!!"),"NEW","")))</f>
        <v> </v>
      </c>
      <c r="G1912" s="23" t="str">
        <f>IF(OR(E1912="",E1912="!!!"),"",IF(OR(J1912=0,AND(J1912=1,K1912=1),AND(J1912=1,I1912="SBJ"),AND(J1912=1,I1912=0)),"?IN_FOCUS",IF(J1912&lt;=2,"?ACTIVATED",IF(J1912&lt;&gt;"","?FAMILIAR",IF(F1912="NEW",IF(ISNA(VLOOKUP(E1912,#REF!,1,FALSE())),"?TYPE_IDENTIFIABLE","?REFERENTIAL"),"_")))))</f>
        <v> </v>
      </c>
      <c r="H1912" s="24" t="str">
        <f>IF(J1912&lt;&gt;1,"",IF(I1912="SBJ","CB","?"))</f>
        <v> </v>
      </c>
      <c r="I1912" s="25" t="str">
        <f>IF(OR(E1912="",E1912="!!!",F1912="NEW"),"",INDEX(B1911:B$2,-1+SUMPRODUCT(MAX(ROW(E1911:E$2)*(E1912=E1911:E$2)))))</f>
        <v> </v>
      </c>
      <c r="J1912" s="25" t="str">
        <f>IF(OR(E1912="",E1912="!!!",F1912="NEW"),"",COUNTBLANK(OFFSET(A$1,,,SUMPRODUCT(MAX(ROW(E$2:E1912)*(E1912=E$2:E1912)))))-COUNTBLANK(OFFSET(A$1,,,SUMPRODUCT(MAX(ROW(E$1:E1911)*(E2=E$1:E1911))))))</f>
        <v> </v>
      </c>
      <c r="K1912" s="25" t="str">
        <f>IF(OR(E1912="",E1912="!!!",F1912="NEW"),"",INDEX(J$1:J1911,SUMPRODUCT(MAX(ROW(E$1:E1911)*(E1912=E$1:E1911)))))</f>
        <v> </v>
      </c>
      <c r="L1912" s="26"/>
    </row>
    <row r="1913" spans="1:12">
      <c r="A1913" s="20" t="s">
        <v>531</v>
      </c>
      <c r="E1913" s="21">
        <f>IF(D1913="?OLD","!!!","")</f>
        <v/>
      </c>
      <c r="F1913" s="22" t="str">
        <f>IF(OR(E1913="",E1913="!!!"),"",IF(NOT(ISNA(VLOOKUP(E1913,E$1:E1912,1,FALSE()))),"OLD",IF(AND(E1913&lt;&gt;"",E1913&lt;&gt;"!!!"),"NEW","")))</f>
        <v> </v>
      </c>
      <c r="G1913" s="23" t="str">
        <f>IF(OR(E1913="",E1913="!!!"),"",IF(OR(J1913=0,AND(J1913=1,K1913=1),AND(J1913=1,I1913="SBJ"),AND(J1913=1,I1913=0)),"?IN_FOCUS",IF(J1913&lt;=2,"?ACTIVATED",IF(J1913&lt;&gt;"","?FAMILIAR",IF(F1913="NEW",IF(ISNA(VLOOKUP(E1913,#REF!,1,FALSE())),"?TYPE_IDENTIFIABLE","?REFERENTIAL"),"_")))))</f>
        <v> </v>
      </c>
      <c r="H1913" s="24" t="str">
        <f>IF(J1913&lt;&gt;1,"",IF(I1913="SBJ","CB","?"))</f>
        <v> </v>
      </c>
      <c r="I1913" s="25" t="str">
        <f>IF(OR(E1913="",E1913="!!!",F1913="NEW"),"",INDEX(B1912:B$2,-1+SUMPRODUCT(MAX(ROW(E1912:E$2)*(E1913=E1912:E$2)))))</f>
        <v> </v>
      </c>
      <c r="J1913" s="25" t="str">
        <f>IF(OR(E1913="",E1913="!!!",F1913="NEW"),"",COUNTBLANK(OFFSET(A$1,,,SUMPRODUCT(MAX(ROW(E$2:E1913)*(E1913=E$2:E1913)))))-COUNTBLANK(OFFSET(A$1,,,SUMPRODUCT(MAX(ROW(E$1:E1912)*(E2=E$1:E1912))))))</f>
        <v> </v>
      </c>
      <c r="K1913" s="25" t="str">
        <f>IF(OR(E1913="",E1913="!!!",F1913="NEW"),"",INDEX(J$1:J1912,SUMPRODUCT(MAX(ROW(E$1:E1912)*(E1913=E$1:E1912)))))</f>
        <v> </v>
      </c>
      <c r="L1913" s="26"/>
    </row>
    <row r="1914" spans="1:12">
      <c r="A1914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2024-12-05T18:01:58Z</dcterms:created>
  <dcterms:modified xsi:type="dcterms:W3CDTF">2024-12-05T18:01:58Z</dcterms:modified>
</cp:coreProperties>
</file>