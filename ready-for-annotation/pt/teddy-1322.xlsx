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<sst xmlns="http://schemas.openxmlformats.org/spreadsheetml/2006/main" count="9044" uniqueCount="2069">
  <si>
    <t>ID</t>
  </si>
  <si>
    <t>PRED_ID</t>
  </si>
  <si>
    <t>MARKER_AUTO</t>
  </si>
  <si>
    <t>PREDICATE</t>
  </si>
  <si>
    <t>TEXT</t>
  </si>
  <si>
    <t>SENTENCE</t>
  </si>
  <si>
    <t>MARKER</t>
  </si>
  <si>
    <t>TARGET</t>
  </si>
  <si>
    <t>RELATION</t>
  </si>
  <si>
    <t>COMMENT</t>
  </si>
  <si>
    <t>1</t>
  </si>
  <si>
    <t>11</t>
  </si>
  <si>
    <t>_</t>
  </si>
  <si>
    <t>representar</t>
  </si>
  <si>
    <t>&amp;quot; Mesmo em termos puramente não-religiosos , &amp;quot; a homossexualidade representa um mau uso da de a faculdade sexual .</t>
  </si>
  <si>
    <t>file://conllu/pt/teddy-1322.conllu#s1_0</t>
  </si>
  <si>
    <t>2</t>
  </si>
  <si>
    <t>ser (ser substituto)</t>
  </si>
  <si>
    <t>&amp;quot; É um patético e pequeno substituto de segunda categoria para a realidade , &amp;quot; um voo lamentável da de a vida .</t>
  </si>
  <si>
    <t>file://conllu/pt/teddy-1322.conllu#s2_0</t>
  </si>
  <si>
    <t>3</t>
  </si>
  <si>
    <t>merecer</t>
  </si>
  <si>
    <t>&amp;quot; Como tal , não merece compaixão , &amp;quot; não merece tratamento &amp;quot; como martírio de minoria , &amp;quot; e não merece ser considerado algo mais do de o que uma doença perniciosa . &amp;quot; Isto é da de a revista Time , em 1966 , quando eu tinha três anos .</t>
  </si>
  <si>
    <t>file://conllu/pt/teddy-1322.conllu#s3_0</t>
  </si>
  <si>
    <t>5</t>
  </si>
  <si>
    <t>7</t>
  </si>
  <si>
    <t>ser (ser aplauso)</t>
  </si>
  <si>
    <t>( Aplausos ) A minha pergunta é :</t>
  </si>
  <si>
    <t>file://conllu/pt/teddy-1322.conllu#s5_0</t>
  </si>
  <si>
    <t>6</t>
  </si>
  <si>
    <t>Até?</t>
  </si>
  <si>
    <t>chegar</t>
  </si>
  <si>
    <t>Como chegámos de lá até aqui ?</t>
  </si>
  <si>
    <t>file://conllu/pt/teddy-1322.conllu#s6_0</t>
  </si>
  <si>
    <t>tornar</t>
  </si>
  <si>
    <t>Como é que uma doença se tornou uma identidade ?</t>
  </si>
  <si>
    <t>file://conllu/pt/teddy-1322.conllu#s7_0</t>
  </si>
  <si>
    <t>8</t>
  </si>
  <si>
    <t>9</t>
  </si>
  <si>
    <t>ser (ser sapataria)</t>
  </si>
  <si>
    <t>Quando eu tinha talvez uns seis anos , fui a uma sapataria com a minha mãe e o meu irmão .</t>
  </si>
  <si>
    <t>file://conllu/pt/teddy-1322.conllu#s8_0</t>
  </si>
  <si>
    <t>10</t>
  </si>
  <si>
    <t>querer (querer querer)</t>
  </si>
  <si>
    <t>meu irmão queria um balão vermelho e eu queria um balão cor-de-rosa .</t>
  </si>
  <si>
    <t>file://conllu/pt/teddy-1322.conllu#s10_0</t>
  </si>
  <si>
    <t>pensar (pensar dizer)</t>
  </si>
  <si>
    <t>A minha mãe disse que pensava que eu preferiria antes ter um balão azul .</t>
  </si>
  <si>
    <t>file://conllu/pt/teddy-1322.conllu#s11_0</t>
  </si>
  <si>
    <t>12</t>
  </si>
  <si>
    <t>querer (querer dizer)</t>
  </si>
  <si>
    <t>Mas eu disse que queria definitivamente o cor-de-rosa .</t>
  </si>
  <si>
    <t>file://conllu/pt/teddy-1322.conllu#s12_0</t>
  </si>
  <si>
    <t>13</t>
  </si>
  <si>
    <t>lembrar</t>
  </si>
  <si>
    <t>E ela lembrou-me lembrou me de que a minha cor preferida era o azul .</t>
  </si>
  <si>
    <t>file://conllu/pt/teddy-1322.conllu#s13_0</t>
  </si>
  <si>
    <t>14</t>
  </si>
  <si>
    <t>facto</t>
  </si>
  <si>
    <t>facto de que agora a minha cor preferida é o azul mas eu ainda sou &amp;quot; gay &amp;quot; ( Risos ) é prova da de a influência da de a minha mãe e dos de os seus limites .</t>
  </si>
  <si>
    <t>file://conllu/pt/teddy-1322.conllu#s14_0</t>
  </si>
  <si>
    <t>15</t>
  </si>
  <si>
    <t>costumar</t>
  </si>
  <si>
    <t>Quando eu era pequeno , a minha mãe costumava dizer : &amp;quot; amor que temos pelos por os filhos é diferente de qualquer outro sentimento no em o mundo .</t>
  </si>
  <si>
    <t>file://conllu/pt/teddy-1322.conllu#s15_0</t>
  </si>
  <si>
    <t>16</t>
  </si>
  <si>
    <t>saber</t>
  </si>
  <si>
    <t>&amp;quot; E até termos filhos , não sabemos como é . &amp;quot; Quando eu era pequeno , eu tomava isto como o melhor elogio do de o mundo que ela diria sobre ser a minha mãe e do de o meu irmão .</t>
  </si>
  <si>
    <t>file://conllu/pt/teddy-1322.conllu#s16_0</t>
  </si>
  <si>
    <t>17</t>
  </si>
  <si>
    <t>4</t>
  </si>
  <si>
    <t>pensar</t>
  </si>
  <si>
    <t>Enquanto adolescente , pensei que , sendo &amp;quot; gay &amp;quot; , provavelmente não poderia ter uma família .</t>
  </si>
  <si>
    <t>file://conllu/pt/teddy-1322.conllu#s17_0</t>
  </si>
  <si>
    <t>18</t>
  </si>
  <si>
    <t>dizer (dizer sentir)</t>
  </si>
  <si>
    <t>E , quando ela dizia aquilo , sentia-me sentia me ansioso .</t>
  </si>
  <si>
    <t>file://conllu/pt/teddy-1322.conllu#s18_0</t>
  </si>
  <si>
    <t>19</t>
  </si>
  <si>
    <t>dizer (dizer continuar sentir)</t>
  </si>
  <si>
    <t>Depois de ter &amp;quot; saído do de o armário &amp;quot; , quando ela continuou a dizê-lo dizê lo , sentia-me sentia me furioso .</t>
  </si>
  <si>
    <t>file://conllu/pt/teddy-1322.conllu#s19_0</t>
  </si>
  <si>
    <t>21</t>
  </si>
  <si>
    <t>voltar</t>
  </si>
  <si>
    <t>Não estou voltado para essa direção .</t>
  </si>
  <si>
    <t>file://conllu/pt/teddy-1322.conllu#s21_0</t>
  </si>
  <si>
    <t>22</t>
  </si>
  <si>
    <t>querer</t>
  </si>
  <si>
    <t>&amp;quot; E quero que pares de dizer isso . &amp;quot;</t>
  </si>
  <si>
    <t>file://conllu/pt/teddy-1322.conllu#s22_0</t>
  </si>
  <si>
    <t>23</t>
  </si>
  <si>
    <t>convidar</t>
  </si>
  <si>
    <t>Há uns 20 anos , os editores da de a revista The New York Times convidaram-me convidaram me para escrever um artigo sobre a cultura surda .</t>
  </si>
  <si>
    <t>file://conllu/pt/teddy-1322.conllu#s23_0</t>
  </si>
  <si>
    <t>24</t>
  </si>
  <si>
    <t>ficar</t>
  </si>
  <si>
    <t>Fiquei bastante surpreendido .</t>
  </si>
  <si>
    <t>file://conllu/pt/teddy-1322.conllu#s24_0</t>
  </si>
  <si>
    <t>25</t>
  </si>
  <si>
    <t>Sempre pensara na em a surdez como uma doença .</t>
  </si>
  <si>
    <t>file://conllu/pt/teddy-1322.conllu#s25_0</t>
  </si>
  <si>
    <t>26</t>
  </si>
  <si>
    <t>conseguir</t>
  </si>
  <si>
    <t>Aquelas pobres pessoas não conseguem ouvir .</t>
  </si>
  <si>
    <t>file://conllu/pt/teddy-1322.conllu#s26_0</t>
  </si>
  <si>
    <t>28</t>
  </si>
  <si>
    <t>conhecer</t>
  </si>
  <si>
    <t>Então eu fui conhecer o mundo dos de os surdos .</t>
  </si>
  <si>
    <t>file://conllu/pt/teddy-1322.conllu#s28_0</t>
  </si>
  <si>
    <t>29</t>
  </si>
  <si>
    <t>ser (ser clube)</t>
  </si>
  <si>
    <t>Fui a clubes de surdos .</t>
  </si>
  <si>
    <t>file://conllu/pt/teddy-1322.conllu#s29_0</t>
  </si>
  <si>
    <t>30</t>
  </si>
  <si>
    <t>vir</t>
  </si>
  <si>
    <t>Vi apresentações de teatro de surdos e de poesia de surdos .</t>
  </si>
  <si>
    <t>file://conllu/pt/teddy-1322.conllu#s30_0</t>
  </si>
  <si>
    <t>31</t>
  </si>
  <si>
    <t>ver</t>
  </si>
  <si>
    <t>Até fui ver o concurso de Miss América Surda em Nashville , no em o Tennessee , onde as pessoas se queixaram da de a linguagem gestual do de o sul .</t>
  </si>
  <si>
    <t>file://conllu/pt/teddy-1322.conllu#s31_0</t>
  </si>
  <si>
    <t>32</t>
  </si>
  <si>
    <t>convencer</t>
  </si>
  <si>
    <t>Quanto mais fundo mergulhava no em o mundo dos de os surdos , mais me convencia de que a surdez era uma cultura e que , quando as pessoas do de o mundo surdo diziam :</t>
  </si>
  <si>
    <t>file://conllu/pt/teddy-1322.conllu#s32_0</t>
  </si>
  <si>
    <t>33</t>
  </si>
  <si>
    <t>estar</t>
  </si>
  <si>
    <t>&amp;quot; Não temos falta de audição , somos membros de uma cultura &amp;quot; , estavam a dizer algo que era viável .</t>
  </si>
  <si>
    <t>file://conllu/pt/teddy-1322.conllu#s33_0</t>
  </si>
  <si>
    <t>34</t>
  </si>
  <si>
    <t>Não era a minha cultura , não queria especialmente apressar-me apressar me a fazer parte dela de ela , mas pude apreciar que era uma cultura e que , para as pessoas que eram membros dela de ela , era tão valiosa como a cultura latina ou a cultura &amp;quot; gay &amp;quot; ou a cultura judaica .</t>
  </si>
  <si>
    <t>file://conllu/pt/teddy-1322.conllu#s34_0</t>
  </si>
  <si>
    <t>36</t>
  </si>
  <si>
    <t>meçar</t>
  </si>
  <si>
    <t>Depois , uma amiga de um amigo meu teve uma filha que era anã .</t>
  </si>
  <si>
    <t>file://conllu/pt/teddy-1322.conllu#s36_0</t>
  </si>
  <si>
    <t>37</t>
  </si>
  <si>
    <t>deparar</t>
  </si>
  <si>
    <t>Quando a sua filha nasceu , ela de repente deparou-se deparou se com as questões que agora me começavam a parecer bastante importantes .</t>
  </si>
  <si>
    <t>file://conllu/pt/teddy-1322.conllu#s37_0</t>
  </si>
  <si>
    <t>38</t>
  </si>
  <si>
    <t>Ela estava a enfrentar a questão do de o que fazer com esta criança .</t>
  </si>
  <si>
    <t>file://conllu/pt/teddy-1322.conllu#s38_0</t>
  </si>
  <si>
    <t>39</t>
  </si>
  <si>
    <t>dever</t>
  </si>
  <si>
    <t>Devia dizer :</t>
  </si>
  <si>
    <t>file://conllu/pt/teddy-1322.conllu#s39_0</t>
  </si>
  <si>
    <t>40</t>
  </si>
  <si>
    <t>exatamente</t>
  </si>
  <si>
    <t>&amp;quot; És exatamente como os outros , mas um pouco mais baixa &amp;quot; ?</t>
  </si>
  <si>
    <t>file://conllu/pt/teddy-1322.conllu#s40_0</t>
  </si>
  <si>
    <t>41</t>
  </si>
  <si>
    <t>Ou devia tentar construir algum tipo de identidade anã , envolver-se envolver se na em a organização Pessoas Pequenas da de a América , tornar-se tornar se consciente do de o que estava a acontecer com os anões ?</t>
  </si>
  <si>
    <t>file://conllu/pt/teddy-1322.conllu#s41_0</t>
  </si>
  <si>
    <t>42</t>
  </si>
  <si>
    <t>E de repente pensei : as crianças surdas são filhas de pais com audição .</t>
  </si>
  <si>
    <t>file://conllu/pt/teddy-1322.conllu#s42_0</t>
  </si>
  <si>
    <t>43</t>
  </si>
  <si>
    <t>tender</t>
  </si>
  <si>
    <t>Esses pais com audição tendem a tentar curá-las curá las .</t>
  </si>
  <si>
    <t>file://conllu/pt/teddy-1322.conllu#s43_0</t>
  </si>
  <si>
    <t>44</t>
  </si>
  <si>
    <t>descobrir</t>
  </si>
  <si>
    <t>De certa forma , essas pessoas surdas descobrem a comunidade na em a adolescência .</t>
  </si>
  <si>
    <t>file://conllu/pt/teddy-1322.conllu#s44_0</t>
  </si>
  <si>
    <t>45</t>
  </si>
  <si>
    <t>ser (ser filha)</t>
  </si>
  <si>
    <t>A maioria das de as pessoas &amp;quot; gays &amp;quot; são filhas de pais heterossexuais .</t>
  </si>
  <si>
    <t>file://conllu/pt/teddy-1322.conllu#s45_0</t>
  </si>
  <si>
    <t>46</t>
  </si>
  <si>
    <t>pai</t>
  </si>
  <si>
    <t>Esses pais heterossexuais desejam que elas funcionem no em o que eles consideram a corrente principal no em o mundo , e esses &amp;quot; gays &amp;quot; têm de descobrir a sua identidade mais tarde .</t>
  </si>
  <si>
    <t>file://conllu/pt/teddy-1322.conllu#s46_0</t>
  </si>
  <si>
    <t>47</t>
  </si>
  <si>
    <t>E aqui estava esta minha amiga a deparar-se deparar se com estas questões de identidade da de a filha anã .</t>
  </si>
  <si>
    <t>file://conllu/pt/teddy-1322.conllu#s47_0</t>
  </si>
  <si>
    <t>48</t>
  </si>
  <si>
    <t>E eu pensei ... aí está novamente : uma família que se considera normal com uma criança que parece ser extraordinária .</t>
  </si>
  <si>
    <t>file://conllu/pt/teddy-1322.conllu#s48_0</t>
  </si>
  <si>
    <t>49</t>
  </si>
  <si>
    <t>surgir</t>
  </si>
  <si>
    <t>E surgiu-me surgiu me a ideia de que há realmente dois tipos de identidade .</t>
  </si>
  <si>
    <t>file://conllu/pt/teddy-1322.conllu#s49_0</t>
  </si>
  <si>
    <t>50</t>
  </si>
  <si>
    <t>haver</t>
  </si>
  <si>
    <t>Há identidades verticais , que são passadas hereditariamente de pais para filhos .</t>
  </si>
  <si>
    <t>file://conllu/pt/teddy-1322.conllu#s50_0</t>
  </si>
  <si>
    <t>51</t>
  </si>
  <si>
    <t>ser (ser coisa)</t>
  </si>
  <si>
    <t>São coisas como etnicidade , frequentemente nacionalidade , língua , religião .</t>
  </si>
  <si>
    <t>file://conllu/pt/teddy-1322.conllu#s51_0</t>
  </si>
  <si>
    <t>52</t>
  </si>
  <si>
    <t>São coisas que temos em comum com os pais e com os filhos .</t>
  </si>
  <si>
    <t>file://conllu/pt/teddy-1322.conllu#s52_0</t>
  </si>
  <si>
    <t>53</t>
  </si>
  <si>
    <t>Embora algumas delas de elas possam ser difíceis , não há qualquer tentativa para as curar .</t>
  </si>
  <si>
    <t>file://conllu/pt/teddy-1322.conllu#s53_0</t>
  </si>
  <si>
    <t>54</t>
  </si>
  <si>
    <t>poder</t>
  </si>
  <si>
    <t>Podem argumentar que é mais difícil nos em os EUA — não obstante o nosso actual presidente — ser uma pessoa de cor .</t>
  </si>
  <si>
    <t>file://conllu/pt/teddy-1322.conllu#s54_0</t>
  </si>
  <si>
    <t>55</t>
  </si>
  <si>
    <t>ter</t>
  </si>
  <si>
    <t>Contudo , não temos ninguém a tentar garantir que a próxima geração de filhos de afro-americanos e asiáticos saia com pele clara e cabelo loiro .</t>
  </si>
  <si>
    <t>file://conllu/pt/teddy-1322.conllu#s55_0</t>
  </si>
  <si>
    <t>56</t>
  </si>
  <si>
    <t>Também há outras identidades que temos de aprender com os nossos pares .</t>
  </si>
  <si>
    <t>file://conllu/pt/teddy-1322.conllu#s56_0</t>
  </si>
  <si>
    <t>57</t>
  </si>
  <si>
    <t>chamar</t>
  </si>
  <si>
    <t>E eu chamo-lhes chamo lhes identidades horizontais , porque o grupo de pares é a experiência horizontal .</t>
  </si>
  <si>
    <t>file://conllu/pt/teddy-1322.conllu#s57_0</t>
  </si>
  <si>
    <t>58</t>
  </si>
  <si>
    <t>ser (ser identidade)</t>
  </si>
  <si>
    <t>São identidades que são alheias aos a os nossos pais e que temos de descobrir quando começamos a vê-las vê las nos em os pares .</t>
  </si>
  <si>
    <t>file://conllu/pt/teddy-1322.conllu#s58_0</t>
  </si>
  <si>
    <t>59</t>
  </si>
  <si>
    <t>tentar</t>
  </si>
  <si>
    <t>Essas identidades horizontais , as pessoas quase sempre tentaram curar .</t>
  </si>
  <si>
    <t>file://conllu/pt/teddy-1322.conllu#s59_0</t>
  </si>
  <si>
    <t>60</t>
  </si>
  <si>
    <t>Eu queria olhar para o processo através do de o qual as pessoas que têm essas identidades chegam a um bom relacionamento com elas .</t>
  </si>
  <si>
    <t>file://conllu/pt/teddy-1322.conllu#s60_0</t>
  </si>
  <si>
    <t>62</t>
  </si>
  <si>
    <t>Há a auto-aceitação , a aceitação familiar e a aceitação social .</t>
  </si>
  <si>
    <t>file://conllu/pt/teddy-1322.conllu#s62_0</t>
  </si>
  <si>
    <t>63</t>
  </si>
  <si>
    <t>coincidir</t>
  </si>
  <si>
    <t>E elas nem sempre coincidem .</t>
  </si>
  <si>
    <t>file://conllu/pt/teddy-1322.conllu#s63_0</t>
  </si>
  <si>
    <t>64</t>
  </si>
  <si>
    <t>ser (ser pessoa)</t>
  </si>
  <si>
    <t>Muitas vezes , as pessoas que estão nessa em essa situação são pessoas zangadas porque se sentem como se os pais não as amassem , quando o que realmente acontece é que os pais não as aceitam .</t>
  </si>
  <si>
    <t>file://conllu/pt/teddy-1322.conllu#s64_0</t>
  </si>
  <si>
    <t>65</t>
  </si>
  <si>
    <t>ser (ser algo)</t>
  </si>
  <si>
    <t>amor é algo que idealmente existe incondicionalmente em qualquer relação entre um pai e um filho .</t>
  </si>
  <si>
    <t>file://conllu/pt/teddy-1322.conllu#s65_0</t>
  </si>
  <si>
    <t>66</t>
  </si>
  <si>
    <t>Mas a aceitação é algo que leva tempo .</t>
  </si>
  <si>
    <t>file://conllu/pt/teddy-1322.conllu#s66_0</t>
  </si>
  <si>
    <t>67</t>
  </si>
  <si>
    <t>levar</t>
  </si>
  <si>
    <t>Leva sempre tempo .</t>
  </si>
  <si>
    <t>file://conllu/pt/teddy-1322.conllu#s67_0</t>
  </si>
  <si>
    <t>68</t>
  </si>
  <si>
    <t>ser (ser indivíduo)</t>
  </si>
  <si>
    <t>Um dos de os anões que conheci foi um indivíduo chamado Clinton Brown .</t>
  </si>
  <si>
    <t>file://conllu/pt/teddy-1322.conllu#s68_0</t>
  </si>
  <si>
    <t>69</t>
  </si>
  <si>
    <t>diagnosticar</t>
  </si>
  <si>
    <t>Quando ele nasceu , foi diagnosticado com nanismo diastrófico , uma doença muito incapacitante , e disseram aos a os pais que ele nunca andaria , nunca falaria , não teria nenhuma capacidade intelectual , e provavelmente nem os iria reconhecer .</t>
  </si>
  <si>
    <t>file://conllu/pt/teddy-1322.conllu#s69_0</t>
  </si>
  <si>
    <t>71</t>
  </si>
  <si>
    <t>dizer</t>
  </si>
  <si>
    <t>A mãe disse que não o iria fazer e levou o filho para casa .</t>
  </si>
  <si>
    <t>file://conllu/pt/teddy-1322.conllu#s71_0</t>
  </si>
  <si>
    <t>72</t>
  </si>
  <si>
    <t>encontrar</t>
  </si>
  <si>
    <t>Mesmo não tendo grande capacidade financeira ou educativa , a mãe encontrou o melhor médico do de o país para lidar com nanismo diastrófico , e ele veio a ser o médico de Clinton .</t>
  </si>
  <si>
    <t>file://conllu/pt/teddy-1322.conllu#s72_0</t>
  </si>
  <si>
    <t>74</t>
  </si>
  <si>
    <t>passar</t>
  </si>
  <si>
    <t>Passou todo esse tempo preso no em o hospital enquanto esses procedimentos aconteciam , e , como resultado , ele pode agora andar .</t>
  </si>
  <si>
    <t>file://conllu/pt/teddy-1322.conllu#s74_0</t>
  </si>
  <si>
    <t>75</t>
  </si>
  <si>
    <t>Enquanto esteve no em o hospital , houve tutores a ajudá-lo ajudá lo com os trabalhos escolares .</t>
  </si>
  <si>
    <t>file://conllu/pt/teddy-1322.conllu#s75_0</t>
  </si>
  <si>
    <t>76</t>
  </si>
  <si>
    <t>trabalhar</t>
  </si>
  <si>
    <t>E ele trabalhou intensamente porque não havia mais nada para fazer .</t>
  </si>
  <si>
    <t>file://conllu/pt/teddy-1322.conllu#s76_0</t>
  </si>
  <si>
    <t>77</t>
  </si>
  <si>
    <t>acabar</t>
  </si>
  <si>
    <t>Acabou alcançando um nível que nunca antes tinha sido atingido por um membro da de a sua família .</t>
  </si>
  <si>
    <t>file://conllu/pt/teddy-1322.conllu#s77_0</t>
  </si>
  <si>
    <t>79</t>
  </si>
  <si>
    <t>contar</t>
  </si>
  <si>
    <t>A mãe contou-me contou me a história de quando um dia , ao a o voltar para casa – ele frequentava uma faculdade perto .</t>
  </si>
  <si>
    <t>file://conllu/pt/teddy-1322.conllu#s79_0</t>
  </si>
  <si>
    <t>80</t>
  </si>
  <si>
    <t>&amp;quot; Eu vi o carro dele de ele , que se consegue sempre reconhecer , &amp;quot; no em o estacionamento de um bar &amp;quot; .</t>
  </si>
  <si>
    <t>file://conllu/pt/teddy-1322.conllu#s80_0</t>
  </si>
  <si>
    <t>81</t>
  </si>
  <si>
    <t>&amp;quot; E pensei para comigo com mim : &amp;quot; Eles têm 1,80 m de altura , ele tem 90 centímetros .</t>
  </si>
  <si>
    <t>file://conllu/pt/teddy-1322.conllu#s81_0</t>
  </si>
  <si>
    <t>82</t>
  </si>
  <si>
    <t>É como?</t>
  </si>
  <si>
    <t>ser (ser cerveja)</t>
  </si>
  <si>
    <t>&amp;quot; Duas cervejas para eles é como quatro cervejas para ele .</t>
  </si>
  <si>
    <t>file://conllu/pt/teddy-1322.conllu#s82_0</t>
  </si>
  <si>
    <t>83</t>
  </si>
  <si>
    <t>&amp;quot; Eu sabia que não poderia lá ir e interrompê-lo interrompê lo , &amp;quot; mas fui para casa e deixei-lhe deixei lhe oito mensagens no em o telemóvel .</t>
  </si>
  <si>
    <t>file://conllu/pt/teddy-1322.conllu#s83_0</t>
  </si>
  <si>
    <t>84</t>
  </si>
  <si>
    <t>&amp;quot; E então , pensei ... &amp;quot; Se alguém me dissesse quando ele nasceu &amp;quot; que a minha preocupação futura seria &amp;quot; que ele ia beber e conduzir com os amigos de faculdade ... &amp;quot;</t>
  </si>
  <si>
    <t>file://conllu/pt/teddy-1322.conllu#s84_0</t>
  </si>
  <si>
    <t>85</t>
  </si>
  <si>
    <t>perguntar</t>
  </si>
  <si>
    <t>E eu perguntei-lhe perguntei lhe : &amp;quot; que pensa ter feito que o ajudou a surgir &amp;quot; como esta pessoa encantadora , talentosa , maravilhosa ? &amp;quot;</t>
  </si>
  <si>
    <t>file://conllu/pt/teddy-1322.conllu#s85_0</t>
  </si>
  <si>
    <t>86</t>
  </si>
  <si>
    <t>responder</t>
  </si>
  <si>
    <t>E ela respondeu :</t>
  </si>
  <si>
    <t>file://conllu/pt/teddy-1322.conllu#s86_0</t>
  </si>
  <si>
    <t>87</t>
  </si>
  <si>
    <t>o</t>
  </si>
  <si>
    <t>&amp;quot; que eu fiz ?</t>
  </si>
  <si>
    <t>file://conllu/pt/teddy-1322.conllu#s87_0</t>
  </si>
  <si>
    <t>89</t>
  </si>
  <si>
    <t>&amp;quot; Clinton sempre teve aquela luz nele em ele .</t>
  </si>
  <si>
    <t>file://conllu/pt/teddy-1322.conllu#s89_0</t>
  </si>
  <si>
    <t>90</t>
  </si>
  <si>
    <t>&amp;quot; E eu e o pai dele de ele tivemos a sorte de sermos os primeiros a vê-la vê la . &amp;quot; Vou citar outra revista dos de os anos 60 .</t>
  </si>
  <si>
    <t>file://conllu/pt/teddy-1322.conllu#s90_0</t>
  </si>
  <si>
    <t>91</t>
  </si>
  <si>
    <t>ser (ser 1968)</t>
  </si>
  <si>
    <t>Esta é de 1968 — The Atlantic Monthly , voz da de a América liberal — escrita por um importante bioeticista , que escreveu :</t>
  </si>
  <si>
    <t>file://conllu/pt/teddy-1322.conllu#s91_0</t>
  </si>
  <si>
    <t>92</t>
  </si>
  <si>
    <t>&amp;quot; Não há nenhuma razão para se sentir culpado &amp;quot; por pôr de parte uma criança com síndrome de Down , &amp;quot; quer isso signifique escondê-la escondê la num em um sanatório &amp;quot; quer tenha um sentido mais responsável , letal .</t>
  </si>
  <si>
    <t>file://conllu/pt/teddy-1322.conllu#s92_0</t>
  </si>
  <si>
    <t>93</t>
  </si>
  <si>
    <t>ser (ser triste)</t>
  </si>
  <si>
    <t>&amp;quot; É triste , sim — terrível .</t>
  </si>
  <si>
    <t>file://conllu/pt/teddy-1322.conllu#s93_0</t>
  </si>
  <si>
    <t>94</t>
  </si>
  <si>
    <t>carregar</t>
  </si>
  <si>
    <t>Mas não carrega culpa .</t>
  </si>
  <si>
    <t>file://conllu/pt/teddy-1322.conllu#s94_0</t>
  </si>
  <si>
    <t>95</t>
  </si>
  <si>
    <t>decorrer</t>
  </si>
  <si>
    <t>&amp;quot; A verdadeira culpa decorre apenas de uma ofensa contra uma pessoa , &amp;quot; e alguém com síndrome de Down não é uma pessoa . &amp;quot; Muita tinta tem corrido , dado o enorme progresso que fizemos , no em o tratamento de pessoas homossexuais .</t>
  </si>
  <si>
    <t>file://conllu/pt/teddy-1322.conllu#s95_0</t>
  </si>
  <si>
    <t>96</t>
  </si>
  <si>
    <t>estar (estar cabeçalho)</t>
  </si>
  <si>
    <t>facto de que a nossa atitude mudou está nos em os cabeçalhos diários .</t>
  </si>
  <si>
    <t>file://conllu/pt/teddy-1322.conllu#s96_0</t>
  </si>
  <si>
    <t>97</t>
  </si>
  <si>
    <t>esquecemar</t>
  </si>
  <si>
    <t>Mas esquecemo-nos esquecemo nos de como costumávamos ver pessoas que tinham outras diferenças , como costumávamos ver pessoas que eram incapacitadas , o quão pouco umanas considerávamos que essas pessoas eram .</t>
  </si>
  <si>
    <t>file://conllu/pt/teddy-1322.conllu#s97_0</t>
  </si>
  <si>
    <t>98</t>
  </si>
  <si>
    <t>ser (ser mudança)</t>
  </si>
  <si>
    <t>E a mudança que tem sido alcançada aí , que é quase igualmente radical , é uma mudança a que não prestamos muita atenção .</t>
  </si>
  <si>
    <t>file://conllu/pt/teddy-1322.conllu#s98_0</t>
  </si>
  <si>
    <t>99</t>
  </si>
  <si>
    <t>surpreender</t>
  </si>
  <si>
    <t>Uns pais que entrevistei , Tom e Karen Robards , foram surpreendidos quando , jovens e bem-sucedidos nova-iorquinos , o seu primeiro filho foi diagnosticado com síndrome de Down .</t>
  </si>
  <si>
    <t>file://conllu/pt/teddy-1322.conllu#s99_0</t>
  </si>
  <si>
    <t>100</t>
  </si>
  <si>
    <t>achar</t>
  </si>
  <si>
    <t>Eles acharam que as oportunidades educativas para ele não eram o que deveriam ser , e decidiram construir um pequeno centro — duas salas de aula a que deram início com alguns outros pais — para educar crianças com síndroma de Down .</t>
  </si>
  <si>
    <t>file://conllu/pt/teddy-1322.conllu#s100_0</t>
  </si>
  <si>
    <t>101</t>
  </si>
  <si>
    <t>transformar</t>
  </si>
  <si>
    <t>Passados anos , este centro transformou-se transformou se em algo chamado o Centro de Cooke , onde há agora milhares e milhares de crianças com problemas cognitivos que estão a ser ensinadas .</t>
  </si>
  <si>
    <t>file://conllu/pt/teddy-1322.conllu#s101_0</t>
  </si>
  <si>
    <t>102</t>
  </si>
  <si>
    <t>triplicar</t>
  </si>
  <si>
    <t>Desde a altura do de o artigo na em a &amp;quot; Atlantic Monthly &amp;quot; , a esperança de vida para as pessoas com síndrome de Down triplicou .</t>
  </si>
  <si>
    <t>file://conllu/pt/teddy-1322.conllu#s102_0</t>
  </si>
  <si>
    <t>103</t>
  </si>
  <si>
    <t>Há pessoas com síndrome de Down que são actores , são escritores , outros que conseguem viver de forma independente na em a idade adulta .</t>
  </si>
  <si>
    <t>file://conllu/pt/teddy-1322.conllu#s103_0</t>
  </si>
  <si>
    <t>104</t>
  </si>
  <si>
    <t>Os Robards tiveram muito a ver com isso .</t>
  </si>
  <si>
    <t>file://conllu/pt/teddy-1322.conllu#s104_0</t>
  </si>
  <si>
    <t>105</t>
  </si>
  <si>
    <t>E eu perguntei-lhes perguntei lhes : &amp;quot;Arrependem-se &amp;quot;Arrependem se ?</t>
  </si>
  <si>
    <t>file://conllu/pt/teddy-1322.conllu#s105_0</t>
  </si>
  <si>
    <t>106</t>
  </si>
  <si>
    <t>Desejar</t>
  </si>
  <si>
    <t>&amp;quot; Desejavam que o vosso filho não tivesse síndrome de Down ?</t>
  </si>
  <si>
    <t>file://conllu/pt/teddy-1322.conllu#s106_0</t>
  </si>
  <si>
    <t>107</t>
  </si>
  <si>
    <t>&amp;quot;Gostariam de nunca ter ouvido falar dela de ela ? &amp;quot; Curiosamente , o pai respondeu :</t>
  </si>
  <si>
    <t>file://conllu/pt/teddy-1322.conllu#s107_0</t>
  </si>
  <si>
    <t>108</t>
  </si>
  <si>
    <t>filho</t>
  </si>
  <si>
    <t>&amp;quot; Bem , pelo por o David , o nosso filho , arrependo-me arrependo me &amp;quot; porque para o David é um modo difícil de estar no em o mundo , &amp;quot; e eu gostaria de dar ao a o David uma vida mais fácil .</t>
  </si>
  <si>
    <t>file://conllu/pt/teddy-1322.conllu#s108_0</t>
  </si>
  <si>
    <t>109</t>
  </si>
  <si>
    <t>&amp;quot; Mas acho que , se perdêssemos todas as pessoas com síndrome de Down , isso seria uma perda catastrófica . &amp;quot; E Karen Robards disse-me disse me : &amp;quot; Eu concordo com o Tom .</t>
  </si>
  <si>
    <t>file://conllu/pt/teddy-1322.conllu#s109_0</t>
  </si>
  <si>
    <t>110</t>
  </si>
  <si>
    <t>curá-lo-ia</t>
  </si>
  <si>
    <t>&amp;quot; Pelo Por o David , curá-lo-ia num em um instante para lhe dar uma vida mais fácil .</t>
  </si>
  <si>
    <t>file://conllu/pt/teddy-1322.conllu#s110_0</t>
  </si>
  <si>
    <t>111</t>
  </si>
  <si>
    <t>falar (falar acreditar)</t>
  </si>
  <si>
    <t>&amp;quot; Mas falando por mim — há 23 anos , quando ele nasceu , eu não acreditava &amp;quot; que poderia chegar a este ponto .</t>
  </si>
  <si>
    <t>file://conllu/pt/teddy-1322.conllu#s111_0</t>
  </si>
  <si>
    <t>112</t>
  </si>
  <si>
    <t>&amp;quot; Falando por mim , isto tornou-me tornou me tão melhor e tão mais gentil &amp;quot; e deu tão mais sentido a toda a minha vida &amp;quot; que , falando por mim , eu não desistiria dele de ele &amp;quot; por nada neste em este mundo . &amp;quot; Vivemos num em um momento em que a aceitação social para estas e muitas outras condições está a aumentar continuamente .</t>
  </si>
  <si>
    <t>file://conllu/pt/teddy-1322.conllu#s112_0</t>
  </si>
  <si>
    <t>114</t>
  </si>
  <si>
    <t>receber</t>
  </si>
  <si>
    <t>Actualmente , a maioria dos de os bebés que nascem surdos nos em os EUA irá receber implantes cocleares , que são colocados no em o cérebro e ligados a um receptor , que lhes permite adquirir um fac-símile da de a audição e usar o discurso oral .</t>
  </si>
  <si>
    <t>file://conllu/pt/teddy-1322.conllu#s114_0</t>
  </si>
  <si>
    <t>115</t>
  </si>
  <si>
    <t>ser (ser útil)</t>
  </si>
  <si>
    <t>Um composto que tem sido testado em ratinhos — o BMN-111 — é útil para impedir a ação do de o gene da de a acondroplasia .</t>
  </si>
  <si>
    <t>file://conllu/pt/teddy-1322.conllu#s115_0</t>
  </si>
  <si>
    <t>116</t>
  </si>
  <si>
    <t>cresc</t>
  </si>
  <si>
    <t>A acondroplasia é a forma mais comum de nanismo e os ratinhos que receberam essa substância e que têm o gene da de a acondroplasia crescem até ao a o tamanho normal .</t>
  </si>
  <si>
    <t>file://conllu/pt/teddy-1322.conllu#s116_0</t>
  </si>
  <si>
    <t>117</t>
  </si>
  <si>
    <t>estar (estar iminente)</t>
  </si>
  <si>
    <t>Os testes em seres humanos estão iminentes .</t>
  </si>
  <si>
    <t>file://conllu/pt/teddy-1322.conllu#s117_0</t>
  </si>
  <si>
    <t>118</t>
  </si>
  <si>
    <t>Há análises ao a o sangue que estão a fazer progressos a detectar a síndrome de Down na em a gravidez de uma forma mais clara e precoce que nunca , tornando-se tornando se mais fácil para as pessoas eliminar essas gravidezes ou interrompê-las interrompê las .</t>
  </si>
  <si>
    <t>file://conllu/pt/teddy-1322.conllu#s118_0</t>
  </si>
  <si>
    <t>119</t>
  </si>
  <si>
    <t>Assim , temos o progresso social e o progresso médico .</t>
  </si>
  <si>
    <t>file://conllu/pt/teddy-1322.conllu#s119_0</t>
  </si>
  <si>
    <t>120</t>
  </si>
  <si>
    <t>acreditar</t>
  </si>
  <si>
    <t>E eu acredito em ambos .</t>
  </si>
  <si>
    <t>file://conllu/pt/teddy-1322.conllu#s120_0</t>
  </si>
  <si>
    <t>121</t>
  </si>
  <si>
    <t>crer</t>
  </si>
  <si>
    <t>Creio que o progresso social é fantástico e significativo e maravilhoso , e penso o mesmo sobre o progresso médico .</t>
  </si>
  <si>
    <t>file://conllu/pt/teddy-1322.conllu#s121_0</t>
  </si>
  <si>
    <t>122</t>
  </si>
  <si>
    <t>Mas acho que é uma tragédia quando um deles de eles não vê o outro .</t>
  </si>
  <si>
    <t>file://conllu/pt/teddy-1322.conllu#s122_0</t>
  </si>
  <si>
    <t>123</t>
  </si>
  <si>
    <t>quando</t>
  </si>
  <si>
    <t>E quando vejo a maneira como estão a interagir em condições como as três que acabei de descrever , às a as vezes penso que é como aqueles momentos na em a ópera quando o herói percebe que ama a heroína no em o exacto momento em que ela está prestes a expirar num em um divã .</t>
  </si>
  <si>
    <t>file://conllu/pt/teddy-1322.conllu#s123_0</t>
  </si>
  <si>
    <t>124</t>
  </si>
  <si>
    <t>Temos de pensar em como nos em os sentimos sobre curas em geral .</t>
  </si>
  <si>
    <t>file://conllu/pt/teddy-1322.conllu#s124_0</t>
  </si>
  <si>
    <t>125</t>
  </si>
  <si>
    <t>ser (ser o)</t>
  </si>
  <si>
    <t>Muitas vezes , a questão da de a paternidade é : o que é que aceitamos nos em os nossos filhos e o que é que queremos curar neles em eles ?</t>
  </si>
  <si>
    <t>file://conllu/pt/teddy-1322.conllu#s125_0</t>
  </si>
  <si>
    <t>126</t>
  </si>
  <si>
    <t>Jim Sinclair , uma proeminente activista pelo por o autismo , disse :</t>
  </si>
  <si>
    <t>file://conllu/pt/teddy-1322.conllu#s126_0</t>
  </si>
  <si>
    <t>127</t>
  </si>
  <si>
    <t>dizer (dizer querer)</t>
  </si>
  <si>
    <t>&amp;quot; Quando os pais dizem : &amp;quot; ' Eu queria que o meu filho não fosse autista' , &amp;quot; o que eles estão a dizer é :</t>
  </si>
  <si>
    <t>file://conllu/pt/teddy-1322.conllu#s127_0</t>
  </si>
  <si>
    <t>128</t>
  </si>
  <si>
    <t>&amp;quot; ' Eu queria que a criança que tenho não existisse &amp;quot; 'e que eu tivesse um filho diferente , não-autista , em vez deste de este .'</t>
  </si>
  <si>
    <t>file://conllu/pt/teddy-1322.conllu#s128_0</t>
  </si>
  <si>
    <t>129</t>
  </si>
  <si>
    <t>Le</t>
  </si>
  <si>
    <t>&amp;quot; Leiam novamente .</t>
  </si>
  <si>
    <t>file://conllu/pt/teddy-1322.conllu#s129_0</t>
  </si>
  <si>
    <t>130</t>
  </si>
  <si>
    <t>ser (ser isto)</t>
  </si>
  <si>
    <t>É isto que entendemos quando vocês choram pela por a nossa existência .</t>
  </si>
  <si>
    <t>file://conllu/pt/teddy-1322.conllu#s130_0</t>
  </si>
  <si>
    <t>131</t>
  </si>
  <si>
    <t>&amp;quot; É isto que ouvimos quando rezam por uma cura &amp;quot; — que o vosso desejo mais carinhoso para nós &amp;quot; é que um dia deixemos de existir &amp;quot; e que , por trás das de as nossas caras , apareçam estranhos para vocês amarem . &amp;quot;</t>
  </si>
  <si>
    <t>file://conllu/pt/teddy-1322.conllu#s131_0</t>
  </si>
  <si>
    <t>132</t>
  </si>
  <si>
    <t>ser (ser ponto)</t>
  </si>
  <si>
    <t>É um ponto de vista muito extremo mas aponta para a realidade de que as pessoas se envolvem com a vida que têm e não querem ser curadas ou alteradas ou eliminadas .</t>
  </si>
  <si>
    <t>file://conllu/pt/teddy-1322.conllu#s132_0</t>
  </si>
  <si>
    <t>133</t>
  </si>
  <si>
    <t>Quem?</t>
  </si>
  <si>
    <t>Querem ser quem quer que seja que vieram para ser .</t>
  </si>
  <si>
    <t>file://conllu/pt/teddy-1322.conllu#s133_0</t>
  </si>
  <si>
    <t>134</t>
  </si>
  <si>
    <t>ser (ser família)</t>
  </si>
  <si>
    <t>Uma das de as famílias que entrevistei para este projecto foi a família de Dylan Klebold , um dos de os autores do de o massacre de Columbine .</t>
  </si>
  <si>
    <t>file://conllu/pt/teddy-1322.conllu#s134_0</t>
  </si>
  <si>
    <t>135</t>
  </si>
  <si>
    <t>demorar</t>
  </si>
  <si>
    <t>Demorou muito tempo a convencê-los convencê los a falar comigo com mim , e , quando concordaram , estavam tão cheios da de a sua história que não conseguiam parar de contá-la contá la .</t>
  </si>
  <si>
    <t>file://conllu/pt/teddy-1322.conllu#s135_0</t>
  </si>
  <si>
    <t>138</t>
  </si>
  <si>
    <t>estar (estar sentado)</t>
  </si>
  <si>
    <t>Estávamos sentados na em a cozinha .</t>
  </si>
  <si>
    <t>file://conllu/pt/teddy-1322.conllu#s138_0</t>
  </si>
  <si>
    <t>139</t>
  </si>
  <si>
    <t>Sue Klebold estava a preparar o jantar .</t>
  </si>
  <si>
    <t>file://conllu/pt/teddy-1322.conllu#s139_0</t>
  </si>
  <si>
    <t>140</t>
  </si>
  <si>
    <t>dizer (dizer perguntar)</t>
  </si>
  <si>
    <t>E eu perguntei : &amp;quot; Se o Dylan estivesse aqui agora , &amp;quot; tem alguma ideia do de o que gostariam de lhe perguntar ? &amp;quot; E o pai disse :</t>
  </si>
  <si>
    <t>file://conllu/pt/teddy-1322.conllu#s140_0</t>
  </si>
  <si>
    <t>141</t>
  </si>
  <si>
    <t>claro</t>
  </si>
  <si>
    <t>&amp;quot; Claro que sim .</t>
  </si>
  <si>
    <t>file://conllu/pt/teddy-1322.conllu#s141_0</t>
  </si>
  <si>
    <t>142</t>
  </si>
  <si>
    <t>gostar</t>
  </si>
  <si>
    <t>&amp;quot; Gostaria de lhe perguntar que diabo pensava ele estar a fazer . &amp;quot;</t>
  </si>
  <si>
    <t>file://conllu/pt/teddy-1322.conllu#s142_0</t>
  </si>
  <si>
    <t>143</t>
  </si>
  <si>
    <t>olhar</t>
  </si>
  <si>
    <t>Sue olhou para o chão e pensou durante um minuto .</t>
  </si>
  <si>
    <t>file://conllu/pt/teddy-1322.conllu#s143_0</t>
  </si>
  <si>
    <t>144</t>
  </si>
  <si>
    <t>Então olhou para cima e disse :</t>
  </si>
  <si>
    <t>file://conllu/pt/teddy-1322.conllu#s144_0</t>
  </si>
  <si>
    <t>145</t>
  </si>
  <si>
    <t>Pedir</t>
  </si>
  <si>
    <t>&amp;quot; Pedir-lhe-ia Pediria lhe que me perdoasse por ser a sua mãe &amp;quot; e nunca saber o que estava a acontecer dentro da de a sua cabeça . &amp;quot; Quando eu jantei com ela uns anos mais tarde — um de muitos jantares que tivemos juntos — ela disse :</t>
  </si>
  <si>
    <t>file://conllu/pt/teddy-1322.conllu#s145_0</t>
  </si>
  <si>
    <t>146</t>
  </si>
  <si>
    <t>Sabes</t>
  </si>
  <si>
    <t>&amp;quot; Sabes , assim que aquilo aconteceu , &amp;quot; eu costumava desejar nunca ter casado , nunca ter tido filhos .</t>
  </si>
  <si>
    <t>file://conllu/pt/teddy-1322.conllu#s146_0</t>
  </si>
  <si>
    <t>147</t>
  </si>
  <si>
    <t>acontecer</t>
  </si>
  <si>
    <t>&amp;quot; Se eu não tivesse ido para o estado de Ohio &amp;quot; e não me tivesse cruzado com Tom , &amp;quot; esta criança não teria existido , esta coisa terrível não teria acontecido .</t>
  </si>
  <si>
    <t>file://conllu/pt/teddy-1322.conllu#s147_0</t>
  </si>
  <si>
    <t>148</t>
  </si>
  <si>
    <t>&amp;quot; Mas tenho vindo a sentir que amo tanto os filhos que tive &amp;quot; que não quero imaginar uma vida sem eles .</t>
  </si>
  <si>
    <t>file://conllu/pt/teddy-1322.conllu#s148_0</t>
  </si>
  <si>
    <t>149</t>
  </si>
  <si>
    <t>Reconhecer</t>
  </si>
  <si>
    <t>&amp;quot; Reconheço a dor que causaram aos a os outros , para a qual não pode haver nenhum perdão , &amp;quot; mas para a dor que eles me causaram , há perdão &amp;quot; .</t>
  </si>
  <si>
    <t>file://conllu/pt/teddy-1322.conllu#s149_0</t>
  </si>
  <si>
    <t>150</t>
  </si>
  <si>
    <t>concluir (concluir reconhecer)</t>
  </si>
  <si>
    <t>&amp;quot; Por isso , enquanto reconheço que teria sido melhor para o mundo &amp;quot; que Dylan nunca tivesse nascido , &amp;quot; concluí que isso não teria sido o melhor para mim. &amp;quot; Pensei como era surpreendente que todas estas famílias tivessem todos estes filhos com todos estes problemas , problemas que eles , na em a sua maior parte , teriam feito tudo para evitar , e que todos tenham encontrado tanto significado naquela em aquela experiência de paternidade .</t>
  </si>
  <si>
    <t>file://conllu/pt/teddy-1322.conllu#s150_0</t>
  </si>
  <si>
    <t>151</t>
  </si>
  <si>
    <t>amar</t>
  </si>
  <si>
    <t>Depois pensei que todos nós , que temos filhos , amamos os filhos que temos , com os seus defeitos .</t>
  </si>
  <si>
    <t>file://conllu/pt/teddy-1322.conllu#s151_0</t>
  </si>
  <si>
    <t>152</t>
  </si>
  <si>
    <t>E se?</t>
  </si>
  <si>
    <t>descer</t>
  </si>
  <si>
    <t>Se algum anjo glorioso de repente descesse pelo por o tecto da de a minha sala de estar e se oferecesse para levar as crianças que tenho e dar-me dar me outras , crianças melhores — mais bem-educadas , mais engraçadas , mais agradáveis , mais inteligentes — eu iria agarrar-me agarrar me às a as crianças que tenho e rezar para impedir tal espectáculo atroz .</t>
  </si>
  <si>
    <t>file://conllu/pt/teddy-1322.conllu#s152_0</t>
  </si>
  <si>
    <t>154</t>
  </si>
  <si>
    <t>Mas se começarmos a pensar que a experiência de lidar com a diferença dentro da de a própria família é aquilo com que outras pessoas estão a lidar , então descobrem que é um fenómeno quase universal .</t>
  </si>
  <si>
    <t>file://conllu/pt/teddy-1322.conllu#s154_0</t>
  </si>
  <si>
    <t>155</t>
  </si>
  <si>
    <t>verificar</t>
  </si>
  <si>
    <t>Ironicamente , verifica-se verifica se que são as nossas diferenças e como lidamos com a diferença que nos em os unem .</t>
  </si>
  <si>
    <t>file://conllu/pt/teddy-1322.conllu#s155_0</t>
  </si>
  <si>
    <t>156</t>
  </si>
  <si>
    <t>decidir</t>
  </si>
  <si>
    <t>Eu decidi ter filhos enquanto estava a trabalhar neste em este projecto .</t>
  </si>
  <si>
    <t>file://conllu/pt/teddy-1322.conllu#s156_0</t>
  </si>
  <si>
    <t>157</t>
  </si>
  <si>
    <t>Muitas pessoas ficavam surpreendidas e perguntavam :</t>
  </si>
  <si>
    <t>file://conllu/pt/teddy-1322.conllu#s157_0</t>
  </si>
  <si>
    <t>158</t>
  </si>
  <si>
    <t>&amp;quot; Mas como é que podes decidir ter filhos &amp;quot; enquanto estudas tudo o que pode dar errado ? &amp;quot;</t>
  </si>
  <si>
    <t>file://conllu/pt/teddy-1322.conllu#s158_0</t>
  </si>
  <si>
    <t>159</t>
  </si>
  <si>
    <t>E eu respondi : &amp;quot; Eu não estou a estudar tudo o que pode dar errado .</t>
  </si>
  <si>
    <t>file://conllu/pt/teddy-1322.conllu#s159_0</t>
  </si>
  <si>
    <t>160</t>
  </si>
  <si>
    <t>&amp;quot; que eu estou a estudar é quanto amor pode existir , &amp;quot; mesmo quando tudo parece estar a correr mal . &amp;quot; Pensei muito na em a mãe de uma criança deficiente que eu tinha visto , uma criança com uma deficiência grave , que morreu por negligência médica .</t>
  </si>
  <si>
    <t>file://conllu/pt/teddy-1322.conllu#s160_0</t>
  </si>
  <si>
    <t>161</t>
  </si>
  <si>
    <t>Quando as suas cinzas foram enterradas , a mãe disse :</t>
  </si>
  <si>
    <t>file://conllu/pt/teddy-1322.conllu#s161_0</t>
  </si>
  <si>
    <t>162</t>
  </si>
  <si>
    <t>Rezar</t>
  </si>
  <si>
    <t>&amp;quot; Rezo aqui por perdão por ter sido roubada duas vezes : &amp;quot; roubaram-me roubaram me a criança que queria e depois roubaram-me roubaram me o filho que amava . &amp;quot;</t>
  </si>
  <si>
    <t>file://conllu/pt/teddy-1322.conllu#s162_0</t>
  </si>
  <si>
    <t>163</t>
  </si>
  <si>
    <t>perceber</t>
  </si>
  <si>
    <t>E eu percebi , então , que era possível qualquer pessoa amar qualquer criança se tivesse verdadeira vontade de fazê-lo fazê lo .</t>
  </si>
  <si>
    <t>file://conllu/pt/teddy-1322.conllu#s163_0</t>
  </si>
  <si>
    <t>164</t>
  </si>
  <si>
    <t>ser (ser pai)</t>
  </si>
  <si>
    <t>meu marido é o pai biológico de dois filhos com algumas amigas lésbicas em Minneapolis .</t>
  </si>
  <si>
    <t>file://conllu/pt/teddy-1322.conllu#s164_0</t>
  </si>
  <si>
    <t>165</t>
  </si>
  <si>
    <t>Eu tinha um amiga chegada da de a faculdade que tinha passado por um divórcio e queria ter filhos .</t>
  </si>
  <si>
    <t>file://conllu/pt/teddy-1322.conllu#s165_0</t>
  </si>
  <si>
    <t>166</t>
  </si>
  <si>
    <t>viver</t>
  </si>
  <si>
    <t>E assim , ela e eu temos uma filha , e mãe e filha vivem no em o Texas .</t>
  </si>
  <si>
    <t>file://conllu/pt/teddy-1322.conllu#s166_0</t>
  </si>
  <si>
    <t>167</t>
  </si>
  <si>
    <t>marido</t>
  </si>
  <si>
    <t>E o meu marido e eu temos um filho que mora connosco con nosco o tempo todo , do de o qual eu sou o pai biológico , e a nossa substituta para a gravidez foi a Laura , a mãe lésbica de Oliver e Lucy em Minneapolis .</t>
  </si>
  <si>
    <t>file://conllu/pt/teddy-1322.conllu#s167_0</t>
  </si>
  <si>
    <t>168</t>
  </si>
  <si>
    <t>Assim , abreviando , são cinco pais de quatro filhos de três Estados .</t>
  </si>
  <si>
    <t>file://conllu/pt/teddy-1322.conllu#s168_0</t>
  </si>
  <si>
    <t>169</t>
  </si>
  <si>
    <t>Há pessoas que pensam que a existência da de a minha família de certo modo prejudica , enfraquece ou danifica a sua família .</t>
  </si>
  <si>
    <t>file://conllu/pt/teddy-1322.conllu#s169_0</t>
  </si>
  <si>
    <t>170</t>
  </si>
  <si>
    <t>E há pessoas que pensam que famílias como a minha não deviam ser autorizadas a existir .</t>
  </si>
  <si>
    <t>file://conllu/pt/teddy-1322.conllu#s170_0</t>
  </si>
  <si>
    <t>171</t>
  </si>
  <si>
    <t>aceitar</t>
  </si>
  <si>
    <t>Eu não aceito modelos subtractivos de amor , apenas modelos aditivos .</t>
  </si>
  <si>
    <t>file://conllu/pt/teddy-1322.conllu#s171_0</t>
  </si>
  <si>
    <t>172</t>
  </si>
  <si>
    <t>E acredito que tal como precisamos de diversidade de espécies para garantir que o planeta possa continuar a existir , também precisamos desta de esta diversidade de afecto e diversidade de famílias para reforçar a ecosfera da de a bondade .</t>
  </si>
  <si>
    <t>file://conllu/pt/teddy-1322.conllu#s172_0</t>
  </si>
  <si>
    <t>174</t>
  </si>
  <si>
    <t>Ele não estava a esticar as pernas adequadamente .</t>
  </si>
  <si>
    <t>file://conllu/pt/teddy-1322.conllu#s174_0</t>
  </si>
  <si>
    <t>175</t>
  </si>
  <si>
    <t>Ela disse que podia significar que tinha danos cerebrais .</t>
  </si>
  <si>
    <t>file://conllu/pt/teddy-1322.conllu#s175_0</t>
  </si>
  <si>
    <t>177</t>
  </si>
  <si>
    <t>E ele tinha uma cabeça muito grande , que ela pensou poder indicar hidrocefalia .</t>
  </si>
  <si>
    <t>file://conllu/pt/teddy-1322.conllu#s177_0</t>
  </si>
  <si>
    <t>178</t>
  </si>
  <si>
    <t>Enquanto ela me dizia estas coisas , senti o centro do de o meu ser a derramar-se derramar se no em o chão .</t>
  </si>
  <si>
    <t>file://conllu/pt/teddy-1322.conllu#s178_0</t>
  </si>
  <si>
    <t>179</t>
  </si>
  <si>
    <t>Pensei que tinha trabalhado durante tantos anos num em um livro sobre o significado que as pessoas tinham encontrado na em a experiência de ser pais de crianças que são deficientes , e eu não queria juntar-me juntar me a esse grupo .</t>
  </si>
  <si>
    <t>file://conllu/pt/teddy-1322.conllu#s179_0</t>
  </si>
  <si>
    <t>180</t>
  </si>
  <si>
    <t>ser (ser ideia)</t>
  </si>
  <si>
    <t>Porque o que estava a encarar era uma ideia de doença .</t>
  </si>
  <si>
    <t>file://conllu/pt/teddy-1322.conllu#s180_0</t>
  </si>
  <si>
    <t>181</t>
  </si>
  <si>
    <t>E como todos os pais desde os primórdios dos de os tempos , queria proteger o meu filho da de a doença .</t>
  </si>
  <si>
    <t>file://conllu/pt/teddy-1322.conllu#s181_0</t>
  </si>
  <si>
    <t>182</t>
  </si>
  <si>
    <t>E também me queria proteger da de a doença .</t>
  </si>
  <si>
    <t>file://conllu/pt/teddy-1322.conllu#s182_0</t>
  </si>
  <si>
    <t>183</t>
  </si>
  <si>
    <t>Mesmo assim , devido ao a o trabalho que tinha realizado , eu sabia que se ele tivesse qualquer das de as coisas que estávamos prestes a testar , essas seriam , em última análise , a sua identidade , e , se fossem a sua identidade , tornam-se- tornam se- iam na em a minha identidade , e que essa doença iria tomar uma forma muito diferente enquanto se desenrolasse .</t>
  </si>
  <si>
    <t>file://conllu/pt/teddy-1322.conllu#s183_0</t>
  </si>
  <si>
    <t>187</t>
  </si>
  <si>
    <t>perguntar (perguntar dizer)</t>
  </si>
  <si>
    <t>Quando eu perguntei à a a pediatra o que tinha acontecido , ela disse que provavelmente , de manhã , ele tinha tido uma cãibra .</t>
  </si>
  <si>
    <t>file://conllu/pt/teddy-1322.conllu#s187_0</t>
  </si>
  <si>
    <t>188</t>
  </si>
  <si>
    <t>Mas eu pensei ... em como a minha mãe estava certa .</t>
  </si>
  <si>
    <t>file://conllu/pt/teddy-1322.conllu#s188_0</t>
  </si>
  <si>
    <t>189</t>
  </si>
  <si>
    <t>Pensei que o amor que temos pelos por os nossos filhos é diferente de qualquer outro sentimento do de o mundo , e , até termos filhos , não sabemos como é esse sentimento .</t>
  </si>
  <si>
    <t>file://conllu/pt/teddy-1322.conllu#s189_0</t>
  </si>
  <si>
    <t>190</t>
  </si>
  <si>
    <t>Acho que as crianças me apanharam no em o momento em que associei a paternidade à a a perda .</t>
  </si>
  <si>
    <t>file://conllu/pt/teddy-1322.conllu#s190_0</t>
  </si>
  <si>
    <t>191</t>
  </si>
  <si>
    <t>Mas não tenho a certeza de que me teria apercebido disso de isso se não tivesse estado tão envolvido neste em este meu projecto de investigação .</t>
  </si>
  <si>
    <t>file://conllu/pt/teddy-1322.conllu#s191_0</t>
  </si>
  <si>
    <t>192</t>
  </si>
  <si>
    <t>Eu tinha encontrado tanto amor estranho e caí muito naturalmente nos em os seus encantadores padrões .</t>
  </si>
  <si>
    <t>file://conllu/pt/teddy-1322.conllu#s192_0</t>
  </si>
  <si>
    <t>193</t>
  </si>
  <si>
    <t>E vi como o esplendor pode iluminar até mesmo as vulnerabilidades mais abjectas .</t>
  </si>
  <si>
    <t>file://conllu/pt/teddy-1322.conllu#s193_0</t>
  </si>
  <si>
    <t>194</t>
  </si>
  <si>
    <t>testemunhar</t>
  </si>
  <si>
    <t>Durante estes 10 anos , eu tinha testemunhado e aprendido a assustadora alegria da de a responsabilidade insuportável , e tinha visto como ela vence tudo o resto .</t>
  </si>
  <si>
    <t>file://conllu/pt/teddy-1322.conllu#s194_0</t>
  </si>
  <si>
    <t>195</t>
  </si>
  <si>
    <t>tentar (tentar pensar perceber)</t>
  </si>
  <si>
    <t>Embora , por vezes , eu tenha pensado que os pais que eu estava a entrevistar eram tolos , escravizando-se escravizando se para uma jornada de vida com os seus filhos ingratos e tentando criar identidade a partir da de a miséria , percebi naquele em aquele dia que a minha pesquisa me tinha construído uma prancha e que eu estava pronto para me juntar a eles no em o seu navio .</t>
  </si>
  <si>
    <t>file://conllu/pt/teddy-1322.conllu#s195_0</t>
  </si>
  <si>
    <t>196</t>
  </si>
  <si>
    <t>obrigar</t>
  </si>
  <si>
    <t>Obrigado .</t>
  </si>
  <si>
    <t>file://conllu/pt/teddy-1322.conllu#s196_0</t>
  </si>
  <si>
    <t>WORD</t>
  </si>
  <si>
    <t>GR</t>
  </si>
  <si>
    <t>NP_TYPE</t>
  </si>
  <si>
    <t>REF_AUTO</t>
  </si>
  <si>
    <t>COREF</t>
  </si>
  <si>
    <t>REF</t>
  </si>
  <si>
    <t>IS</t>
  </si>
  <si>
    <t>CB</t>
  </si>
  <si>
    <t>GR_ANTE</t>
  </si>
  <si>
    <t>REF_DIST</t>
  </si>
  <si>
    <t>REF_DIST_ANTE</t>
  </si>
  <si>
    <t># text = "Mesmo em termos puramente não-religiosos, "a homossexualidade representa um mau uso da faculdade sexual.</t>
  </si>
  <si>
    <t>&amp;quot;</t>
  </si>
  <si>
    <t>Mesmo</t>
  </si>
  <si>
    <t>em</t>
  </si>
  <si>
    <t>termos</t>
  </si>
  <si>
    <t>other</t>
  </si>
  <si>
    <t>indef-np.bare</t>
  </si>
  <si>
    <t>puramente</t>
  </si>
  <si>
    <t>não-religiosos</t>
  </si>
  <si>
    <t>,</t>
  </si>
  <si>
    <t>a</t>
  </si>
  <si>
    <t>homossexualidade</t>
  </si>
  <si>
    <t>SBJ</t>
  </si>
  <si>
    <t>def-np.the</t>
  </si>
  <si>
    <t>?OLD</t>
  </si>
  <si>
    <t>representa</t>
  </si>
  <si>
    <t>um</t>
  </si>
  <si>
    <t>mau</t>
  </si>
  <si>
    <t>uso</t>
  </si>
  <si>
    <t>OBJ</t>
  </si>
  <si>
    <t>def-np.poss</t>
  </si>
  <si>
    <t>de</t>
  </si>
  <si>
    <t>faculdade</t>
  </si>
  <si>
    <t>other_2</t>
  </si>
  <si>
    <t>sexual</t>
  </si>
  <si>
    <t>.</t>
  </si>
  <si>
    <t>--</t>
  </si>
  <si>
    <t># text = "É um patético e pequeno substituto de segunda categoria para a realidade, "um voo lamentável da vida.</t>
  </si>
  <si>
    <t>É</t>
  </si>
  <si>
    <t>patético</t>
  </si>
  <si>
    <t>e</t>
  </si>
  <si>
    <t>pequeno</t>
  </si>
  <si>
    <t>substituto</t>
  </si>
  <si>
    <t>segunda</t>
  </si>
  <si>
    <t>categoria</t>
  </si>
  <si>
    <t>para</t>
  </si>
  <si>
    <t>realidade</t>
  </si>
  <si>
    <t>voo</t>
  </si>
  <si>
    <t>lamentável</t>
  </si>
  <si>
    <t>vida</t>
  </si>
  <si>
    <t># text = \"Como tal, não merece compaixão, \"não merece tratamento \"como martírio de minoria, \"e não merece ser considerado algo mais do que uma doença perniciosa.\" Isto é da revista Time, em 1966, quando eu tinha três anos.</t>
  </si>
  <si>
    <t>Como</t>
  </si>
  <si>
    <t>tal</t>
  </si>
  <si>
    <t>pron.pind</t>
  </si>
  <si>
    <t>não</t>
  </si>
  <si>
    <t>merece</t>
  </si>
  <si>
    <t>compaixão</t>
  </si>
  <si>
    <t>tratamento</t>
  </si>
  <si>
    <t>como</t>
  </si>
  <si>
    <t>martírio</t>
  </si>
  <si>
    <t>minoria</t>
  </si>
  <si>
    <t>other_3</t>
  </si>
  <si>
    <t>ser</t>
  </si>
  <si>
    <t>considerado</t>
  </si>
  <si>
    <t>algo</t>
  </si>
  <si>
    <t>other_6</t>
  </si>
  <si>
    <t>mais</t>
  </si>
  <si>
    <t>other_10</t>
  </si>
  <si>
    <t>pron.pds</t>
  </si>
  <si>
    <t>que</t>
  </si>
  <si>
    <t>uma</t>
  </si>
  <si>
    <t>doença</t>
  </si>
  <si>
    <t>other_8</t>
  </si>
  <si>
    <t>indef-np.a</t>
  </si>
  <si>
    <t>perniciosa</t>
  </si>
  <si>
    <t>Isto</t>
  </si>
  <si>
    <t>SBJ_7</t>
  </si>
  <si>
    <t>é</t>
  </si>
  <si>
    <t>revista</t>
  </si>
  <si>
    <t>OBJ_6</t>
  </si>
  <si>
    <t>Time</t>
  </si>
  <si>
    <t>other_7</t>
  </si>
  <si>
    <t>ne</t>
  </si>
  <si>
    <t>1966</t>
  </si>
  <si>
    <t>eu</t>
  </si>
  <si>
    <t>SBJ_8</t>
  </si>
  <si>
    <t>pron.pper</t>
  </si>
  <si>
    <t>tinha</t>
  </si>
  <si>
    <t>três</t>
  </si>
  <si>
    <t>anos</t>
  </si>
  <si>
    <t>OBJ_8</t>
  </si>
  <si>
    <t>indef-np.quant</t>
  </si>
  <si>
    <t># text = No ano passado, o Presidente dos EUA saiu em favor do casamento homossexual.</t>
  </si>
  <si>
    <t>Em</t>
  </si>
  <si>
    <t>ano</t>
  </si>
  <si>
    <t>passado</t>
  </si>
  <si>
    <t>Presidente</t>
  </si>
  <si>
    <t>os</t>
  </si>
  <si>
    <t>EUA</t>
  </si>
  <si>
    <t>saiu</t>
  </si>
  <si>
    <t>favor</t>
  </si>
  <si>
    <t>casamento</t>
  </si>
  <si>
    <t>homossexual</t>
  </si>
  <si>
    <t># text = (Aplausos) A minha pergunta é:</t>
  </si>
  <si>
    <t>(</t>
  </si>
  <si>
    <t>Aplausos</t>
  </si>
  <si>
    <t>)</t>
  </si>
  <si>
    <t>A</t>
  </si>
  <si>
    <t>minha</t>
  </si>
  <si>
    <t>pron.ppos</t>
  </si>
  <si>
    <t>pergunta</t>
  </si>
  <si>
    <t>:</t>
  </si>
  <si>
    <t># text = Como chegámos de lá até aqui?</t>
  </si>
  <si>
    <t>chegámos</t>
  </si>
  <si>
    <t>lá</t>
  </si>
  <si>
    <t>até</t>
  </si>
  <si>
    <t>aqui</t>
  </si>
  <si>
    <t>?</t>
  </si>
  <si>
    <t># text = Como é que uma doença se tornou uma identidade?</t>
  </si>
  <si>
    <t>se</t>
  </si>
  <si>
    <t>tornou</t>
  </si>
  <si>
    <t>identidade</t>
  </si>
  <si>
    <t># text = Quando eu tinha talvez uns seis anos, fui a uma sapataria com a minha mãe e o meu irmão.</t>
  </si>
  <si>
    <t>Quando</t>
  </si>
  <si>
    <t>SBJ_2</t>
  </si>
  <si>
    <t>talvez</t>
  </si>
  <si>
    <t>uns</t>
  </si>
  <si>
    <t>seis</t>
  </si>
  <si>
    <t>OBJ_2</t>
  </si>
  <si>
    <t>fui</t>
  </si>
  <si>
    <t>sapataria</t>
  </si>
  <si>
    <t>com</t>
  </si>
  <si>
    <t>mãe</t>
  </si>
  <si>
    <t>meu</t>
  </si>
  <si>
    <t>irmão</t>
  </si>
  <si>
    <t># text = No final da compra dos sapatos, o vendedor disse-nos que cada um de nós poderia levar um balão para casa.</t>
  </si>
  <si>
    <t>final</t>
  </si>
  <si>
    <t>compra</t>
  </si>
  <si>
    <t>sapatos</t>
  </si>
  <si>
    <t>vendedor</t>
  </si>
  <si>
    <t>disse</t>
  </si>
  <si>
    <t>nos</t>
  </si>
  <si>
    <t>cada</t>
  </si>
  <si>
    <t>nós</t>
  </si>
  <si>
    <t>SBJ_3</t>
  </si>
  <si>
    <t>poderia</t>
  </si>
  <si>
    <t>balão</t>
  </si>
  <si>
    <t>OBJ_3</t>
  </si>
  <si>
    <t>casa</t>
  </si>
  <si>
    <t>other_4</t>
  </si>
  <si>
    <t># text = O meu irmão queria um balão vermelho e eu queria um balão cor-de-rosa.</t>
  </si>
  <si>
    <t>queria</t>
  </si>
  <si>
    <t>vermelho</t>
  </si>
  <si>
    <t>cor-de-rosa</t>
  </si>
  <si>
    <t># text = A minha mãe disse que pensava que eu preferiria antes ter um balão azul.</t>
  </si>
  <si>
    <t>pensava</t>
  </si>
  <si>
    <t>preferiria</t>
  </si>
  <si>
    <t>antes</t>
  </si>
  <si>
    <t>OBJ_4</t>
  </si>
  <si>
    <t>azul</t>
  </si>
  <si>
    <t># text = Mas eu disse que queria definitivamente o cor-de-rosa.</t>
  </si>
  <si>
    <t>Mas</t>
  </si>
  <si>
    <t>definitivamente</t>
  </si>
  <si>
    <t># text = E ela lembrou-me de que a minha cor preferida era o azul.</t>
  </si>
  <si>
    <t>E</t>
  </si>
  <si>
    <t>ela</t>
  </si>
  <si>
    <t>lembrou</t>
  </si>
  <si>
    <t>me</t>
  </si>
  <si>
    <t>cor</t>
  </si>
  <si>
    <t>preferida</t>
  </si>
  <si>
    <t>era</t>
  </si>
  <si>
    <t># text = O facto de que agora a minha cor preferida é o azul mas eu ainda sou "gay" (Risos) é prova da influência da minha mãe e dos seus limites.</t>
  </si>
  <si>
    <t>agora</t>
  </si>
  <si>
    <t>mas</t>
  </si>
  <si>
    <t>ainda</t>
  </si>
  <si>
    <t>sou</t>
  </si>
  <si>
    <t>gay</t>
  </si>
  <si>
    <t>Risos</t>
  </si>
  <si>
    <t>prova</t>
  </si>
  <si>
    <t>influência</t>
  </si>
  <si>
    <t>other_5</t>
  </si>
  <si>
    <t>seus</t>
  </si>
  <si>
    <t>limites</t>
  </si>
  <si>
    <t># text = Quando eu era pequeno, a minha mãe costumava dizer: "O amor que temos pelos filhos é diferente de qualquer outro sentimento no mundo.</t>
  </si>
  <si>
    <t>costumava</t>
  </si>
  <si>
    <t>amor</t>
  </si>
  <si>
    <t>temos</t>
  </si>
  <si>
    <t>por</t>
  </si>
  <si>
    <t>filhos</t>
  </si>
  <si>
    <t>diferente</t>
  </si>
  <si>
    <t>qualquer</t>
  </si>
  <si>
    <t>outro</t>
  </si>
  <si>
    <t>sentimento</t>
  </si>
  <si>
    <t>mundo</t>
  </si>
  <si>
    <t># text = \"E até termos filhos, não sabemos como é.\" Quando eu era pequeno, eu tomava isto como o melhor elogio do mundo que ela diria sobre ser a minha mãe e do meu irmão.</t>
  </si>
  <si>
    <t>sabemos</t>
  </si>
  <si>
    <t>tomava</t>
  </si>
  <si>
    <t>isto</t>
  </si>
  <si>
    <t>melhor</t>
  </si>
  <si>
    <t>elogio</t>
  </si>
  <si>
    <t>SBJ_4</t>
  </si>
  <si>
    <t>SBJ_5</t>
  </si>
  <si>
    <t>diria</t>
  </si>
  <si>
    <t>sobre</t>
  </si>
  <si>
    <t># text = Enquanto adolescente, pensei que, sendo "gay", provavelmente não poderia ter uma família.</t>
  </si>
  <si>
    <t>Enquanto</t>
  </si>
  <si>
    <t>adolescente</t>
  </si>
  <si>
    <t>pensei</t>
  </si>
  <si>
    <t>sendo</t>
  </si>
  <si>
    <t>provavelmente</t>
  </si>
  <si>
    <t>família</t>
  </si>
  <si>
    <t>OBJ_5</t>
  </si>
  <si>
    <t># text = E, quando ela dizia aquilo, sentia-me ansioso.</t>
  </si>
  <si>
    <t>dizia</t>
  </si>
  <si>
    <t>aquilo</t>
  </si>
  <si>
    <t>sentia</t>
  </si>
  <si>
    <t>ansioso</t>
  </si>
  <si>
    <t># text = Depois de ter \"saído do armário\", quando ela continuou a dizê-lo, sentia-me furioso.</t>
  </si>
  <si>
    <t>Depois</t>
  </si>
  <si>
    <t>saído</t>
  </si>
  <si>
    <t>armário</t>
  </si>
  <si>
    <t>continuou</t>
  </si>
  <si>
    <t>dizê</t>
  </si>
  <si>
    <t>lo</t>
  </si>
  <si>
    <t>furioso</t>
  </si>
  <si>
    <t># text = Disse-lhe: \"Sou 'gay'.</t>
  </si>
  <si>
    <t>Disse</t>
  </si>
  <si>
    <t>lhe</t>
  </si>
  <si>
    <t>Sou</t>
  </si>
  <si>
    <t>'</t>
  </si>
  <si>
    <t># text = Não estou voltado para essa direção.</t>
  </si>
  <si>
    <t>Não</t>
  </si>
  <si>
    <t>estou</t>
  </si>
  <si>
    <t>voltado</t>
  </si>
  <si>
    <t>essa</t>
  </si>
  <si>
    <t>direção</t>
  </si>
  <si>
    <t>def-np.dem</t>
  </si>
  <si>
    <t># text = \"E quero que pares de dizer isso.\"</t>
  </si>
  <si>
    <t>quero</t>
  </si>
  <si>
    <t>pares</t>
  </si>
  <si>
    <t>isso</t>
  </si>
  <si>
    <t># text = Há uns 20 anos, os editores da revista The New York Times convidaram-me para escrever um artigo sobre a cultura surda.</t>
  </si>
  <si>
    <t>Há</t>
  </si>
  <si>
    <t>20</t>
  </si>
  <si>
    <t>editores</t>
  </si>
  <si>
    <t>The</t>
  </si>
  <si>
    <t>New</t>
  </si>
  <si>
    <t>York</t>
  </si>
  <si>
    <t>Times</t>
  </si>
  <si>
    <t>convidaram</t>
  </si>
  <si>
    <t>escrever</t>
  </si>
  <si>
    <t>artigo</t>
  </si>
  <si>
    <t>cultura</t>
  </si>
  <si>
    <t>surda</t>
  </si>
  <si>
    <t># text = Fiquei bastante surpreendido.</t>
  </si>
  <si>
    <t>Fiquei</t>
  </si>
  <si>
    <t>bastante</t>
  </si>
  <si>
    <t>surpreendido</t>
  </si>
  <si>
    <t># text = Sempre pensara na surdez como uma doença.</t>
  </si>
  <si>
    <t>Sempre</t>
  </si>
  <si>
    <t>pensara</t>
  </si>
  <si>
    <t>surdez</t>
  </si>
  <si>
    <t># text = Aquelas pobres pessoas não conseguem ouvir.</t>
  </si>
  <si>
    <t>Aquelas</t>
  </si>
  <si>
    <t>pobres</t>
  </si>
  <si>
    <t>pessoas</t>
  </si>
  <si>
    <t>conseguem</t>
  </si>
  <si>
    <t>ouvir</t>
  </si>
  <si>
    <t># text = Faltava-lhes audição, o que poderíamos fazer por elas?</t>
  </si>
  <si>
    <t>Faltava</t>
  </si>
  <si>
    <t>lhes</t>
  </si>
  <si>
    <t>audição</t>
  </si>
  <si>
    <t>poderíamos</t>
  </si>
  <si>
    <t>fazer</t>
  </si>
  <si>
    <t>elas</t>
  </si>
  <si>
    <t># text = Então eu fui conhecer o mundo dos surdos.</t>
  </si>
  <si>
    <t>Então</t>
  </si>
  <si>
    <t>surdos</t>
  </si>
  <si>
    <t># text = Fui a clubes de surdos.</t>
  </si>
  <si>
    <t>Fui</t>
  </si>
  <si>
    <t>clubes</t>
  </si>
  <si>
    <t># text = Vi apresentações de teatro de surdos e de poesia de surdos.</t>
  </si>
  <si>
    <t>Vi</t>
  </si>
  <si>
    <t>apresentações</t>
  </si>
  <si>
    <t>teatro</t>
  </si>
  <si>
    <t>poesia</t>
  </si>
  <si>
    <t># text = Até fui ver o concurso de Miss América Surda em Nashville, no Tennessee, onde as pessoas se queixaram da linguagem gestual do sul.</t>
  </si>
  <si>
    <t>Até</t>
  </si>
  <si>
    <t>concurso</t>
  </si>
  <si>
    <t>Miss</t>
  </si>
  <si>
    <t>América</t>
  </si>
  <si>
    <t>Surda</t>
  </si>
  <si>
    <t>Nashville</t>
  </si>
  <si>
    <t>Tennessee</t>
  </si>
  <si>
    <t>onde</t>
  </si>
  <si>
    <t>as</t>
  </si>
  <si>
    <t>queixaram</t>
  </si>
  <si>
    <t>linguagem</t>
  </si>
  <si>
    <t>gestual</t>
  </si>
  <si>
    <t>sul</t>
  </si>
  <si>
    <t># text = Quanto mais fundo mergulhava no mundo dos surdos, mais me convencia de que a surdez era uma cultura e que, quando as pessoas do mundo surdo diziam:</t>
  </si>
  <si>
    <t>Quanto</t>
  </si>
  <si>
    <t>fundo</t>
  </si>
  <si>
    <t>mergulhava</t>
  </si>
  <si>
    <t>convencia</t>
  </si>
  <si>
    <t>surdo</t>
  </si>
  <si>
    <t>diziam</t>
  </si>
  <si>
    <t># text = \"Não temos falta de audição, somos membros de uma cultura\", estavam a dizer algo que era viável.</t>
  </si>
  <si>
    <t>falta</t>
  </si>
  <si>
    <t>somos</t>
  </si>
  <si>
    <t>membros</t>
  </si>
  <si>
    <t>estavam</t>
  </si>
  <si>
    <t>viável</t>
  </si>
  <si>
    <t># text = Não era a minha cultura, não queria especialmente apressar-me a fazer parte dela, mas pude apreciar que era uma cultura e que, para as pessoas que eram membros dela, era tão valiosa como a cultura latina ou a cultura \"gay\" ou a cultura judaica.</t>
  </si>
  <si>
    <t>especialmente</t>
  </si>
  <si>
    <t>apressar</t>
  </si>
  <si>
    <t>parte</t>
  </si>
  <si>
    <t>pude</t>
  </si>
  <si>
    <t>apreciar</t>
  </si>
  <si>
    <t>eram</t>
  </si>
  <si>
    <t>tão</t>
  </si>
  <si>
    <t>valiosa</t>
  </si>
  <si>
    <t>latina</t>
  </si>
  <si>
    <t>ou</t>
  </si>
  <si>
    <t>judaica</t>
  </si>
  <si>
    <t># text = Parecia-me talvez mesmo tão válida como a cultura norte-americana.</t>
  </si>
  <si>
    <t>Parecia</t>
  </si>
  <si>
    <t>mesmo</t>
  </si>
  <si>
    <t>válida</t>
  </si>
  <si>
    <t>norte-americana</t>
  </si>
  <si>
    <t># text = Depois, uma amiga de um amigo meu teve uma filha que era anã.</t>
  </si>
  <si>
    <t>amiga</t>
  </si>
  <si>
    <t>amigo</t>
  </si>
  <si>
    <t>teve</t>
  </si>
  <si>
    <t>filha</t>
  </si>
  <si>
    <t>anã</t>
  </si>
  <si>
    <t># text = Quando a sua filha nasceu, ela de repente deparou-se com as questões que agora me começavam a parecer bastante importantes.</t>
  </si>
  <si>
    <t>sua</t>
  </si>
  <si>
    <t>nasceu</t>
  </si>
  <si>
    <t>repente</t>
  </si>
  <si>
    <t>deparou</t>
  </si>
  <si>
    <t>questões</t>
  </si>
  <si>
    <t>começavam</t>
  </si>
  <si>
    <t>parecer</t>
  </si>
  <si>
    <t>importantes</t>
  </si>
  <si>
    <t># text = Ela estava a enfrentar a questão do que fazer com esta criança.</t>
  </si>
  <si>
    <t>Ela</t>
  </si>
  <si>
    <t>estava</t>
  </si>
  <si>
    <t>enfrentar</t>
  </si>
  <si>
    <t>questão</t>
  </si>
  <si>
    <t>esta</t>
  </si>
  <si>
    <t>criança</t>
  </si>
  <si>
    <t># text = Devia dizer:</t>
  </si>
  <si>
    <t>Devia</t>
  </si>
  <si>
    <t># text = "És exatamente como os outros, mas um pouco mais baixa"?</t>
  </si>
  <si>
    <t>És</t>
  </si>
  <si>
    <t>outros</t>
  </si>
  <si>
    <t>pouco</t>
  </si>
  <si>
    <t>baixa</t>
  </si>
  <si>
    <t># text = Ou devia tentar construir algum tipo de identidade anã, envolver-se na organização Pessoas Pequenas da América, tornar-se consciente do que estava a acontecer com os anões?</t>
  </si>
  <si>
    <t>Ou</t>
  </si>
  <si>
    <t>devia</t>
  </si>
  <si>
    <t>construir</t>
  </si>
  <si>
    <t>algum</t>
  </si>
  <si>
    <t>tipo</t>
  </si>
  <si>
    <t>envolver</t>
  </si>
  <si>
    <t>organização</t>
  </si>
  <si>
    <t>Pessoas</t>
  </si>
  <si>
    <t>Pequenas</t>
  </si>
  <si>
    <t>consciente</t>
  </si>
  <si>
    <t>anões</t>
  </si>
  <si>
    <t># text = E de repente pensei: as crianças surdas são filhas de pais com audição.</t>
  </si>
  <si>
    <t>crianças</t>
  </si>
  <si>
    <t>surdas</t>
  </si>
  <si>
    <t>são</t>
  </si>
  <si>
    <t>filhas</t>
  </si>
  <si>
    <t>pais</t>
  </si>
  <si>
    <t># text = Esses pais com audição tendem a tentar curá-las.</t>
  </si>
  <si>
    <t>Esses</t>
  </si>
  <si>
    <t>tendem</t>
  </si>
  <si>
    <t>curá</t>
  </si>
  <si>
    <t>las</t>
  </si>
  <si>
    <t># text = De certa forma, essas pessoas surdas descobrem a comunidade na adolescência.</t>
  </si>
  <si>
    <t>De</t>
  </si>
  <si>
    <t>certa</t>
  </si>
  <si>
    <t>forma</t>
  </si>
  <si>
    <t>indef-np</t>
  </si>
  <si>
    <t>essas</t>
  </si>
  <si>
    <t>descobrem</t>
  </si>
  <si>
    <t>comunidade</t>
  </si>
  <si>
    <t>adolescência</t>
  </si>
  <si>
    <t># text = A maioria das pessoas "gays" são filhas de pais heterossexuais.</t>
  </si>
  <si>
    <t>maioria</t>
  </si>
  <si>
    <t>gays</t>
  </si>
  <si>
    <t>heterossexuais</t>
  </si>
  <si>
    <t># text = Esses pais heterossexuais desejam que elas funcionem no que eles consideram a corrente principal no mundo, e esses "gays" têm de descobrir a sua identidade mais tarde.</t>
  </si>
  <si>
    <t>desejam</t>
  </si>
  <si>
    <t>funcionem</t>
  </si>
  <si>
    <t>eles</t>
  </si>
  <si>
    <t>consideram</t>
  </si>
  <si>
    <t>corrente</t>
  </si>
  <si>
    <t>principal</t>
  </si>
  <si>
    <t>esses</t>
  </si>
  <si>
    <t>SBJ_6</t>
  </si>
  <si>
    <t>têm</t>
  </si>
  <si>
    <t>tarde</t>
  </si>
  <si>
    <t># text = E aqui estava esta minha amiga a deparar-se com estas questões de identidade da filha anã.</t>
  </si>
  <si>
    <t>estas</t>
  </si>
  <si>
    <t># text = E eu pensei... aí está novamente: uma família que se considera normal com uma criança que parece ser extraordinária.</t>
  </si>
  <si>
    <t>...</t>
  </si>
  <si>
    <t>aí</t>
  </si>
  <si>
    <t>está</t>
  </si>
  <si>
    <t>novamente</t>
  </si>
  <si>
    <t>considera</t>
  </si>
  <si>
    <t>normal</t>
  </si>
  <si>
    <t>parece</t>
  </si>
  <si>
    <t>extraordinária</t>
  </si>
  <si>
    <t># text = E surgiu-me a ideia de que há realmente dois tipos de identidade.</t>
  </si>
  <si>
    <t>surgiu</t>
  </si>
  <si>
    <t>ideia</t>
  </si>
  <si>
    <t>há</t>
  </si>
  <si>
    <t>realmente</t>
  </si>
  <si>
    <t>dois</t>
  </si>
  <si>
    <t>tipos</t>
  </si>
  <si>
    <t># text = Há identidades verticais, que são passadas hereditariamente de pais para filhos.</t>
  </si>
  <si>
    <t>identidades</t>
  </si>
  <si>
    <t>verticais</t>
  </si>
  <si>
    <t>passadas</t>
  </si>
  <si>
    <t>hereditariamente</t>
  </si>
  <si>
    <t># text = São coisas como etnicidade, frequentemente nacionalidade, língua, religião.</t>
  </si>
  <si>
    <t>São</t>
  </si>
  <si>
    <t>coisas</t>
  </si>
  <si>
    <t>etnicidade</t>
  </si>
  <si>
    <t>frequentemente</t>
  </si>
  <si>
    <t>nacionalidade</t>
  </si>
  <si>
    <t>língua</t>
  </si>
  <si>
    <t>religião</t>
  </si>
  <si>
    <t># text = São coisas que temos em comum com os pais e com os filhos.</t>
  </si>
  <si>
    <t>comum</t>
  </si>
  <si>
    <t># text = Embora algumas delas possam ser difíceis, não há qualquer tentativa para as curar.</t>
  </si>
  <si>
    <t>Embora</t>
  </si>
  <si>
    <t>algumas</t>
  </si>
  <si>
    <t>possam</t>
  </si>
  <si>
    <t>difíceis</t>
  </si>
  <si>
    <t>tentativa</t>
  </si>
  <si>
    <t>curar</t>
  </si>
  <si>
    <t># text = Podem argumentar que é mais difícil nos EUA — não obstante o nosso actual presidente — ser uma pessoa de cor.</t>
  </si>
  <si>
    <t>Podem</t>
  </si>
  <si>
    <t>argumentar</t>
  </si>
  <si>
    <t>difícil</t>
  </si>
  <si>
    <t>—</t>
  </si>
  <si>
    <t>obstante</t>
  </si>
  <si>
    <t>nosso</t>
  </si>
  <si>
    <t>actual</t>
  </si>
  <si>
    <t>presidente</t>
  </si>
  <si>
    <t>pessoa</t>
  </si>
  <si>
    <t># text = Contudo, não temos ninguém a tentar garantir que a próxima geração de filhos de afro-americanos e asiáticos saia com pele clara e cabelo loiro.</t>
  </si>
  <si>
    <t>Contudo</t>
  </si>
  <si>
    <t>ninguém</t>
  </si>
  <si>
    <t>garantir</t>
  </si>
  <si>
    <t>próxima</t>
  </si>
  <si>
    <t>geração</t>
  </si>
  <si>
    <t>afro-americanos</t>
  </si>
  <si>
    <t>asiáticos</t>
  </si>
  <si>
    <t>saia</t>
  </si>
  <si>
    <t>pele</t>
  </si>
  <si>
    <t>clara</t>
  </si>
  <si>
    <t>cabelo</t>
  </si>
  <si>
    <t>loiro</t>
  </si>
  <si>
    <t># text = Também há outras identidades que temos de aprender com os nossos pares.</t>
  </si>
  <si>
    <t>Também</t>
  </si>
  <si>
    <t>outras</t>
  </si>
  <si>
    <t>aprender</t>
  </si>
  <si>
    <t>nossos</t>
  </si>
  <si>
    <t># text = E eu chamo-lhes identidades horizontais, porque o grupo de pares é a experiência horizontal.</t>
  </si>
  <si>
    <t>chamo</t>
  </si>
  <si>
    <t>horizontais</t>
  </si>
  <si>
    <t>porque</t>
  </si>
  <si>
    <t>grupo</t>
  </si>
  <si>
    <t>experiência</t>
  </si>
  <si>
    <t>horizontal</t>
  </si>
  <si>
    <t># text = São identidades que são alheias aos nossos pais e que temos de descobrir quando começamos a vê-las nos pares.</t>
  </si>
  <si>
    <t>alheias</t>
  </si>
  <si>
    <t>começamos</t>
  </si>
  <si>
    <t>vê</t>
  </si>
  <si>
    <t># text = Essas identidades horizontais, as pessoas quase sempre tentaram curar.</t>
  </si>
  <si>
    <t>Essas</t>
  </si>
  <si>
    <t>quase</t>
  </si>
  <si>
    <t>sempre</t>
  </si>
  <si>
    <t>tentaram</t>
  </si>
  <si>
    <t># text = Eu queria olhar para o processo através do qual as pessoas que têm essas identidades chegam a um bom relacionamento com elas.</t>
  </si>
  <si>
    <t>Eu</t>
  </si>
  <si>
    <t>processo</t>
  </si>
  <si>
    <t>através</t>
  </si>
  <si>
    <t>qual</t>
  </si>
  <si>
    <t>chegam</t>
  </si>
  <si>
    <t>bom</t>
  </si>
  <si>
    <t>relacionamento</t>
  </si>
  <si>
    <t># text = Parecia-me que havia três níveis de aceitação que precisavam de acontecer.</t>
  </si>
  <si>
    <t>havia</t>
  </si>
  <si>
    <t>níveis</t>
  </si>
  <si>
    <t>aceitação</t>
  </si>
  <si>
    <t>precisavam</t>
  </si>
  <si>
    <t># text = Há a auto-aceitação, a aceitação familiar e a aceitação social.</t>
  </si>
  <si>
    <t>auto-aceitação</t>
  </si>
  <si>
    <t>familiar</t>
  </si>
  <si>
    <t>social</t>
  </si>
  <si>
    <t># text = E elas nem sempre coincidem.</t>
  </si>
  <si>
    <t>nem</t>
  </si>
  <si>
    <t>coincidem</t>
  </si>
  <si>
    <t># text = Muitas vezes, as pessoas que estão nessa situação são pessoas zangadas porque se sentem como se os pais não as amassem, quando o que realmente acontece é que os pais não as aceitam.</t>
  </si>
  <si>
    <t>Muitas</t>
  </si>
  <si>
    <t>vezes</t>
  </si>
  <si>
    <t>estão</t>
  </si>
  <si>
    <t>situação</t>
  </si>
  <si>
    <t>zangadas</t>
  </si>
  <si>
    <t>sentem</t>
  </si>
  <si>
    <t>amassem</t>
  </si>
  <si>
    <t>acontece</t>
  </si>
  <si>
    <t>aceitam</t>
  </si>
  <si>
    <t># text = O amor é algo que idealmente existe incondicionalmente em qualquer relação entre um pai e um filho.</t>
  </si>
  <si>
    <t>idealmente</t>
  </si>
  <si>
    <t>existe</t>
  </si>
  <si>
    <t>incondicionalmente</t>
  </si>
  <si>
    <t>relação</t>
  </si>
  <si>
    <t>entre</t>
  </si>
  <si>
    <t># text = Mas a aceitação é algo que leva tempo.</t>
  </si>
  <si>
    <t>leva</t>
  </si>
  <si>
    <t>tempo</t>
  </si>
  <si>
    <t># text = Leva sempre tempo.</t>
  </si>
  <si>
    <t>Leva</t>
  </si>
  <si>
    <t># text = Um dos anões que conheci foi um indivíduo chamado Clinton Brown.</t>
  </si>
  <si>
    <t>Um</t>
  </si>
  <si>
    <t>conheci</t>
  </si>
  <si>
    <t>foi</t>
  </si>
  <si>
    <t>indivíduo</t>
  </si>
  <si>
    <t>chamado</t>
  </si>
  <si>
    <t>Clinton</t>
  </si>
  <si>
    <t>Brown</t>
  </si>
  <si>
    <t># text = Quando ele nasceu, foi diagnosticado com nanismo diastrófico, uma doença muito incapacitante, e disseram aos pais que ele nunca andaria, nunca falaria, não teria nenhuma capacidade intelectual, e provavelmente nem os iria reconhecer.</t>
  </si>
  <si>
    <t>ele</t>
  </si>
  <si>
    <t>diagnosticado</t>
  </si>
  <si>
    <t>nanismo</t>
  </si>
  <si>
    <t>diastrófico</t>
  </si>
  <si>
    <t>muito</t>
  </si>
  <si>
    <t>incapacitante</t>
  </si>
  <si>
    <t>disseram</t>
  </si>
  <si>
    <t>nunca</t>
  </si>
  <si>
    <t>andaria</t>
  </si>
  <si>
    <t>falaria</t>
  </si>
  <si>
    <t>teria</t>
  </si>
  <si>
    <t>nenhuma</t>
  </si>
  <si>
    <t>capacidade</t>
  </si>
  <si>
    <t>intelectual</t>
  </si>
  <si>
    <t>iria</t>
  </si>
  <si>
    <t>reconhecer</t>
  </si>
  <si>
    <t># text = Sugeriram-lhes que o deixassem no hospital para ele poder morrer ali tranquilamente.</t>
  </si>
  <si>
    <t>Sugeriram</t>
  </si>
  <si>
    <t>deixassem</t>
  </si>
  <si>
    <t>hospital</t>
  </si>
  <si>
    <t>morrer</t>
  </si>
  <si>
    <t>ali</t>
  </si>
  <si>
    <t>tranquilamente</t>
  </si>
  <si>
    <t># text = A mãe disse que não o iria fazer e levou o filho para casa.</t>
  </si>
  <si>
    <t>levou</t>
  </si>
  <si>
    <t># text = Mesmo não tendo grande capacidade financeira ou educativa, a mãe encontrou o melhor médico do país para lidar com nanismo diastrófico, e ele veio a ser o médico de Clinton.</t>
  </si>
  <si>
    <t>tendo</t>
  </si>
  <si>
    <t>grande</t>
  </si>
  <si>
    <t>financeira</t>
  </si>
  <si>
    <t>educativa</t>
  </si>
  <si>
    <t>encontrou</t>
  </si>
  <si>
    <t>médico</t>
  </si>
  <si>
    <t>país</t>
  </si>
  <si>
    <t>lidar</t>
  </si>
  <si>
    <t>veio</t>
  </si>
  <si>
    <t># text = No decorrer da sua infância, Clinton submeteu-se a 30 importantes procedimentos cirúrgicos.</t>
  </si>
  <si>
    <t>infância</t>
  </si>
  <si>
    <t>submeteu</t>
  </si>
  <si>
    <t>procedimentos</t>
  </si>
  <si>
    <t>cirúrgicos</t>
  </si>
  <si>
    <t># text = Passou todo esse tempo preso no hospital enquanto esses procedimentos aconteciam, e, como resultado, ele pode agora andar.</t>
  </si>
  <si>
    <t>Passou</t>
  </si>
  <si>
    <t>todo</t>
  </si>
  <si>
    <t>esse</t>
  </si>
  <si>
    <t>preso</t>
  </si>
  <si>
    <t>enquanto</t>
  </si>
  <si>
    <t>aconteciam</t>
  </si>
  <si>
    <t>resultado</t>
  </si>
  <si>
    <t>pode</t>
  </si>
  <si>
    <t>andar</t>
  </si>
  <si>
    <t># text = Enquanto esteve no hospital, houve tutores a ajudá-lo com os trabalhos escolares.</t>
  </si>
  <si>
    <t>esteve</t>
  </si>
  <si>
    <t>houve</t>
  </si>
  <si>
    <t>tutores</t>
  </si>
  <si>
    <t>ajudá</t>
  </si>
  <si>
    <t>trabalhos</t>
  </si>
  <si>
    <t>escolares</t>
  </si>
  <si>
    <t># text = E ele trabalhou intensamente porque não havia mais nada para fazer.</t>
  </si>
  <si>
    <t>trabalhou</t>
  </si>
  <si>
    <t>intensamente</t>
  </si>
  <si>
    <t>nada</t>
  </si>
  <si>
    <t># text = Acabou alcançando um nível que nunca antes tinha sido atingido por um membro da sua família.</t>
  </si>
  <si>
    <t>Acabou</t>
  </si>
  <si>
    <t>alcançando</t>
  </si>
  <si>
    <t>nível</t>
  </si>
  <si>
    <t>sido</t>
  </si>
  <si>
    <t>atingido</t>
  </si>
  <si>
    <t>membro</t>
  </si>
  <si>
    <t># text = Na verdade, foi o primeiro na família a ir para a faculdade, onde viveu no campus e conduzia um carro especialmente equipado para acomodar o seu corpo especial.</t>
  </si>
  <si>
    <t>verdade</t>
  </si>
  <si>
    <t>primeiro</t>
  </si>
  <si>
    <t>ir</t>
  </si>
  <si>
    <t>viveu</t>
  </si>
  <si>
    <t>campus</t>
  </si>
  <si>
    <t>conduzia</t>
  </si>
  <si>
    <t>carro</t>
  </si>
  <si>
    <t>equipado</t>
  </si>
  <si>
    <t>acomodar</t>
  </si>
  <si>
    <t>seu</t>
  </si>
  <si>
    <t>corpo</t>
  </si>
  <si>
    <t>OBJ_9</t>
  </si>
  <si>
    <t>especial</t>
  </si>
  <si>
    <t># text = A mãe contou-me a história de quando um dia, ao voltar para casa – ele frequentava uma faculdade perto.</t>
  </si>
  <si>
    <t>contou</t>
  </si>
  <si>
    <t>história</t>
  </si>
  <si>
    <t>dia</t>
  </si>
  <si>
    <t>–</t>
  </si>
  <si>
    <t>frequentava</t>
  </si>
  <si>
    <t>perto</t>
  </si>
  <si>
    <t># text = "Eu vi o carro dele, que se consegue sempre reconhecer, "no estacionamento de um bar".</t>
  </si>
  <si>
    <t>vi</t>
  </si>
  <si>
    <t>consegue</t>
  </si>
  <si>
    <t>estacionamento</t>
  </si>
  <si>
    <t>bar</t>
  </si>
  <si>
    <t># text = "E pensei para comigo: "Eles têm 1,80 m de altura, ele tem 90 centímetros.</t>
  </si>
  <si>
    <t>mim</t>
  </si>
  <si>
    <t>Eles</t>
  </si>
  <si>
    <t>1,80</t>
  </si>
  <si>
    <t>m</t>
  </si>
  <si>
    <t>altura</t>
  </si>
  <si>
    <t>tem</t>
  </si>
  <si>
    <t>centímetros</t>
  </si>
  <si>
    <t># text = "Duas cervejas para eles é como quatro cervejas para ele.</t>
  </si>
  <si>
    <t>Duas</t>
  </si>
  <si>
    <t>cervejas</t>
  </si>
  <si>
    <t>quatro</t>
  </si>
  <si>
    <t># text = \"Eu sabia que não poderia lá ir e interrompê-lo, \"mas fui para casa e deixei-lhe oito mensagens no telemóvel.</t>
  </si>
  <si>
    <t>sabia</t>
  </si>
  <si>
    <t>interrompê</t>
  </si>
  <si>
    <t>deixei</t>
  </si>
  <si>
    <t>oito</t>
  </si>
  <si>
    <t>mensagens</t>
  </si>
  <si>
    <t>telemóvel</t>
  </si>
  <si>
    <t># text = \"E então, pensei... \"Se alguém me dissesse quando ele nasceu \"que a minha preocupação futura seria \"que ele ia beber e conduzir com os amigos de faculdade...\"</t>
  </si>
  <si>
    <t>então</t>
  </si>
  <si>
    <t>Se</t>
  </si>
  <si>
    <t>alguém</t>
  </si>
  <si>
    <t>dissesse</t>
  </si>
  <si>
    <t>preocupação</t>
  </si>
  <si>
    <t>futura</t>
  </si>
  <si>
    <t>seria</t>
  </si>
  <si>
    <t>ia</t>
  </si>
  <si>
    <t>beber</t>
  </si>
  <si>
    <t>conduzir</t>
  </si>
  <si>
    <t>amigos</t>
  </si>
  <si>
    <t># text = E eu perguntei-lhe: \"O que pensa ter feito que o ajudou a surgir \"como esta pessoa encantadora, talentosa, maravilhosa?\"</t>
  </si>
  <si>
    <t>perguntei</t>
  </si>
  <si>
    <t>pensa</t>
  </si>
  <si>
    <t>feito</t>
  </si>
  <si>
    <t>ajudou</t>
  </si>
  <si>
    <t>encantadora</t>
  </si>
  <si>
    <t>talentosa</t>
  </si>
  <si>
    <t>maravilhosa</t>
  </si>
  <si>
    <t># text = E ela respondeu:</t>
  </si>
  <si>
    <t>respondeu</t>
  </si>
  <si>
    <t># text = \"O que eu fiz?</t>
  </si>
  <si>
    <t>fiz</t>
  </si>
  <si>
    <t># text = Amei-o, foi tudo.</t>
  </si>
  <si>
    <t>Amei</t>
  </si>
  <si>
    <t>tudo</t>
  </si>
  <si>
    <t># text = \"Clinton sempre teve aquela luz nele.</t>
  </si>
  <si>
    <t>aquela</t>
  </si>
  <si>
    <t>luz</t>
  </si>
  <si>
    <t># text = "E eu e o pai dele tivemos a sorte de sermos os primeiros a vê-la." Vou citar outra revista dos anos 60.</t>
  </si>
  <si>
    <t>tivemos</t>
  </si>
  <si>
    <t>sorte</t>
  </si>
  <si>
    <t>sermos</t>
  </si>
  <si>
    <t>primeiros</t>
  </si>
  <si>
    <t>la</t>
  </si>
  <si>
    <t>Vou</t>
  </si>
  <si>
    <t>citar</t>
  </si>
  <si>
    <t>outra</t>
  </si>
  <si>
    <t>def-np.quant</t>
  </si>
  <si>
    <t># text = Esta é de 1968 — The Atlantic Monthly, voz da América liberal — escrita por um importante bioeticista, que escreveu:</t>
  </si>
  <si>
    <t>Esta</t>
  </si>
  <si>
    <t>1968</t>
  </si>
  <si>
    <t>Atlantic</t>
  </si>
  <si>
    <t>Monthly</t>
  </si>
  <si>
    <t>voz</t>
  </si>
  <si>
    <t>liberal</t>
  </si>
  <si>
    <t>escrita</t>
  </si>
  <si>
    <t>importante</t>
  </si>
  <si>
    <t>bioeticista</t>
  </si>
  <si>
    <t>escreveu</t>
  </si>
  <si>
    <t># text = "Não há nenhuma razão para se sentir culpado "por pôr de parte uma criança com síndrome de Down, "quer isso signifique escondê-la num sanatório "quer tenha um sentido mais responsável, letal.</t>
  </si>
  <si>
    <t>razão</t>
  </si>
  <si>
    <t>sentir</t>
  </si>
  <si>
    <t>culpado</t>
  </si>
  <si>
    <t>pôr</t>
  </si>
  <si>
    <t>síndrome</t>
  </si>
  <si>
    <t>Down</t>
  </si>
  <si>
    <t>quer</t>
  </si>
  <si>
    <t>signifique</t>
  </si>
  <si>
    <t>escondê</t>
  </si>
  <si>
    <t>sanatório</t>
  </si>
  <si>
    <t>tenha</t>
  </si>
  <si>
    <t>sentido</t>
  </si>
  <si>
    <t>responsável</t>
  </si>
  <si>
    <t>letal</t>
  </si>
  <si>
    <t># text = "É triste, sim — terrível.</t>
  </si>
  <si>
    <t>triste</t>
  </si>
  <si>
    <t>sim</t>
  </si>
  <si>
    <t>terrível</t>
  </si>
  <si>
    <t># text = Mas não carrega culpa.</t>
  </si>
  <si>
    <t>carrega</t>
  </si>
  <si>
    <t>culpa</t>
  </si>
  <si>
    <t># text = "A verdadeira culpa decorre apenas de uma ofensa contra uma pessoa, "e alguém com síndrome de Down não é uma pessoa." Muita tinta tem corrido, dado o enorme progresso que fizemos, no tratamento de pessoas homossexuais.</t>
  </si>
  <si>
    <t>verdadeira</t>
  </si>
  <si>
    <t>decorre</t>
  </si>
  <si>
    <t>apenas</t>
  </si>
  <si>
    <t>ofensa</t>
  </si>
  <si>
    <t>contra</t>
  </si>
  <si>
    <t>Muita</t>
  </si>
  <si>
    <t>tinta</t>
  </si>
  <si>
    <t>corrido</t>
  </si>
  <si>
    <t>dado</t>
  </si>
  <si>
    <t>enorme</t>
  </si>
  <si>
    <t>progresso</t>
  </si>
  <si>
    <t>fizemos</t>
  </si>
  <si>
    <t>homossexuais</t>
  </si>
  <si>
    <t># text = O facto de que a nossa atitude mudou está nos cabeçalhos diários.</t>
  </si>
  <si>
    <t>nossa</t>
  </si>
  <si>
    <t>atitude</t>
  </si>
  <si>
    <t>mudou</t>
  </si>
  <si>
    <t>cabeçalhos</t>
  </si>
  <si>
    <t>diários</t>
  </si>
  <si>
    <t># text = Mas esquecemo-nos de como costumávamos ver pessoas que tinham outras diferenças, como costumávamos ver pessoas que eram incapacitadas, o quão pouco umanas considerávamos que essas pessoas eram.</t>
  </si>
  <si>
    <t>esquecemo</t>
  </si>
  <si>
    <t>costumávamos</t>
  </si>
  <si>
    <t>tinham</t>
  </si>
  <si>
    <t>diferenças</t>
  </si>
  <si>
    <t>incapacitadas</t>
  </si>
  <si>
    <t>quão</t>
  </si>
  <si>
    <t>umanas</t>
  </si>
  <si>
    <t>considerávamos</t>
  </si>
  <si>
    <t># text = E a mudança que tem sido alcançada aí, que é quase igualmente radical, é uma mudança a que não prestamos muita atenção.</t>
  </si>
  <si>
    <t>mudança</t>
  </si>
  <si>
    <t>alcançada</t>
  </si>
  <si>
    <t>igualmente</t>
  </si>
  <si>
    <t>radical</t>
  </si>
  <si>
    <t>prestamos</t>
  </si>
  <si>
    <t>muita</t>
  </si>
  <si>
    <t>atenção</t>
  </si>
  <si>
    <t># text = Uns pais que entrevistei, Tom e Karen Robards, foram surpreendidos quando, jovens e bem-sucedidos nova-iorquinos, o seu primeiro filho foi diagnosticado com síndrome de Down.</t>
  </si>
  <si>
    <t>Uns</t>
  </si>
  <si>
    <t>entrevistei</t>
  </si>
  <si>
    <t>Tom</t>
  </si>
  <si>
    <t>Karen</t>
  </si>
  <si>
    <t>Robards</t>
  </si>
  <si>
    <t>foram</t>
  </si>
  <si>
    <t>surpreendidos</t>
  </si>
  <si>
    <t>jovens</t>
  </si>
  <si>
    <t>bem-sucedidos</t>
  </si>
  <si>
    <t>nova-iorquinos</t>
  </si>
  <si>
    <t># text = Eles acharam que as oportunidades educativas para ele não eram o que deveriam ser, e decidiram construir um pequeno centro — duas salas de aula a que deram início com alguns outros pais — para educar crianças com síndroma de Down.</t>
  </si>
  <si>
    <t>acharam</t>
  </si>
  <si>
    <t>oportunidades</t>
  </si>
  <si>
    <t>educativas</t>
  </si>
  <si>
    <t>deveriam</t>
  </si>
  <si>
    <t>decidiram</t>
  </si>
  <si>
    <t>centro</t>
  </si>
  <si>
    <t>duas</t>
  </si>
  <si>
    <t>salas</t>
  </si>
  <si>
    <t>aula</t>
  </si>
  <si>
    <t>deram</t>
  </si>
  <si>
    <t>início</t>
  </si>
  <si>
    <t>alguns</t>
  </si>
  <si>
    <t>other_9</t>
  </si>
  <si>
    <t>educar</t>
  </si>
  <si>
    <t>OBJ_11</t>
  </si>
  <si>
    <t>síndroma</t>
  </si>
  <si>
    <t>other_11</t>
  </si>
  <si>
    <t>other_12</t>
  </si>
  <si>
    <t># text = Passados anos, este centro transformou-se em algo chamado o Centro de Cooke, onde há agora milhares e milhares de crianças com problemas cognitivos que estão a ser ensinadas.</t>
  </si>
  <si>
    <t>Passados</t>
  </si>
  <si>
    <t>este</t>
  </si>
  <si>
    <t>transformou</t>
  </si>
  <si>
    <t>Centro</t>
  </si>
  <si>
    <t>Cooke</t>
  </si>
  <si>
    <t>milhares</t>
  </si>
  <si>
    <t>problemas</t>
  </si>
  <si>
    <t>cognitivos</t>
  </si>
  <si>
    <t>SBJ_9</t>
  </si>
  <si>
    <t>ensinadas</t>
  </si>
  <si>
    <t># text = Desde a altura do artigo na \"Atlantic Monthly\", a esperança de vida para as pessoas com síndrome de Down triplicou.</t>
  </si>
  <si>
    <t>Desde</t>
  </si>
  <si>
    <t>esperança</t>
  </si>
  <si>
    <t>triplicou</t>
  </si>
  <si>
    <t># text = Há pessoas com síndrome de Down que são actores, são escritores, outros que conseguem viver de forma independente na idade adulta.</t>
  </si>
  <si>
    <t>actores</t>
  </si>
  <si>
    <t>escritores</t>
  </si>
  <si>
    <t>independente</t>
  </si>
  <si>
    <t>idade</t>
  </si>
  <si>
    <t>adulta</t>
  </si>
  <si>
    <t># text = Os Robards tiveram muito a ver com isso.</t>
  </si>
  <si>
    <t>Os</t>
  </si>
  <si>
    <t>tiveram</t>
  </si>
  <si>
    <t># text = E eu perguntei-lhes: "Arrependem-se?</t>
  </si>
  <si>
    <t>&amp;quot;Arrependem</t>
  </si>
  <si>
    <t># text = "Desejavam que o vosso filho não tivesse síndrome de Down?</t>
  </si>
  <si>
    <t>Desejavam</t>
  </si>
  <si>
    <t>vosso</t>
  </si>
  <si>
    <t>tivesse</t>
  </si>
  <si>
    <t># text = "Gostariam de nunca ter ouvido falar dela?" Curiosamente, o pai respondeu:</t>
  </si>
  <si>
    <t>&amp;quot;Gostariam</t>
  </si>
  <si>
    <t>ouvido</t>
  </si>
  <si>
    <t>falar</t>
  </si>
  <si>
    <t>Curiosamente</t>
  </si>
  <si>
    <t># text = "Bem, pelo David, o nosso filho, arrependo-me "porque para o David é um modo difícil de estar no mundo, "e eu gostaria de dar ao David uma vida mais fácil.</t>
  </si>
  <si>
    <t>Bem</t>
  </si>
  <si>
    <t>David</t>
  </si>
  <si>
    <t>arrependo</t>
  </si>
  <si>
    <t>modo</t>
  </si>
  <si>
    <t>gostaria</t>
  </si>
  <si>
    <t>dar</t>
  </si>
  <si>
    <t>fácil</t>
  </si>
  <si>
    <t># text = \"Mas acho que, se perdêssemos todas as pessoas com síndrome de Down, isso seria uma perda catastrófica.\" E Karen Robards disse-me: \"Eu concordo com o Tom.</t>
  </si>
  <si>
    <t>acho</t>
  </si>
  <si>
    <t>perdêssemos</t>
  </si>
  <si>
    <t>todas</t>
  </si>
  <si>
    <t>perda</t>
  </si>
  <si>
    <t>catastrófica</t>
  </si>
  <si>
    <t>concordo</t>
  </si>
  <si>
    <t># text = \"Pelo David, curá-lo-ia num instante para lhe dar uma vida mais fácil.</t>
  </si>
  <si>
    <t>Por</t>
  </si>
  <si>
    <t>instante</t>
  </si>
  <si>
    <t># text = \"Mas falando por mim — há 23 anos, quando ele nasceu, eu não acreditava \"que poderia chegar a este ponto.</t>
  </si>
  <si>
    <t>falando</t>
  </si>
  <si>
    <t>acreditava</t>
  </si>
  <si>
    <t>ponto</t>
  </si>
  <si>
    <t># text = \"Falando por mim, isto tornou-me tão melhor e tão mais gentil \"e deu tão mais sentido a toda a minha vida \"que, falando por mim, eu não desistiria dele \"por nada neste mundo.\" Vivemos num momento em que a aceitação social para estas e muitas outras condições está a aumentar continuamente.</t>
  </si>
  <si>
    <t>Falando</t>
  </si>
  <si>
    <t>gentil</t>
  </si>
  <si>
    <t>deu</t>
  </si>
  <si>
    <t>toda</t>
  </si>
  <si>
    <t>desistiria</t>
  </si>
  <si>
    <t>Vivemos</t>
  </si>
  <si>
    <t>momento</t>
  </si>
  <si>
    <t>muitas</t>
  </si>
  <si>
    <t>condições</t>
  </si>
  <si>
    <t>aumentar</t>
  </si>
  <si>
    <t>continuamente</t>
  </si>
  <si>
    <t># text = No entanto, também vivemos num momento em que a nossa capacidade para eliminar essas condições chegou a um nível nunca antes imaginado.</t>
  </si>
  <si>
    <t>entanto</t>
  </si>
  <si>
    <t>também</t>
  </si>
  <si>
    <t>vivemos</t>
  </si>
  <si>
    <t>eliminar</t>
  </si>
  <si>
    <t>chegou</t>
  </si>
  <si>
    <t>imaginado</t>
  </si>
  <si>
    <t># text = Actualmente, a maioria dos bebés que nascem surdos nos EUA irá receber implantes cocleares, que são colocados no cérebro e ligados a um receptor, que lhes permite adquirir um fac-símile da audição e usar o discurso oral.</t>
  </si>
  <si>
    <t>Actualmente</t>
  </si>
  <si>
    <t>bebés</t>
  </si>
  <si>
    <t>nascem</t>
  </si>
  <si>
    <t>irá</t>
  </si>
  <si>
    <t>implantes</t>
  </si>
  <si>
    <t>cocleares</t>
  </si>
  <si>
    <t>colocados</t>
  </si>
  <si>
    <t>cérebro</t>
  </si>
  <si>
    <t>ligados</t>
  </si>
  <si>
    <t>receptor</t>
  </si>
  <si>
    <t>permite</t>
  </si>
  <si>
    <t>adquirir</t>
  </si>
  <si>
    <t>fac-símile</t>
  </si>
  <si>
    <t>usar</t>
  </si>
  <si>
    <t>discurso</t>
  </si>
  <si>
    <t>oral</t>
  </si>
  <si>
    <t># text = Um composto que tem sido testado em ratinhos — o BMN-111 — é útil para impedir a ação do gene da acondroplasia.</t>
  </si>
  <si>
    <t>composto</t>
  </si>
  <si>
    <t>testado</t>
  </si>
  <si>
    <t>ratinhos</t>
  </si>
  <si>
    <t>BMN-111</t>
  </si>
  <si>
    <t>útil</t>
  </si>
  <si>
    <t>impedir</t>
  </si>
  <si>
    <t>ação</t>
  </si>
  <si>
    <t>gene</t>
  </si>
  <si>
    <t>acondroplasia</t>
  </si>
  <si>
    <t># text = A acondroplasia é a forma mais comum de nanismo e os ratinhos que receberam essa substância e que têm o gene da acondroplasia crescem até ao tamanho normal.</t>
  </si>
  <si>
    <t>receberam</t>
  </si>
  <si>
    <t>substância</t>
  </si>
  <si>
    <t>crescem</t>
  </si>
  <si>
    <t>tamanho</t>
  </si>
  <si>
    <t># text = Os testes em seres humanos estão iminentes.</t>
  </si>
  <si>
    <t>testes</t>
  </si>
  <si>
    <t>seres</t>
  </si>
  <si>
    <t>humanos</t>
  </si>
  <si>
    <t>iminentes</t>
  </si>
  <si>
    <t># text = Há análises ao sangue que estão a fazer progressos a detectar a síndrome de Down na gravidez de uma forma mais clara e precoce que nunca, tornando-se mais fácil para as pessoas eliminar essas gravidezes ou interrompê-las.</t>
  </si>
  <si>
    <t>análises</t>
  </si>
  <si>
    <t>sangue</t>
  </si>
  <si>
    <t>progressos</t>
  </si>
  <si>
    <t>detectar</t>
  </si>
  <si>
    <t>gravidez</t>
  </si>
  <si>
    <t>precoce</t>
  </si>
  <si>
    <t>tornando</t>
  </si>
  <si>
    <t>gravidezes</t>
  </si>
  <si>
    <t># text = Assim, temos o progresso social e o progresso médico.</t>
  </si>
  <si>
    <t>Assim</t>
  </si>
  <si>
    <t># text = E eu acredito em ambos.</t>
  </si>
  <si>
    <t>acredito</t>
  </si>
  <si>
    <t>ambos</t>
  </si>
  <si>
    <t>pron</t>
  </si>
  <si>
    <t># text = Creio que o progresso social é fantástico e significativo e maravilhoso, e penso o mesmo sobre o progresso médico.</t>
  </si>
  <si>
    <t>Creio</t>
  </si>
  <si>
    <t>fantástico</t>
  </si>
  <si>
    <t>significativo</t>
  </si>
  <si>
    <t>maravilhoso</t>
  </si>
  <si>
    <t>penso</t>
  </si>
  <si>
    <t># text = Mas acho que é uma tragédia quando um deles não vê o outro.</t>
  </si>
  <si>
    <t>tragédia</t>
  </si>
  <si>
    <t># text = E quando vejo a maneira como estão a interagir em condições como as três que acabei de descrever, às vezes penso que é como aqueles momentos na ópera quando o herói percebe que ama a heroína no exacto momento em que ela está prestes a expirar num divã.</t>
  </si>
  <si>
    <t>vejo</t>
  </si>
  <si>
    <t>maneira</t>
  </si>
  <si>
    <t>interagir</t>
  </si>
  <si>
    <t>acabei</t>
  </si>
  <si>
    <t>descrever</t>
  </si>
  <si>
    <t>aqueles</t>
  </si>
  <si>
    <t>momentos</t>
  </si>
  <si>
    <t>ópera</t>
  </si>
  <si>
    <t>herói</t>
  </si>
  <si>
    <t>SBJ_11</t>
  </si>
  <si>
    <t>percebe</t>
  </si>
  <si>
    <t>ama</t>
  </si>
  <si>
    <t>heroína</t>
  </si>
  <si>
    <t>OBJ_12</t>
  </si>
  <si>
    <t>exacto</t>
  </si>
  <si>
    <t>SBJ_14</t>
  </si>
  <si>
    <t>prestes</t>
  </si>
  <si>
    <t>expirar</t>
  </si>
  <si>
    <t>divã</t>
  </si>
  <si>
    <t>other_15</t>
  </si>
  <si>
    <t># text = Temos de pensar em como nos sentimos sobre curas em geral.</t>
  </si>
  <si>
    <t>Temos</t>
  </si>
  <si>
    <t>sentimos</t>
  </si>
  <si>
    <t>curas</t>
  </si>
  <si>
    <t>geral</t>
  </si>
  <si>
    <t># text = Muitas vezes, a questão da paternidade é: o que é que aceitamos nos nossos filhos e o que é que queremos curar neles?</t>
  </si>
  <si>
    <t>paternidade</t>
  </si>
  <si>
    <t>pron.pint</t>
  </si>
  <si>
    <t>aceitamos</t>
  </si>
  <si>
    <t>queremos</t>
  </si>
  <si>
    <t># text = Jim Sinclair, uma proeminente activista pelo autismo, disse:</t>
  </si>
  <si>
    <t>Jim</t>
  </si>
  <si>
    <t>Sinclair</t>
  </si>
  <si>
    <t>proeminente</t>
  </si>
  <si>
    <t>activista</t>
  </si>
  <si>
    <t>autismo</t>
  </si>
  <si>
    <t># text = \"Quando os pais dizem: \" 'Eu queria que o meu filho não fosse autista', \"o que eles estão a dizer é:</t>
  </si>
  <si>
    <t>dizem</t>
  </si>
  <si>
    <t>fosse</t>
  </si>
  <si>
    <t>autista'</t>
  </si>
  <si>
    <t># text = " 'Eu queria que a criança que tenho não existisse " 'e que eu tivesse um filho diferente, não-autista, em vez deste.'</t>
  </si>
  <si>
    <t>tenho</t>
  </si>
  <si>
    <t>existisse</t>
  </si>
  <si>
    <t>'e</t>
  </si>
  <si>
    <t>não-autista</t>
  </si>
  <si>
    <t>vez</t>
  </si>
  <si>
    <t>.'</t>
  </si>
  <si>
    <t># text = "Leiam novamente.</t>
  </si>
  <si>
    <t>Leiam</t>
  </si>
  <si>
    <t># text = É isto que entendemos quando vocês choram pela nossa existência.</t>
  </si>
  <si>
    <t>entendemos</t>
  </si>
  <si>
    <t>vocês</t>
  </si>
  <si>
    <t>choram</t>
  </si>
  <si>
    <t>existência</t>
  </si>
  <si>
    <t># text = \"É isto que ouvimos quando rezam por uma cura \"— que o vosso desejo mais carinhoso para nós \"é que um dia deixemos de existir \"e que, por trás das nossas caras, apareçam estranhos para vocês amarem.\"</t>
  </si>
  <si>
    <t>ouvimos</t>
  </si>
  <si>
    <t>rezam</t>
  </si>
  <si>
    <t>cura</t>
  </si>
  <si>
    <t>desejo</t>
  </si>
  <si>
    <t>carinhoso</t>
  </si>
  <si>
    <t>deixemos</t>
  </si>
  <si>
    <t>existir</t>
  </si>
  <si>
    <t>trás</t>
  </si>
  <si>
    <t>nossas</t>
  </si>
  <si>
    <t>caras</t>
  </si>
  <si>
    <t>apareçam</t>
  </si>
  <si>
    <t>estranhos</t>
  </si>
  <si>
    <t>amarem</t>
  </si>
  <si>
    <t># text = É um ponto de vista muito extremo mas aponta para a realidade de que as pessoas se envolvem com a vida que têm e não querem ser curadas ou alteradas ou eliminadas.</t>
  </si>
  <si>
    <t>vista</t>
  </si>
  <si>
    <t>extremo</t>
  </si>
  <si>
    <t>aponta</t>
  </si>
  <si>
    <t>envolvem</t>
  </si>
  <si>
    <t>querem</t>
  </si>
  <si>
    <t>curadas</t>
  </si>
  <si>
    <t>alteradas</t>
  </si>
  <si>
    <t>eliminadas</t>
  </si>
  <si>
    <t># text = Querem ser quem quer que seja que vieram para ser.</t>
  </si>
  <si>
    <t>Querem</t>
  </si>
  <si>
    <t>quem</t>
  </si>
  <si>
    <t>seja</t>
  </si>
  <si>
    <t>vieram</t>
  </si>
  <si>
    <t># text = Uma das famílias que entrevistei para este projecto foi a família de Dylan Klebold, um dos autores do massacre de Columbine.</t>
  </si>
  <si>
    <t>Uma</t>
  </si>
  <si>
    <t>famílias</t>
  </si>
  <si>
    <t>projecto</t>
  </si>
  <si>
    <t>Dylan</t>
  </si>
  <si>
    <t>Klebold</t>
  </si>
  <si>
    <t>autores</t>
  </si>
  <si>
    <t>massacre</t>
  </si>
  <si>
    <t>Columbine</t>
  </si>
  <si>
    <t># text = Demorou muito tempo a convencê-los a falar comigo, e, quando concordaram, estavam tão cheios da sua história que não conseguiam parar de contá-la.</t>
  </si>
  <si>
    <t>Demorou</t>
  </si>
  <si>
    <t>convencê</t>
  </si>
  <si>
    <t>los</t>
  </si>
  <si>
    <t>concordaram</t>
  </si>
  <si>
    <t>cheios</t>
  </si>
  <si>
    <t>conseguiam</t>
  </si>
  <si>
    <t>parar</t>
  </si>
  <si>
    <t>contá</t>
  </si>
  <si>
    <t># text = No primeiro fim-de-semana que passei com eles — o primeiro de muitos — gravei mais de 20 horas de conversa.</t>
  </si>
  <si>
    <t>fim-de-semana</t>
  </si>
  <si>
    <t>passei</t>
  </si>
  <si>
    <t>muitos</t>
  </si>
  <si>
    <t>gravei</t>
  </si>
  <si>
    <t>horas</t>
  </si>
  <si>
    <t>conversa</t>
  </si>
  <si>
    <t># text = Na noite de domingo estávamos todos exaustos.</t>
  </si>
  <si>
    <t>noite</t>
  </si>
  <si>
    <t>domingo</t>
  </si>
  <si>
    <t>estávamos</t>
  </si>
  <si>
    <t>todos</t>
  </si>
  <si>
    <t>exaustos</t>
  </si>
  <si>
    <t># text = Estávamos sentados na cozinha.</t>
  </si>
  <si>
    <t>Estávamos</t>
  </si>
  <si>
    <t>sentados</t>
  </si>
  <si>
    <t>cozinha</t>
  </si>
  <si>
    <t># text = Sue Klebold estava a preparar o jantar.</t>
  </si>
  <si>
    <t>Sue</t>
  </si>
  <si>
    <t>preparar</t>
  </si>
  <si>
    <t>jantar</t>
  </si>
  <si>
    <t># text = E eu perguntei: \"Se o Dylan estivesse aqui agora, \"tem alguma ideia do que gostariam de lhe perguntar?\" E o pai disse:</t>
  </si>
  <si>
    <t>estivesse</t>
  </si>
  <si>
    <t>alguma</t>
  </si>
  <si>
    <t>gostariam</t>
  </si>
  <si>
    <t># text = \"Claro que sim.</t>
  </si>
  <si>
    <t>Claro</t>
  </si>
  <si>
    <t># text = "Gostaria de lhe perguntar que diabo pensava ele estar a fazer."</t>
  </si>
  <si>
    <t>Gostaria</t>
  </si>
  <si>
    <t>diabo</t>
  </si>
  <si>
    <t># text = Sue olhou para o chão e pensou durante um minuto.</t>
  </si>
  <si>
    <t>olhou</t>
  </si>
  <si>
    <t>chão</t>
  </si>
  <si>
    <t>pensou</t>
  </si>
  <si>
    <t>durante</t>
  </si>
  <si>
    <t>minuto</t>
  </si>
  <si>
    <t># text = Então olhou para cima e disse:</t>
  </si>
  <si>
    <t>cima</t>
  </si>
  <si>
    <t># text = \"Pedir-lhe-ia que me perdoasse por ser a sua mãe \"e nunca saber o que estava a acontecer dentro da sua cabeça.\" Quando eu jantei com ela uns anos mais tarde — um de muitos jantares que tivemos juntos — ela disse:</t>
  </si>
  <si>
    <t>Pediria</t>
  </si>
  <si>
    <t>perdoasse</t>
  </si>
  <si>
    <t>dentro</t>
  </si>
  <si>
    <t>cabeça</t>
  </si>
  <si>
    <t>jantei</t>
  </si>
  <si>
    <t>jantares</t>
  </si>
  <si>
    <t>juntos</t>
  </si>
  <si>
    <t># text = "Sabes, assim que aquilo aconteceu, "eu costumava desejar nunca ter casado, nunca ter tido filhos.</t>
  </si>
  <si>
    <t>assim</t>
  </si>
  <si>
    <t>aconteceu</t>
  </si>
  <si>
    <t>desejar</t>
  </si>
  <si>
    <t>casado</t>
  </si>
  <si>
    <t>tido</t>
  </si>
  <si>
    <t># text = \"Se eu não tivesse ido para o estado de Ohio \"e não me tivesse cruzado com Tom, \"esta criança não teria existido, esta coisa terrível não teria acontecido.</t>
  </si>
  <si>
    <t>ido</t>
  </si>
  <si>
    <t>estado</t>
  </si>
  <si>
    <t>Ohio</t>
  </si>
  <si>
    <t>cruzado</t>
  </si>
  <si>
    <t>existido</t>
  </si>
  <si>
    <t>coisa</t>
  </si>
  <si>
    <t>acontecido</t>
  </si>
  <si>
    <t># text = \"Mas tenho vindo a sentir que amo tanto os filhos que tive \"que não quero imaginar uma vida sem eles.</t>
  </si>
  <si>
    <t>vindo</t>
  </si>
  <si>
    <t>amo</t>
  </si>
  <si>
    <t>tanto</t>
  </si>
  <si>
    <t>tive</t>
  </si>
  <si>
    <t>imaginar</t>
  </si>
  <si>
    <t>OBJ_7</t>
  </si>
  <si>
    <t>sem</t>
  </si>
  <si>
    <t># text = \"Reconheço a dor que causaram aos outros, para a qual não pode haver nenhum perdão, \"mas para a dor que eles me causaram, há perdão\".</t>
  </si>
  <si>
    <t>Reconheço</t>
  </si>
  <si>
    <t>dor</t>
  </si>
  <si>
    <t>causaram</t>
  </si>
  <si>
    <t>nenhum</t>
  </si>
  <si>
    <t>perdão</t>
  </si>
  <si>
    <t># text = \"Por isso, enquanto reconheço que teria sido melhor para o mundo \"que Dylan nunca tivesse nascido, \"concluí que isso não teria sido o melhor para mim.\" Pensei como era surpreendente que todas estas famílias tivessem todos estes filhos com todos estes problemas, problemas que eles, na sua maior parte, teriam feito tudo para evitar, e que todos tenham encontrado tanto significado naquela experiência de paternidade.</t>
  </si>
  <si>
    <t>reconheço</t>
  </si>
  <si>
    <t>nascido</t>
  </si>
  <si>
    <t>concluí</t>
  </si>
  <si>
    <t>mim.</t>
  </si>
  <si>
    <t>Pensei</t>
  </si>
  <si>
    <t>surpreendente</t>
  </si>
  <si>
    <t>tivessem</t>
  </si>
  <si>
    <t>estes</t>
  </si>
  <si>
    <t>maior</t>
  </si>
  <si>
    <t>teriam</t>
  </si>
  <si>
    <t>evitar</t>
  </si>
  <si>
    <t>OBJ_10</t>
  </si>
  <si>
    <t>SBJ_10</t>
  </si>
  <si>
    <t>tenham</t>
  </si>
  <si>
    <t>encontrado</t>
  </si>
  <si>
    <t>significado</t>
  </si>
  <si>
    <t># text = Depois pensei que todos nós, que temos filhos, amamos os filhos que temos, com os seus defeitos.</t>
  </si>
  <si>
    <t>amamos</t>
  </si>
  <si>
    <t>defeitos</t>
  </si>
  <si>
    <t># text = Se algum anjo glorioso de repente descesse pelo tecto da minha sala de estar e se oferecesse para levar as crianças que tenho e dar-me outras, crianças melhores — mais bem-educadas, mais engraçadas, mais agradáveis, mais inteligentes — eu iria agarrar-me às crianças que tenho e rezar para impedir tal espectáculo atroz.</t>
  </si>
  <si>
    <t>anjo</t>
  </si>
  <si>
    <t>glorioso</t>
  </si>
  <si>
    <t>descesse</t>
  </si>
  <si>
    <t>tecto</t>
  </si>
  <si>
    <t>sala</t>
  </si>
  <si>
    <t>oferecesse</t>
  </si>
  <si>
    <t>melhores</t>
  </si>
  <si>
    <t>bem-educadas</t>
  </si>
  <si>
    <t>engraçadas</t>
  </si>
  <si>
    <t>agradáveis</t>
  </si>
  <si>
    <t>inteligentes</t>
  </si>
  <si>
    <t>agarrar</t>
  </si>
  <si>
    <t>rezar</t>
  </si>
  <si>
    <t>espectáculo</t>
  </si>
  <si>
    <t>atroz</t>
  </si>
  <si>
    <t># text = No fundo, sinto que, da mesma maneira que testamos um pijama à prova de fogo numa fogueira para garantir que não pegará fogo quando o nosso filho se aproximar muito do fogão aceso, também estas histórias de famílias a gerir estas diferenças extremas se reflectem na experiência universal da parentalidade, que é sempre — às vezes olhamos para os nossos filhos e pensamos: \"De onde vieste?\" Acontece que, enquanto cada uma dessas diferenças individuais for isolada — há apenas umas quantas famílias a lidar com a esquizofrenia, umas quantas famílias de crianças que são transsexuais, umas quantas famílias de prodígios, — que enfrentam desafios semelhantes em muitos aspectos — há algumas famílias em cada uma destas categorias.</t>
  </si>
  <si>
    <t>sinto</t>
  </si>
  <si>
    <t>mesma</t>
  </si>
  <si>
    <t>testamos</t>
  </si>
  <si>
    <t>pijama</t>
  </si>
  <si>
    <t>fogo</t>
  </si>
  <si>
    <t>fogueira</t>
  </si>
  <si>
    <t>pegará</t>
  </si>
  <si>
    <t>aproximar</t>
  </si>
  <si>
    <t>fogão</t>
  </si>
  <si>
    <t>aceso</t>
  </si>
  <si>
    <t>histórias</t>
  </si>
  <si>
    <t>gerir</t>
  </si>
  <si>
    <t>extremas</t>
  </si>
  <si>
    <t>reflectem</t>
  </si>
  <si>
    <t>universal</t>
  </si>
  <si>
    <t>parentalidade</t>
  </si>
  <si>
    <t>olhamos</t>
  </si>
  <si>
    <t>other_14</t>
  </si>
  <si>
    <t>pensamos</t>
  </si>
  <si>
    <t>vieste</t>
  </si>
  <si>
    <t>Acontece</t>
  </si>
  <si>
    <t>individuais</t>
  </si>
  <si>
    <t>for</t>
  </si>
  <si>
    <t>isolada</t>
  </si>
  <si>
    <t>umas</t>
  </si>
  <si>
    <t>quantas</t>
  </si>
  <si>
    <t>esquizofrenia</t>
  </si>
  <si>
    <t>transsexuais</t>
  </si>
  <si>
    <t>prodígios</t>
  </si>
  <si>
    <t>enfrentam</t>
  </si>
  <si>
    <t>desafios</t>
  </si>
  <si>
    <t>semelhantes</t>
  </si>
  <si>
    <t>aspectos</t>
  </si>
  <si>
    <t>categorias</t>
  </si>
  <si>
    <t># text = Mas se começarmos a pensar que a experiência de lidar com a diferença dentro da própria família é aquilo com que outras pessoas estão a lidar, então descobrem que é um fenómeno quase universal.</t>
  </si>
  <si>
    <t>começarmos</t>
  </si>
  <si>
    <t>diferença</t>
  </si>
  <si>
    <t>própria</t>
  </si>
  <si>
    <t>fenómeno</t>
  </si>
  <si>
    <t># text = Ironicamente, verifica-se que são as nossas diferenças e como lidamos com a diferença que nos unem.</t>
  </si>
  <si>
    <t>Ironicamente</t>
  </si>
  <si>
    <t>verifica</t>
  </si>
  <si>
    <t>lidamos</t>
  </si>
  <si>
    <t>unem</t>
  </si>
  <si>
    <t># text = Eu decidi ter filhos enquanto estava a trabalhar neste projecto.</t>
  </si>
  <si>
    <t>decidi</t>
  </si>
  <si>
    <t># text = Muitas pessoas ficavam surpreendidas e perguntavam:</t>
  </si>
  <si>
    <t>ficavam</t>
  </si>
  <si>
    <t>surpreendidas</t>
  </si>
  <si>
    <t>perguntavam</t>
  </si>
  <si>
    <t># text = \"Mas como é que podes decidir ter filhos \"enquanto estudas tudo o que pode dar errado?\"</t>
  </si>
  <si>
    <t>podes</t>
  </si>
  <si>
    <t>estudas</t>
  </si>
  <si>
    <t>errado</t>
  </si>
  <si>
    <t># text = E eu respondi: \"Eu não estou a estudar tudo o que pode dar errado.</t>
  </si>
  <si>
    <t>respondi</t>
  </si>
  <si>
    <t>estudar</t>
  </si>
  <si>
    <t># text = "O que eu estou a estudar é quanto amor pode existir, "mesmo quando tudo parece estar a correr mal." Pensei muito na mãe de uma criança deficiente que eu tinha visto, uma criança com uma deficiência grave, que morreu por negligência médica.</t>
  </si>
  <si>
    <t>quanto</t>
  </si>
  <si>
    <t>correr</t>
  </si>
  <si>
    <t>mal</t>
  </si>
  <si>
    <t>deficiente</t>
  </si>
  <si>
    <t>visto</t>
  </si>
  <si>
    <t>deficiência</t>
  </si>
  <si>
    <t>grave</t>
  </si>
  <si>
    <t>morreu</t>
  </si>
  <si>
    <t>negligência</t>
  </si>
  <si>
    <t>médica</t>
  </si>
  <si>
    <t># text = Quando as suas cinzas foram enterradas, a mãe disse:</t>
  </si>
  <si>
    <t>suas</t>
  </si>
  <si>
    <t>cinzas</t>
  </si>
  <si>
    <t>enterradas</t>
  </si>
  <si>
    <t># text = "Rezo aqui por perdão por ter sido roubada duas vezes: "roubaram-me a criança que queria e depois roubaram-me o filho que amava."</t>
  </si>
  <si>
    <t>Rezo</t>
  </si>
  <si>
    <t>roubada</t>
  </si>
  <si>
    <t>roubaram</t>
  </si>
  <si>
    <t>depois</t>
  </si>
  <si>
    <t>amava</t>
  </si>
  <si>
    <t># text = E eu percebi, então, que era possível qualquer pessoa amar qualquer criança se tivesse verdadeira vontade de fazê-lo.</t>
  </si>
  <si>
    <t>percebi</t>
  </si>
  <si>
    <t>possível</t>
  </si>
  <si>
    <t>vontade</t>
  </si>
  <si>
    <t>fazê</t>
  </si>
  <si>
    <t># text = O meu marido é o pai biológico de dois filhos com algumas amigas lésbicas em Minneapolis.</t>
  </si>
  <si>
    <t>biológico</t>
  </si>
  <si>
    <t>amigas</t>
  </si>
  <si>
    <t>lésbicas</t>
  </si>
  <si>
    <t>Minneapolis</t>
  </si>
  <si>
    <t># text = Eu tinha um amiga chegada da faculdade que tinha passado por um divórcio e queria ter filhos.</t>
  </si>
  <si>
    <t>chegada</t>
  </si>
  <si>
    <t>divórcio</t>
  </si>
  <si>
    <t># text = E assim, ela e eu temos uma filha, e mãe e filha vivem no Texas.</t>
  </si>
  <si>
    <t>vivem</t>
  </si>
  <si>
    <t>Texas</t>
  </si>
  <si>
    <t># text = E o meu marido e eu temos um filho que mora connosco o tempo todo, do qual eu sou o pai biológico, e a nossa substituta para a gravidez foi a Laura, a mãe lésbica de Oliver e Lucy em Minneapolis.</t>
  </si>
  <si>
    <t>mora</t>
  </si>
  <si>
    <t>con</t>
  </si>
  <si>
    <t>nosco</t>
  </si>
  <si>
    <t>substituta</t>
  </si>
  <si>
    <t>Laura</t>
  </si>
  <si>
    <t>lésbica</t>
  </si>
  <si>
    <t>Oliver</t>
  </si>
  <si>
    <t>Lucy</t>
  </si>
  <si>
    <t># text = Assim, abreviando, são cinco pais de quatro filhos de três Estados.</t>
  </si>
  <si>
    <t>abreviando</t>
  </si>
  <si>
    <t>cinco</t>
  </si>
  <si>
    <t>Estados</t>
  </si>
  <si>
    <t># text = Há pessoas que pensam que a existência da minha família de certo modo prejudica, enfraquece ou danifica a sua família.</t>
  </si>
  <si>
    <t>pensam</t>
  </si>
  <si>
    <t>certo</t>
  </si>
  <si>
    <t>prejudica</t>
  </si>
  <si>
    <t>enfraquece</t>
  </si>
  <si>
    <t>danifica</t>
  </si>
  <si>
    <t># text = E há pessoas que pensam que famílias como a minha não deviam ser autorizadas a existir.</t>
  </si>
  <si>
    <t>deviam</t>
  </si>
  <si>
    <t>autorizadas</t>
  </si>
  <si>
    <t># text = Eu não aceito modelos subtractivos de amor, apenas modelos aditivos.</t>
  </si>
  <si>
    <t>aceito</t>
  </si>
  <si>
    <t>modelos</t>
  </si>
  <si>
    <t>subtractivos</t>
  </si>
  <si>
    <t>aditivos</t>
  </si>
  <si>
    <t># text = E acredito que tal como precisamos de diversidade de espécies para garantir que o planeta possa continuar a existir, também precisamos desta diversidade de afecto e diversidade de famílias para reforçar a ecosfera da bondade.</t>
  </si>
  <si>
    <t>precisamos</t>
  </si>
  <si>
    <t>diversidade</t>
  </si>
  <si>
    <t>espécies</t>
  </si>
  <si>
    <t>planeta</t>
  </si>
  <si>
    <t>possa</t>
  </si>
  <si>
    <t>continuar</t>
  </si>
  <si>
    <t>afecto</t>
  </si>
  <si>
    <t>reforçar</t>
  </si>
  <si>
    <t>ecosfera</t>
  </si>
  <si>
    <t>bondade</t>
  </si>
  <si>
    <t># text = No dia a seguir ao nascimento do nosso filho, a pediatra entrou no quarto de hospital e disse que estava preocupada.</t>
  </si>
  <si>
    <t>seguir</t>
  </si>
  <si>
    <t>nascimento</t>
  </si>
  <si>
    <t>pediatra</t>
  </si>
  <si>
    <t>entrou</t>
  </si>
  <si>
    <t>quarto</t>
  </si>
  <si>
    <t>preocupada</t>
  </si>
  <si>
    <t># text = Ele não estava a esticar as pernas adequadamente.</t>
  </si>
  <si>
    <t>Ele</t>
  </si>
  <si>
    <t>esticar</t>
  </si>
  <si>
    <t>pernas</t>
  </si>
  <si>
    <t>adequadamente</t>
  </si>
  <si>
    <t># text = Ela disse que podia significar que tinha danos cerebrais.</t>
  </si>
  <si>
    <t>podia</t>
  </si>
  <si>
    <t>significar</t>
  </si>
  <si>
    <t>danos</t>
  </si>
  <si>
    <t>cerebrais</t>
  </si>
  <si>
    <t># text = Na medida em que ele as estendia, fazia-o de forma assimétrica, o que a levou a pensar que poderia haver em acção um tumor de algum tipo.</t>
  </si>
  <si>
    <t>medida</t>
  </si>
  <si>
    <t>estendia</t>
  </si>
  <si>
    <t>fazia</t>
  </si>
  <si>
    <t>assimétrica</t>
  </si>
  <si>
    <t>acção</t>
  </si>
  <si>
    <t>tumor</t>
  </si>
  <si>
    <t># text = E ele tinha uma cabeça muito grande, que ela pensou poder indicar hidrocefalia.</t>
  </si>
  <si>
    <t>indicar</t>
  </si>
  <si>
    <t>hidrocefalia</t>
  </si>
  <si>
    <t># text = Enquanto ela me dizia estas coisas, senti o centro do meu ser a derramar-se no chão.</t>
  </si>
  <si>
    <t>senti</t>
  </si>
  <si>
    <t>derramar</t>
  </si>
  <si>
    <t># text = Pensei que tinha trabalhado durante tantos anos num livro sobre o significado que as pessoas tinham encontrado na experiência de ser pais de crianças que são deficientes, e eu não queria juntar-me a esse grupo.</t>
  </si>
  <si>
    <t>trabalhado</t>
  </si>
  <si>
    <t>tantos</t>
  </si>
  <si>
    <t>livro</t>
  </si>
  <si>
    <t>deficientes</t>
  </si>
  <si>
    <t>juntar</t>
  </si>
  <si>
    <t># text = Porque o que estava a encarar era uma ideia de doença.</t>
  </si>
  <si>
    <t>Porque</t>
  </si>
  <si>
    <t>encarar</t>
  </si>
  <si>
    <t># text = E como todos os pais desde os primórdios dos tempos, queria proteger o meu filho da doença.</t>
  </si>
  <si>
    <t>desde</t>
  </si>
  <si>
    <t>primórdios</t>
  </si>
  <si>
    <t>tempos</t>
  </si>
  <si>
    <t>proteger</t>
  </si>
  <si>
    <t># text = E também me queria proteger da doença.</t>
  </si>
  <si>
    <t># text = Mesmo assim, devido ao trabalho que tinha realizado, eu sabia que se ele tivesse qualquer das coisas que estávamos prestes a testar, essas seriam, em última análise, a sua identidade, e, se fossem a sua identidade, tornam-se-iam na minha identidade, e que essa doença iria tomar uma forma muito diferente enquanto se desenrolasse.</t>
  </si>
  <si>
    <t>devido</t>
  </si>
  <si>
    <t>trabalho</t>
  </si>
  <si>
    <t>realizado</t>
  </si>
  <si>
    <t>testar</t>
  </si>
  <si>
    <t>seriam</t>
  </si>
  <si>
    <t>última</t>
  </si>
  <si>
    <t>análise</t>
  </si>
  <si>
    <t>fossem</t>
  </si>
  <si>
    <t>tornam</t>
  </si>
  <si>
    <t>se-</t>
  </si>
  <si>
    <t>iam</t>
  </si>
  <si>
    <t>tomar</t>
  </si>
  <si>
    <t>desenrolasse</t>
  </si>
  <si>
    <t># text = Sujeitámo-lo a uma ressonância magnética, depois a uma TAC, agarrámos no bebé recém-nascido e fizeram-lhe uma colheita de sangue.</t>
  </si>
  <si>
    <t>Sujeitámo</t>
  </si>
  <si>
    <t>ressonância</t>
  </si>
  <si>
    <t>magnética</t>
  </si>
  <si>
    <t>TAC</t>
  </si>
  <si>
    <t>agarrámos</t>
  </si>
  <si>
    <t>bebé</t>
  </si>
  <si>
    <t>recém-nascido</t>
  </si>
  <si>
    <t>fizeram</t>
  </si>
  <si>
    <t>colheita</t>
  </si>
  <si>
    <t># text = Sentíamo-nos impotentes.</t>
  </si>
  <si>
    <t>Sentíamo</t>
  </si>
  <si>
    <t>impotentes</t>
  </si>
  <si>
    <t># text = Ao fim de cinco horas de espera, disseram-nos que o cérebro era totalmente normal e que ele estava já estava a estender as pernas correctamente.</t>
  </si>
  <si>
    <t>fim</t>
  </si>
  <si>
    <t>espera</t>
  </si>
  <si>
    <t>totalmente</t>
  </si>
  <si>
    <t>já</t>
  </si>
  <si>
    <t>estender</t>
  </si>
  <si>
    <t>correctamente</t>
  </si>
  <si>
    <t># text = Quando eu perguntei à pediatra o que tinha acontecido, ela disse que provavelmente, de manhã, ele tinha tido uma cãibra.</t>
  </si>
  <si>
    <t>manhã</t>
  </si>
  <si>
    <t>cãibra</t>
  </si>
  <si>
    <t># text = Mas eu pensei... em como a minha mãe estava certa.</t>
  </si>
  <si>
    <t># text = Pensei que o amor que temos pelos nossos filhos é diferente de qualquer outro sentimento do mundo, e, até termos filhos, não sabemos como é esse sentimento.</t>
  </si>
  <si>
    <t># text = Acho que as crianças me apanharam no momento em que associei a paternidade à perda.</t>
  </si>
  <si>
    <t>Acho</t>
  </si>
  <si>
    <t>apanharam</t>
  </si>
  <si>
    <t>associei</t>
  </si>
  <si>
    <t># text = Mas não tenho a certeza de que me teria apercebido disso se não tivesse estado tão envolvido neste meu projecto de investigação.</t>
  </si>
  <si>
    <t>certeza</t>
  </si>
  <si>
    <t>apercebido</t>
  </si>
  <si>
    <t>envolvido</t>
  </si>
  <si>
    <t>investigação</t>
  </si>
  <si>
    <t># text = Eu tinha encontrado tanto amor estranho e caí muito naturalmente nos seus encantadores padrões.</t>
  </si>
  <si>
    <t>estranho</t>
  </si>
  <si>
    <t>caí</t>
  </si>
  <si>
    <t>naturalmente</t>
  </si>
  <si>
    <t>encantadores</t>
  </si>
  <si>
    <t>padrões</t>
  </si>
  <si>
    <t># text = E vi como o esplendor pode iluminar até mesmo as vulnerabilidades mais abjectas.</t>
  </si>
  <si>
    <t>esplendor</t>
  </si>
  <si>
    <t>iluminar</t>
  </si>
  <si>
    <t>vulnerabilidades</t>
  </si>
  <si>
    <t>abjectas</t>
  </si>
  <si>
    <t># text = Durante estes 10 anos, eu tinha testemunhado e aprendido a assustadora alegria da responsabilidade insuportável, e tinha visto como ela vence tudo o resto.</t>
  </si>
  <si>
    <t>Durante</t>
  </si>
  <si>
    <t>testemunhado</t>
  </si>
  <si>
    <t>aprendido</t>
  </si>
  <si>
    <t>assustadora</t>
  </si>
  <si>
    <t>alegria</t>
  </si>
  <si>
    <t>responsabilidade</t>
  </si>
  <si>
    <t>insuportável</t>
  </si>
  <si>
    <t>vence</t>
  </si>
  <si>
    <t>resto</t>
  </si>
  <si>
    <t># text = Embora, por vezes, eu tenha pensado que os pais que eu estava a entrevistar eram tolos, escravizando-se para uma jornada de vida com os seus filhos ingratos e tentando criar identidade a partir da miséria, percebi naquele dia que a minha pesquisa me tinha construído uma prancha e que eu estava pronto para me juntar a eles no seu navio.</t>
  </si>
  <si>
    <t>pensado</t>
  </si>
  <si>
    <t>entrevistar</t>
  </si>
  <si>
    <t>tolos</t>
  </si>
  <si>
    <t>escravizando</t>
  </si>
  <si>
    <t>jornada</t>
  </si>
  <si>
    <t>ingratos</t>
  </si>
  <si>
    <t>tentando</t>
  </si>
  <si>
    <t>criar</t>
  </si>
  <si>
    <t>partir</t>
  </si>
  <si>
    <t>miséria</t>
  </si>
  <si>
    <t>aquele</t>
  </si>
  <si>
    <t>pesquisa</t>
  </si>
  <si>
    <t>construído</t>
  </si>
  <si>
    <t>prancha</t>
  </si>
  <si>
    <t>pronto</t>
  </si>
  <si>
    <t>navio</t>
  </si>
  <si>
    <t># text = Obrigado.</t>
  </si>
  <si>
    <t>Obrigado</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</si>
</sst>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7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11</v>
      </c>
      <c r="C4" s="6" t="s">
        <v>12</v>
      </c>
      <c r="D4" s="7" t="s">
        <v>21</v>
      </c>
      <c r="E4" s="8" t="s">
        <v>22</v>
      </c>
      <c r="F4" s="6" t="s">
        <v>23</v>
      </c>
      <c r="G4" s="9">
        <f>IF(A4=1,"_",IF(C4="_","???",C4))</f>
        <v/>
      </c>
      <c r="H4" s="10" t="s">
        <v>12</v>
      </c>
      <c r="I4" s="11" t="s">
        <v>12</v>
      </c>
      <c r="J4" s="12"/>
    </row>
    <row r="5" spans="1:10" ht="60" customHeight="1">
      <c r="A5" s="6" t="s">
        <v>24</v>
      </c>
      <c r="B5" s="6" t="s">
        <v>25</v>
      </c>
      <c r="C5" s="6" t="s">
        <v>12</v>
      </c>
      <c r="D5" s="7" t="s">
        <v>26</v>
      </c>
      <c r="E5" s="8" t="s">
        <v>27</v>
      </c>
      <c r="F5" s="6" t="s">
        <v>28</v>
      </c>
      <c r="G5" s="9">
        <f>IF(A5=1,"_",IF(C5="_","???",C5))</f>
        <v/>
      </c>
      <c r="H5" s="10" t="s">
        <v>12</v>
      </c>
      <c r="I5" s="11" t="s">
        <v>12</v>
      </c>
      <c r="J5" s="12"/>
    </row>
    <row r="6" spans="1:10" ht="60" customHeight="1">
      <c r="A6" s="6" t="s">
        <v>29</v>
      </c>
      <c r="B6" s="6" t="s">
        <v>16</v>
      </c>
      <c r="C6" s="6" t="s">
        <v>30</v>
      </c>
      <c r="D6" s="7" t="s">
        <v>31</v>
      </c>
      <c r="E6" s="8" t="s">
        <v>32</v>
      </c>
      <c r="F6" s="6" t="s">
        <v>33</v>
      </c>
      <c r="G6" s="9">
        <f>IF(A6=1,"_",IF(C6="_","???",C6))</f>
        <v/>
      </c>
      <c r="H6" s="10" t="s">
        <v>12</v>
      </c>
      <c r="I6" s="11" t="s">
        <v>12</v>
      </c>
      <c r="J6" s="12"/>
    </row>
    <row r="7" spans="1:10" ht="60" customHeight="1">
      <c r="A7" s="6" t="s">
        <v>25</v>
      </c>
      <c r="B7" s="6" t="s">
        <v>25</v>
      </c>
      <c r="C7" s="6" t="s">
        <v>12</v>
      </c>
      <c r="D7" s="7" t="s">
        <v>34</v>
      </c>
      <c r="E7" s="8" t="s">
        <v>35</v>
      </c>
      <c r="F7" s="6" t="s">
        <v>36</v>
      </c>
      <c r="G7" s="9">
        <f>IF(A7=1,"_",IF(C7="_","???",C7))</f>
        <v/>
      </c>
      <c r="H7" s="10" t="s">
        <v>12</v>
      </c>
      <c r="I7" s="11" t="s">
        <v>12</v>
      </c>
      <c r="J7" s="12"/>
    </row>
    <row r="8" spans="1:10" ht="60" customHeight="1">
      <c r="A8" s="6" t="s">
        <v>37</v>
      </c>
      <c r="B8" s="6" t="s">
        <v>38</v>
      </c>
      <c r="C8" s="6" t="s">
        <v>12</v>
      </c>
      <c r="D8" s="7" t="s">
        <v>39</v>
      </c>
      <c r="E8" s="8" t="s">
        <v>40</v>
      </c>
      <c r="F8" s="6" t="s">
        <v>41</v>
      </c>
      <c r="G8" s="9">
        <f>IF(A8=1,"_",IF(C8="_","???",C8))</f>
        <v/>
      </c>
      <c r="H8" s="10" t="s">
        <v>12</v>
      </c>
      <c r="I8" s="11" t="s">
        <v>12</v>
      </c>
      <c r="J8" s="12"/>
    </row>
    <row r="9" spans="1:10" ht="60" customHeight="1">
      <c r="A9" s="6" t="s">
        <v>42</v>
      </c>
      <c r="B9" s="6" t="s">
        <v>42</v>
      </c>
      <c r="C9" s="6" t="s">
        <v>12</v>
      </c>
      <c r="D9" s="7" t="s">
        <v>43</v>
      </c>
      <c r="E9" s="8" t="s">
        <v>44</v>
      </c>
      <c r="F9" s="6" t="s">
        <v>45</v>
      </c>
      <c r="G9" s="9">
        <f>IF(A9=1,"_",IF(C9="_","???",C9))</f>
        <v/>
      </c>
      <c r="H9" s="10" t="s">
        <v>12</v>
      </c>
      <c r="I9" s="11" t="s">
        <v>12</v>
      </c>
      <c r="J9" s="12"/>
    </row>
    <row r="10" spans="1:10" ht="60" customHeight="1">
      <c r="A10" s="6" t="s">
        <v>11</v>
      </c>
      <c r="B10" s="6" t="s">
        <v>29</v>
      </c>
      <c r="C10" s="6" t="s">
        <v>12</v>
      </c>
      <c r="D10" s="7" t="s">
        <v>46</v>
      </c>
      <c r="E10" s="8" t="s">
        <v>47</v>
      </c>
      <c r="F10" s="6" t="s">
        <v>48</v>
      </c>
      <c r="G10" s="9">
        <f>IF(A10=1,"_",IF(C10="_","???",C10))</f>
        <v/>
      </c>
      <c r="H10" s="10" t="s">
        <v>12</v>
      </c>
      <c r="I10" s="11" t="s">
        <v>12</v>
      </c>
      <c r="J10" s="12"/>
    </row>
    <row r="11" spans="1:10" ht="60" customHeight="1">
      <c r="A11" s="6" t="s">
        <v>49</v>
      </c>
      <c r="B11" s="6" t="s">
        <v>24</v>
      </c>
      <c r="C11" s="6" t="s">
        <v>12</v>
      </c>
      <c r="D11" s="7" t="s">
        <v>50</v>
      </c>
      <c r="E11" s="8" t="s">
        <v>51</v>
      </c>
      <c r="F11" s="6" t="s">
        <v>52</v>
      </c>
      <c r="G11" s="9">
        <f>IF(A11=1,"_",IF(C11="_","???",C11))</f>
        <v/>
      </c>
      <c r="H11" s="10" t="s">
        <v>12</v>
      </c>
      <c r="I11" s="11" t="s">
        <v>12</v>
      </c>
      <c r="J11" s="12"/>
    </row>
    <row r="12" spans="1:10" ht="60" customHeight="1">
      <c r="A12" s="6" t="s">
        <v>53</v>
      </c>
      <c r="B12" s="6" t="s">
        <v>20</v>
      </c>
      <c r="C12" s="6" t="s">
        <v>12</v>
      </c>
      <c r="D12" s="7" t="s">
        <v>54</v>
      </c>
      <c r="E12" s="8" t="s">
        <v>55</v>
      </c>
      <c r="F12" s="6" t="s">
        <v>56</v>
      </c>
      <c r="G12" s="9">
        <f>IF(A12=1,"_",IF(C12="_","???",C12))</f>
        <v/>
      </c>
      <c r="H12" s="10" t="s">
        <v>12</v>
      </c>
      <c r="I12" s="11" t="s">
        <v>12</v>
      </c>
      <c r="J12" s="12"/>
    </row>
    <row r="13" spans="1:10" ht="60" customHeight="1">
      <c r="A13" s="6" t="s">
        <v>57</v>
      </c>
      <c r="B13" s="6" t="s">
        <v>16</v>
      </c>
      <c r="C13" s="6" t="s">
        <v>12</v>
      </c>
      <c r="D13" s="7" t="s">
        <v>58</v>
      </c>
      <c r="E13" s="8" t="s">
        <v>59</v>
      </c>
      <c r="F13" s="6" t="s">
        <v>60</v>
      </c>
      <c r="G13" s="9">
        <f>IF(A13=1,"_",IF(C13="_","???",C13))</f>
        <v/>
      </c>
      <c r="H13" s="10" t="s">
        <v>12</v>
      </c>
      <c r="I13" s="11" t="s">
        <v>12</v>
      </c>
      <c r="J13" s="12"/>
    </row>
    <row r="14" spans="1:10" ht="60" customHeight="1">
      <c r="A14" s="6" t="s">
        <v>61</v>
      </c>
      <c r="B14" s="6" t="s">
        <v>38</v>
      </c>
      <c r="C14" s="6" t="s">
        <v>12</v>
      </c>
      <c r="D14" s="7" t="s">
        <v>62</v>
      </c>
      <c r="E14" s="8" t="s">
        <v>63</v>
      </c>
      <c r="F14" s="6" t="s">
        <v>64</v>
      </c>
      <c r="G14" s="9">
        <f>IF(A14=1,"_",IF(C14="_","???",C14))</f>
        <v/>
      </c>
      <c r="H14" s="10" t="s">
        <v>12</v>
      </c>
      <c r="I14" s="11" t="s">
        <v>12</v>
      </c>
      <c r="J14" s="12"/>
    </row>
    <row r="15" spans="1:10" ht="60" customHeight="1">
      <c r="A15" s="6" t="s">
        <v>65</v>
      </c>
      <c r="B15" s="6" t="s">
        <v>37</v>
      </c>
      <c r="C15" s="6" t="s">
        <v>30</v>
      </c>
      <c r="D15" s="7" t="s">
        <v>66</v>
      </c>
      <c r="E15" s="8" t="s">
        <v>67</v>
      </c>
      <c r="F15" s="6" t="s">
        <v>68</v>
      </c>
      <c r="G15" s="9">
        <f>IF(A15=1,"_",IF(C15="_","???",C15))</f>
        <v/>
      </c>
      <c r="H15" s="10" t="s">
        <v>12</v>
      </c>
      <c r="I15" s="11" t="s">
        <v>12</v>
      </c>
      <c r="J15" s="12"/>
    </row>
    <row r="16" spans="1:10" ht="60" customHeight="1">
      <c r="A16" s="6" t="s">
        <v>69</v>
      </c>
      <c r="B16" s="6" t="s">
        <v>70</v>
      </c>
      <c r="C16" s="6" t="s">
        <v>12</v>
      </c>
      <c r="D16" s="7" t="s">
        <v>71</v>
      </c>
      <c r="E16" s="8" t="s">
        <v>72</v>
      </c>
      <c r="F16" s="6" t="s">
        <v>73</v>
      </c>
      <c r="G16" s="9">
        <f>IF(A16=1,"_",IF(C16="_","???",C16))</f>
        <v/>
      </c>
      <c r="H16" s="10" t="s">
        <v>12</v>
      </c>
      <c r="I16" s="11" t="s">
        <v>12</v>
      </c>
      <c r="J16" s="12"/>
    </row>
    <row r="17" spans="1:10" ht="60" customHeight="1">
      <c r="A17" s="6" t="s">
        <v>74</v>
      </c>
      <c r="B17" s="6" t="s">
        <v>24</v>
      </c>
      <c r="C17" s="6" t="s">
        <v>12</v>
      </c>
      <c r="D17" s="7" t="s">
        <v>75</v>
      </c>
      <c r="E17" s="8" t="s">
        <v>76</v>
      </c>
      <c r="F17" s="6" t="s">
        <v>77</v>
      </c>
      <c r="G17" s="9">
        <f>IF(A17=1,"_",IF(C17="_","???",C17))</f>
        <v/>
      </c>
      <c r="H17" s="10" t="s">
        <v>12</v>
      </c>
      <c r="I17" s="11" t="s">
        <v>12</v>
      </c>
      <c r="J17" s="12"/>
    </row>
    <row r="18" spans="1:10" ht="60" customHeight="1">
      <c r="A18" s="6" t="s">
        <v>78</v>
      </c>
      <c r="B18" s="6" t="s">
        <v>61</v>
      </c>
      <c r="C18" s="6" t="s">
        <v>12</v>
      </c>
      <c r="D18" s="7" t="s">
        <v>79</v>
      </c>
      <c r="E18" s="8" t="s">
        <v>80</v>
      </c>
      <c r="F18" s="6" t="s">
        <v>81</v>
      </c>
      <c r="G18" s="9">
        <f>IF(A18=1,"_",IF(C18="_","???",C18))</f>
        <v/>
      </c>
      <c r="H18" s="10" t="s">
        <v>12</v>
      </c>
      <c r="I18" s="11" t="s">
        <v>12</v>
      </c>
      <c r="J18" s="12"/>
    </row>
    <row r="19" spans="1:10" ht="60" customHeight="1">
      <c r="A19" s="6" t="s">
        <v>82</v>
      </c>
      <c r="B19" s="6" t="s">
        <v>20</v>
      </c>
      <c r="C19" s="6" t="s">
        <v>12</v>
      </c>
      <c r="D19" s="7" t="s">
        <v>83</v>
      </c>
      <c r="E19" s="8" t="s">
        <v>84</v>
      </c>
      <c r="F19" s="6" t="s">
        <v>85</v>
      </c>
      <c r="G19" s="9">
        <f>IF(A19=1,"_",IF(C19="_","???",C19))</f>
        <v/>
      </c>
      <c r="H19" s="10" t="s">
        <v>12</v>
      </c>
      <c r="I19" s="11" t="s">
        <v>12</v>
      </c>
      <c r="J19" s="12"/>
    </row>
    <row r="20" spans="1:10" ht="60" customHeight="1">
      <c r="A20" s="6" t="s">
        <v>86</v>
      </c>
      <c r="B20" s="6" t="s">
        <v>20</v>
      </c>
      <c r="C20" s="6" t="s">
        <v>12</v>
      </c>
      <c r="D20" s="7" t="s">
        <v>87</v>
      </c>
      <c r="E20" s="8" t="s">
        <v>88</v>
      </c>
      <c r="F20" s="6" t="s">
        <v>89</v>
      </c>
      <c r="G20" s="9">
        <f>IF(A20=1,"_",IF(C20="_","???",C20))</f>
        <v/>
      </c>
      <c r="H20" s="10" t="s">
        <v>12</v>
      </c>
      <c r="I20" s="11" t="s">
        <v>12</v>
      </c>
      <c r="J20" s="12"/>
    </row>
    <row r="21" spans="1:10" ht="60" customHeight="1">
      <c r="A21" s="6" t="s">
        <v>90</v>
      </c>
      <c r="B21" s="6" t="s">
        <v>61</v>
      </c>
      <c r="C21" s="6" t="s">
        <v>12</v>
      </c>
      <c r="D21" s="7" t="s">
        <v>91</v>
      </c>
      <c r="E21" s="8" t="s">
        <v>92</v>
      </c>
      <c r="F21" s="6" t="s">
        <v>93</v>
      </c>
      <c r="G21" s="9">
        <f>IF(A21=1,"_",IF(C21="_","???",C21))</f>
        <v/>
      </c>
      <c r="H21" s="10" t="s">
        <v>12</v>
      </c>
      <c r="I21" s="11" t="s">
        <v>12</v>
      </c>
      <c r="J21" s="12"/>
    </row>
    <row r="22" spans="1:10" ht="60" customHeight="1">
      <c r="A22" s="6" t="s">
        <v>94</v>
      </c>
      <c r="B22" s="6" t="s">
        <v>10</v>
      </c>
      <c r="C22" s="6" t="s">
        <v>12</v>
      </c>
      <c r="D22" s="7" t="s">
        <v>95</v>
      </c>
      <c r="E22" s="8" t="s">
        <v>96</v>
      </c>
      <c r="F22" s="6" t="s">
        <v>97</v>
      </c>
      <c r="G22" s="9">
        <f>IF(A22=1,"_",IF(C22="_","???",C22))</f>
        <v/>
      </c>
      <c r="H22" s="10" t="s">
        <v>12</v>
      </c>
      <c r="I22" s="11" t="s">
        <v>12</v>
      </c>
      <c r="J22" s="12"/>
    </row>
    <row r="23" spans="1:10" ht="60" customHeight="1">
      <c r="A23" s="6" t="s">
        <v>98</v>
      </c>
      <c r="B23" s="6" t="s">
        <v>16</v>
      </c>
      <c r="C23" s="6" t="s">
        <v>12</v>
      </c>
      <c r="D23" s="7" t="s">
        <v>71</v>
      </c>
      <c r="E23" s="8" t="s">
        <v>99</v>
      </c>
      <c r="F23" s="6" t="s">
        <v>100</v>
      </c>
      <c r="G23" s="9">
        <f>IF(A23=1,"_",IF(C23="_","???",C23))</f>
        <v/>
      </c>
      <c r="H23" s="10" t="s">
        <v>12</v>
      </c>
      <c r="I23" s="11" t="s">
        <v>12</v>
      </c>
      <c r="J23" s="12"/>
    </row>
    <row r="24" spans="1:10" ht="60" customHeight="1">
      <c r="A24" s="6" t="s">
        <v>101</v>
      </c>
      <c r="B24" s="6" t="s">
        <v>24</v>
      </c>
      <c r="C24" s="6" t="s">
        <v>12</v>
      </c>
      <c r="D24" s="7" t="s">
        <v>102</v>
      </c>
      <c r="E24" s="8" t="s">
        <v>103</v>
      </c>
      <c r="F24" s="6" t="s">
        <v>104</v>
      </c>
      <c r="G24" s="9">
        <f>IF(A24=1,"_",IF(C24="_","???",C24))</f>
        <v/>
      </c>
      <c r="H24" s="10" t="s">
        <v>12</v>
      </c>
      <c r="I24" s="11" t="s">
        <v>12</v>
      </c>
      <c r="J24" s="12"/>
    </row>
    <row r="25" spans="1:10" ht="60" customHeight="1">
      <c r="A25" s="6" t="s">
        <v>105</v>
      </c>
      <c r="B25" s="6" t="s">
        <v>70</v>
      </c>
      <c r="C25" s="6" t="s">
        <v>12</v>
      </c>
      <c r="D25" s="7" t="s">
        <v>106</v>
      </c>
      <c r="E25" s="8" t="s">
        <v>107</v>
      </c>
      <c r="F25" s="6" t="s">
        <v>108</v>
      </c>
      <c r="G25" s="9">
        <f>IF(A25=1,"_",IF(C25="_","???",C25))</f>
        <v/>
      </c>
      <c r="H25" s="10" t="s">
        <v>12</v>
      </c>
      <c r="I25" s="11" t="s">
        <v>12</v>
      </c>
      <c r="J25" s="12"/>
    </row>
    <row r="26" spans="1:10" ht="60" customHeight="1">
      <c r="A26" s="6" t="s">
        <v>109</v>
      </c>
      <c r="B26" s="6" t="s">
        <v>10</v>
      </c>
      <c r="C26" s="6" t="s">
        <v>12</v>
      </c>
      <c r="D26" s="7" t="s">
        <v>110</v>
      </c>
      <c r="E26" s="8" t="s">
        <v>111</v>
      </c>
      <c r="F26" s="6" t="s">
        <v>112</v>
      </c>
      <c r="G26" s="9">
        <f>IF(A26=1,"_",IF(C26="_","???",C26))</f>
        <v/>
      </c>
      <c r="H26" s="10" t="s">
        <v>12</v>
      </c>
      <c r="I26" s="11" t="s">
        <v>12</v>
      </c>
      <c r="J26" s="12"/>
    </row>
    <row r="27" spans="1:10" ht="60" customHeight="1">
      <c r="A27" s="6" t="s">
        <v>113</v>
      </c>
      <c r="B27" s="6" t="s">
        <v>10</v>
      </c>
      <c r="C27" s="6" t="s">
        <v>12</v>
      </c>
      <c r="D27" s="7" t="s">
        <v>114</v>
      </c>
      <c r="E27" s="8" t="s">
        <v>115</v>
      </c>
      <c r="F27" s="6" t="s">
        <v>116</v>
      </c>
      <c r="G27" s="9">
        <f>IF(A27=1,"_",IF(C27="_","???",C27))</f>
        <v/>
      </c>
      <c r="H27" s="10" t="s">
        <v>12</v>
      </c>
      <c r="I27" s="11" t="s">
        <v>12</v>
      </c>
      <c r="J27" s="12"/>
    </row>
    <row r="28" spans="1:10" ht="60" customHeight="1">
      <c r="A28" s="6" t="s">
        <v>117</v>
      </c>
      <c r="B28" s="6" t="s">
        <v>20</v>
      </c>
      <c r="C28" s="6" t="s">
        <v>30</v>
      </c>
      <c r="D28" s="7" t="s">
        <v>118</v>
      </c>
      <c r="E28" s="8" t="s">
        <v>119</v>
      </c>
      <c r="F28" s="6" t="s">
        <v>120</v>
      </c>
      <c r="G28" s="9">
        <f>IF(A28=1,"_",IF(C28="_","???",C28))</f>
        <v/>
      </c>
      <c r="H28" s="10" t="s">
        <v>12</v>
      </c>
      <c r="I28" s="11" t="s">
        <v>12</v>
      </c>
      <c r="J28" s="12"/>
    </row>
    <row r="29" spans="1:10" ht="60" customHeight="1">
      <c r="A29" s="6" t="s">
        <v>121</v>
      </c>
      <c r="B29" s="6" t="s">
        <v>57</v>
      </c>
      <c r="C29" s="6" t="s">
        <v>12</v>
      </c>
      <c r="D29" s="7" t="s">
        <v>122</v>
      </c>
      <c r="E29" s="8" t="s">
        <v>123</v>
      </c>
      <c r="F29" s="6" t="s">
        <v>124</v>
      </c>
      <c r="G29" s="9">
        <f>IF(A29=1,"_",IF(C29="_","???",C29))</f>
        <v/>
      </c>
      <c r="H29" s="10" t="s">
        <v>12</v>
      </c>
      <c r="I29" s="11" t="s">
        <v>12</v>
      </c>
      <c r="J29" s="12"/>
    </row>
    <row r="30" spans="1:10" ht="60" customHeight="1">
      <c r="A30" s="6" t="s">
        <v>125</v>
      </c>
      <c r="B30" s="6" t="s">
        <v>61</v>
      </c>
      <c r="C30" s="6" t="s">
        <v>12</v>
      </c>
      <c r="D30" s="7" t="s">
        <v>126</v>
      </c>
      <c r="E30" s="8" t="s">
        <v>127</v>
      </c>
      <c r="F30" s="6" t="s">
        <v>128</v>
      </c>
      <c r="G30" s="9">
        <f>IF(A30=1,"_",IF(C30="_","???",C30))</f>
        <v/>
      </c>
      <c r="H30" s="10" t="s">
        <v>12</v>
      </c>
      <c r="I30" s="11" t="s">
        <v>12</v>
      </c>
      <c r="J30" s="12"/>
    </row>
    <row r="31" spans="1:10" ht="60" customHeight="1">
      <c r="A31" s="6" t="s">
        <v>129</v>
      </c>
      <c r="B31" s="6" t="s">
        <v>37</v>
      </c>
      <c r="C31" s="6" t="s">
        <v>12</v>
      </c>
      <c r="D31" s="7" t="s">
        <v>87</v>
      </c>
      <c r="E31" s="8" t="s">
        <v>130</v>
      </c>
      <c r="F31" s="6" t="s">
        <v>131</v>
      </c>
      <c r="G31" s="9">
        <f>IF(A31=1,"_",IF(C31="_","???",C31))</f>
        <v/>
      </c>
      <c r="H31" s="10" t="s">
        <v>12</v>
      </c>
      <c r="I31" s="11" t="s">
        <v>12</v>
      </c>
      <c r="J31" s="12"/>
    </row>
    <row r="32" spans="1:10" ht="60" customHeight="1">
      <c r="A32" s="6" t="s">
        <v>132</v>
      </c>
      <c r="B32" s="6" t="s">
        <v>37</v>
      </c>
      <c r="C32" s="6" t="s">
        <v>12</v>
      </c>
      <c r="D32" s="7" t="s">
        <v>133</v>
      </c>
      <c r="E32" s="8" t="s">
        <v>134</v>
      </c>
      <c r="F32" s="6" t="s">
        <v>135</v>
      </c>
      <c r="G32" s="9">
        <f>IF(A32=1,"_",IF(C32="_","???",C32))</f>
        <v/>
      </c>
      <c r="H32" s="10" t="s">
        <v>12</v>
      </c>
      <c r="I32" s="11" t="s">
        <v>12</v>
      </c>
      <c r="J32" s="12"/>
    </row>
    <row r="33" spans="1:10" ht="60" customHeight="1">
      <c r="A33" s="6" t="s">
        <v>136</v>
      </c>
      <c r="B33" s="6" t="s">
        <v>42</v>
      </c>
      <c r="C33" s="6" t="s">
        <v>12</v>
      </c>
      <c r="D33" s="7" t="s">
        <v>137</v>
      </c>
      <c r="E33" s="8" t="s">
        <v>138</v>
      </c>
      <c r="F33" s="6" t="s">
        <v>139</v>
      </c>
      <c r="G33" s="9">
        <f>IF(A33=1,"_",IF(C33="_","???",C33))</f>
        <v/>
      </c>
      <c r="H33" s="10" t="s">
        <v>12</v>
      </c>
      <c r="I33" s="11" t="s">
        <v>12</v>
      </c>
      <c r="J33" s="12"/>
    </row>
    <row r="34" spans="1:10" ht="60" customHeight="1">
      <c r="A34" s="6" t="s">
        <v>140</v>
      </c>
      <c r="B34" s="6" t="s">
        <v>16</v>
      </c>
      <c r="C34" s="6" t="s">
        <v>12</v>
      </c>
      <c r="D34" s="7" t="s">
        <v>126</v>
      </c>
      <c r="E34" s="8" t="s">
        <v>141</v>
      </c>
      <c r="F34" s="6" t="s">
        <v>142</v>
      </c>
      <c r="G34" s="9">
        <f>IF(A34=1,"_",IF(C34="_","???",C34))</f>
        <v/>
      </c>
      <c r="H34" s="10" t="s">
        <v>12</v>
      </c>
      <c r="I34" s="11" t="s">
        <v>12</v>
      </c>
      <c r="J34" s="12"/>
    </row>
    <row r="35" spans="1:10" ht="60" customHeight="1">
      <c r="A35" s="6" t="s">
        <v>143</v>
      </c>
      <c r="B35" s="6" t="s">
        <v>10</v>
      </c>
      <c r="C35" s="6" t="s">
        <v>12</v>
      </c>
      <c r="D35" s="7" t="s">
        <v>144</v>
      </c>
      <c r="E35" s="8" t="s">
        <v>145</v>
      </c>
      <c r="F35" s="6" t="s">
        <v>146</v>
      </c>
      <c r="G35" s="9">
        <f>IF(A35=1,"_",IF(C35="_","???",C35))</f>
        <v/>
      </c>
      <c r="H35" s="10" t="s">
        <v>12</v>
      </c>
      <c r="I35" s="11" t="s">
        <v>12</v>
      </c>
      <c r="J35" s="12"/>
    </row>
    <row r="36" spans="1:10" ht="60" customHeight="1">
      <c r="A36" s="6" t="s">
        <v>147</v>
      </c>
      <c r="B36" s="6" t="s">
        <v>20</v>
      </c>
      <c r="C36" s="6" t="s">
        <v>12</v>
      </c>
      <c r="D36" s="7" t="s">
        <v>148</v>
      </c>
      <c r="E36" s="8" t="s">
        <v>149</v>
      </c>
      <c r="F36" s="6" t="s">
        <v>150</v>
      </c>
      <c r="G36" s="9">
        <f>IF(A36=1,"_",IF(C36="_","???",C36))</f>
        <v/>
      </c>
      <c r="H36" s="10" t="s">
        <v>12</v>
      </c>
      <c r="I36" s="11" t="s">
        <v>12</v>
      </c>
      <c r="J36" s="12"/>
    </row>
    <row r="37" spans="1:10" ht="60" customHeight="1">
      <c r="A37" s="6" t="s">
        <v>151</v>
      </c>
      <c r="B37" s="6" t="s">
        <v>16</v>
      </c>
      <c r="C37" s="6" t="s">
        <v>12</v>
      </c>
      <c r="D37" s="7" t="s">
        <v>144</v>
      </c>
      <c r="E37" s="8" t="s">
        <v>152</v>
      </c>
      <c r="F37" s="6" t="s">
        <v>153</v>
      </c>
      <c r="G37" s="9">
        <f>IF(A37=1,"_",IF(C37="_","???",C37))</f>
        <v/>
      </c>
      <c r="H37" s="10" t="s">
        <v>12</v>
      </c>
      <c r="I37" s="11" t="s">
        <v>12</v>
      </c>
      <c r="J37" s="12"/>
    </row>
    <row r="38" spans="1:10" ht="60" customHeight="1">
      <c r="A38" s="6" t="s">
        <v>154</v>
      </c>
      <c r="B38" s="6" t="s">
        <v>70</v>
      </c>
      <c r="C38" s="6" t="s">
        <v>12</v>
      </c>
      <c r="D38" s="7" t="s">
        <v>71</v>
      </c>
      <c r="E38" s="8" t="s">
        <v>155</v>
      </c>
      <c r="F38" s="6" t="s">
        <v>156</v>
      </c>
      <c r="G38" s="9">
        <f>IF(A38=1,"_",IF(C38="_","???",C38))</f>
        <v/>
      </c>
      <c r="H38" s="10" t="s">
        <v>12</v>
      </c>
      <c r="I38" s="11" t="s">
        <v>12</v>
      </c>
      <c r="J38" s="12"/>
    </row>
    <row r="39" spans="1:10" ht="60" customHeight="1">
      <c r="A39" s="6" t="s">
        <v>157</v>
      </c>
      <c r="B39" s="6" t="s">
        <v>24</v>
      </c>
      <c r="C39" s="6" t="s">
        <v>12</v>
      </c>
      <c r="D39" s="7" t="s">
        <v>158</v>
      </c>
      <c r="E39" s="8" t="s">
        <v>159</v>
      </c>
      <c r="F39" s="6" t="s">
        <v>160</v>
      </c>
      <c r="G39" s="9">
        <f>IF(A39=1,"_",IF(C39="_","???",C39))</f>
        <v/>
      </c>
      <c r="H39" s="10" t="s">
        <v>12</v>
      </c>
      <c r="I39" s="11" t="s">
        <v>12</v>
      </c>
      <c r="J39" s="12"/>
    </row>
    <row r="40" spans="1:10" ht="60" customHeight="1">
      <c r="A40" s="6" t="s">
        <v>161</v>
      </c>
      <c r="B40" s="6" t="s">
        <v>37</v>
      </c>
      <c r="C40" s="6" t="s">
        <v>12</v>
      </c>
      <c r="D40" s="7" t="s">
        <v>162</v>
      </c>
      <c r="E40" s="8" t="s">
        <v>163</v>
      </c>
      <c r="F40" s="6" t="s">
        <v>164</v>
      </c>
      <c r="G40" s="9">
        <f>IF(A40=1,"_",IF(C40="_","???",C40))</f>
        <v/>
      </c>
      <c r="H40" s="10" t="s">
        <v>12</v>
      </c>
      <c r="I40" s="11" t="s">
        <v>12</v>
      </c>
      <c r="J40" s="12"/>
    </row>
    <row r="41" spans="1:10" ht="60" customHeight="1">
      <c r="A41" s="6" t="s">
        <v>165</v>
      </c>
      <c r="B41" s="6" t="s">
        <v>38</v>
      </c>
      <c r="C41" s="6" t="s">
        <v>12</v>
      </c>
      <c r="D41" s="7" t="s">
        <v>166</v>
      </c>
      <c r="E41" s="8" t="s">
        <v>167</v>
      </c>
      <c r="F41" s="6" t="s">
        <v>168</v>
      </c>
      <c r="G41" s="9">
        <f>IF(A41=1,"_",IF(C41="_","???",C41))</f>
        <v/>
      </c>
      <c r="H41" s="10" t="s">
        <v>12</v>
      </c>
      <c r="I41" s="11" t="s">
        <v>12</v>
      </c>
      <c r="J41" s="12"/>
    </row>
    <row r="42" spans="1:10" ht="60" customHeight="1">
      <c r="A42" s="6" t="s">
        <v>169</v>
      </c>
      <c r="B42" s="6" t="s">
        <v>16</v>
      </c>
      <c r="C42" s="6" t="s">
        <v>12</v>
      </c>
      <c r="D42" s="7" t="s">
        <v>170</v>
      </c>
      <c r="E42" s="8" t="s">
        <v>171</v>
      </c>
      <c r="F42" s="6" t="s">
        <v>172</v>
      </c>
      <c r="G42" s="9">
        <f>IF(A42=1,"_",IF(C42="_","???",C42))</f>
        <v/>
      </c>
      <c r="H42" s="10" t="s">
        <v>12</v>
      </c>
      <c r="I42" s="11" t="s">
        <v>12</v>
      </c>
      <c r="J42" s="12"/>
    </row>
    <row r="43" spans="1:10" ht="60" customHeight="1">
      <c r="A43" s="6" t="s">
        <v>173</v>
      </c>
      <c r="B43" s="6" t="s">
        <v>20</v>
      </c>
      <c r="C43" s="6" t="s">
        <v>12</v>
      </c>
      <c r="D43" s="7" t="s">
        <v>126</v>
      </c>
      <c r="E43" s="8" t="s">
        <v>174</v>
      </c>
      <c r="F43" s="6" t="s">
        <v>175</v>
      </c>
      <c r="G43" s="9">
        <f>IF(A43=1,"_",IF(C43="_","???",C43))</f>
        <v/>
      </c>
      <c r="H43" s="10" t="s">
        <v>12</v>
      </c>
      <c r="I43" s="11" t="s">
        <v>12</v>
      </c>
      <c r="J43" s="12"/>
    </row>
    <row r="44" spans="1:10" ht="60" customHeight="1">
      <c r="A44" s="6" t="s">
        <v>176</v>
      </c>
      <c r="B44" s="6" t="s">
        <v>20</v>
      </c>
      <c r="C44" s="6" t="s">
        <v>12</v>
      </c>
      <c r="D44" s="7" t="s">
        <v>71</v>
      </c>
      <c r="E44" s="8" t="s">
        <v>177</v>
      </c>
      <c r="F44" s="6" t="s">
        <v>178</v>
      </c>
      <c r="G44" s="9">
        <f>IF(A44=1,"_",IF(C44="_","???",C44))</f>
        <v/>
      </c>
      <c r="H44" s="10" t="s">
        <v>12</v>
      </c>
      <c r="I44" s="11" t="s">
        <v>12</v>
      </c>
      <c r="J44" s="12"/>
    </row>
    <row r="45" spans="1:10" ht="60" customHeight="1">
      <c r="A45" s="6" t="s">
        <v>179</v>
      </c>
      <c r="B45" s="6" t="s">
        <v>16</v>
      </c>
      <c r="C45" s="6" t="s">
        <v>12</v>
      </c>
      <c r="D45" s="7" t="s">
        <v>180</v>
      </c>
      <c r="E45" s="8" t="s">
        <v>181</v>
      </c>
      <c r="F45" s="6" t="s">
        <v>182</v>
      </c>
      <c r="G45" s="9">
        <f>IF(A45=1,"_",IF(C45="_","???",C45))</f>
        <v/>
      </c>
      <c r="H45" s="10" t="s">
        <v>12</v>
      </c>
      <c r="I45" s="11" t="s">
        <v>12</v>
      </c>
      <c r="J45" s="12"/>
    </row>
    <row r="46" spans="1:10" ht="60" customHeight="1">
      <c r="A46" s="6" t="s">
        <v>183</v>
      </c>
      <c r="B46" s="6" t="s">
        <v>10</v>
      </c>
      <c r="C46" s="6" t="s">
        <v>12</v>
      </c>
      <c r="D46" s="7" t="s">
        <v>184</v>
      </c>
      <c r="E46" s="8" t="s">
        <v>185</v>
      </c>
      <c r="F46" s="6" t="s">
        <v>186</v>
      </c>
      <c r="G46" s="9">
        <f>IF(A46=1,"_",IF(C46="_","???",C46))</f>
        <v/>
      </c>
      <c r="H46" s="10" t="s">
        <v>12</v>
      </c>
      <c r="I46" s="11" t="s">
        <v>12</v>
      </c>
      <c r="J46" s="12"/>
    </row>
    <row r="47" spans="1:10" ht="60" customHeight="1">
      <c r="A47" s="6" t="s">
        <v>187</v>
      </c>
      <c r="B47" s="6" t="s">
        <v>10</v>
      </c>
      <c r="C47" s="6" t="s">
        <v>12</v>
      </c>
      <c r="D47" s="7" t="s">
        <v>188</v>
      </c>
      <c r="E47" s="8" t="s">
        <v>189</v>
      </c>
      <c r="F47" s="6" t="s">
        <v>190</v>
      </c>
      <c r="G47" s="9">
        <f>IF(A47=1,"_",IF(C47="_","???",C47))</f>
        <v/>
      </c>
      <c r="H47" s="10" t="s">
        <v>12</v>
      </c>
      <c r="I47" s="11" t="s">
        <v>12</v>
      </c>
      <c r="J47" s="12"/>
    </row>
    <row r="48" spans="1:10" ht="60" customHeight="1">
      <c r="A48" s="6" t="s">
        <v>191</v>
      </c>
      <c r="B48" s="6" t="s">
        <v>10</v>
      </c>
      <c r="C48" s="6" t="s">
        <v>12</v>
      </c>
      <c r="D48" s="7" t="s">
        <v>188</v>
      </c>
      <c r="E48" s="8" t="s">
        <v>192</v>
      </c>
      <c r="F48" s="6" t="s">
        <v>193</v>
      </c>
      <c r="G48" s="9">
        <f>IF(A48=1,"_",IF(C48="_","???",C48))</f>
        <v/>
      </c>
      <c r="H48" s="10" t="s">
        <v>12</v>
      </c>
      <c r="I48" s="11" t="s">
        <v>12</v>
      </c>
      <c r="J48" s="12"/>
    </row>
    <row r="49" spans="1:10" ht="60" customHeight="1">
      <c r="A49" s="6" t="s">
        <v>194</v>
      </c>
      <c r="B49" s="6" t="s">
        <v>42</v>
      </c>
      <c r="C49" s="6" t="s">
        <v>12</v>
      </c>
      <c r="D49" s="7" t="s">
        <v>184</v>
      </c>
      <c r="E49" s="8" t="s">
        <v>195</v>
      </c>
      <c r="F49" s="6" t="s">
        <v>196</v>
      </c>
      <c r="G49" s="9">
        <f>IF(A49=1,"_",IF(C49="_","???",C49))</f>
        <v/>
      </c>
      <c r="H49" s="10" t="s">
        <v>12</v>
      </c>
      <c r="I49" s="11" t="s">
        <v>12</v>
      </c>
      <c r="J49" s="12"/>
    </row>
    <row r="50" spans="1:10" ht="60" customHeight="1">
      <c r="A50" s="6" t="s">
        <v>197</v>
      </c>
      <c r="B50" s="6" t="s">
        <v>10</v>
      </c>
      <c r="C50" s="6" t="s">
        <v>12</v>
      </c>
      <c r="D50" s="7" t="s">
        <v>198</v>
      </c>
      <c r="E50" s="8" t="s">
        <v>199</v>
      </c>
      <c r="F50" s="6" t="s">
        <v>200</v>
      </c>
      <c r="G50" s="9">
        <f>IF(A50=1,"_",IF(C50="_","???",C50))</f>
        <v/>
      </c>
      <c r="H50" s="10" t="s">
        <v>12</v>
      </c>
      <c r="I50" s="11" t="s">
        <v>12</v>
      </c>
      <c r="J50" s="12"/>
    </row>
    <row r="51" spans="1:10" ht="60" customHeight="1">
      <c r="A51" s="6" t="s">
        <v>201</v>
      </c>
      <c r="B51" s="6" t="s">
        <v>70</v>
      </c>
      <c r="C51" s="6" t="s">
        <v>12</v>
      </c>
      <c r="D51" s="7" t="s">
        <v>202</v>
      </c>
      <c r="E51" s="8" t="s">
        <v>203</v>
      </c>
      <c r="F51" s="6" t="s">
        <v>204</v>
      </c>
      <c r="G51" s="9">
        <f>IF(A51=1,"_",IF(C51="_","???",C51))</f>
        <v/>
      </c>
      <c r="H51" s="10" t="s">
        <v>12</v>
      </c>
      <c r="I51" s="11" t="s">
        <v>12</v>
      </c>
      <c r="J51" s="12"/>
    </row>
    <row r="52" spans="1:10" ht="60" customHeight="1">
      <c r="A52" s="6" t="s">
        <v>205</v>
      </c>
      <c r="B52" s="6" t="s">
        <v>16</v>
      </c>
      <c r="C52" s="6" t="s">
        <v>12</v>
      </c>
      <c r="D52" s="7" t="s">
        <v>184</v>
      </c>
      <c r="E52" s="8" t="s">
        <v>206</v>
      </c>
      <c r="F52" s="6" t="s">
        <v>207</v>
      </c>
      <c r="G52" s="9">
        <f>IF(A52=1,"_",IF(C52="_","???",C52))</f>
        <v/>
      </c>
      <c r="H52" s="10" t="s">
        <v>12</v>
      </c>
      <c r="I52" s="11" t="s">
        <v>12</v>
      </c>
      <c r="J52" s="12"/>
    </row>
    <row r="53" spans="1:10" ht="60" customHeight="1">
      <c r="A53" s="6" t="s">
        <v>208</v>
      </c>
      <c r="B53" s="6" t="s">
        <v>20</v>
      </c>
      <c r="C53" s="6" t="s">
        <v>12</v>
      </c>
      <c r="D53" s="7" t="s">
        <v>209</v>
      </c>
      <c r="E53" s="8" t="s">
        <v>210</v>
      </c>
      <c r="F53" s="6" t="s">
        <v>211</v>
      </c>
      <c r="G53" s="9">
        <f>IF(A53=1,"_",IF(C53="_","???",C53))</f>
        <v/>
      </c>
      <c r="H53" s="10" t="s">
        <v>12</v>
      </c>
      <c r="I53" s="11" t="s">
        <v>12</v>
      </c>
      <c r="J53" s="12"/>
    </row>
    <row r="54" spans="1:10" ht="60" customHeight="1">
      <c r="A54" s="6" t="s">
        <v>212</v>
      </c>
      <c r="B54" s="6" t="s">
        <v>10</v>
      </c>
      <c r="C54" s="6" t="s">
        <v>12</v>
      </c>
      <c r="D54" s="7" t="s">
        <v>213</v>
      </c>
      <c r="E54" s="8" t="s">
        <v>214</v>
      </c>
      <c r="F54" s="6" t="s">
        <v>215</v>
      </c>
      <c r="G54" s="9">
        <f>IF(A54=1,"_",IF(C54="_","???",C54))</f>
        <v/>
      </c>
      <c r="H54" s="10" t="s">
        <v>12</v>
      </c>
      <c r="I54" s="11" t="s">
        <v>12</v>
      </c>
      <c r="J54" s="12"/>
    </row>
    <row r="55" spans="1:10" ht="60" customHeight="1">
      <c r="A55" s="6" t="s">
        <v>216</v>
      </c>
      <c r="B55" s="6" t="s">
        <v>38</v>
      </c>
      <c r="C55" s="6" t="s">
        <v>12</v>
      </c>
      <c r="D55" s="7" t="s">
        <v>217</v>
      </c>
      <c r="E55" s="8" t="s">
        <v>218</v>
      </c>
      <c r="F55" s="6" t="s">
        <v>219</v>
      </c>
      <c r="G55" s="9">
        <f>IF(A55=1,"_",IF(C55="_","???",C55))</f>
        <v/>
      </c>
      <c r="H55" s="10" t="s">
        <v>12</v>
      </c>
      <c r="I55" s="11" t="s">
        <v>12</v>
      </c>
      <c r="J55" s="12"/>
    </row>
    <row r="56" spans="1:10" ht="60" customHeight="1">
      <c r="A56" s="6" t="s">
        <v>220</v>
      </c>
      <c r="B56" s="6" t="s">
        <v>16</v>
      </c>
      <c r="C56" s="6" t="s">
        <v>12</v>
      </c>
      <c r="D56" s="7" t="s">
        <v>87</v>
      </c>
      <c r="E56" s="8" t="s">
        <v>221</v>
      </c>
      <c r="F56" s="6" t="s">
        <v>222</v>
      </c>
      <c r="G56" s="9">
        <f>IF(A56=1,"_",IF(C56="_","???",C56))</f>
        <v/>
      </c>
      <c r="H56" s="10" t="s">
        <v>12</v>
      </c>
      <c r="I56" s="11" t="s">
        <v>12</v>
      </c>
      <c r="J56" s="12"/>
    </row>
    <row r="57" spans="1:10" ht="60" customHeight="1">
      <c r="A57" s="6" t="s">
        <v>223</v>
      </c>
      <c r="B57" s="6" t="s">
        <v>10</v>
      </c>
      <c r="C57" s="6" t="s">
        <v>12</v>
      </c>
      <c r="D57" s="7" t="s">
        <v>184</v>
      </c>
      <c r="E57" s="8" t="s">
        <v>224</v>
      </c>
      <c r="F57" s="6" t="s">
        <v>225</v>
      </c>
      <c r="G57" s="9">
        <f>IF(A57=1,"_",IF(C57="_","???",C57))</f>
        <v/>
      </c>
      <c r="H57" s="10" t="s">
        <v>12</v>
      </c>
      <c r="I57" s="11" t="s">
        <v>12</v>
      </c>
      <c r="J57" s="12"/>
    </row>
    <row r="58" spans="1:10" ht="60" customHeight="1">
      <c r="A58" s="6" t="s">
        <v>226</v>
      </c>
      <c r="B58" s="6" t="s">
        <v>24</v>
      </c>
      <c r="C58" s="6" t="s">
        <v>12</v>
      </c>
      <c r="D58" s="7" t="s">
        <v>227</v>
      </c>
      <c r="E58" s="8" t="s">
        <v>228</v>
      </c>
      <c r="F58" s="6" t="s">
        <v>229</v>
      </c>
      <c r="G58" s="9">
        <f>IF(A58=1,"_",IF(C58="_","???",C58))</f>
        <v/>
      </c>
      <c r="H58" s="10" t="s">
        <v>12</v>
      </c>
      <c r="I58" s="11" t="s">
        <v>12</v>
      </c>
      <c r="J58" s="12"/>
    </row>
    <row r="59" spans="1:10" ht="60" customHeight="1">
      <c r="A59" s="6" t="s">
        <v>230</v>
      </c>
      <c r="B59" s="6" t="s">
        <v>11</v>
      </c>
      <c r="C59" s="6" t="s">
        <v>12</v>
      </c>
      <c r="D59" s="7" t="s">
        <v>231</v>
      </c>
      <c r="E59" s="8" t="s">
        <v>232</v>
      </c>
      <c r="F59" s="6" t="s">
        <v>233</v>
      </c>
      <c r="G59" s="9">
        <f>IF(A59=1,"_",IF(C59="_","???",C59))</f>
        <v/>
      </c>
      <c r="H59" s="10" t="s">
        <v>12</v>
      </c>
      <c r="I59" s="11" t="s">
        <v>12</v>
      </c>
      <c r="J59" s="12"/>
    </row>
    <row r="60" spans="1:10" ht="60" customHeight="1">
      <c r="A60" s="6" t="s">
        <v>234</v>
      </c>
      <c r="B60" s="6" t="s">
        <v>20</v>
      </c>
      <c r="C60" s="6" t="s">
        <v>12</v>
      </c>
      <c r="D60" s="7" t="s">
        <v>235</v>
      </c>
      <c r="E60" s="8" t="s">
        <v>236</v>
      </c>
      <c r="F60" s="6" t="s">
        <v>237</v>
      </c>
      <c r="G60" s="9">
        <f>IF(A60=1,"_",IF(C60="_","???",C60))</f>
        <v/>
      </c>
      <c r="H60" s="10" t="s">
        <v>12</v>
      </c>
      <c r="I60" s="11" t="s">
        <v>12</v>
      </c>
      <c r="J60" s="12"/>
    </row>
    <row r="61" spans="1:10" ht="60" customHeight="1">
      <c r="A61" s="6" t="s">
        <v>238</v>
      </c>
      <c r="B61" s="6" t="s">
        <v>70</v>
      </c>
      <c r="C61" s="6" t="s">
        <v>12</v>
      </c>
      <c r="D61" s="7" t="s">
        <v>235</v>
      </c>
      <c r="E61" s="8" t="s">
        <v>239</v>
      </c>
      <c r="F61" s="6" t="s">
        <v>240</v>
      </c>
      <c r="G61" s="9">
        <f>IF(A61=1,"_",IF(C61="_","???",C61))</f>
        <v/>
      </c>
      <c r="H61" s="10" t="s">
        <v>12</v>
      </c>
      <c r="I61" s="11" t="s">
        <v>12</v>
      </c>
      <c r="J61" s="12"/>
    </row>
    <row r="62" spans="1:10" ht="60" customHeight="1">
      <c r="A62" s="6" t="s">
        <v>241</v>
      </c>
      <c r="B62" s="6" t="s">
        <v>10</v>
      </c>
      <c r="C62" s="6" t="s">
        <v>12</v>
      </c>
      <c r="D62" s="7" t="s">
        <v>242</v>
      </c>
      <c r="E62" s="8" t="s">
        <v>243</v>
      </c>
      <c r="F62" s="6" t="s">
        <v>244</v>
      </c>
      <c r="G62" s="9">
        <f>IF(A62=1,"_",IF(C62="_","???",C62))</f>
        <v/>
      </c>
      <c r="H62" s="10" t="s">
        <v>12</v>
      </c>
      <c r="I62" s="11" t="s">
        <v>12</v>
      </c>
      <c r="J62" s="12"/>
    </row>
    <row r="63" spans="1:10" ht="60" customHeight="1">
      <c r="A63" s="6" t="s">
        <v>245</v>
      </c>
      <c r="B63" s="6" t="s">
        <v>25</v>
      </c>
      <c r="C63" s="6" t="s">
        <v>12</v>
      </c>
      <c r="D63" s="7" t="s">
        <v>246</v>
      </c>
      <c r="E63" s="8" t="s">
        <v>247</v>
      </c>
      <c r="F63" s="6" t="s">
        <v>248</v>
      </c>
      <c r="G63" s="9">
        <f>IF(A63=1,"_",IF(C63="_","???",C63))</f>
        <v/>
      </c>
      <c r="H63" s="10" t="s">
        <v>12</v>
      </c>
      <c r="I63" s="11" t="s">
        <v>12</v>
      </c>
      <c r="J63" s="12"/>
    </row>
    <row r="64" spans="1:10" ht="60" customHeight="1">
      <c r="A64" s="6" t="s">
        <v>249</v>
      </c>
      <c r="B64" s="6" t="s">
        <v>29</v>
      </c>
      <c r="C64" s="6" t="s">
        <v>12</v>
      </c>
      <c r="D64" s="7" t="s">
        <v>250</v>
      </c>
      <c r="E64" s="8" t="s">
        <v>251</v>
      </c>
      <c r="F64" s="6" t="s">
        <v>252</v>
      </c>
      <c r="G64" s="9">
        <f>IF(A64=1,"_",IF(C64="_","???",C64))</f>
        <v/>
      </c>
      <c r="H64" s="10" t="s">
        <v>12</v>
      </c>
      <c r="I64" s="11" t="s">
        <v>12</v>
      </c>
      <c r="J64" s="12"/>
    </row>
    <row r="65" spans="1:10" ht="60" customHeight="1">
      <c r="A65" s="6" t="s">
        <v>253</v>
      </c>
      <c r="B65" s="6" t="s">
        <v>20</v>
      </c>
      <c r="C65" s="6" t="s">
        <v>12</v>
      </c>
      <c r="D65" s="7" t="s">
        <v>254</v>
      </c>
      <c r="E65" s="8" t="s">
        <v>255</v>
      </c>
      <c r="F65" s="6" t="s">
        <v>256</v>
      </c>
      <c r="G65" s="9">
        <f>IF(A65=1,"_",IF(C65="_","???",C65))</f>
        <v/>
      </c>
      <c r="H65" s="10" t="s">
        <v>12</v>
      </c>
      <c r="I65" s="11" t="s">
        <v>12</v>
      </c>
      <c r="J65" s="12"/>
    </row>
    <row r="66" spans="1:10" ht="60" customHeight="1">
      <c r="A66" s="6" t="s">
        <v>257</v>
      </c>
      <c r="B66" s="6" t="s">
        <v>49</v>
      </c>
      <c r="C66" s="6" t="s">
        <v>12</v>
      </c>
      <c r="D66" s="7" t="s">
        <v>258</v>
      </c>
      <c r="E66" s="8" t="s">
        <v>259</v>
      </c>
      <c r="F66" s="6" t="s">
        <v>260</v>
      </c>
      <c r="G66" s="9">
        <f>IF(A66=1,"_",IF(C66="_","???",C66))</f>
        <v/>
      </c>
      <c r="H66" s="10" t="s">
        <v>12</v>
      </c>
      <c r="I66" s="11" t="s">
        <v>12</v>
      </c>
      <c r="J66" s="12"/>
    </row>
    <row r="67" spans="1:10" ht="60" customHeight="1">
      <c r="A67" s="6" t="s">
        <v>261</v>
      </c>
      <c r="B67" s="6" t="s">
        <v>10</v>
      </c>
      <c r="C67" s="6" t="s">
        <v>12</v>
      </c>
      <c r="D67" s="7" t="s">
        <v>262</v>
      </c>
      <c r="E67" s="8" t="s">
        <v>263</v>
      </c>
      <c r="F67" s="6" t="s">
        <v>264</v>
      </c>
      <c r="G67" s="9">
        <f>IF(A67=1,"_",IF(C67="_","???",C67))</f>
        <v/>
      </c>
      <c r="H67" s="10" t="s">
        <v>12</v>
      </c>
      <c r="I67" s="11" t="s">
        <v>12</v>
      </c>
      <c r="J67" s="12"/>
    </row>
    <row r="68" spans="1:10" ht="60" customHeight="1">
      <c r="A68" s="6" t="s">
        <v>265</v>
      </c>
      <c r="B68" s="6" t="s">
        <v>25</v>
      </c>
      <c r="C68" s="6" t="s">
        <v>12</v>
      </c>
      <c r="D68" s="7" t="s">
        <v>184</v>
      </c>
      <c r="E68" s="8" t="s">
        <v>266</v>
      </c>
      <c r="F68" s="6" t="s">
        <v>267</v>
      </c>
      <c r="G68" s="9">
        <f>IF(A68=1,"_",IF(C68="_","???",C68))</f>
        <v/>
      </c>
      <c r="H68" s="10" t="s">
        <v>12</v>
      </c>
      <c r="I68" s="11" t="s">
        <v>12</v>
      </c>
      <c r="J68" s="12"/>
    </row>
    <row r="69" spans="1:10" ht="60" customHeight="1">
      <c r="A69" s="6" t="s">
        <v>268</v>
      </c>
      <c r="B69" s="6" t="s">
        <v>20</v>
      </c>
      <c r="C69" s="6" t="s">
        <v>12</v>
      </c>
      <c r="D69" s="7" t="s">
        <v>269</v>
      </c>
      <c r="E69" s="8" t="s">
        <v>270</v>
      </c>
      <c r="F69" s="6" t="s">
        <v>271</v>
      </c>
      <c r="G69" s="9">
        <f>IF(A69=1,"_",IF(C69="_","???",C69))</f>
        <v/>
      </c>
      <c r="H69" s="10" t="s">
        <v>12</v>
      </c>
      <c r="I69" s="11" t="s">
        <v>12</v>
      </c>
      <c r="J69" s="12"/>
    </row>
    <row r="70" spans="1:10" ht="60" customHeight="1">
      <c r="A70" s="6" t="s">
        <v>272</v>
      </c>
      <c r="B70" s="6" t="s">
        <v>10</v>
      </c>
      <c r="C70" s="6" t="s">
        <v>12</v>
      </c>
      <c r="D70" s="7" t="s">
        <v>273</v>
      </c>
      <c r="E70" s="8" t="s">
        <v>274</v>
      </c>
      <c r="F70" s="6" t="s">
        <v>275</v>
      </c>
      <c r="G70" s="9">
        <f>IF(A70=1,"_",IF(C70="_","???",C70))</f>
        <v/>
      </c>
      <c r="H70" s="10" t="s">
        <v>12</v>
      </c>
      <c r="I70" s="11" t="s">
        <v>12</v>
      </c>
      <c r="J70" s="12"/>
    </row>
    <row r="71" spans="1:10" ht="60" customHeight="1">
      <c r="A71" s="6" t="s">
        <v>276</v>
      </c>
      <c r="B71" s="6" t="s">
        <v>20</v>
      </c>
      <c r="C71" s="6" t="s">
        <v>12</v>
      </c>
      <c r="D71" s="7" t="s">
        <v>277</v>
      </c>
      <c r="E71" s="8" t="s">
        <v>278</v>
      </c>
      <c r="F71" s="6" t="s">
        <v>279</v>
      </c>
      <c r="G71" s="9">
        <f>IF(A71=1,"_",IF(C71="_","???",C71))</f>
        <v/>
      </c>
      <c r="H71" s="10" t="s">
        <v>12</v>
      </c>
      <c r="I71" s="11" t="s">
        <v>12</v>
      </c>
      <c r="J71" s="12"/>
    </row>
    <row r="72" spans="1:10" ht="60" customHeight="1">
      <c r="A72" s="6" t="s">
        <v>280</v>
      </c>
      <c r="B72" s="6" t="s">
        <v>20</v>
      </c>
      <c r="C72" s="6" t="s">
        <v>12</v>
      </c>
      <c r="D72" s="7" t="s">
        <v>118</v>
      </c>
      <c r="E72" s="8" t="s">
        <v>281</v>
      </c>
      <c r="F72" s="6" t="s">
        <v>282</v>
      </c>
      <c r="G72" s="9">
        <f>IF(A72=1,"_",IF(C72="_","???",C72))</f>
        <v/>
      </c>
      <c r="H72" s="10" t="s">
        <v>12</v>
      </c>
      <c r="I72" s="11" t="s">
        <v>12</v>
      </c>
      <c r="J72" s="12"/>
    </row>
    <row r="73" spans="1:10" ht="60" customHeight="1">
      <c r="A73" s="6" t="s">
        <v>283</v>
      </c>
      <c r="B73" s="6" t="s">
        <v>20</v>
      </c>
      <c r="C73" s="6" t="s">
        <v>12</v>
      </c>
      <c r="D73" s="7" t="s">
        <v>71</v>
      </c>
      <c r="E73" s="8" t="s">
        <v>284</v>
      </c>
      <c r="F73" s="6" t="s">
        <v>285</v>
      </c>
      <c r="G73" s="9">
        <f>IF(A73=1,"_",IF(C73="_","???",C73))</f>
        <v/>
      </c>
      <c r="H73" s="10" t="s">
        <v>12</v>
      </c>
      <c r="I73" s="11" t="s">
        <v>12</v>
      </c>
      <c r="J73" s="12"/>
    </row>
    <row r="74" spans="1:10" ht="60" customHeight="1">
      <c r="A74" s="6" t="s">
        <v>286</v>
      </c>
      <c r="B74" s="6" t="s">
        <v>29</v>
      </c>
      <c r="C74" s="6" t="s">
        <v>287</v>
      </c>
      <c r="D74" s="7" t="s">
        <v>288</v>
      </c>
      <c r="E74" s="8" t="s">
        <v>289</v>
      </c>
      <c r="F74" s="6" t="s">
        <v>290</v>
      </c>
      <c r="G74" s="9">
        <f>IF(A74=1,"_",IF(C74="_","???",C74))</f>
        <v/>
      </c>
      <c r="H74" s="10" t="s">
        <v>12</v>
      </c>
      <c r="I74" s="11" t="s">
        <v>12</v>
      </c>
      <c r="J74" s="12"/>
    </row>
    <row r="75" spans="1:10" ht="60" customHeight="1">
      <c r="A75" s="6" t="s">
        <v>291</v>
      </c>
      <c r="B75" s="6" t="s">
        <v>20</v>
      </c>
      <c r="C75" s="6" t="s">
        <v>12</v>
      </c>
      <c r="D75" s="7" t="s">
        <v>66</v>
      </c>
      <c r="E75" s="8" t="s">
        <v>292</v>
      </c>
      <c r="F75" s="6" t="s">
        <v>293</v>
      </c>
      <c r="G75" s="9">
        <f>IF(A75=1,"_",IF(C75="_","???",C75))</f>
        <v/>
      </c>
      <c r="H75" s="10" t="s">
        <v>12</v>
      </c>
      <c r="I75" s="11" t="s">
        <v>12</v>
      </c>
      <c r="J75" s="12"/>
    </row>
    <row r="76" spans="1:10" ht="60" customHeight="1">
      <c r="A76" s="6" t="s">
        <v>294</v>
      </c>
      <c r="B76" s="6" t="s">
        <v>24</v>
      </c>
      <c r="C76" s="6" t="s">
        <v>12</v>
      </c>
      <c r="D76" s="7" t="s">
        <v>71</v>
      </c>
      <c r="E76" s="8" t="s">
        <v>295</v>
      </c>
      <c r="F76" s="6" t="s">
        <v>296</v>
      </c>
      <c r="G76" s="9">
        <f>IF(A76=1,"_",IF(C76="_","???",C76))</f>
        <v/>
      </c>
      <c r="H76" s="10" t="s">
        <v>12</v>
      </c>
      <c r="I76" s="11" t="s">
        <v>12</v>
      </c>
      <c r="J76" s="12"/>
    </row>
    <row r="77" spans="1:10" ht="60" customHeight="1">
      <c r="A77" s="6" t="s">
        <v>297</v>
      </c>
      <c r="B77" s="6" t="s">
        <v>20</v>
      </c>
      <c r="C77" s="6" t="s">
        <v>12</v>
      </c>
      <c r="D77" s="7" t="s">
        <v>298</v>
      </c>
      <c r="E77" s="8" t="s">
        <v>299</v>
      </c>
      <c r="F77" s="6" t="s">
        <v>300</v>
      </c>
      <c r="G77" s="9">
        <f>IF(A77=1,"_",IF(C77="_","???",C77))</f>
        <v/>
      </c>
      <c r="H77" s="10" t="s">
        <v>12</v>
      </c>
      <c r="I77" s="11" t="s">
        <v>12</v>
      </c>
      <c r="J77" s="12"/>
    </row>
    <row r="78" spans="1:10" ht="60" customHeight="1">
      <c r="A78" s="6" t="s">
        <v>301</v>
      </c>
      <c r="B78" s="6" t="s">
        <v>20</v>
      </c>
      <c r="C78" s="6" t="s">
        <v>12</v>
      </c>
      <c r="D78" s="7" t="s">
        <v>302</v>
      </c>
      <c r="E78" s="8" t="s">
        <v>303</v>
      </c>
      <c r="F78" s="6" t="s">
        <v>304</v>
      </c>
      <c r="G78" s="9">
        <f>IF(A78=1,"_",IF(C78="_","???",C78))</f>
        <v/>
      </c>
      <c r="H78" s="10" t="s">
        <v>12</v>
      </c>
      <c r="I78" s="11" t="s">
        <v>12</v>
      </c>
      <c r="J78" s="12"/>
    </row>
    <row r="79" spans="1:10" ht="60" customHeight="1">
      <c r="A79" s="6" t="s">
        <v>305</v>
      </c>
      <c r="B79" s="6" t="s">
        <v>16</v>
      </c>
      <c r="C79" s="6" t="s">
        <v>12</v>
      </c>
      <c r="D79" s="7" t="s">
        <v>306</v>
      </c>
      <c r="E79" s="8" t="s">
        <v>307</v>
      </c>
      <c r="F79" s="6" t="s">
        <v>308</v>
      </c>
      <c r="G79" s="9">
        <f>IF(A79=1,"_",IF(C79="_","???",C79))</f>
        <v/>
      </c>
      <c r="H79" s="10" t="s">
        <v>12</v>
      </c>
      <c r="I79" s="11" t="s">
        <v>12</v>
      </c>
      <c r="J79" s="12"/>
    </row>
    <row r="80" spans="1:10" ht="60" customHeight="1">
      <c r="A80" s="6" t="s">
        <v>309</v>
      </c>
      <c r="B80" s="6" t="s">
        <v>70</v>
      </c>
      <c r="C80" s="6" t="s">
        <v>12</v>
      </c>
      <c r="D80" s="7" t="s">
        <v>202</v>
      </c>
      <c r="E80" s="8" t="s">
        <v>310</v>
      </c>
      <c r="F80" s="6" t="s">
        <v>311</v>
      </c>
      <c r="G80" s="9">
        <f>IF(A80=1,"_",IF(C80="_","???",C80))</f>
        <v/>
      </c>
      <c r="H80" s="10" t="s">
        <v>12</v>
      </c>
      <c r="I80" s="11" t="s">
        <v>12</v>
      </c>
      <c r="J80" s="12"/>
    </row>
    <row r="81" spans="1:10" ht="60" customHeight="1">
      <c r="A81" s="6" t="s">
        <v>312</v>
      </c>
      <c r="B81" s="6" t="s">
        <v>38</v>
      </c>
      <c r="C81" s="6" t="s">
        <v>12</v>
      </c>
      <c r="D81" s="7" t="s">
        <v>202</v>
      </c>
      <c r="E81" s="8" t="s">
        <v>313</v>
      </c>
      <c r="F81" s="6" t="s">
        <v>314</v>
      </c>
      <c r="G81" s="9">
        <f>IF(A81=1,"_",IF(C81="_","???",C81))</f>
        <v/>
      </c>
      <c r="H81" s="10" t="s">
        <v>12</v>
      </c>
      <c r="I81" s="11" t="s">
        <v>12</v>
      </c>
      <c r="J81" s="12"/>
    </row>
    <row r="82" spans="1:10" ht="60" customHeight="1">
      <c r="A82" s="6" t="s">
        <v>315</v>
      </c>
      <c r="B82" s="6" t="s">
        <v>16</v>
      </c>
      <c r="C82" s="6" t="s">
        <v>12</v>
      </c>
      <c r="D82" s="7" t="s">
        <v>316</v>
      </c>
      <c r="E82" s="8" t="s">
        <v>317</v>
      </c>
      <c r="F82" s="6" t="s">
        <v>318</v>
      </c>
      <c r="G82" s="9">
        <f>IF(A82=1,"_",IF(C82="_","???",C82))</f>
        <v/>
      </c>
      <c r="H82" s="10" t="s">
        <v>12</v>
      </c>
      <c r="I82" s="11" t="s">
        <v>12</v>
      </c>
      <c r="J82" s="12"/>
    </row>
    <row r="83" spans="1:10" ht="60" customHeight="1">
      <c r="A83" s="6" t="s">
        <v>319</v>
      </c>
      <c r="B83" s="6" t="s">
        <v>90</v>
      </c>
      <c r="C83" s="6" t="s">
        <v>12</v>
      </c>
      <c r="D83" s="7" t="s">
        <v>87</v>
      </c>
      <c r="E83" s="8" t="s">
        <v>320</v>
      </c>
      <c r="F83" s="6" t="s">
        <v>321</v>
      </c>
      <c r="G83" s="9">
        <f>IF(A83=1,"_",IF(C83="_","???",C83))</f>
        <v/>
      </c>
      <c r="H83" s="10" t="s">
        <v>12</v>
      </c>
      <c r="I83" s="11" t="s">
        <v>12</v>
      </c>
      <c r="J83" s="12"/>
    </row>
    <row r="84" spans="1:10" ht="60" customHeight="1">
      <c r="A84" s="6" t="s">
        <v>322</v>
      </c>
      <c r="B84" s="6" t="s">
        <v>16</v>
      </c>
      <c r="C84" s="6" t="s">
        <v>12</v>
      </c>
      <c r="D84" s="7" t="s">
        <v>323</v>
      </c>
      <c r="E84" s="8" t="s">
        <v>324</v>
      </c>
      <c r="F84" s="6" t="s">
        <v>325</v>
      </c>
      <c r="G84" s="9">
        <f>IF(A84=1,"_",IF(C84="_","???",C84))</f>
        <v/>
      </c>
      <c r="H84" s="10" t="s">
        <v>12</v>
      </c>
      <c r="I84" s="11" t="s">
        <v>12</v>
      </c>
      <c r="J84" s="12"/>
    </row>
    <row r="85" spans="1:10" ht="60" customHeight="1">
      <c r="A85" s="6" t="s">
        <v>326</v>
      </c>
      <c r="B85" s="6" t="s">
        <v>20</v>
      </c>
      <c r="C85" s="6" t="s">
        <v>12</v>
      </c>
      <c r="D85" s="7" t="s">
        <v>327</v>
      </c>
      <c r="E85" s="8" t="s">
        <v>328</v>
      </c>
      <c r="F85" s="6" t="s">
        <v>329</v>
      </c>
      <c r="G85" s="9">
        <f>IF(A85=1,"_",IF(C85="_","???",C85))</f>
        <v/>
      </c>
      <c r="H85" s="10" t="s">
        <v>12</v>
      </c>
      <c r="I85" s="11" t="s">
        <v>12</v>
      </c>
      <c r="J85" s="12"/>
    </row>
    <row r="86" spans="1:10" ht="60" customHeight="1">
      <c r="A86" s="6" t="s">
        <v>330</v>
      </c>
      <c r="B86" s="6" t="s">
        <v>24</v>
      </c>
      <c r="C86" s="6" t="s">
        <v>12</v>
      </c>
      <c r="D86" s="7" t="s">
        <v>331</v>
      </c>
      <c r="E86" s="8" t="s">
        <v>332</v>
      </c>
      <c r="F86" s="6" t="s">
        <v>333</v>
      </c>
      <c r="G86" s="9">
        <f>IF(A86=1,"_",IF(C86="_","???",C86))</f>
        <v/>
      </c>
      <c r="H86" s="10" t="s">
        <v>12</v>
      </c>
      <c r="I86" s="11" t="s">
        <v>12</v>
      </c>
      <c r="J86" s="12"/>
    </row>
    <row r="87" spans="1:10" ht="60" customHeight="1">
      <c r="A87" s="6" t="s">
        <v>334</v>
      </c>
      <c r="B87" s="6" t="s">
        <v>38</v>
      </c>
      <c r="C87" s="6" t="s">
        <v>12</v>
      </c>
      <c r="D87" s="7" t="s">
        <v>335</v>
      </c>
      <c r="E87" s="8" t="s">
        <v>336</v>
      </c>
      <c r="F87" s="6" t="s">
        <v>337</v>
      </c>
      <c r="G87" s="9">
        <f>IF(A87=1,"_",IF(C87="_","???",C87))</f>
        <v/>
      </c>
      <c r="H87" s="10" t="s">
        <v>12</v>
      </c>
      <c r="I87" s="11" t="s">
        <v>12</v>
      </c>
      <c r="J87" s="12"/>
    </row>
    <row r="88" spans="1:10" ht="60" customHeight="1">
      <c r="A88" s="6" t="s">
        <v>338</v>
      </c>
      <c r="B88" s="6" t="s">
        <v>16</v>
      </c>
      <c r="C88" s="6" t="s">
        <v>12</v>
      </c>
      <c r="D88" s="7" t="s">
        <v>339</v>
      </c>
      <c r="E88" s="8" t="s">
        <v>340</v>
      </c>
      <c r="F88" s="6" t="s">
        <v>341</v>
      </c>
      <c r="G88" s="9">
        <f>IF(A88=1,"_",IF(C88="_","???",C88))</f>
        <v/>
      </c>
      <c r="H88" s="10" t="s">
        <v>12</v>
      </c>
      <c r="I88" s="11" t="s">
        <v>12</v>
      </c>
      <c r="J88" s="12"/>
    </row>
    <row r="89" spans="1:10" ht="60" customHeight="1">
      <c r="A89" s="6" t="s">
        <v>342</v>
      </c>
      <c r="B89" s="6" t="s">
        <v>65</v>
      </c>
      <c r="C89" s="6" t="s">
        <v>12</v>
      </c>
      <c r="D89" s="7" t="s">
        <v>343</v>
      </c>
      <c r="E89" s="8" t="s">
        <v>344</v>
      </c>
      <c r="F89" s="6" t="s">
        <v>345</v>
      </c>
      <c r="G89" s="9">
        <f>IF(A89=1,"_",IF(C89="_","???",C89))</f>
        <v/>
      </c>
      <c r="H89" s="10" t="s">
        <v>12</v>
      </c>
      <c r="I89" s="11" t="s">
        <v>12</v>
      </c>
      <c r="J89" s="12"/>
    </row>
    <row r="90" spans="1:10" ht="60" customHeight="1">
      <c r="A90" s="6" t="s">
        <v>346</v>
      </c>
      <c r="B90" s="6" t="s">
        <v>49</v>
      </c>
      <c r="C90" s="6" t="s">
        <v>12</v>
      </c>
      <c r="D90" s="7" t="s">
        <v>347</v>
      </c>
      <c r="E90" s="8" t="s">
        <v>348</v>
      </c>
      <c r="F90" s="6" t="s">
        <v>349</v>
      </c>
      <c r="G90" s="9">
        <f>IF(A90=1,"_",IF(C90="_","???",C90))</f>
        <v/>
      </c>
      <c r="H90" s="10" t="s">
        <v>12</v>
      </c>
      <c r="I90" s="11" t="s">
        <v>12</v>
      </c>
      <c r="J90" s="12"/>
    </row>
    <row r="91" spans="1:10" ht="60" customHeight="1">
      <c r="A91" s="6" t="s">
        <v>350</v>
      </c>
      <c r="B91" s="6" t="s">
        <v>16</v>
      </c>
      <c r="C91" s="6" t="s">
        <v>12</v>
      </c>
      <c r="D91" s="7" t="s">
        <v>351</v>
      </c>
      <c r="E91" s="8" t="s">
        <v>352</v>
      </c>
      <c r="F91" s="6" t="s">
        <v>353</v>
      </c>
      <c r="G91" s="9">
        <f>IF(A91=1,"_",IF(C91="_","???",C91))</f>
        <v/>
      </c>
      <c r="H91" s="10" t="s">
        <v>12</v>
      </c>
      <c r="I91" s="11" t="s">
        <v>12</v>
      </c>
      <c r="J91" s="12"/>
    </row>
    <row r="92" spans="1:10" ht="60" customHeight="1">
      <c r="A92" s="6" t="s">
        <v>354</v>
      </c>
      <c r="B92" s="6" t="s">
        <v>29</v>
      </c>
      <c r="C92" s="6" t="s">
        <v>12</v>
      </c>
      <c r="D92" s="7" t="s">
        <v>355</v>
      </c>
      <c r="E92" s="8" t="s">
        <v>356</v>
      </c>
      <c r="F92" s="6" t="s">
        <v>357</v>
      </c>
      <c r="G92" s="9">
        <f>IF(A92=1,"_",IF(C92="_","???",C92))</f>
        <v/>
      </c>
      <c r="H92" s="10" t="s">
        <v>12</v>
      </c>
      <c r="I92" s="11" t="s">
        <v>12</v>
      </c>
      <c r="J92" s="12"/>
    </row>
    <row r="93" spans="1:10" ht="60" customHeight="1">
      <c r="A93" s="6" t="s">
        <v>358</v>
      </c>
      <c r="B93" s="6" t="s">
        <v>98</v>
      </c>
      <c r="C93" s="6" t="s">
        <v>12</v>
      </c>
      <c r="D93" s="7" t="s">
        <v>359</v>
      </c>
      <c r="E93" s="8" t="s">
        <v>360</v>
      </c>
      <c r="F93" s="6" t="s">
        <v>361</v>
      </c>
      <c r="G93" s="9">
        <f>IF(A93=1,"_",IF(C93="_","???",C93))</f>
        <v/>
      </c>
      <c r="H93" s="10" t="s">
        <v>12</v>
      </c>
      <c r="I93" s="11" t="s">
        <v>12</v>
      </c>
      <c r="J93" s="12"/>
    </row>
    <row r="94" spans="1:10" ht="60" customHeight="1">
      <c r="A94" s="6" t="s">
        <v>362</v>
      </c>
      <c r="B94" s="6" t="s">
        <v>10</v>
      </c>
      <c r="C94" s="6" t="s">
        <v>12</v>
      </c>
      <c r="D94" s="7" t="s">
        <v>184</v>
      </c>
      <c r="E94" s="8" t="s">
        <v>363</v>
      </c>
      <c r="F94" s="6" t="s">
        <v>364</v>
      </c>
      <c r="G94" s="9">
        <f>IF(A94=1,"_",IF(C94="_","???",C94))</f>
        <v/>
      </c>
      <c r="H94" s="10" t="s">
        <v>12</v>
      </c>
      <c r="I94" s="11" t="s">
        <v>12</v>
      </c>
      <c r="J94" s="12"/>
    </row>
    <row r="95" spans="1:10" ht="60" customHeight="1">
      <c r="A95" s="6" t="s">
        <v>365</v>
      </c>
      <c r="B95" s="6" t="s">
        <v>20</v>
      </c>
      <c r="C95" s="6" t="s">
        <v>12</v>
      </c>
      <c r="D95" s="7" t="s">
        <v>202</v>
      </c>
      <c r="E95" s="8" t="s">
        <v>366</v>
      </c>
      <c r="F95" s="6" t="s">
        <v>367</v>
      </c>
      <c r="G95" s="9">
        <f>IF(A95=1,"_",IF(C95="_","???",C95))</f>
        <v/>
      </c>
      <c r="H95" s="10" t="s">
        <v>12</v>
      </c>
      <c r="I95" s="11" t="s">
        <v>12</v>
      </c>
      <c r="J95" s="12"/>
    </row>
    <row r="96" spans="1:10" ht="60" customHeight="1">
      <c r="A96" s="6" t="s">
        <v>368</v>
      </c>
      <c r="B96" s="6" t="s">
        <v>20</v>
      </c>
      <c r="C96" s="6" t="s">
        <v>12</v>
      </c>
      <c r="D96" s="7" t="s">
        <v>298</v>
      </c>
      <c r="E96" s="8" t="s">
        <v>369</v>
      </c>
      <c r="F96" s="6" t="s">
        <v>370</v>
      </c>
      <c r="G96" s="9">
        <f>IF(A96=1,"_",IF(C96="_","???",C96))</f>
        <v/>
      </c>
      <c r="H96" s="10" t="s">
        <v>12</v>
      </c>
      <c r="I96" s="11" t="s">
        <v>12</v>
      </c>
      <c r="J96" s="12"/>
    </row>
    <row r="97" spans="1:10" ht="60" customHeight="1">
      <c r="A97" s="6" t="s">
        <v>371</v>
      </c>
      <c r="B97" s="6" t="s">
        <v>16</v>
      </c>
      <c r="C97" s="6" t="s">
        <v>12</v>
      </c>
      <c r="D97" s="7" t="s">
        <v>372</v>
      </c>
      <c r="E97" s="8" t="s">
        <v>373</v>
      </c>
      <c r="F97" s="6" t="s">
        <v>374</v>
      </c>
      <c r="G97" s="9">
        <f>IF(A97=1,"_",IF(C97="_","???",C97))</f>
        <v/>
      </c>
      <c r="H97" s="10" t="s">
        <v>12</v>
      </c>
      <c r="I97" s="11" t="s">
        <v>12</v>
      </c>
      <c r="J97" s="12"/>
    </row>
    <row r="98" spans="1:10" ht="60" customHeight="1">
      <c r="A98" s="6" t="s">
        <v>375</v>
      </c>
      <c r="B98" s="6" t="s">
        <v>61</v>
      </c>
      <c r="C98" s="6" t="s">
        <v>12</v>
      </c>
      <c r="D98" s="7" t="s">
        <v>302</v>
      </c>
      <c r="E98" s="8" t="s">
        <v>376</v>
      </c>
      <c r="F98" s="6" t="s">
        <v>377</v>
      </c>
      <c r="G98" s="9">
        <f>IF(A98=1,"_",IF(C98="_","???",C98))</f>
        <v/>
      </c>
      <c r="H98" s="10" t="s">
        <v>12</v>
      </c>
      <c r="I98" s="11" t="s">
        <v>12</v>
      </c>
      <c r="J98" s="12"/>
    </row>
    <row r="99" spans="1:10" ht="60" customHeight="1">
      <c r="A99" s="6" t="s">
        <v>378</v>
      </c>
      <c r="B99" s="6" t="s">
        <v>42</v>
      </c>
      <c r="C99" s="6" t="s">
        <v>12</v>
      </c>
      <c r="D99" s="7" t="s">
        <v>379</v>
      </c>
      <c r="E99" s="8" t="s">
        <v>380</v>
      </c>
      <c r="F99" s="6" t="s">
        <v>381</v>
      </c>
      <c r="G99" s="9">
        <f>IF(A99=1,"_",IF(C99="_","???",C99))</f>
        <v/>
      </c>
      <c r="H99" s="10" t="s">
        <v>12</v>
      </c>
      <c r="I99" s="11" t="s">
        <v>12</v>
      </c>
      <c r="J99" s="12"/>
    </row>
    <row r="100" spans="1:10" ht="60" customHeight="1">
      <c r="A100" s="6" t="s">
        <v>382</v>
      </c>
      <c r="B100" s="6" t="s">
        <v>20</v>
      </c>
      <c r="C100" s="6" t="s">
        <v>12</v>
      </c>
      <c r="D100" s="7" t="s">
        <v>351</v>
      </c>
      <c r="E100" s="8" t="s">
        <v>383</v>
      </c>
      <c r="F100" s="6" t="s">
        <v>384</v>
      </c>
      <c r="G100" s="9">
        <f>IF(A100=1,"_",IF(C100="_","???",C100))</f>
        <v/>
      </c>
      <c r="H100" s="10" t="s">
        <v>12</v>
      </c>
      <c r="I100" s="11" t="s">
        <v>12</v>
      </c>
      <c r="J100" s="12"/>
    </row>
    <row r="101" spans="1:10" ht="60" customHeight="1">
      <c r="A101" s="6" t="s">
        <v>385</v>
      </c>
      <c r="B101" s="6" t="s">
        <v>29</v>
      </c>
      <c r="C101" s="6" t="s">
        <v>12</v>
      </c>
      <c r="D101" s="7" t="s">
        <v>386</v>
      </c>
      <c r="E101" s="8" t="s">
        <v>387</v>
      </c>
      <c r="F101" s="6" t="s">
        <v>388</v>
      </c>
      <c r="G101" s="9">
        <f>IF(A101=1,"_",IF(C101="_","???",C101))</f>
        <v/>
      </c>
      <c r="H101" s="10" t="s">
        <v>12</v>
      </c>
      <c r="I101" s="11" t="s">
        <v>12</v>
      </c>
      <c r="J101" s="12"/>
    </row>
    <row r="102" spans="1:10" ht="60" customHeight="1">
      <c r="A102" s="6" t="s">
        <v>389</v>
      </c>
      <c r="B102" s="6" t="s">
        <v>20</v>
      </c>
      <c r="C102" s="6" t="s">
        <v>12</v>
      </c>
      <c r="D102" s="7" t="s">
        <v>390</v>
      </c>
      <c r="E102" s="8" t="s">
        <v>391</v>
      </c>
      <c r="F102" s="6" t="s">
        <v>392</v>
      </c>
      <c r="G102" s="9">
        <f>IF(A102=1,"_",IF(C102="_","???",C102))</f>
        <v/>
      </c>
      <c r="H102" s="10" t="s">
        <v>12</v>
      </c>
      <c r="I102" s="11" t="s">
        <v>12</v>
      </c>
      <c r="J102" s="12"/>
    </row>
    <row r="103" spans="1:10" ht="60" customHeight="1">
      <c r="A103" s="6" t="s">
        <v>393</v>
      </c>
      <c r="B103" s="6" t="s">
        <v>25</v>
      </c>
      <c r="C103" s="6" t="s">
        <v>12</v>
      </c>
      <c r="D103" s="7" t="s">
        <v>34</v>
      </c>
      <c r="E103" s="8" t="s">
        <v>394</v>
      </c>
      <c r="F103" s="6" t="s">
        <v>395</v>
      </c>
      <c r="G103" s="9">
        <f>IF(A103=1,"_",IF(C103="_","???",C103))</f>
        <v/>
      </c>
      <c r="H103" s="10" t="s">
        <v>12</v>
      </c>
      <c r="I103" s="11" t="s">
        <v>12</v>
      </c>
      <c r="J103" s="12"/>
    </row>
    <row r="104" spans="1:10" ht="60" customHeight="1">
      <c r="A104" s="6" t="s">
        <v>396</v>
      </c>
      <c r="B104" s="6" t="s">
        <v>61</v>
      </c>
      <c r="C104" s="6" t="s">
        <v>12</v>
      </c>
      <c r="D104" s="7" t="s">
        <v>397</v>
      </c>
      <c r="E104" s="8" t="s">
        <v>398</v>
      </c>
      <c r="F104" s="6" t="s">
        <v>399</v>
      </c>
      <c r="G104" s="9">
        <f>IF(A104=1,"_",IF(C104="_","???",C104))</f>
        <v/>
      </c>
      <c r="H104" s="10" t="s">
        <v>12</v>
      </c>
      <c r="I104" s="11" t="s">
        <v>12</v>
      </c>
      <c r="J104" s="12"/>
    </row>
    <row r="105" spans="1:10" ht="60" customHeight="1">
      <c r="A105" s="6" t="s">
        <v>400</v>
      </c>
      <c r="B105" s="6" t="s">
        <v>53</v>
      </c>
      <c r="C105" s="6" t="s">
        <v>12</v>
      </c>
      <c r="D105" s="7" t="s">
        <v>401</v>
      </c>
      <c r="E105" s="8" t="s">
        <v>402</v>
      </c>
      <c r="F105" s="6" t="s">
        <v>403</v>
      </c>
      <c r="G105" s="9">
        <f>IF(A105=1,"_",IF(C105="_","???",C105))</f>
        <v/>
      </c>
      <c r="H105" s="10" t="s">
        <v>12</v>
      </c>
      <c r="I105" s="11" t="s">
        <v>12</v>
      </c>
      <c r="J105" s="12"/>
    </row>
    <row r="106" spans="1:10" ht="60" customHeight="1">
      <c r="A106" s="6" t="s">
        <v>404</v>
      </c>
      <c r="B106" s="6" t="s">
        <v>98</v>
      </c>
      <c r="C106" s="6" t="s">
        <v>30</v>
      </c>
      <c r="D106" s="7" t="s">
        <v>405</v>
      </c>
      <c r="E106" s="8" t="s">
        <v>406</v>
      </c>
      <c r="F106" s="6" t="s">
        <v>407</v>
      </c>
      <c r="G106" s="9">
        <f>IF(A106=1,"_",IF(C106="_","???",C106))</f>
        <v/>
      </c>
      <c r="H106" s="10" t="s">
        <v>12</v>
      </c>
      <c r="I106" s="11" t="s">
        <v>12</v>
      </c>
      <c r="J106" s="12"/>
    </row>
    <row r="107" spans="1:10" ht="60" customHeight="1">
      <c r="A107" s="6" t="s">
        <v>408</v>
      </c>
      <c r="B107" s="6" t="s">
        <v>29</v>
      </c>
      <c r="C107" s="6" t="s">
        <v>12</v>
      </c>
      <c r="D107" s="7" t="s">
        <v>409</v>
      </c>
      <c r="E107" s="8" t="s">
        <v>410</v>
      </c>
      <c r="F107" s="6" t="s">
        <v>411</v>
      </c>
      <c r="G107" s="9">
        <f>IF(A107=1,"_",IF(C107="_","???",C107))</f>
        <v/>
      </c>
      <c r="H107" s="10" t="s">
        <v>12</v>
      </c>
      <c r="I107" s="11" t="s">
        <v>12</v>
      </c>
      <c r="J107" s="12"/>
    </row>
    <row r="108" spans="1:10" ht="60" customHeight="1">
      <c r="A108" s="6" t="s">
        <v>412</v>
      </c>
      <c r="B108" s="6" t="s">
        <v>10</v>
      </c>
      <c r="C108" s="6" t="s">
        <v>12</v>
      </c>
      <c r="D108" s="7" t="s">
        <v>184</v>
      </c>
      <c r="E108" s="8" t="s">
        <v>413</v>
      </c>
      <c r="F108" s="6" t="s">
        <v>414</v>
      </c>
      <c r="G108" s="9">
        <f>IF(A108=1,"_",IF(C108="_","???",C108))</f>
        <v/>
      </c>
      <c r="H108" s="10" t="s">
        <v>12</v>
      </c>
      <c r="I108" s="11" t="s">
        <v>12</v>
      </c>
      <c r="J108" s="12"/>
    </row>
    <row r="109" spans="1:10" ht="60" customHeight="1">
      <c r="A109" s="6" t="s">
        <v>415</v>
      </c>
      <c r="B109" s="6" t="s">
        <v>20</v>
      </c>
      <c r="C109" s="6" t="s">
        <v>12</v>
      </c>
      <c r="D109" s="7" t="s">
        <v>202</v>
      </c>
      <c r="E109" s="8" t="s">
        <v>416</v>
      </c>
      <c r="F109" s="6" t="s">
        <v>417</v>
      </c>
      <c r="G109" s="9">
        <f>IF(A109=1,"_",IF(C109="_","???",C109))</f>
        <v/>
      </c>
      <c r="H109" s="10" t="s">
        <v>12</v>
      </c>
      <c r="I109" s="11" t="s">
        <v>12</v>
      </c>
      <c r="J109" s="12"/>
    </row>
    <row r="110" spans="1:10" ht="60" customHeight="1">
      <c r="A110" s="6" t="s">
        <v>418</v>
      </c>
      <c r="B110" s="6" t="s">
        <v>20</v>
      </c>
      <c r="C110" s="6" t="s">
        <v>12</v>
      </c>
      <c r="D110" s="7" t="s">
        <v>419</v>
      </c>
      <c r="E110" s="8" t="s">
        <v>420</v>
      </c>
      <c r="F110" s="6" t="s">
        <v>421</v>
      </c>
      <c r="G110" s="9">
        <f>IF(A110=1,"_",IF(C110="_","???",C110))</f>
        <v/>
      </c>
      <c r="H110" s="10" t="s">
        <v>12</v>
      </c>
      <c r="I110" s="11" t="s">
        <v>12</v>
      </c>
      <c r="J110" s="12"/>
    </row>
    <row r="111" spans="1:10" ht="60" customHeight="1">
      <c r="A111" s="6" t="s">
        <v>422</v>
      </c>
      <c r="B111" s="6" t="s">
        <v>10</v>
      </c>
      <c r="C111" s="6" t="s">
        <v>12</v>
      </c>
      <c r="D111" s="7" t="s">
        <v>423</v>
      </c>
      <c r="E111" s="8" t="s">
        <v>424</v>
      </c>
      <c r="F111" s="6" t="s">
        <v>425</v>
      </c>
      <c r="G111" s="9">
        <f>IF(A111=1,"_",IF(C111="_","???",C111))</f>
        <v/>
      </c>
      <c r="H111" s="10" t="s">
        <v>12</v>
      </c>
      <c r="I111" s="11" t="s">
        <v>12</v>
      </c>
      <c r="J111" s="12"/>
    </row>
    <row r="112" spans="1:10" ht="60" customHeight="1">
      <c r="A112" s="6" t="s">
        <v>426</v>
      </c>
      <c r="B112" s="6" t="s">
        <v>16</v>
      </c>
      <c r="C112" s="6" t="s">
        <v>12</v>
      </c>
      <c r="D112" s="7" t="s">
        <v>351</v>
      </c>
      <c r="E112" s="8" t="s">
        <v>427</v>
      </c>
      <c r="F112" s="6" t="s">
        <v>428</v>
      </c>
      <c r="G112" s="9">
        <f>IF(A112=1,"_",IF(C112="_","???",C112))</f>
        <v/>
      </c>
      <c r="H112" s="10" t="s">
        <v>12</v>
      </c>
      <c r="I112" s="11" t="s">
        <v>12</v>
      </c>
      <c r="J112" s="12"/>
    </row>
    <row r="113" spans="1:10" ht="60" customHeight="1">
      <c r="A113" s="6" t="s">
        <v>429</v>
      </c>
      <c r="B113" s="6" t="s">
        <v>16</v>
      </c>
      <c r="C113" s="6" t="s">
        <v>12</v>
      </c>
      <c r="D113" s="7" t="s">
        <v>430</v>
      </c>
      <c r="E113" s="8" t="s">
        <v>431</v>
      </c>
      <c r="F113" s="6" t="s">
        <v>432</v>
      </c>
      <c r="G113" s="9">
        <f>IF(A113=1,"_",IF(C113="_","???",C113))</f>
        <v/>
      </c>
      <c r="H113" s="10" t="s">
        <v>12</v>
      </c>
      <c r="I113" s="11" t="s">
        <v>12</v>
      </c>
      <c r="J113" s="12"/>
    </row>
    <row r="114" spans="1:10" ht="60" customHeight="1">
      <c r="A114" s="6" t="s">
        <v>433</v>
      </c>
      <c r="B114" s="6" t="s">
        <v>10</v>
      </c>
      <c r="C114" s="6" t="s">
        <v>12</v>
      </c>
      <c r="D114" s="7" t="s">
        <v>202</v>
      </c>
      <c r="E114" s="8" t="s">
        <v>434</v>
      </c>
      <c r="F114" s="6" t="s">
        <v>435</v>
      </c>
      <c r="G114" s="9">
        <f>IF(A114=1,"_",IF(C114="_","???",C114))</f>
        <v/>
      </c>
      <c r="H114" s="10" t="s">
        <v>12</v>
      </c>
      <c r="I114" s="11" t="s">
        <v>12</v>
      </c>
      <c r="J114" s="12"/>
    </row>
    <row r="115" spans="1:10" ht="60" customHeight="1">
      <c r="A115" s="6" t="s">
        <v>436</v>
      </c>
      <c r="B115" s="6" t="s">
        <v>38</v>
      </c>
      <c r="C115" s="6" t="s">
        <v>12</v>
      </c>
      <c r="D115" s="7" t="s">
        <v>437</v>
      </c>
      <c r="E115" s="8" t="s">
        <v>438</v>
      </c>
      <c r="F115" s="6" t="s">
        <v>439</v>
      </c>
      <c r="G115" s="9">
        <f>IF(A115=1,"_",IF(C115="_","???",C115))</f>
        <v/>
      </c>
      <c r="H115" s="10" t="s">
        <v>12</v>
      </c>
      <c r="I115" s="11" t="s">
        <v>12</v>
      </c>
      <c r="J115" s="12"/>
    </row>
    <row r="116" spans="1:10" ht="60" customHeight="1">
      <c r="A116" s="6" t="s">
        <v>440</v>
      </c>
      <c r="B116" s="6" t="s">
        <v>11</v>
      </c>
      <c r="C116" s="6" t="s">
        <v>12</v>
      </c>
      <c r="D116" s="7" t="s">
        <v>254</v>
      </c>
      <c r="E116" s="8" t="s">
        <v>441</v>
      </c>
      <c r="F116" s="6" t="s">
        <v>442</v>
      </c>
      <c r="G116" s="9">
        <f>IF(A116=1,"_",IF(C116="_","???",C116))</f>
        <v/>
      </c>
      <c r="H116" s="10" t="s">
        <v>12</v>
      </c>
      <c r="I116" s="11" t="s">
        <v>12</v>
      </c>
      <c r="J116" s="12"/>
    </row>
    <row r="117" spans="1:10" ht="60" customHeight="1">
      <c r="A117" s="6" t="s">
        <v>443</v>
      </c>
      <c r="B117" s="6" t="s">
        <v>24</v>
      </c>
      <c r="C117" s="6" t="s">
        <v>12</v>
      </c>
      <c r="D117" s="7" t="s">
        <v>444</v>
      </c>
      <c r="E117" s="8" t="s">
        <v>445</v>
      </c>
      <c r="F117" s="6" t="s">
        <v>446</v>
      </c>
      <c r="G117" s="9">
        <f>IF(A117=1,"_",IF(C117="_","???",C117))</f>
        <v/>
      </c>
      <c r="H117" s="10" t="s">
        <v>12</v>
      </c>
      <c r="I117" s="11" t="s">
        <v>12</v>
      </c>
      <c r="J117" s="12"/>
    </row>
    <row r="118" spans="1:10" ht="60" customHeight="1">
      <c r="A118" s="6" t="s">
        <v>447</v>
      </c>
      <c r="B118" s="6" t="s">
        <v>70</v>
      </c>
      <c r="C118" s="6" t="s">
        <v>12</v>
      </c>
      <c r="D118" s="7" t="s">
        <v>87</v>
      </c>
      <c r="E118" s="8" t="s">
        <v>448</v>
      </c>
      <c r="F118" s="6" t="s">
        <v>449</v>
      </c>
      <c r="G118" s="9">
        <f>IF(A118=1,"_",IF(C118="_","???",C118))</f>
        <v/>
      </c>
      <c r="H118" s="10" t="s">
        <v>12</v>
      </c>
      <c r="I118" s="11" t="s">
        <v>12</v>
      </c>
      <c r="J118" s="12"/>
    </row>
    <row r="119" spans="1:10" ht="60" customHeight="1">
      <c r="A119" s="6" t="s">
        <v>450</v>
      </c>
      <c r="B119" s="6" t="s">
        <v>16</v>
      </c>
      <c r="C119" s="6" t="s">
        <v>12</v>
      </c>
      <c r="D119" s="7" t="s">
        <v>451</v>
      </c>
      <c r="E119" s="8" t="s">
        <v>452</v>
      </c>
      <c r="F119" s="6" t="s">
        <v>453</v>
      </c>
      <c r="G119" s="9">
        <f>IF(A119=1,"_",IF(C119="_","???",C119))</f>
        <v/>
      </c>
      <c r="H119" s="10" t="s">
        <v>12</v>
      </c>
      <c r="I119" s="11" t="s">
        <v>12</v>
      </c>
      <c r="J119" s="12"/>
    </row>
    <row r="120" spans="1:10" ht="60" customHeight="1">
      <c r="A120" s="6" t="s">
        <v>454</v>
      </c>
      <c r="B120" s="6" t="s">
        <v>10</v>
      </c>
      <c r="C120" s="6" t="s">
        <v>12</v>
      </c>
      <c r="D120" s="7" t="s">
        <v>455</v>
      </c>
      <c r="E120" s="8" t="s">
        <v>456</v>
      </c>
      <c r="F120" s="6" t="s">
        <v>457</v>
      </c>
      <c r="G120" s="9">
        <f>IF(A120=1,"_",IF(C120="_","???",C120))</f>
        <v/>
      </c>
      <c r="H120" s="10" t="s">
        <v>12</v>
      </c>
      <c r="I120" s="11" t="s">
        <v>12</v>
      </c>
      <c r="J120" s="12"/>
    </row>
    <row r="121" spans="1:10" ht="60" customHeight="1">
      <c r="A121" s="6" t="s">
        <v>458</v>
      </c>
      <c r="B121" s="6" t="s">
        <v>16</v>
      </c>
      <c r="C121" s="6" t="s">
        <v>12</v>
      </c>
      <c r="D121" s="7" t="s">
        <v>455</v>
      </c>
      <c r="E121" s="8" t="s">
        <v>459</v>
      </c>
      <c r="F121" s="6" t="s">
        <v>460</v>
      </c>
      <c r="G121" s="9">
        <f>IF(A121=1,"_",IF(C121="_","???",C121))</f>
        <v/>
      </c>
      <c r="H121" s="10" t="s">
        <v>12</v>
      </c>
      <c r="I121" s="11" t="s">
        <v>12</v>
      </c>
      <c r="J121" s="12"/>
    </row>
    <row r="122" spans="1:10" ht="60" customHeight="1">
      <c r="A122" s="6" t="s">
        <v>461</v>
      </c>
      <c r="B122" s="6" t="s">
        <v>10</v>
      </c>
      <c r="C122" s="6" t="s">
        <v>12</v>
      </c>
      <c r="D122" s="7" t="s">
        <v>462</v>
      </c>
      <c r="E122" s="8" t="s">
        <v>463</v>
      </c>
      <c r="F122" s="6" t="s">
        <v>464</v>
      </c>
      <c r="G122" s="9">
        <f>IF(A122=1,"_",IF(C122="_","???",C122))</f>
        <v/>
      </c>
      <c r="H122" s="10" t="s">
        <v>12</v>
      </c>
      <c r="I122" s="11" t="s">
        <v>12</v>
      </c>
      <c r="J122" s="12"/>
    </row>
    <row r="123" spans="1:10" ht="60" customHeight="1">
      <c r="A123" s="6" t="s">
        <v>465</v>
      </c>
      <c r="B123" s="6" t="s">
        <v>10</v>
      </c>
      <c r="C123" s="6" t="s">
        <v>466</v>
      </c>
      <c r="D123" s="7" t="s">
        <v>87</v>
      </c>
      <c r="E123" s="8" t="s">
        <v>467</v>
      </c>
      <c r="F123" s="6" t="s">
        <v>468</v>
      </c>
      <c r="G123" s="9">
        <f>IF(A123=1,"_",IF(C123="_","???",C123))</f>
        <v/>
      </c>
      <c r="H123" s="10" t="s">
        <v>12</v>
      </c>
      <c r="I123" s="11" t="s">
        <v>12</v>
      </c>
      <c r="J123" s="12"/>
    </row>
    <row r="124" spans="1:10" ht="60" customHeight="1">
      <c r="A124" s="6" t="s">
        <v>469</v>
      </c>
      <c r="B124" s="6" t="s">
        <v>42</v>
      </c>
      <c r="C124" s="6" t="s">
        <v>12</v>
      </c>
      <c r="D124" s="7" t="s">
        <v>470</v>
      </c>
      <c r="E124" s="8" t="s">
        <v>471</v>
      </c>
      <c r="F124" s="6" t="s">
        <v>472</v>
      </c>
      <c r="G124" s="9">
        <f>IF(A124=1,"_",IF(C124="_","???",C124))</f>
        <v/>
      </c>
      <c r="H124" s="10" t="s">
        <v>12</v>
      </c>
      <c r="I124" s="11" t="s">
        <v>12</v>
      </c>
      <c r="J124" s="12"/>
    </row>
    <row r="125" spans="1:10" ht="60" customHeight="1">
      <c r="A125" s="6" t="s">
        <v>473</v>
      </c>
      <c r="B125" s="6" t="s">
        <v>10</v>
      </c>
      <c r="C125" s="6" t="s">
        <v>12</v>
      </c>
      <c r="D125" s="7" t="s">
        <v>474</v>
      </c>
      <c r="E125" s="8" t="s">
        <v>475</v>
      </c>
      <c r="F125" s="6" t="s">
        <v>476</v>
      </c>
      <c r="G125" s="9">
        <f>IF(A125=1,"_",IF(C125="_","???",C125))</f>
        <v/>
      </c>
      <c r="H125" s="10" t="s">
        <v>12</v>
      </c>
      <c r="I125" s="11" t="s">
        <v>12</v>
      </c>
      <c r="J125" s="12"/>
    </row>
    <row r="126" spans="1:10" ht="60" customHeight="1">
      <c r="A126" s="6" t="s">
        <v>477</v>
      </c>
      <c r="B126" s="6" t="s">
        <v>10</v>
      </c>
      <c r="C126" s="6" t="s">
        <v>12</v>
      </c>
      <c r="D126" s="7" t="s">
        <v>478</v>
      </c>
      <c r="E126" s="8" t="s">
        <v>479</v>
      </c>
      <c r="F126" s="6" t="s">
        <v>480</v>
      </c>
      <c r="G126" s="9">
        <f>IF(A126=1,"_",IF(C126="_","???",C126))</f>
        <v/>
      </c>
      <c r="H126" s="10" t="s">
        <v>12</v>
      </c>
      <c r="I126" s="11" t="s">
        <v>12</v>
      </c>
      <c r="J126" s="12"/>
    </row>
    <row r="127" spans="1:10" ht="60" customHeight="1">
      <c r="A127" s="6" t="s">
        <v>481</v>
      </c>
      <c r="B127" s="6" t="s">
        <v>20</v>
      </c>
      <c r="C127" s="6" t="s">
        <v>12</v>
      </c>
      <c r="D127" s="7" t="s">
        <v>126</v>
      </c>
      <c r="E127" s="8" t="s">
        <v>482</v>
      </c>
      <c r="F127" s="6" t="s">
        <v>483</v>
      </c>
      <c r="G127" s="9">
        <f>IF(A127=1,"_",IF(C127="_","???",C127))</f>
        <v/>
      </c>
      <c r="H127" s="10" t="s">
        <v>12</v>
      </c>
      <c r="I127" s="11" t="s">
        <v>12</v>
      </c>
      <c r="J127" s="12"/>
    </row>
    <row r="128" spans="1:10" ht="60" customHeight="1">
      <c r="A128" s="6" t="s">
        <v>484</v>
      </c>
      <c r="B128" s="6" t="s">
        <v>109</v>
      </c>
      <c r="C128" s="6" t="s">
        <v>12</v>
      </c>
      <c r="D128" s="7" t="s">
        <v>485</v>
      </c>
      <c r="E128" s="8" t="s">
        <v>486</v>
      </c>
      <c r="F128" s="6" t="s">
        <v>487</v>
      </c>
      <c r="G128" s="9">
        <f>IF(A128=1,"_",IF(C128="_","???",C128))</f>
        <v/>
      </c>
      <c r="H128" s="10" t="s">
        <v>12</v>
      </c>
      <c r="I128" s="11" t="s">
        <v>12</v>
      </c>
      <c r="J128" s="12"/>
    </row>
    <row r="129" spans="1:10" ht="60" customHeight="1">
      <c r="A129" s="6" t="s">
        <v>488</v>
      </c>
      <c r="B129" s="6" t="s">
        <v>16</v>
      </c>
      <c r="C129" s="6" t="s">
        <v>12</v>
      </c>
      <c r="D129" s="7" t="s">
        <v>489</v>
      </c>
      <c r="E129" s="8" t="s">
        <v>490</v>
      </c>
      <c r="F129" s="6" t="s">
        <v>491</v>
      </c>
      <c r="G129" s="9">
        <f>IF(A129=1,"_",IF(C129="_","???",C129))</f>
        <v/>
      </c>
      <c r="H129" s="10" t="s">
        <v>12</v>
      </c>
      <c r="I129" s="11" t="s">
        <v>12</v>
      </c>
      <c r="J129" s="12"/>
    </row>
    <row r="130" spans="1:10" ht="60" customHeight="1">
      <c r="A130" s="6" t="s">
        <v>492</v>
      </c>
      <c r="B130" s="6" t="s">
        <v>16</v>
      </c>
      <c r="C130" s="6" t="s">
        <v>12</v>
      </c>
      <c r="D130" s="7" t="s">
        <v>493</v>
      </c>
      <c r="E130" s="8" t="s">
        <v>494</v>
      </c>
      <c r="F130" s="6" t="s">
        <v>495</v>
      </c>
      <c r="G130" s="9">
        <f>IF(A130=1,"_",IF(C130="_","???",C130))</f>
        <v/>
      </c>
      <c r="H130" s="10" t="s">
        <v>12</v>
      </c>
      <c r="I130" s="11" t="s">
        <v>12</v>
      </c>
      <c r="J130" s="12"/>
    </row>
    <row r="131" spans="1:10" ht="60" customHeight="1">
      <c r="A131" s="6" t="s">
        <v>496</v>
      </c>
      <c r="B131" s="6" t="s">
        <v>16</v>
      </c>
      <c r="C131" s="6" t="s">
        <v>12</v>
      </c>
      <c r="D131" s="7" t="s">
        <v>497</v>
      </c>
      <c r="E131" s="8" t="s">
        <v>498</v>
      </c>
      <c r="F131" s="6" t="s">
        <v>499</v>
      </c>
      <c r="G131" s="9">
        <f>IF(A131=1,"_",IF(C131="_","???",C131))</f>
        <v/>
      </c>
      <c r="H131" s="10" t="s">
        <v>12</v>
      </c>
      <c r="I131" s="11" t="s">
        <v>12</v>
      </c>
      <c r="J131" s="12"/>
    </row>
    <row r="132" spans="1:10" ht="60" customHeight="1">
      <c r="A132" s="6" t="s">
        <v>500</v>
      </c>
      <c r="B132" s="6" t="s">
        <v>16</v>
      </c>
      <c r="C132" s="6" t="s">
        <v>12</v>
      </c>
      <c r="D132" s="7" t="s">
        <v>497</v>
      </c>
      <c r="E132" s="8" t="s">
        <v>501</v>
      </c>
      <c r="F132" s="6" t="s">
        <v>502</v>
      </c>
      <c r="G132" s="9">
        <f>IF(A132=1,"_",IF(C132="_","???",C132))</f>
        <v/>
      </c>
      <c r="H132" s="10" t="s">
        <v>12</v>
      </c>
      <c r="I132" s="11" t="s">
        <v>12</v>
      </c>
      <c r="J132" s="12"/>
    </row>
    <row r="133" spans="1:10" ht="60" customHeight="1">
      <c r="A133" s="6" t="s">
        <v>503</v>
      </c>
      <c r="B133" s="6" t="s">
        <v>16</v>
      </c>
      <c r="C133" s="6" t="s">
        <v>12</v>
      </c>
      <c r="D133" s="7" t="s">
        <v>504</v>
      </c>
      <c r="E133" s="8" t="s">
        <v>505</v>
      </c>
      <c r="F133" s="6" t="s">
        <v>506</v>
      </c>
      <c r="G133" s="9">
        <f>IF(A133=1,"_",IF(C133="_","???",C133))</f>
        <v/>
      </c>
      <c r="H133" s="10" t="s">
        <v>12</v>
      </c>
      <c r="I133" s="11" t="s">
        <v>12</v>
      </c>
      <c r="J133" s="12"/>
    </row>
    <row r="134" spans="1:10" ht="60" customHeight="1">
      <c r="A134" s="6" t="s">
        <v>507</v>
      </c>
      <c r="B134" s="6" t="s">
        <v>16</v>
      </c>
      <c r="C134" s="6" t="s">
        <v>12</v>
      </c>
      <c r="D134" s="7" t="s">
        <v>508</v>
      </c>
      <c r="E134" s="8" t="s">
        <v>509</v>
      </c>
      <c r="F134" s="6" t="s">
        <v>510</v>
      </c>
      <c r="G134" s="9">
        <f>IF(A134=1,"_",IF(C134="_","???",C134))</f>
        <v/>
      </c>
      <c r="H134" s="10" t="s">
        <v>12</v>
      </c>
      <c r="I134" s="11" t="s">
        <v>12</v>
      </c>
      <c r="J134" s="12"/>
    </row>
    <row r="135" spans="1:10" ht="60" customHeight="1">
      <c r="A135" s="6" t="s">
        <v>511</v>
      </c>
      <c r="B135" s="6" t="s">
        <v>125</v>
      </c>
      <c r="C135" s="6" t="s">
        <v>12</v>
      </c>
      <c r="D135" s="7" t="s">
        <v>512</v>
      </c>
      <c r="E135" s="8" t="s">
        <v>513</v>
      </c>
      <c r="F135" s="6" t="s">
        <v>514</v>
      </c>
      <c r="G135" s="9">
        <f>IF(A135=1,"_",IF(C135="_","???",C135))</f>
        <v/>
      </c>
      <c r="H135" s="10" t="s">
        <v>12</v>
      </c>
      <c r="I135" s="11" t="s">
        <v>12</v>
      </c>
      <c r="J135" s="12"/>
    </row>
    <row r="136" spans="1:10" ht="60" customHeight="1">
      <c r="A136" s="6" t="s">
        <v>515</v>
      </c>
      <c r="B136" s="6" t="s">
        <v>70</v>
      </c>
      <c r="C136" s="6" t="s">
        <v>12</v>
      </c>
      <c r="D136" s="7" t="s">
        <v>114</v>
      </c>
      <c r="E136" s="8" t="s">
        <v>516</v>
      </c>
      <c r="F136" s="6" t="s">
        <v>517</v>
      </c>
      <c r="G136" s="9">
        <f>IF(A136=1,"_",IF(C136="_","???",C136))</f>
        <v/>
      </c>
      <c r="H136" s="10" t="s">
        <v>12</v>
      </c>
      <c r="I136" s="11" t="s">
        <v>12</v>
      </c>
      <c r="J136" s="12"/>
    </row>
    <row r="137" spans="1:10" ht="60" customHeight="1">
      <c r="A137" s="6" t="s">
        <v>518</v>
      </c>
      <c r="B137" s="6" t="s">
        <v>16</v>
      </c>
      <c r="C137" s="6" t="s">
        <v>12</v>
      </c>
      <c r="D137" s="7" t="s">
        <v>519</v>
      </c>
      <c r="E137" s="8" t="s">
        <v>520</v>
      </c>
      <c r="F137" s="6" t="s">
        <v>521</v>
      </c>
      <c r="G137" s="9">
        <f>IF(A137=1,"_",IF(C137="_","???",C137))</f>
        <v/>
      </c>
      <c r="H137" s="10" t="s">
        <v>12</v>
      </c>
      <c r="I137" s="11" t="s">
        <v>12</v>
      </c>
      <c r="J137" s="12"/>
    </row>
    <row r="138" spans="1:10" ht="60" customHeight="1">
      <c r="A138" s="6" t="s">
        <v>522</v>
      </c>
      <c r="B138" s="6" t="s">
        <v>86</v>
      </c>
      <c r="C138" s="6" t="s">
        <v>12</v>
      </c>
      <c r="D138" s="7" t="s">
        <v>523</v>
      </c>
      <c r="E138" s="8" t="s">
        <v>524</v>
      </c>
      <c r="F138" s="6" t="s">
        <v>525</v>
      </c>
      <c r="G138" s="9">
        <f>IF(A138=1,"_",IF(C138="_","???",C138))</f>
        <v/>
      </c>
      <c r="H138" s="10" t="s">
        <v>12</v>
      </c>
      <c r="I138" s="11" t="s">
        <v>12</v>
      </c>
      <c r="J138" s="12"/>
    </row>
    <row r="139" spans="1:10" ht="60" customHeight="1">
      <c r="A139" s="6" t="s">
        <v>526</v>
      </c>
      <c r="B139" s="6" t="s">
        <v>11</v>
      </c>
      <c r="C139" s="6" t="s">
        <v>12</v>
      </c>
      <c r="D139" s="7" t="s">
        <v>527</v>
      </c>
      <c r="E139" s="8" t="s">
        <v>528</v>
      </c>
      <c r="F139" s="6" t="s">
        <v>529</v>
      </c>
      <c r="G139" s="9">
        <f>IF(A139=1,"_",IF(C139="_","???",C139))</f>
        <v/>
      </c>
      <c r="H139" s="10" t="s">
        <v>12</v>
      </c>
      <c r="I139" s="11" t="s">
        <v>12</v>
      </c>
      <c r="J139" s="12"/>
    </row>
    <row r="140" spans="1:10" ht="60" customHeight="1">
      <c r="A140" s="6" t="s">
        <v>530</v>
      </c>
      <c r="B140" s="6" t="s">
        <v>25</v>
      </c>
      <c r="C140" s="6" t="s">
        <v>531</v>
      </c>
      <c r="D140" s="7" t="s">
        <v>532</v>
      </c>
      <c r="E140" s="8" t="s">
        <v>533</v>
      </c>
      <c r="F140" s="6" t="s">
        <v>534</v>
      </c>
      <c r="G140" s="9">
        <f>IF(A140=1,"_",IF(C140="_","???",C140))</f>
        <v/>
      </c>
      <c r="H140" s="10" t="s">
        <v>12</v>
      </c>
      <c r="I140" s="11" t="s">
        <v>12</v>
      </c>
      <c r="J140" s="12"/>
    </row>
    <row r="141" spans="1:10" ht="60" customHeight="1">
      <c r="A141" s="6" t="s">
        <v>535</v>
      </c>
      <c r="B141" s="6" t="s">
        <v>113</v>
      </c>
      <c r="C141" s="6" t="s">
        <v>12</v>
      </c>
      <c r="D141" s="7" t="s">
        <v>162</v>
      </c>
      <c r="E141" s="8" t="s">
        <v>536</v>
      </c>
      <c r="F141" s="6" t="s">
        <v>537</v>
      </c>
      <c r="G141" s="9">
        <f>IF(A141=1,"_",IF(C141="_","???",C141))</f>
        <v/>
      </c>
      <c r="H141" s="10" t="s">
        <v>12</v>
      </c>
      <c r="I141" s="11" t="s">
        <v>12</v>
      </c>
      <c r="J141" s="12"/>
    </row>
    <row r="142" spans="1:10" ht="60" customHeight="1">
      <c r="A142" s="6" t="s">
        <v>538</v>
      </c>
      <c r="B142" s="6" t="s">
        <v>20</v>
      </c>
      <c r="C142" s="6" t="s">
        <v>12</v>
      </c>
      <c r="D142" s="7" t="s">
        <v>539</v>
      </c>
      <c r="E142" s="8" t="s">
        <v>540</v>
      </c>
      <c r="F142" s="6" t="s">
        <v>541</v>
      </c>
      <c r="G142" s="9">
        <f>IF(A142=1,"_",IF(C142="_","???",C142))</f>
        <v/>
      </c>
      <c r="H142" s="10" t="s">
        <v>12</v>
      </c>
      <c r="I142" s="11" t="s">
        <v>12</v>
      </c>
      <c r="J142" s="12"/>
    </row>
    <row r="143" spans="1:10" ht="60" customHeight="1">
      <c r="A143" s="6" t="s">
        <v>542</v>
      </c>
      <c r="B143" s="6" t="s">
        <v>16</v>
      </c>
      <c r="C143" s="6" t="s">
        <v>12</v>
      </c>
      <c r="D143" s="7" t="s">
        <v>543</v>
      </c>
      <c r="E143" s="8" t="s">
        <v>544</v>
      </c>
      <c r="F143" s="6" t="s">
        <v>545</v>
      </c>
      <c r="G143" s="9">
        <f>IF(A143=1,"_",IF(C143="_","???",C143))</f>
        <v/>
      </c>
      <c r="H143" s="10" t="s">
        <v>12</v>
      </c>
      <c r="I143" s="11" t="s">
        <v>12</v>
      </c>
      <c r="J143" s="12"/>
    </row>
    <row r="144" spans="1:10" ht="60" customHeight="1">
      <c r="A144" s="6" t="s">
        <v>546</v>
      </c>
      <c r="B144" s="6" t="s">
        <v>20</v>
      </c>
      <c r="C144" s="6" t="s">
        <v>12</v>
      </c>
      <c r="D144" s="7" t="s">
        <v>95</v>
      </c>
      <c r="E144" s="8" t="s">
        <v>547</v>
      </c>
      <c r="F144" s="6" t="s">
        <v>548</v>
      </c>
      <c r="G144" s="9">
        <f>IF(A144=1,"_",IF(C144="_","???",C144))</f>
        <v/>
      </c>
      <c r="H144" s="10" t="s">
        <v>12</v>
      </c>
      <c r="I144" s="11" t="s">
        <v>12</v>
      </c>
      <c r="J144" s="12"/>
    </row>
    <row r="145" spans="1:10" ht="60" customHeight="1">
      <c r="A145" s="6" t="s">
        <v>549</v>
      </c>
      <c r="B145" s="6" t="s">
        <v>25</v>
      </c>
      <c r="C145" s="6" t="s">
        <v>12</v>
      </c>
      <c r="D145" s="7" t="s">
        <v>543</v>
      </c>
      <c r="E145" s="8" t="s">
        <v>550</v>
      </c>
      <c r="F145" s="6" t="s">
        <v>551</v>
      </c>
      <c r="G145" s="9">
        <f>IF(A145=1,"_",IF(C145="_","???",C145))</f>
        <v/>
      </c>
      <c r="H145" s="10" t="s">
        <v>12</v>
      </c>
      <c r="I145" s="11" t="s">
        <v>12</v>
      </c>
      <c r="J145" s="12"/>
    </row>
    <row r="146" spans="1:10" ht="60" customHeight="1">
      <c r="A146" s="6" t="s">
        <v>552</v>
      </c>
      <c r="B146" s="6" t="s">
        <v>37</v>
      </c>
      <c r="C146" s="6" t="s">
        <v>12</v>
      </c>
      <c r="D146" s="7" t="s">
        <v>126</v>
      </c>
      <c r="E146" s="8" t="s">
        <v>553</v>
      </c>
      <c r="F146" s="6" t="s">
        <v>554</v>
      </c>
      <c r="G146" s="9">
        <f>IF(A146=1,"_",IF(C146="_","???",C146))</f>
        <v/>
      </c>
      <c r="H146" s="10" t="s">
        <v>12</v>
      </c>
      <c r="I146" s="11" t="s">
        <v>12</v>
      </c>
      <c r="J146" s="12"/>
    </row>
    <row r="147" spans="1:10" ht="60" customHeight="1">
      <c r="A147" s="6" t="s">
        <v>555</v>
      </c>
      <c r="B147" s="6" t="s">
        <v>11</v>
      </c>
      <c r="C147" s="6" t="s">
        <v>12</v>
      </c>
      <c r="D147" s="7" t="s">
        <v>198</v>
      </c>
      <c r="E147" s="8" t="s">
        <v>556</v>
      </c>
      <c r="F147" s="6" t="s">
        <v>557</v>
      </c>
      <c r="G147" s="9">
        <f>IF(A147=1,"_",IF(C147="_","???",C147))</f>
        <v/>
      </c>
      <c r="H147" s="10" t="s">
        <v>12</v>
      </c>
      <c r="I147" s="11" t="s">
        <v>12</v>
      </c>
      <c r="J147" s="12"/>
    </row>
    <row r="148" spans="1:10" ht="60" customHeight="1">
      <c r="A148" s="6" t="s">
        <v>558</v>
      </c>
      <c r="B148" s="6" t="s">
        <v>42</v>
      </c>
      <c r="C148" s="6" t="s">
        <v>12</v>
      </c>
      <c r="D148" s="7" t="s">
        <v>254</v>
      </c>
      <c r="E148" s="8" t="s">
        <v>559</v>
      </c>
      <c r="F148" s="6" t="s">
        <v>560</v>
      </c>
      <c r="G148" s="9">
        <f>IF(A148=1,"_",IF(C148="_","???",C148))</f>
        <v/>
      </c>
      <c r="H148" s="10" t="s">
        <v>12</v>
      </c>
      <c r="I148" s="11" t="s">
        <v>12</v>
      </c>
      <c r="J148" s="12"/>
    </row>
    <row r="149" spans="1:10" ht="60" customHeight="1">
      <c r="A149" s="6" t="s">
        <v>561</v>
      </c>
      <c r="B149" s="6" t="s">
        <v>16</v>
      </c>
      <c r="C149" s="6" t="s">
        <v>12</v>
      </c>
      <c r="D149" s="7" t="s">
        <v>562</v>
      </c>
      <c r="E149" s="8" t="s">
        <v>563</v>
      </c>
      <c r="F149" s="6" t="s">
        <v>564</v>
      </c>
      <c r="G149" s="9">
        <f>IF(A149=1,"_",IF(C149="_","???",C149))</f>
        <v/>
      </c>
      <c r="H149" s="10" t="s">
        <v>12</v>
      </c>
      <c r="I149" s="11" t="s">
        <v>12</v>
      </c>
      <c r="J149" s="12"/>
    </row>
    <row r="150" spans="1:10" ht="60" customHeight="1">
      <c r="A150" s="6" t="s">
        <v>565</v>
      </c>
      <c r="B150" s="6" t="s">
        <v>20</v>
      </c>
      <c r="C150" s="6" t="s">
        <v>12</v>
      </c>
      <c r="D150" s="7" t="s">
        <v>566</v>
      </c>
      <c r="E150" s="8" t="s">
        <v>567</v>
      </c>
      <c r="F150" s="6" t="s">
        <v>568</v>
      </c>
      <c r="G150" s="9">
        <f>IF(A150=1,"_",IF(C150="_","???",C150))</f>
        <v/>
      </c>
      <c r="H150" s="10" t="s">
        <v>12</v>
      </c>
      <c r="I150" s="11" t="s">
        <v>12</v>
      </c>
      <c r="J150" s="12"/>
    </row>
    <row r="151" spans="1:10" ht="60" customHeight="1">
      <c r="A151" s="6" t="s">
        <v>569</v>
      </c>
      <c r="B151" s="6" t="s">
        <v>70</v>
      </c>
      <c r="C151" s="6" t="s">
        <v>12</v>
      </c>
      <c r="D151" s="7" t="s">
        <v>570</v>
      </c>
      <c r="E151" s="8" t="s">
        <v>571</v>
      </c>
      <c r="F151" s="6" t="s">
        <v>572</v>
      </c>
      <c r="G151" s="9">
        <f>IF(A151=1,"_",IF(C151="_","???",C151))</f>
        <v/>
      </c>
      <c r="H151" s="10" t="s">
        <v>12</v>
      </c>
      <c r="I151" s="11" t="s">
        <v>12</v>
      </c>
      <c r="J151" s="12"/>
    </row>
    <row r="152" spans="1:10" ht="60" customHeight="1">
      <c r="A152" s="6" t="s">
        <v>573</v>
      </c>
      <c r="B152" s="6" t="s">
        <v>16</v>
      </c>
      <c r="C152" s="6" t="s">
        <v>12</v>
      </c>
      <c r="D152" s="7" t="s">
        <v>202</v>
      </c>
      <c r="E152" s="8" t="s">
        <v>574</v>
      </c>
      <c r="F152" s="6" t="s">
        <v>575</v>
      </c>
      <c r="G152" s="9">
        <f>IF(A152=1,"_",IF(C152="_","???",C152))</f>
        <v/>
      </c>
      <c r="H152" s="10" t="s">
        <v>12</v>
      </c>
      <c r="I152" s="11" t="s">
        <v>12</v>
      </c>
      <c r="J152" s="12"/>
    </row>
    <row r="153" spans="1:10" ht="60" customHeight="1">
      <c r="A153" s="6" t="s">
        <v>576</v>
      </c>
      <c r="B153" s="6" t="s">
        <v>61</v>
      </c>
      <c r="C153" s="6" t="s">
        <v>12</v>
      </c>
      <c r="D153" s="7" t="s">
        <v>577</v>
      </c>
      <c r="E153" s="8" t="s">
        <v>578</v>
      </c>
      <c r="F153" s="6" t="s">
        <v>579</v>
      </c>
      <c r="G153" s="9">
        <f>IF(A153=1,"_",IF(C153="_","???",C153))</f>
        <v/>
      </c>
      <c r="H153" s="10" t="s">
        <v>12</v>
      </c>
      <c r="I153" s="11" t="s">
        <v>12</v>
      </c>
      <c r="J153" s="12"/>
    </row>
    <row r="154" spans="1:10" ht="60" customHeight="1">
      <c r="A154" s="6" t="s">
        <v>580</v>
      </c>
      <c r="B154" s="6" t="s">
        <v>70</v>
      </c>
      <c r="C154" s="6" t="s">
        <v>12</v>
      </c>
      <c r="D154" s="7" t="s">
        <v>581</v>
      </c>
      <c r="E154" s="8" t="s">
        <v>582</v>
      </c>
      <c r="F154" s="6" t="s">
        <v>583</v>
      </c>
      <c r="G154" s="9">
        <f>IF(A154=1,"_",IF(C154="_","???",C154))</f>
        <v/>
      </c>
      <c r="H154" s="10" t="s">
        <v>12</v>
      </c>
      <c r="I154" s="11" t="s">
        <v>12</v>
      </c>
      <c r="J154" s="12"/>
    </row>
    <row r="155" spans="1:10" ht="60" customHeight="1">
      <c r="A155" s="6" t="s">
        <v>584</v>
      </c>
      <c r="B155" s="6" t="s">
        <v>24</v>
      </c>
      <c r="C155" s="6" t="s">
        <v>12</v>
      </c>
      <c r="D155" s="7" t="s">
        <v>570</v>
      </c>
      <c r="E155" s="8" t="s">
        <v>585</v>
      </c>
      <c r="F155" s="6" t="s">
        <v>586</v>
      </c>
      <c r="G155" s="9">
        <f>IF(A155=1,"_",IF(C155="_","???",C155))</f>
        <v/>
      </c>
      <c r="H155" s="10" t="s">
        <v>12</v>
      </c>
      <c r="I155" s="11" t="s">
        <v>12</v>
      </c>
      <c r="J155" s="12"/>
    </row>
    <row r="156" spans="1:10" ht="60" customHeight="1">
      <c r="A156" s="6" t="s">
        <v>587</v>
      </c>
      <c r="B156" s="6" t="s">
        <v>10</v>
      </c>
      <c r="C156" s="6" t="s">
        <v>12</v>
      </c>
      <c r="D156" s="7" t="s">
        <v>184</v>
      </c>
      <c r="E156" s="8" t="s">
        <v>588</v>
      </c>
      <c r="F156" s="6" t="s">
        <v>589</v>
      </c>
      <c r="G156" s="9">
        <f>IF(A156=1,"_",IF(C156="_","???",C156))</f>
        <v/>
      </c>
      <c r="H156" s="10" t="s">
        <v>12</v>
      </c>
      <c r="I156" s="11" t="s">
        <v>12</v>
      </c>
      <c r="J156" s="12"/>
    </row>
    <row r="157" spans="1:10" ht="60" customHeight="1">
      <c r="A157" s="6" t="s">
        <v>590</v>
      </c>
      <c r="B157" s="6" t="s">
        <v>16</v>
      </c>
      <c r="C157" s="6" t="s">
        <v>12</v>
      </c>
      <c r="D157" s="7" t="s">
        <v>184</v>
      </c>
      <c r="E157" s="8" t="s">
        <v>591</v>
      </c>
      <c r="F157" s="6" t="s">
        <v>592</v>
      </c>
      <c r="G157" s="9">
        <f>IF(A157=1,"_",IF(C157="_","???",C157))</f>
        <v/>
      </c>
      <c r="H157" s="10" t="s">
        <v>12</v>
      </c>
      <c r="I157" s="11" t="s">
        <v>12</v>
      </c>
      <c r="J157" s="12"/>
    </row>
    <row r="158" spans="1:10" ht="60" customHeight="1">
      <c r="A158" s="6" t="s">
        <v>593</v>
      </c>
      <c r="B158" s="6" t="s">
        <v>20</v>
      </c>
      <c r="C158" s="6" t="s">
        <v>12</v>
      </c>
      <c r="D158" s="7" t="s">
        <v>594</v>
      </c>
      <c r="E158" s="8" t="s">
        <v>595</v>
      </c>
      <c r="F158" s="6" t="s">
        <v>596</v>
      </c>
      <c r="G158" s="9">
        <f>IF(A158=1,"_",IF(C158="_","???",C158))</f>
        <v/>
      </c>
      <c r="H158" s="10" t="s">
        <v>12</v>
      </c>
      <c r="I158" s="11" t="s">
        <v>12</v>
      </c>
      <c r="J158" s="12"/>
    </row>
    <row r="159" spans="1:10" ht="60" customHeight="1">
      <c r="A159" s="6" t="s">
        <v>597</v>
      </c>
      <c r="B159" s="6" t="s">
        <v>16</v>
      </c>
      <c r="C159" s="6" t="s">
        <v>12</v>
      </c>
      <c r="D159" s="7" t="s">
        <v>419</v>
      </c>
      <c r="E159" s="8" t="s">
        <v>598</v>
      </c>
      <c r="F159" s="6" t="s">
        <v>599</v>
      </c>
      <c r="G159" s="9">
        <f>IF(A159=1,"_",IF(C159="_","???",C159))</f>
        <v/>
      </c>
      <c r="H159" s="10" t="s">
        <v>12</v>
      </c>
      <c r="I159" s="11" t="s">
        <v>12</v>
      </c>
      <c r="J159" s="12"/>
    </row>
    <row r="160" spans="1:10" ht="60" customHeight="1">
      <c r="A160" s="6" t="s">
        <v>600</v>
      </c>
      <c r="B160" s="6" t="s">
        <v>20</v>
      </c>
      <c r="C160" s="6" t="s">
        <v>12</v>
      </c>
      <c r="D160" s="7" t="s">
        <v>126</v>
      </c>
      <c r="E160" s="8" t="s">
        <v>601</v>
      </c>
      <c r="F160" s="6" t="s">
        <v>602</v>
      </c>
      <c r="G160" s="9">
        <f>IF(A160=1,"_",IF(C160="_","???",C160))</f>
        <v/>
      </c>
      <c r="H160" s="10" t="s">
        <v>12</v>
      </c>
      <c r="I160" s="11" t="s">
        <v>12</v>
      </c>
      <c r="J160" s="12"/>
    </row>
    <row r="161" spans="1:10" ht="60" customHeight="1">
      <c r="A161" s="6" t="s">
        <v>603</v>
      </c>
      <c r="B161" s="6" t="s">
        <v>16</v>
      </c>
      <c r="C161" s="6" t="s">
        <v>12</v>
      </c>
      <c r="D161" s="7" t="s">
        <v>254</v>
      </c>
      <c r="E161" s="8" t="s">
        <v>604</v>
      </c>
      <c r="F161" s="6" t="s">
        <v>605</v>
      </c>
      <c r="G161" s="9">
        <f>IF(A161=1,"_",IF(C161="_","???",C161))</f>
        <v/>
      </c>
      <c r="H161" s="10" t="s">
        <v>12</v>
      </c>
      <c r="I161" s="11" t="s">
        <v>12</v>
      </c>
      <c r="J161" s="12"/>
    </row>
    <row r="162" spans="1:10" ht="60" customHeight="1">
      <c r="A162" s="6" t="s">
        <v>606</v>
      </c>
      <c r="B162" s="6" t="s">
        <v>20</v>
      </c>
      <c r="C162" s="6" t="s">
        <v>12</v>
      </c>
      <c r="D162" s="7" t="s">
        <v>202</v>
      </c>
      <c r="E162" s="8" t="s">
        <v>607</v>
      </c>
      <c r="F162" s="6" t="s">
        <v>608</v>
      </c>
      <c r="G162" s="9">
        <f>IF(A162=1,"_",IF(C162="_","???",C162))</f>
        <v/>
      </c>
      <c r="H162" s="10" t="s">
        <v>12</v>
      </c>
      <c r="I162" s="11" t="s">
        <v>12</v>
      </c>
      <c r="J162" s="12"/>
    </row>
    <row r="163" spans="1:10" ht="60" customHeight="1">
      <c r="A163" s="6" t="s">
        <v>609</v>
      </c>
      <c r="B163" s="6" t="s">
        <v>70</v>
      </c>
      <c r="C163" s="6" t="s">
        <v>12</v>
      </c>
      <c r="D163" s="7" t="s">
        <v>75</v>
      </c>
      <c r="E163" s="8" t="s">
        <v>610</v>
      </c>
      <c r="F163" s="6" t="s">
        <v>611</v>
      </c>
      <c r="G163" s="9">
        <f>IF(A163=1,"_",IF(C163="_","???",C163))</f>
        <v/>
      </c>
      <c r="H163" s="10" t="s">
        <v>12</v>
      </c>
      <c r="I163" s="11" t="s">
        <v>12</v>
      </c>
      <c r="J163" s="12"/>
    </row>
    <row r="164" spans="1:10" ht="60" customHeight="1">
      <c r="A164" s="6" t="s">
        <v>612</v>
      </c>
      <c r="B164" s="6" t="s">
        <v>10</v>
      </c>
      <c r="C164" s="6" t="s">
        <v>12</v>
      </c>
      <c r="D164" s="7" t="s">
        <v>71</v>
      </c>
      <c r="E164" s="8" t="s">
        <v>613</v>
      </c>
      <c r="F164" s="6" t="s">
        <v>614</v>
      </c>
      <c r="G164" s="9">
        <f>IF(A164=1,"_",IF(C164="_","???",C164))</f>
        <v/>
      </c>
      <c r="H164" s="10" t="s">
        <v>12</v>
      </c>
      <c r="I164" s="11" t="s">
        <v>12</v>
      </c>
      <c r="J164" s="12"/>
    </row>
    <row r="165" spans="1:10" ht="60" customHeight="1">
      <c r="A165" s="6" t="s">
        <v>615</v>
      </c>
      <c r="B165" s="6" t="s">
        <v>25</v>
      </c>
      <c r="C165" s="6" t="s">
        <v>12</v>
      </c>
      <c r="D165" s="7" t="s">
        <v>616</v>
      </c>
      <c r="E165" s="8" t="s">
        <v>617</v>
      </c>
      <c r="F165" s="6" t="s">
        <v>618</v>
      </c>
      <c r="G165" s="9">
        <f>IF(A165=1,"_",IF(C165="_","???",C165))</f>
        <v/>
      </c>
      <c r="H165" s="10" t="s">
        <v>12</v>
      </c>
      <c r="I165" s="11" t="s">
        <v>12</v>
      </c>
      <c r="J165" s="12"/>
    </row>
    <row r="166" spans="1:10" ht="60" customHeight="1">
      <c r="A166" s="6" t="s">
        <v>619</v>
      </c>
      <c r="B166" s="6" t="s">
        <v>53</v>
      </c>
      <c r="C166" s="6" t="s">
        <v>12</v>
      </c>
      <c r="D166" s="7" t="s">
        <v>87</v>
      </c>
      <c r="E166" s="8" t="s">
        <v>620</v>
      </c>
      <c r="F166" s="6" t="s">
        <v>621</v>
      </c>
      <c r="G166" s="9">
        <f>IF(A166=1,"_",IF(C166="_","???",C166))</f>
        <v/>
      </c>
      <c r="H166" s="10" t="s">
        <v>12</v>
      </c>
      <c r="I166" s="11" t="s">
        <v>12</v>
      </c>
      <c r="J166" s="12"/>
    </row>
    <row r="167" spans="1:10" ht="60" customHeight="1">
      <c r="A167" s="6" t="s">
        <v>622</v>
      </c>
      <c r="B167" s="6" t="s">
        <v>70</v>
      </c>
      <c r="C167" s="6" t="s">
        <v>12</v>
      </c>
      <c r="D167" s="7" t="s">
        <v>87</v>
      </c>
      <c r="E167" s="8" t="s">
        <v>623</v>
      </c>
      <c r="F167" s="6" t="s">
        <v>624</v>
      </c>
      <c r="G167" s="9">
        <f>IF(A167=1,"_",IF(C167="_","???",C167))</f>
        <v/>
      </c>
      <c r="H167" s="10" t="s">
        <v>12</v>
      </c>
      <c r="I167" s="11" t="s">
        <v>12</v>
      </c>
      <c r="J167" s="12"/>
    </row>
    <row r="168" spans="1:10" ht="60" customHeight="1">
      <c r="A168" s="6" t="s">
        <v>625</v>
      </c>
      <c r="B168" s="6" t="s">
        <v>53</v>
      </c>
      <c r="C168" s="6" t="s">
        <v>12</v>
      </c>
      <c r="D168" s="7" t="s">
        <v>66</v>
      </c>
      <c r="E168" s="8" t="s">
        <v>626</v>
      </c>
      <c r="F168" s="6" t="s">
        <v>627</v>
      </c>
      <c r="G168" s="9">
        <f>IF(A168=1,"_",IF(C168="_","???",C168))</f>
        <v/>
      </c>
      <c r="H168" s="10" t="s">
        <v>12</v>
      </c>
      <c r="I168" s="11" t="s">
        <v>12</v>
      </c>
      <c r="J168" s="12"/>
    </row>
    <row r="169" spans="1:10" ht="60" customHeight="1">
      <c r="A169" s="6" t="s">
        <v>628</v>
      </c>
      <c r="B169" s="6" t="s">
        <v>20</v>
      </c>
      <c r="C169" s="6" t="s">
        <v>12</v>
      </c>
      <c r="D169" s="7" t="s">
        <v>629</v>
      </c>
      <c r="E169" s="8" t="s">
        <v>630</v>
      </c>
      <c r="F169" s="6" t="s">
        <v>631</v>
      </c>
      <c r="G169" s="9">
        <f>IF(A169=1,"_",IF(C169="_","???",C169))</f>
        <v/>
      </c>
      <c r="H169" s="10" t="s">
        <v>12</v>
      </c>
      <c r="I169" s="11" t="s">
        <v>12</v>
      </c>
      <c r="J169" s="12"/>
    </row>
    <row r="170" spans="1:10" ht="60" customHeight="1">
      <c r="A170" s="6" t="s">
        <v>632</v>
      </c>
      <c r="B170" s="6" t="s">
        <v>20</v>
      </c>
      <c r="C170" s="6" t="s">
        <v>12</v>
      </c>
      <c r="D170" s="7" t="s">
        <v>71</v>
      </c>
      <c r="E170" s="8" t="s">
        <v>633</v>
      </c>
      <c r="F170" s="6" t="s">
        <v>634</v>
      </c>
      <c r="G170" s="9">
        <f>IF(A170=1,"_",IF(C170="_","???",C170))</f>
        <v/>
      </c>
      <c r="H170" s="10" t="s">
        <v>12</v>
      </c>
      <c r="I170" s="11" t="s">
        <v>12</v>
      </c>
      <c r="J170" s="12"/>
    </row>
    <row r="171" spans="1:10" ht="60" customHeight="1">
      <c r="A171" s="6" t="s">
        <v>635</v>
      </c>
      <c r="B171" s="6" t="s">
        <v>10</v>
      </c>
      <c r="C171" s="6" t="s">
        <v>12</v>
      </c>
      <c r="D171" s="7" t="s">
        <v>71</v>
      </c>
      <c r="E171" s="8" t="s">
        <v>636</v>
      </c>
      <c r="F171" s="6" t="s">
        <v>637</v>
      </c>
      <c r="G171" s="9">
        <f>IF(A171=1,"_",IF(C171="_","???",C171))</f>
        <v/>
      </c>
      <c r="H171" s="10" t="s">
        <v>12</v>
      </c>
      <c r="I171" s="11" t="s">
        <v>12</v>
      </c>
      <c r="J171" s="12"/>
    </row>
    <row r="172" spans="1:10" ht="60" customHeight="1">
      <c r="A172" s="6" t="s">
        <v>638</v>
      </c>
      <c r="B172" s="6" t="s">
        <v>10</v>
      </c>
      <c r="C172" s="6" t="s">
        <v>12</v>
      </c>
      <c r="D172" s="7" t="s">
        <v>351</v>
      </c>
      <c r="E172" s="8" t="s">
        <v>639</v>
      </c>
      <c r="F172" s="6" t="s">
        <v>640</v>
      </c>
      <c r="G172" s="9">
        <f>IF(A172=1,"_",IF(C172="_","???",C172))</f>
        <v/>
      </c>
      <c r="H172" s="10" t="s">
        <v>12</v>
      </c>
      <c r="I172" s="11" t="s">
        <v>12</v>
      </c>
      <c r="J172" s="12"/>
    </row>
    <row r="173" spans="1:10" ht="60" customHeight="1">
      <c r="A173" s="6" t="s">
        <v>641</v>
      </c>
      <c r="B173" s="6" t="s">
        <v>20</v>
      </c>
      <c r="C173" s="6" t="s">
        <v>12</v>
      </c>
      <c r="D173" s="7" t="s">
        <v>202</v>
      </c>
      <c r="E173" s="8" t="s">
        <v>642</v>
      </c>
      <c r="F173" s="6" t="s">
        <v>643</v>
      </c>
      <c r="G173" s="9">
        <f>IF(A173=1,"_",IF(C173="_","???",C173))</f>
        <v/>
      </c>
      <c r="H173" s="10" t="s">
        <v>12</v>
      </c>
      <c r="I173" s="11" t="s">
        <v>12</v>
      </c>
      <c r="J173" s="12"/>
    </row>
    <row r="174" spans="1:10" ht="60" customHeight="1">
      <c r="A174" s="6" t="s">
        <v>644</v>
      </c>
      <c r="B174" s="6" t="s">
        <v>20</v>
      </c>
      <c r="C174" s="6" t="s">
        <v>12</v>
      </c>
      <c r="D174" s="7" t="s">
        <v>258</v>
      </c>
      <c r="E174" s="8" t="s">
        <v>645</v>
      </c>
      <c r="F174" s="6" t="s">
        <v>646</v>
      </c>
      <c r="G174" s="9">
        <f>IF(A174=1,"_",IF(C174="_","???",C174))</f>
        <v/>
      </c>
      <c r="H174" s="10" t="s">
        <v>12</v>
      </c>
      <c r="I174" s="11" t="s">
        <v>12</v>
      </c>
      <c r="J174" s="12"/>
    </row>
    <row r="175" spans="1:10" ht="60" customHeight="1">
      <c r="A175" s="6" t="s">
        <v>647</v>
      </c>
      <c r="B175" s="6" t="s">
        <v>16</v>
      </c>
      <c r="C175" s="6" t="s">
        <v>12</v>
      </c>
      <c r="D175" s="7" t="s">
        <v>118</v>
      </c>
      <c r="E175" s="8" t="s">
        <v>648</v>
      </c>
      <c r="F175" s="6" t="s">
        <v>649</v>
      </c>
      <c r="G175" s="9">
        <f>IF(A175=1,"_",IF(C175="_","???",C175))</f>
        <v/>
      </c>
      <c r="H175" s="10" t="s">
        <v>12</v>
      </c>
      <c r="I175" s="11" t="s">
        <v>12</v>
      </c>
      <c r="J175" s="12"/>
    </row>
    <row r="176" spans="1:10" ht="60" customHeight="1">
      <c r="A176" s="6" t="s">
        <v>650</v>
      </c>
      <c r="B176" s="6" t="s">
        <v>37</v>
      </c>
      <c r="C176" s="6" t="s">
        <v>12</v>
      </c>
      <c r="D176" s="7" t="s">
        <v>651</v>
      </c>
      <c r="E176" s="8" t="s">
        <v>652</v>
      </c>
      <c r="F176" s="6" t="s">
        <v>653</v>
      </c>
      <c r="G176" s="9">
        <f>IF(A176=1,"_",IF(C176="_","???",C176))</f>
        <v/>
      </c>
      <c r="H176" s="10" t="s">
        <v>12</v>
      </c>
      <c r="I176" s="11" t="s">
        <v>12</v>
      </c>
      <c r="J176" s="12"/>
    </row>
    <row r="177" spans="1:10" ht="60" customHeight="1">
      <c r="A177" s="6" t="s">
        <v>654</v>
      </c>
      <c r="B177" s="6" t="s">
        <v>125</v>
      </c>
      <c r="C177" s="6" t="s">
        <v>12</v>
      </c>
      <c r="D177" s="7" t="s">
        <v>655</v>
      </c>
      <c r="E177" s="8" t="s">
        <v>656</v>
      </c>
      <c r="F177" s="6" t="s">
        <v>657</v>
      </c>
      <c r="G177" s="9">
        <f>IF(A177=1,"_",IF(C177="_","???",C177))</f>
        <v/>
      </c>
      <c r="H177" s="10" t="s">
        <v>12</v>
      </c>
      <c r="I177" s="11" t="s">
        <v>12</v>
      </c>
      <c r="J177" s="12"/>
    </row>
    <row r="178" spans="1:10" ht="60" customHeight="1">
      <c r="A178" s="6" t="s">
        <v>658</v>
      </c>
      <c r="B178" s="6" t="s">
        <v>10</v>
      </c>
      <c r="C178" s="6" t="s">
        <v>12</v>
      </c>
      <c r="D178" s="7" t="s">
        <v>659</v>
      </c>
      <c r="E178" s="8" t="s">
        <v>660</v>
      </c>
      <c r="F178" s="6" t="s">
        <v>661</v>
      </c>
      <c r="G178" s="9">
        <f>IF(A178=1,"_",IF(C178="_","???",C178))</f>
        <v/>
      </c>
      <c r="H178" s="10" t="s">
        <v>12</v>
      </c>
      <c r="I178" s="11" t="s">
        <v>12</v>
      </c>
      <c r="J17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79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662</v>
      </c>
      <c r="B1" s="13" t="s">
        <v>663</v>
      </c>
      <c r="C1" s="13" t="s">
        <v>664</v>
      </c>
      <c r="D1" s="13" t="s">
        <v>665</v>
      </c>
      <c r="E1" s="14" t="s">
        <v>666</v>
      </c>
      <c r="F1" s="15" t="s">
        <v>667</v>
      </c>
      <c r="G1" s="16" t="s">
        <v>668</v>
      </c>
      <c r="H1" s="17" t="s">
        <v>669</v>
      </c>
      <c r="I1" s="18" t="s">
        <v>670</v>
      </c>
      <c r="J1" s="18" t="s">
        <v>671</v>
      </c>
      <c r="K1" s="18" t="s">
        <v>672</v>
      </c>
      <c r="L1" s="19" t="s">
        <v>9</v>
      </c>
    </row>
    <row r="2" spans="1:12">
      <c r="A2" s="20" t="s">
        <v>673</v>
      </c>
    </row>
    <row r="3" spans="1:12">
      <c r="A3" s="20" t="s">
        <v>674</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675</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676</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677</v>
      </c>
      <c r="B6" s="27" t="s">
        <v>678</v>
      </c>
      <c r="C6" s="27" t="s">
        <v>679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680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681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682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674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683</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684</v>
      </c>
      <c r="B12" s="27" t="s">
        <v>685</v>
      </c>
      <c r="C12" s="27" t="s">
        <v>686</v>
      </c>
      <c r="D12" s="27" t="s">
        <v>687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688</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689</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690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691</v>
      </c>
      <c r="B16" s="27" t="s">
        <v>692</v>
      </c>
      <c r="C16" s="27" t="s">
        <v>693</v>
      </c>
      <c r="D16" s="27" t="s">
        <v>687</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694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683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695</v>
      </c>
      <c r="B19" s="27" t="s">
        <v>696</v>
      </c>
      <c r="C19" s="27" t="s">
        <v>686</v>
      </c>
      <c r="D19" s="27" t="s">
        <v>687</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697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698</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row>
    <row r="23" spans="1:12">
      <c r="A23" s="20" t="s">
        <v>699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700</v>
      </c>
    </row>
    <row r="25" spans="1:12">
      <c r="A25" s="20" t="s">
        <v>674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701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689</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702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703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704</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705</v>
      </c>
      <c r="B31" s="27" t="s">
        <v>678</v>
      </c>
      <c r="C31" s="27" t="s">
        <v>693</v>
      </c>
      <c r="D31" s="27" t="s">
        <v>687</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694</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706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707</v>
      </c>
      <c r="B34" s="27" t="s">
        <v>678</v>
      </c>
      <c r="C34" s="27" t="s">
        <v>679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708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683</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709</v>
      </c>
      <c r="B37" s="27" t="s">
        <v>678</v>
      </c>
      <c r="C37" s="27" t="s">
        <v>686</v>
      </c>
      <c r="D37" s="27" t="s">
        <v>687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682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674</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689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710</v>
      </c>
      <c r="B41" s="27" t="s">
        <v>678</v>
      </c>
      <c r="C41" s="27" t="s">
        <v>693</v>
      </c>
      <c r="D41" s="27" t="s">
        <v>687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711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694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683</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712</v>
      </c>
      <c r="B45" s="27" t="s">
        <v>696</v>
      </c>
      <c r="C45" s="27" t="s">
        <v>686</v>
      </c>
      <c r="D45" s="27" t="s">
        <v>687</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698</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row>
    <row r="48" spans="1:12">
      <c r="A48" s="20" t="s">
        <v>699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713</v>
      </c>
    </row>
    <row r="50" spans="1:12">
      <c r="A50" s="20" t="s">
        <v>674</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714</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715</v>
      </c>
      <c r="B52" s="27" t="s">
        <v>696</v>
      </c>
      <c r="C52" s="27" t="s">
        <v>716</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682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717</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718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719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682</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674</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717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718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720</v>
      </c>
      <c r="B61" s="27" t="s">
        <v>692</v>
      </c>
      <c r="C61" s="27" t="s">
        <v>693</v>
      </c>
      <c r="D61" s="27" t="s">
        <v>687</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674</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721</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722</v>
      </c>
      <c r="B64" s="27" t="s">
        <v>696</v>
      </c>
      <c r="C64" s="27" t="s">
        <v>693</v>
      </c>
      <c r="D64" s="27" t="s">
        <v>687</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694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723</v>
      </c>
      <c r="B66" s="27" t="s">
        <v>724</v>
      </c>
      <c r="C66" s="27" t="s">
        <v>679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682</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674</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703</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717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718</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725</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726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727</v>
      </c>
      <c r="B74" s="27" t="s">
        <v>728</v>
      </c>
      <c r="C74" s="27" t="s">
        <v>716</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729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694</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306</v>
      </c>
      <c r="B77" s="27" t="s">
        <v>730</v>
      </c>
      <c r="C77" s="27" t="s">
        <v>731</v>
      </c>
      <c r="D77" s="27" t="s">
        <v>687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732</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733</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734</v>
      </c>
      <c r="B80" s="27" t="s">
        <v>735</v>
      </c>
      <c r="C80" s="27" t="s">
        <v>736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737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698</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674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738</v>
      </c>
      <c r="B84" s="27" t="s">
        <v>739</v>
      </c>
      <c r="C84" s="27" t="s">
        <v>731</v>
      </c>
      <c r="D84" s="27" t="s">
        <v>687</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740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694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683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741</v>
      </c>
      <c r="B88" s="27" t="s">
        <v>742</v>
      </c>
      <c r="C88" s="27" t="s">
        <v>693</v>
      </c>
      <c r="D88" s="27" t="s">
        <v>687</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743</v>
      </c>
      <c r="B89" s="27" t="s">
        <v>744</v>
      </c>
      <c r="C89" s="27" t="s">
        <v>745</v>
      </c>
      <c r="D89" s="27" t="s">
        <v>687</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682</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676</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746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682</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430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747</v>
      </c>
      <c r="B95" s="27" t="s">
        <v>748</v>
      </c>
      <c r="C95" s="27" t="s">
        <v>749</v>
      </c>
      <c r="D95" s="27" t="s">
        <v>687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750</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751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752</v>
      </c>
      <c r="B98" s="27" t="s">
        <v>753</v>
      </c>
      <c r="C98" s="27" t="s">
        <v>754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698</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755</v>
      </c>
    </row>
    <row r="102" spans="1:12">
      <c r="A102" s="20" t="s">
        <v>756</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306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757</v>
      </c>
      <c r="B104" s="27" t="s">
        <v>678</v>
      </c>
      <c r="C104" s="27" t="s">
        <v>686</v>
      </c>
      <c r="D104" s="27" t="s">
        <v>687</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758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682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306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759</v>
      </c>
      <c r="B108" s="27" t="s">
        <v>685</v>
      </c>
      <c r="C108" s="27" t="s">
        <v>693</v>
      </c>
      <c r="D108" s="27" t="s">
        <v>687</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694</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760</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761</v>
      </c>
      <c r="B111" s="27" t="s">
        <v>696</v>
      </c>
      <c r="C111" s="27" t="s">
        <v>745</v>
      </c>
      <c r="D111" s="27" t="s">
        <v>687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762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676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763</v>
      </c>
      <c r="B114" s="27" t="s">
        <v>724</v>
      </c>
      <c r="C114" s="27" t="s">
        <v>679</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694</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306</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764</v>
      </c>
      <c r="B117" s="27" t="s">
        <v>678</v>
      </c>
      <c r="C117" s="27" t="s">
        <v>686</v>
      </c>
      <c r="D117" s="27" t="s">
        <v>687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765</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698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row>
    <row r="121" spans="1:12">
      <c r="A121" s="20" t="s">
        <v>766</v>
      </c>
    </row>
    <row r="122" spans="1:12">
      <c r="A122" s="20" t="s">
        <v>767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768</v>
      </c>
      <c r="B123" s="27" t="s">
        <v>678</v>
      </c>
      <c r="C123" s="27" t="s">
        <v>679</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769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770</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771</v>
      </c>
      <c r="B126" s="27" t="s">
        <v>696</v>
      </c>
      <c r="C126" s="27" t="s">
        <v>772</v>
      </c>
      <c r="D126" s="27" t="s">
        <v>687</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773</v>
      </c>
      <c r="B127" s="27" t="s">
        <v>685</v>
      </c>
      <c r="C127" s="27" t="s">
        <v>686</v>
      </c>
      <c r="D127" s="27" t="s">
        <v>687</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740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774</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row>
    <row r="131" spans="1:12">
      <c r="A131" s="20" t="s">
        <v>775</v>
      </c>
    </row>
    <row r="132" spans="1:12">
      <c r="A132" s="20" t="s">
        <v>714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776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694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777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778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779</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780</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row>
    <row r="140" spans="1:12">
      <c r="A140" s="20" t="s">
        <v>781</v>
      </c>
    </row>
    <row r="141" spans="1:12">
      <c r="A141" s="20" t="s">
        <v>714</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740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732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733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734</v>
      </c>
      <c r="B145" s="27" t="s">
        <v>685</v>
      </c>
      <c r="C145" s="27" t="s">
        <v>736</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782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783</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733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784</v>
      </c>
      <c r="B149" s="27" t="s">
        <v>678</v>
      </c>
      <c r="C149" s="27" t="s">
        <v>736</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780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row>
    <row r="152" spans="1:12">
      <c r="A152" s="20" t="s">
        <v>785</v>
      </c>
    </row>
    <row r="153" spans="1:12">
      <c r="A153" s="20" t="s">
        <v>786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747</v>
      </c>
      <c r="B154" s="27" t="s">
        <v>787</v>
      </c>
      <c r="C154" s="27" t="s">
        <v>749</v>
      </c>
      <c r="D154" s="27" t="s">
        <v>687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750</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788</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789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790</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752</v>
      </c>
      <c r="B159" s="27" t="s">
        <v>791</v>
      </c>
      <c r="C159" s="27" t="s">
        <v>754</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682</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792</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683</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733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793</v>
      </c>
      <c r="B164" s="27" t="s">
        <v>678</v>
      </c>
      <c r="C164" s="27" t="s">
        <v>693</v>
      </c>
      <c r="D164" s="27" t="s">
        <v>687</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794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683</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771</v>
      </c>
      <c r="B167" s="27" t="s">
        <v>696</v>
      </c>
      <c r="C167" s="27" t="s">
        <v>772</v>
      </c>
      <c r="D167" s="27" t="s">
        <v>687</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795</v>
      </c>
      <c r="B168" s="27" t="s">
        <v>678</v>
      </c>
      <c r="C168" s="27" t="s">
        <v>686</v>
      </c>
      <c r="D168" s="27" t="s">
        <v>687</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703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306</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796</v>
      </c>
      <c r="B171" s="27" t="s">
        <v>724</v>
      </c>
      <c r="C171" s="27" t="s">
        <v>772</v>
      </c>
      <c r="D171" s="27" t="s">
        <v>687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797</v>
      </c>
      <c r="B172" s="27" t="s">
        <v>696</v>
      </c>
      <c r="C172" s="27" t="s">
        <v>686</v>
      </c>
      <c r="D172" s="27" t="s">
        <v>687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698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row>
    <row r="175" spans="1:12">
      <c r="A175" s="20" t="s">
        <v>798</v>
      </c>
    </row>
    <row r="176" spans="1:12">
      <c r="A176" s="20" t="s">
        <v>756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306</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799</v>
      </c>
      <c r="B178" s="27" t="s">
        <v>678</v>
      </c>
      <c r="C178" s="27" t="s">
        <v>693</v>
      </c>
      <c r="D178" s="27" t="s">
        <v>687</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694</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683</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800</v>
      </c>
      <c r="B181" s="27" t="s">
        <v>696</v>
      </c>
      <c r="C181" s="27" t="s">
        <v>693</v>
      </c>
      <c r="D181" s="27" t="s">
        <v>687</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694</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760</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801</v>
      </c>
      <c r="B184" s="27" t="s">
        <v>724</v>
      </c>
      <c r="C184" s="27" t="s">
        <v>686</v>
      </c>
      <c r="D184" s="27" t="s">
        <v>687</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682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306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802</v>
      </c>
      <c r="B187" s="27" t="s">
        <v>685</v>
      </c>
      <c r="C187" s="27" t="s">
        <v>686</v>
      </c>
      <c r="D187" s="27" t="s">
        <v>687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803</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804</v>
      </c>
      <c r="B189" s="27" t="s">
        <v>692</v>
      </c>
      <c r="C189" s="27" t="s">
        <v>749</v>
      </c>
      <c r="D189" s="27" t="s">
        <v>687</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732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805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689</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694</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806</v>
      </c>
      <c r="B194" s="27" t="s">
        <v>807</v>
      </c>
      <c r="C194" s="27" t="s">
        <v>749</v>
      </c>
      <c r="D194" s="27" t="s">
        <v>687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808</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242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689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809</v>
      </c>
      <c r="B198" s="27" t="s">
        <v>810</v>
      </c>
      <c r="C198" s="27" t="s">
        <v>693</v>
      </c>
      <c r="D198" s="27" t="s">
        <v>687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708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811</v>
      </c>
      <c r="B200" s="27" t="s">
        <v>812</v>
      </c>
      <c r="C200" s="27" t="s">
        <v>679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698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row>
    <row r="203" spans="1:12">
      <c r="A203" s="20" t="s">
        <v>813</v>
      </c>
    </row>
    <row r="204" spans="1:12">
      <c r="A204" s="20" t="s">
        <v>12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796</v>
      </c>
      <c r="B205" s="27" t="s">
        <v>696</v>
      </c>
      <c r="C205" s="27" t="s">
        <v>772</v>
      </c>
      <c r="D205" s="27" t="s">
        <v>687</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797</v>
      </c>
      <c r="B206" s="27" t="s">
        <v>685</v>
      </c>
      <c r="C206" s="27" t="s">
        <v>686</v>
      </c>
      <c r="D206" s="27" t="s">
        <v>687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814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689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809</v>
      </c>
      <c r="B209" s="27" t="s">
        <v>692</v>
      </c>
      <c r="C209" s="27" t="s">
        <v>736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815</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703</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747</v>
      </c>
      <c r="B212" s="27" t="s">
        <v>787</v>
      </c>
      <c r="C212" s="27" t="s">
        <v>749</v>
      </c>
      <c r="D212" s="27" t="s">
        <v>687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814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689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809</v>
      </c>
      <c r="B215" s="27" t="s">
        <v>791</v>
      </c>
      <c r="C215" s="27" t="s">
        <v>736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816</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698</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row>
    <row r="219" spans="1:12">
      <c r="A219" s="20" t="s">
        <v>817</v>
      </c>
    </row>
    <row r="220" spans="1:12">
      <c r="A220" s="20" t="s">
        <v>770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771</v>
      </c>
      <c r="B221" s="27" t="s">
        <v>696</v>
      </c>
      <c r="C221" s="27" t="s">
        <v>772</v>
      </c>
      <c r="D221" s="27" t="s">
        <v>687</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795</v>
      </c>
      <c r="B222" s="27" t="s">
        <v>685</v>
      </c>
      <c r="C222" s="27" t="s">
        <v>686</v>
      </c>
      <c r="D222" s="27" t="s">
        <v>687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803</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732</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818</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732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747</v>
      </c>
      <c r="B227" s="27" t="s">
        <v>807</v>
      </c>
      <c r="C227" s="27" t="s">
        <v>749</v>
      </c>
      <c r="D227" s="27" t="s">
        <v>687</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819</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820</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202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689</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809</v>
      </c>
      <c r="B232" s="27" t="s">
        <v>821</v>
      </c>
      <c r="C232" s="27" t="s">
        <v>736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822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698</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row>
    <row r="236" spans="1:12">
      <c r="A236" s="20" t="s">
        <v>823</v>
      </c>
    </row>
    <row r="237" spans="1:12">
      <c r="A237" s="20" t="s">
        <v>824</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747</v>
      </c>
      <c r="B238" s="27" t="s">
        <v>685</v>
      </c>
      <c r="C238" s="27" t="s">
        <v>749</v>
      </c>
      <c r="D238" s="27" t="s">
        <v>687</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803</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732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814</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825</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306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816</v>
      </c>
      <c r="B244" s="27" t="s">
        <v>791</v>
      </c>
      <c r="C244" s="27" t="s">
        <v>686</v>
      </c>
      <c r="D244" s="27" t="s">
        <v>687</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698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row>
    <row r="247" spans="1:12">
      <c r="A247" s="20" t="s">
        <v>826</v>
      </c>
    </row>
    <row r="248" spans="1:12">
      <c r="A248" s="20" t="s">
        <v>827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828</v>
      </c>
      <c r="B249" s="27" t="s">
        <v>685</v>
      </c>
      <c r="C249" s="27" t="s">
        <v>749</v>
      </c>
      <c r="D249" s="27" t="s">
        <v>687</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829</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830</v>
      </c>
      <c r="B251" s="27" t="s">
        <v>692</v>
      </c>
      <c r="C251" s="27" t="s">
        <v>749</v>
      </c>
      <c r="D251" s="27" t="s">
        <v>687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694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732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683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771</v>
      </c>
      <c r="B255" s="27" t="s">
        <v>724</v>
      </c>
      <c r="C255" s="27" t="s">
        <v>772</v>
      </c>
      <c r="D255" s="27" t="s">
        <v>687</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831</v>
      </c>
      <c r="B256" s="27" t="s">
        <v>787</v>
      </c>
      <c r="C256" s="27" t="s">
        <v>686</v>
      </c>
      <c r="D256" s="27" t="s">
        <v>687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832</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833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306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822</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698</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row>
    <row r="263" spans="1:12">
      <c r="A263" s="20" t="s">
        <v>699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834</v>
      </c>
    </row>
    <row r="265" spans="1:12">
      <c r="A265" s="20" t="s">
        <v>12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58</v>
      </c>
      <c r="B266" s="27" t="s">
        <v>678</v>
      </c>
      <c r="C266" s="27" t="s">
        <v>686</v>
      </c>
      <c r="D266" s="27" t="s">
        <v>687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694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732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835</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683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771</v>
      </c>
      <c r="B271" s="27" t="s">
        <v>724</v>
      </c>
      <c r="C271" s="27" t="s">
        <v>772</v>
      </c>
      <c r="D271" s="27" t="s">
        <v>687</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831</v>
      </c>
      <c r="B272" s="27" t="s">
        <v>787</v>
      </c>
      <c r="C272" s="27" t="s">
        <v>686</v>
      </c>
      <c r="D272" s="27" t="s">
        <v>687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832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740</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306</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822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836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747</v>
      </c>
      <c r="B278" s="27" t="s">
        <v>807</v>
      </c>
      <c r="C278" s="27" t="s">
        <v>749</v>
      </c>
      <c r="D278" s="27" t="s">
        <v>687</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837</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838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674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839</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674</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767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840</v>
      </c>
      <c r="B285" s="27" t="s">
        <v>812</v>
      </c>
      <c r="C285" s="27" t="s">
        <v>679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769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740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841</v>
      </c>
      <c r="B288" s="27" t="s">
        <v>696</v>
      </c>
      <c r="C288" s="27" t="s">
        <v>693</v>
      </c>
      <c r="D288" s="27" t="s">
        <v>687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694</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683</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842</v>
      </c>
      <c r="B291" s="27" t="s">
        <v>724</v>
      </c>
      <c r="C291" s="27" t="s">
        <v>693</v>
      </c>
      <c r="D291" s="27" t="s">
        <v>687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694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683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771</v>
      </c>
      <c r="B294" s="27" t="s">
        <v>843</v>
      </c>
      <c r="C294" s="27" t="s">
        <v>772</v>
      </c>
      <c r="D294" s="27" t="s">
        <v>687</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795</v>
      </c>
      <c r="B295" s="27" t="s">
        <v>812</v>
      </c>
      <c r="C295" s="27" t="s">
        <v>686</v>
      </c>
      <c r="D295" s="27" t="s">
        <v>687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703</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694</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760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844</v>
      </c>
      <c r="B299" s="27" t="s">
        <v>843</v>
      </c>
      <c r="C299" s="27" t="s">
        <v>772</v>
      </c>
      <c r="D299" s="27" t="s">
        <v>687</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845</v>
      </c>
      <c r="B300" s="27" t="s">
        <v>812</v>
      </c>
      <c r="C300" s="27" t="s">
        <v>686</v>
      </c>
      <c r="D300" s="27" t="s">
        <v>687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698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699</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846</v>
      </c>
    </row>
    <row r="305" spans="1:12">
      <c r="A305" s="20" t="s">
        <v>786</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747</v>
      </c>
      <c r="B306" s="27" t="s">
        <v>787</v>
      </c>
      <c r="C306" s="27" t="s">
        <v>749</v>
      </c>
      <c r="D306" s="27" t="s">
        <v>687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833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704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682</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683</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771</v>
      </c>
      <c r="B311" s="27" t="s">
        <v>696</v>
      </c>
      <c r="C311" s="27" t="s">
        <v>772</v>
      </c>
      <c r="D311" s="27" t="s">
        <v>687</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795</v>
      </c>
      <c r="B312" s="27" t="s">
        <v>685</v>
      </c>
      <c r="C312" s="27" t="s">
        <v>686</v>
      </c>
      <c r="D312" s="27" t="s">
        <v>687</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847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254</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774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674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848</v>
      </c>
      <c r="B318" s="27" t="s">
        <v>787</v>
      </c>
      <c r="C318" s="27" t="s">
        <v>686</v>
      </c>
      <c r="D318" s="27" t="s">
        <v>687</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732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849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850</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760</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851</v>
      </c>
      <c r="B323" s="27" t="s">
        <v>812</v>
      </c>
      <c r="C323" s="27" t="s">
        <v>686</v>
      </c>
      <c r="D323" s="27" t="s">
        <v>687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740</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852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694</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853</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854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855</v>
      </c>
      <c r="B329" s="27" t="s">
        <v>696</v>
      </c>
      <c r="C329" s="27" t="s">
        <v>693</v>
      </c>
      <c r="D329" s="27" t="s">
        <v>687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676</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306</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856</v>
      </c>
      <c r="B332" s="27" t="s">
        <v>724</v>
      </c>
      <c r="C332" s="27" t="s">
        <v>686</v>
      </c>
      <c r="D332" s="27" t="s">
        <v>687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698</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699</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857</v>
      </c>
    </row>
    <row r="337" spans="1:12">
      <c r="A337" s="20" t="s">
        <v>674</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827</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778</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677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851</v>
      </c>
      <c r="B341" s="27" t="s">
        <v>791</v>
      </c>
      <c r="C341" s="27" t="s">
        <v>679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682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717</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858</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721</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740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698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674</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786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747</v>
      </c>
      <c r="B350" s="27" t="s">
        <v>807</v>
      </c>
      <c r="C350" s="27" t="s">
        <v>749</v>
      </c>
      <c r="D350" s="27" t="s">
        <v>687</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833</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704</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682</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747</v>
      </c>
      <c r="B354" s="27" t="s">
        <v>787</v>
      </c>
      <c r="C354" s="27" t="s">
        <v>749</v>
      </c>
      <c r="D354" s="27" t="s">
        <v>687</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859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860</v>
      </c>
      <c r="B356" s="27" t="s">
        <v>791</v>
      </c>
      <c r="C356" s="27" t="s">
        <v>731</v>
      </c>
      <c r="D356" s="27" t="s">
        <v>687</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721</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306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861</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862</v>
      </c>
      <c r="B360" s="27" t="s">
        <v>696</v>
      </c>
      <c r="C360" s="27" t="s">
        <v>693</v>
      </c>
      <c r="D360" s="27" t="s">
        <v>687</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694</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306</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856</v>
      </c>
      <c r="B363" s="27" t="s">
        <v>724</v>
      </c>
      <c r="C363" s="27" t="s">
        <v>686</v>
      </c>
      <c r="D363" s="27" t="s">
        <v>687</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732</v>
      </c>
      <c r="B364" s="27" t="s">
        <v>863</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828</v>
      </c>
      <c r="B365" s="27" t="s">
        <v>864</v>
      </c>
      <c r="C365" s="27" t="s">
        <v>749</v>
      </c>
      <c r="D365" s="27" t="s">
        <v>687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865</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866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725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683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771</v>
      </c>
      <c r="B370" s="27" t="s">
        <v>843</v>
      </c>
      <c r="C370" s="27" t="s">
        <v>772</v>
      </c>
      <c r="D370" s="27" t="s">
        <v>687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795</v>
      </c>
      <c r="B371" s="27" t="s">
        <v>821</v>
      </c>
      <c r="C371" s="27" t="s">
        <v>686</v>
      </c>
      <c r="D371" s="27" t="s">
        <v>687</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703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694</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306</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796</v>
      </c>
      <c r="B375" s="27" t="s">
        <v>728</v>
      </c>
      <c r="C375" s="27" t="s">
        <v>772</v>
      </c>
      <c r="D375" s="27" t="s">
        <v>687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797</v>
      </c>
      <c r="B376" s="27" t="s">
        <v>843</v>
      </c>
      <c r="C376" s="27" t="s">
        <v>686</v>
      </c>
      <c r="D376" s="27" t="s">
        <v>687</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698</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row>
    <row r="379" spans="1:12">
      <c r="A379" s="20" t="s">
        <v>699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867</v>
      </c>
    </row>
    <row r="381" spans="1:12">
      <c r="A381" s="20" t="s">
        <v>868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869</v>
      </c>
      <c r="B382" s="27" t="s">
        <v>678</v>
      </c>
      <c r="C382" s="27" t="s">
        <v>679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682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870</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732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682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871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674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839</v>
      </c>
      <c r="B389" s="27" t="s">
        <v>791</v>
      </c>
      <c r="C389" s="27" t="s">
        <v>679</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674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682</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872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717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808</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202</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733</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873</v>
      </c>
      <c r="B397" s="27" t="s">
        <v>874</v>
      </c>
      <c r="C397" s="27" t="s">
        <v>736</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698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875</v>
      </c>
    </row>
    <row r="401" spans="1:12">
      <c r="A401" s="20" t="s">
        <v>827</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682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828</v>
      </c>
      <c r="B404" s="27" t="s">
        <v>787</v>
      </c>
      <c r="C404" s="27" t="s">
        <v>749</v>
      </c>
      <c r="D404" s="27" t="s">
        <v>687</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876</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877</v>
      </c>
      <c r="B406" s="27" t="s">
        <v>791</v>
      </c>
      <c r="C406" s="27" t="s">
        <v>731</v>
      </c>
      <c r="D406" s="27" t="s">
        <v>687</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682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878</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830</v>
      </c>
      <c r="B409" s="27" t="s">
        <v>692</v>
      </c>
      <c r="C409" s="27" t="s">
        <v>749</v>
      </c>
      <c r="D409" s="27" t="s">
        <v>687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879</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698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row>
    <row r="413" spans="1:12">
      <c r="A413" s="20" t="s">
        <v>699</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880</v>
      </c>
    </row>
    <row r="415" spans="1:12">
      <c r="A415" s="20" t="s">
        <v>881</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694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202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674</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882</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694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306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883</v>
      </c>
      <c r="B422" s="27" t="s">
        <v>810</v>
      </c>
      <c r="C422" s="27" t="s">
        <v>686</v>
      </c>
      <c r="D422" s="27" t="s">
        <v>687</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674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682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430</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828</v>
      </c>
      <c r="B426" s="27" t="s">
        <v>787</v>
      </c>
      <c r="C426" s="27" t="s">
        <v>749</v>
      </c>
      <c r="D426" s="27" t="s">
        <v>687</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884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683</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885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886</v>
      </c>
      <c r="B430" s="27" t="s">
        <v>810</v>
      </c>
      <c r="C430" s="27" t="s">
        <v>749</v>
      </c>
      <c r="D430" s="27" t="s">
        <v>687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682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878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830</v>
      </c>
      <c r="B433" s="27" t="s">
        <v>692</v>
      </c>
      <c r="C433" s="27" t="s">
        <v>749</v>
      </c>
      <c r="D433" s="27" t="s">
        <v>687</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887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698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699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888</v>
      </c>
    </row>
    <row r="439" spans="1:12">
      <c r="A439" s="20" t="s">
        <v>889</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890</v>
      </c>
      <c r="B440" s="27" t="s">
        <v>692</v>
      </c>
      <c r="C440" s="27" t="s">
        <v>749</v>
      </c>
      <c r="D440" s="27" t="s">
        <v>687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674</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891</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892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839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892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698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row>
    <row r="449" spans="1:12">
      <c r="A449" s="20" t="s">
        <v>893</v>
      </c>
    </row>
    <row r="450" spans="1:12">
      <c r="A450" s="20" t="s">
        <v>894</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895</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896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708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897</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898</v>
      </c>
      <c r="B455" s="27" t="s">
        <v>678</v>
      </c>
      <c r="C455" s="27" t="s">
        <v>899</v>
      </c>
      <c r="D455" s="27" t="s">
        <v>687</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698</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699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900</v>
      </c>
    </row>
    <row r="460" spans="1:12">
      <c r="A460" s="20" t="s">
        <v>674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827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901</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732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902</v>
      </c>
      <c r="B464" s="27" t="s">
        <v>692</v>
      </c>
      <c r="C464" s="27" t="s">
        <v>679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694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254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903</v>
      </c>
      <c r="B467" s="27" t="s">
        <v>810</v>
      </c>
      <c r="C467" s="27" t="s">
        <v>731</v>
      </c>
      <c r="D467" s="27" t="s">
        <v>687</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698</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674</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row>
    <row r="471" spans="1:12">
      <c r="A471" s="20" t="s">
        <v>904</v>
      </c>
    </row>
    <row r="472" spans="1:12">
      <c r="A472" s="20" t="s">
        <v>905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789</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906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752</v>
      </c>
      <c r="B475" s="27" t="s">
        <v>791</v>
      </c>
      <c r="C475" s="27" t="s">
        <v>754</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682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760</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907</v>
      </c>
      <c r="B478" s="27" t="s">
        <v>685</v>
      </c>
      <c r="C478" s="27" t="s">
        <v>693</v>
      </c>
      <c r="D478" s="27" t="s">
        <v>687</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694</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683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741</v>
      </c>
      <c r="B481" s="27" t="s">
        <v>696</v>
      </c>
      <c r="C481" s="27" t="s">
        <v>686</v>
      </c>
      <c r="D481" s="27" t="s">
        <v>687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908</v>
      </c>
      <c r="B482" s="27" t="s">
        <v>724</v>
      </c>
      <c r="C482" s="27" t="s">
        <v>745</v>
      </c>
      <c r="D482" s="27" t="s">
        <v>687</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909</v>
      </c>
      <c r="B483" s="27" t="s">
        <v>812</v>
      </c>
      <c r="C483" s="27" t="s">
        <v>745</v>
      </c>
      <c r="D483" s="27" t="s">
        <v>687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910</v>
      </c>
      <c r="B484" s="27" t="s">
        <v>812</v>
      </c>
      <c r="C484" s="27" t="s">
        <v>745</v>
      </c>
      <c r="D484" s="27" t="s">
        <v>687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911</v>
      </c>
      <c r="B485" s="27" t="s">
        <v>812</v>
      </c>
      <c r="C485" s="27" t="s">
        <v>745</v>
      </c>
      <c r="D485" s="27" t="s">
        <v>687</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912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830</v>
      </c>
      <c r="B487" s="27" t="s">
        <v>678</v>
      </c>
      <c r="C487" s="27" t="s">
        <v>749</v>
      </c>
      <c r="D487" s="27" t="s">
        <v>687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708</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913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689</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914</v>
      </c>
      <c r="B491" s="27" t="s">
        <v>810</v>
      </c>
      <c r="C491" s="27" t="s">
        <v>693</v>
      </c>
      <c r="D491" s="27" t="s">
        <v>687</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866</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683</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915</v>
      </c>
      <c r="B494" s="27" t="s">
        <v>812</v>
      </c>
      <c r="C494" s="27" t="s">
        <v>686</v>
      </c>
      <c r="D494" s="27" t="s">
        <v>687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916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698</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row>
    <row r="498" spans="1:12">
      <c r="A498" s="20" t="s">
        <v>917</v>
      </c>
    </row>
    <row r="499" spans="1:12">
      <c r="A499" s="20" t="s">
        <v>918</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919</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920</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698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row>
    <row r="504" spans="1:12">
      <c r="A504" s="20" t="s">
        <v>921</v>
      </c>
    </row>
    <row r="505" spans="1:12">
      <c r="A505" s="20" t="s">
        <v>922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923</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676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683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924</v>
      </c>
      <c r="B509" s="27" t="s">
        <v>692</v>
      </c>
      <c r="C509" s="27" t="s">
        <v>686</v>
      </c>
      <c r="D509" s="27" t="s">
        <v>687</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721</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733</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734</v>
      </c>
      <c r="B512" s="27" t="s">
        <v>678</v>
      </c>
      <c r="C512" s="27" t="s">
        <v>736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698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row>
    <row r="515" spans="1:12">
      <c r="A515" s="20" t="s">
        <v>925</v>
      </c>
    </row>
    <row r="516" spans="1:12">
      <c r="A516" s="20" t="s">
        <v>926</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927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928</v>
      </c>
      <c r="B518" s="27" t="s">
        <v>685</v>
      </c>
      <c r="C518" s="27" t="s">
        <v>899</v>
      </c>
      <c r="D518" s="27" t="s">
        <v>687</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717</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929</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930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698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row>
    <row r="524" spans="1:12">
      <c r="A524" s="20" t="s">
        <v>931</v>
      </c>
    </row>
    <row r="525" spans="1:12">
      <c r="A525" s="20" t="s">
        <v>932</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933</v>
      </c>
      <c r="B526" s="27" t="s">
        <v>692</v>
      </c>
      <c r="C526" s="27" t="s">
        <v>749</v>
      </c>
      <c r="D526" s="27" t="s">
        <v>687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934</v>
      </c>
      <c r="B527" s="27" t="s">
        <v>692</v>
      </c>
      <c r="C527" s="27" t="s">
        <v>679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682</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306</v>
      </c>
      <c r="B529" s="27" t="s">
        <v>696</v>
      </c>
      <c r="C529" s="27" t="s">
        <v>731</v>
      </c>
      <c r="D529" s="27" t="s">
        <v>687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732</v>
      </c>
      <c r="B530" s="27" t="s">
        <v>874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935</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936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850</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937</v>
      </c>
      <c r="B534" s="27" t="s">
        <v>874</v>
      </c>
      <c r="C534" s="27" t="s">
        <v>749</v>
      </c>
      <c r="D534" s="27" t="s">
        <v>687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780</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row>
    <row r="537" spans="1:12">
      <c r="A537" s="20" t="s">
        <v>938</v>
      </c>
    </row>
    <row r="538" spans="1:12">
      <c r="A538" s="20" t="s">
        <v>939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747</v>
      </c>
      <c r="B539" s="27" t="s">
        <v>685</v>
      </c>
      <c r="C539" s="27" t="s">
        <v>749</v>
      </c>
      <c r="D539" s="27" t="s">
        <v>687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792</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306</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856</v>
      </c>
      <c r="B543" s="27" t="s">
        <v>692</v>
      </c>
      <c r="C543" s="27" t="s">
        <v>693</v>
      </c>
      <c r="D543" s="27" t="s">
        <v>687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694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760</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940</v>
      </c>
      <c r="B546" s="27" t="s">
        <v>696</v>
      </c>
      <c r="C546" s="27" t="s">
        <v>686</v>
      </c>
      <c r="D546" s="27" t="s">
        <v>687</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698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row>
    <row r="549" spans="1:12">
      <c r="A549" s="20" t="s">
        <v>941</v>
      </c>
    </row>
    <row r="550" spans="1:12">
      <c r="A550" s="20" t="s">
        <v>942</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683</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943</v>
      </c>
      <c r="B552" s="27" t="s">
        <v>678</v>
      </c>
      <c r="C552" s="27" t="s">
        <v>693</v>
      </c>
      <c r="D552" s="27" t="s">
        <v>687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694</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940</v>
      </c>
      <c r="B554" s="27" t="s">
        <v>678</v>
      </c>
      <c r="C554" s="27" t="s">
        <v>679</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698</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row>
    <row r="557" spans="1:12">
      <c r="A557" s="20" t="s">
        <v>944</v>
      </c>
    </row>
    <row r="558" spans="1:12">
      <c r="A558" s="20" t="s">
        <v>945</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946</v>
      </c>
      <c r="B559" s="27" t="s">
        <v>692</v>
      </c>
      <c r="C559" s="27" t="s">
        <v>693</v>
      </c>
      <c r="D559" s="27" t="s">
        <v>687</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694</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947</v>
      </c>
      <c r="B561" s="27" t="s">
        <v>696</v>
      </c>
      <c r="C561" s="27" t="s">
        <v>693</v>
      </c>
      <c r="D561" s="27" t="s">
        <v>687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694</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940</v>
      </c>
      <c r="B563" s="27" t="s">
        <v>724</v>
      </c>
      <c r="C563" s="27" t="s">
        <v>679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703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694</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948</v>
      </c>
      <c r="B566" s="27" t="s">
        <v>724</v>
      </c>
      <c r="C566" s="27" t="s">
        <v>693</v>
      </c>
      <c r="D566" s="27" t="s">
        <v>687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694</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940</v>
      </c>
      <c r="B568" s="27" t="s">
        <v>812</v>
      </c>
      <c r="C568" s="27" t="s">
        <v>679</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698</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row>
    <row r="571" spans="1:12">
      <c r="A571" s="20" t="s">
        <v>949</v>
      </c>
    </row>
    <row r="572" spans="1:12">
      <c r="A572" s="20" t="s">
        <v>950</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792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118</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306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951</v>
      </c>
      <c r="B576" s="27" t="s">
        <v>692</v>
      </c>
      <c r="C576" s="27" t="s">
        <v>693</v>
      </c>
      <c r="D576" s="27" t="s">
        <v>687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694</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952</v>
      </c>
      <c r="B578" s="27" t="s">
        <v>696</v>
      </c>
      <c r="C578" s="27" t="s">
        <v>745</v>
      </c>
      <c r="D578" s="27" t="s">
        <v>687</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953</v>
      </c>
      <c r="B579" s="27" t="s">
        <v>724</v>
      </c>
      <c r="C579" s="27" t="s">
        <v>745</v>
      </c>
      <c r="D579" s="27" t="s">
        <v>687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954</v>
      </c>
      <c r="B580" s="27" t="s">
        <v>724</v>
      </c>
      <c r="C580" s="27" t="s">
        <v>745</v>
      </c>
      <c r="D580" s="27" t="s">
        <v>687</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676</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955</v>
      </c>
      <c r="B582" s="27" t="s">
        <v>678</v>
      </c>
      <c r="C582" s="27" t="s">
        <v>745</v>
      </c>
      <c r="D582" s="27" t="s">
        <v>687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682</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676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306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956</v>
      </c>
      <c r="B586" s="27" t="s">
        <v>678</v>
      </c>
      <c r="C586" s="27" t="s">
        <v>745</v>
      </c>
      <c r="D586" s="27" t="s">
        <v>687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682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957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958</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928</v>
      </c>
      <c r="B590" s="27" t="s">
        <v>807</v>
      </c>
      <c r="C590" s="27" t="s">
        <v>686</v>
      </c>
      <c r="D590" s="27" t="s">
        <v>687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782</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959</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694</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683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960</v>
      </c>
      <c r="B595" s="27" t="s">
        <v>724</v>
      </c>
      <c r="C595" s="27" t="s">
        <v>693</v>
      </c>
      <c r="D595" s="27" t="s">
        <v>687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961</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694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306</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962</v>
      </c>
      <c r="B599" s="27" t="s">
        <v>812</v>
      </c>
      <c r="C599" s="27" t="s">
        <v>686</v>
      </c>
      <c r="D599" s="27" t="s">
        <v>687</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698</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row>
    <row r="602" spans="1:12">
      <c r="A602" s="20" t="s">
        <v>963</v>
      </c>
    </row>
    <row r="603" spans="1:12">
      <c r="A603" s="20" t="s">
        <v>964</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729</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965</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966</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676</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306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856</v>
      </c>
      <c r="B609" s="27" t="s">
        <v>696</v>
      </c>
      <c r="C609" s="27" t="s">
        <v>693</v>
      </c>
      <c r="D609" s="27" t="s">
        <v>687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694</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760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940</v>
      </c>
      <c r="B612" s="27" t="s">
        <v>724</v>
      </c>
      <c r="C612" s="27" t="s">
        <v>686</v>
      </c>
      <c r="D612" s="27" t="s">
        <v>687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682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729</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830</v>
      </c>
      <c r="B615" s="27" t="s">
        <v>692</v>
      </c>
      <c r="C615" s="27" t="s">
        <v>749</v>
      </c>
      <c r="D615" s="27" t="s">
        <v>687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967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694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732</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683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924</v>
      </c>
      <c r="B620" s="27" t="s">
        <v>787</v>
      </c>
      <c r="C620" s="27" t="s">
        <v>686</v>
      </c>
      <c r="D620" s="27" t="s">
        <v>687</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833</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733</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915</v>
      </c>
      <c r="B623" s="27" t="s">
        <v>678</v>
      </c>
      <c r="C623" s="27" t="s">
        <v>736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703</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732</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682</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430</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958</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928</v>
      </c>
      <c r="B629" s="27" t="s">
        <v>807</v>
      </c>
      <c r="C629" s="27" t="s">
        <v>693</v>
      </c>
      <c r="D629" s="27" t="s">
        <v>687</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694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306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856</v>
      </c>
      <c r="B632" s="27" t="s">
        <v>812</v>
      </c>
      <c r="C632" s="27" t="s">
        <v>686</v>
      </c>
      <c r="D632" s="27" t="s">
        <v>687</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968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969</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774</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row>
    <row r="637" spans="1:12">
      <c r="A637" s="20" t="s">
        <v>699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970</v>
      </c>
    </row>
    <row r="639" spans="1:12">
      <c r="A639" s="20" t="s">
        <v>674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894</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849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971</v>
      </c>
      <c r="B642" s="27" t="s">
        <v>810</v>
      </c>
      <c r="C642" s="27" t="s">
        <v>693</v>
      </c>
      <c r="D642" s="27" t="s">
        <v>687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694</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934</v>
      </c>
      <c r="B644" s="27" t="s">
        <v>812</v>
      </c>
      <c r="C644" s="27" t="s">
        <v>679</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682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972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973</v>
      </c>
      <c r="B647" s="27" t="s">
        <v>724</v>
      </c>
      <c r="C647" s="27" t="s">
        <v>693</v>
      </c>
      <c r="D647" s="27" t="s">
        <v>687</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694</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733</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915</v>
      </c>
      <c r="B650" s="27" t="s">
        <v>812</v>
      </c>
      <c r="C650" s="27" t="s">
        <v>736</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674</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682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974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683</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254</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727</v>
      </c>
      <c r="B656" s="27" t="s">
        <v>791</v>
      </c>
      <c r="C656" s="27" t="s">
        <v>716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732</v>
      </c>
      <c r="B657" s="27" t="s">
        <v>863</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833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975</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698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row>
    <row r="662" spans="1:12">
      <c r="A662" s="20" t="s">
        <v>699</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976</v>
      </c>
    </row>
    <row r="664" spans="1:12">
      <c r="A664" s="20" t="s">
        <v>894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833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683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771</v>
      </c>
      <c r="B667" s="27" t="s">
        <v>724</v>
      </c>
      <c r="C667" s="27" t="s">
        <v>772</v>
      </c>
      <c r="D667" s="27" t="s">
        <v>687</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915</v>
      </c>
      <c r="B668" s="27" t="s">
        <v>791</v>
      </c>
      <c r="C668" s="27" t="s">
        <v>686</v>
      </c>
      <c r="D668" s="27" t="s">
        <v>687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682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717</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814</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977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978</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830</v>
      </c>
      <c r="B674" s="27" t="s">
        <v>791</v>
      </c>
      <c r="C674" s="27" t="s">
        <v>749</v>
      </c>
      <c r="D674" s="27" t="s">
        <v>687</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683</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936</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979</v>
      </c>
      <c r="B677" s="27" t="s">
        <v>810</v>
      </c>
      <c r="C677" s="27" t="s">
        <v>693</v>
      </c>
      <c r="D677" s="27" t="s">
        <v>687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694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828</v>
      </c>
      <c r="B679" s="27" t="s">
        <v>812</v>
      </c>
      <c r="C679" s="27" t="s">
        <v>749</v>
      </c>
      <c r="D679" s="27" t="s">
        <v>687</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682</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836</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980</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981</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732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833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733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915</v>
      </c>
      <c r="B687" s="27" t="s">
        <v>724</v>
      </c>
      <c r="C687" s="27" t="s">
        <v>736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703</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732</v>
      </c>
      <c r="B689" s="27" t="s">
        <v>864</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682</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708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958</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928</v>
      </c>
      <c r="B693" s="27" t="s">
        <v>843</v>
      </c>
      <c r="C693" s="27" t="s">
        <v>693</v>
      </c>
      <c r="D693" s="27" t="s">
        <v>687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732</v>
      </c>
      <c r="B694" s="27" t="s">
        <v>739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982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973</v>
      </c>
      <c r="B696" s="27" t="s">
        <v>728</v>
      </c>
      <c r="C696" s="27" t="s">
        <v>693</v>
      </c>
      <c r="D696" s="27" t="s">
        <v>687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694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828</v>
      </c>
      <c r="B698" s="27" t="s">
        <v>744</v>
      </c>
      <c r="C698" s="27" t="s">
        <v>749</v>
      </c>
      <c r="D698" s="27" t="s">
        <v>687</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682</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833</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983</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984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721</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683</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915</v>
      </c>
      <c r="B705" s="27" t="s">
        <v>843</v>
      </c>
      <c r="C705" s="27" t="s">
        <v>686</v>
      </c>
      <c r="D705" s="27" t="s">
        <v>687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985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986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683</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915</v>
      </c>
      <c r="B709" s="27" t="s">
        <v>728</v>
      </c>
      <c r="C709" s="27" t="s">
        <v>686</v>
      </c>
      <c r="D709" s="27" t="s">
        <v>687</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674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839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674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986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683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915</v>
      </c>
      <c r="B715" s="27" t="s">
        <v>728</v>
      </c>
      <c r="C715" s="27" t="s">
        <v>686</v>
      </c>
      <c r="D715" s="27" t="s">
        <v>687</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987</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698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row>
    <row r="719" spans="1:12">
      <c r="A719" s="20" t="s">
        <v>988</v>
      </c>
    </row>
    <row r="720" spans="1:12">
      <c r="A720" s="20" t="s">
        <v>989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830</v>
      </c>
      <c r="B721" s="27" t="s">
        <v>692</v>
      </c>
      <c r="C721" s="27" t="s">
        <v>749</v>
      </c>
      <c r="D721" s="27" t="s">
        <v>687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788</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990</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983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991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721</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683</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915</v>
      </c>
      <c r="B728" s="27" t="s">
        <v>696</v>
      </c>
      <c r="C728" s="27" t="s">
        <v>686</v>
      </c>
      <c r="D728" s="27" t="s">
        <v>687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992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698</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row>
    <row r="732" spans="1:12">
      <c r="A732" s="20" t="s">
        <v>993</v>
      </c>
    </row>
    <row r="733" spans="1:12">
      <c r="A733" s="20" t="s">
        <v>881</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682</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733</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994</v>
      </c>
      <c r="B736" s="27" t="s">
        <v>685</v>
      </c>
      <c r="C736" s="27" t="s">
        <v>693</v>
      </c>
      <c r="D736" s="27" t="s">
        <v>687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694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689</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995</v>
      </c>
      <c r="B739" s="27" t="s">
        <v>696</v>
      </c>
      <c r="C739" s="27" t="s">
        <v>736</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796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996</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733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997</v>
      </c>
      <c r="B743" s="27" t="s">
        <v>791</v>
      </c>
      <c r="C743" s="27" t="s">
        <v>736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732</v>
      </c>
      <c r="B744" s="27" t="s">
        <v>863</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833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998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698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row>
    <row r="749" spans="1:12">
      <c r="A749" s="20" t="s">
        <v>999</v>
      </c>
    </row>
    <row r="750" spans="1:12">
      <c r="A750" s="20" t="s">
        <v>786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683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1000</v>
      </c>
      <c r="B752" s="27" t="s">
        <v>724</v>
      </c>
      <c r="C752" s="27" t="s">
        <v>772</v>
      </c>
      <c r="D752" s="27" t="s">
        <v>687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997</v>
      </c>
      <c r="B753" s="27" t="s">
        <v>787</v>
      </c>
      <c r="C753" s="27" t="s">
        <v>686</v>
      </c>
      <c r="D753" s="27" t="s">
        <v>687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1001</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682</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828</v>
      </c>
      <c r="B756" s="27" t="s">
        <v>685</v>
      </c>
      <c r="C756" s="27" t="s">
        <v>749</v>
      </c>
      <c r="D756" s="27" t="s">
        <v>687</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694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1002</v>
      </c>
      <c r="B758" s="27" t="s">
        <v>696</v>
      </c>
      <c r="C758" s="27" t="s">
        <v>679</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1003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782</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794</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958</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1004</v>
      </c>
      <c r="B763" s="27" t="s">
        <v>692</v>
      </c>
      <c r="C763" s="27" t="s">
        <v>686</v>
      </c>
      <c r="D763" s="27" t="s">
        <v>687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732</v>
      </c>
      <c r="B764" s="27" t="s">
        <v>807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835</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830</v>
      </c>
      <c r="B766" s="27" t="s">
        <v>810</v>
      </c>
      <c r="C766" s="27" t="s">
        <v>749</v>
      </c>
      <c r="D766" s="27" t="s">
        <v>687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1005</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683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1006</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919</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1007</v>
      </c>
      <c r="B771" s="27" t="s">
        <v>821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698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row>
    <row r="774" spans="1:12">
      <c r="A774" s="20" t="s">
        <v>1008</v>
      </c>
    </row>
    <row r="775" spans="1:12">
      <c r="A775" s="20" t="s">
        <v>1009</v>
      </c>
      <c r="B775" s="27" t="s">
        <v>787</v>
      </c>
      <c r="C775" s="27" t="s">
        <v>749</v>
      </c>
      <c r="D775" s="27" t="s">
        <v>687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1010</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683</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1011</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683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1012</v>
      </c>
      <c r="B780" s="27" t="s">
        <v>791</v>
      </c>
      <c r="C780" s="27" t="s">
        <v>686</v>
      </c>
      <c r="D780" s="27" t="s">
        <v>687</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694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306</v>
      </c>
      <c r="B782" s="27" t="s">
        <v>843</v>
      </c>
      <c r="C782" s="27" t="s">
        <v>731</v>
      </c>
      <c r="D782" s="27" t="s">
        <v>687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732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936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794</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1013</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1014</v>
      </c>
      <c r="B787" s="27" t="s">
        <v>812</v>
      </c>
      <c r="C787" s="27" t="s">
        <v>899</v>
      </c>
      <c r="D787" s="27" t="s">
        <v>687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698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row>
    <row r="790" spans="1:12">
      <c r="A790" s="20" t="s">
        <v>1015</v>
      </c>
    </row>
    <row r="791" spans="1:12">
      <c r="A791" s="20" t="s">
        <v>1016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254</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774</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row>
    <row r="795" spans="1:12">
      <c r="A795" s="20" t="s">
        <v>699</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1017</v>
      </c>
    </row>
    <row r="797" spans="1:12">
      <c r="A797" s="20" t="s">
        <v>674</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1018</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148</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721</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760</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1019</v>
      </c>
      <c r="B802" s="27" t="s">
        <v>678</v>
      </c>
      <c r="C802" s="27" t="s">
        <v>716</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682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836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689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1020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729</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1021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674</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780</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row>
    <row r="812" spans="1:12">
      <c r="A812" s="20" t="s">
        <v>1022</v>
      </c>
    </row>
    <row r="813" spans="1:12">
      <c r="A813" s="20" t="s">
        <v>1023</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1024</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217</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1025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1026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1027</v>
      </c>
      <c r="B818" s="27" t="s">
        <v>810</v>
      </c>
      <c r="C818" s="27" t="s">
        <v>693</v>
      </c>
      <c r="D818" s="27" t="s">
        <v>687</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694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784</v>
      </c>
      <c r="B820" s="27" t="s">
        <v>812</v>
      </c>
      <c r="C820" s="27" t="s">
        <v>679</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998</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682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1028</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782</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676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683</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1029</v>
      </c>
      <c r="B827" s="27" t="s">
        <v>821</v>
      </c>
      <c r="C827" s="27" t="s">
        <v>686</v>
      </c>
      <c r="D827" s="27" t="s">
        <v>687</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1030</v>
      </c>
      <c r="B828" s="27" t="s">
        <v>843</v>
      </c>
      <c r="C828" s="27" t="s">
        <v>745</v>
      </c>
      <c r="D828" s="27" t="s">
        <v>687</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1031</v>
      </c>
      <c r="B829" s="27" t="s">
        <v>728</v>
      </c>
      <c r="C829" s="27" t="s">
        <v>745</v>
      </c>
      <c r="D829" s="27" t="s">
        <v>687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694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683</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953</v>
      </c>
      <c r="B832" s="27" t="s">
        <v>728</v>
      </c>
      <c r="C832" s="27" t="s">
        <v>745</v>
      </c>
      <c r="D832" s="27" t="s">
        <v>687</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682</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34</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782</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1032</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694</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306</v>
      </c>
      <c r="B838" s="27" t="s">
        <v>843</v>
      </c>
      <c r="C838" s="27" t="s">
        <v>731</v>
      </c>
      <c r="D838" s="27" t="s">
        <v>687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732</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1010</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683</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512</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794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760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1033</v>
      </c>
      <c r="B845" s="27" t="s">
        <v>843</v>
      </c>
      <c r="C845" s="27" t="s">
        <v>686</v>
      </c>
      <c r="D845" s="27" t="s">
        <v>687</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780</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row>
    <row r="848" spans="1:12">
      <c r="A848" s="20" t="s">
        <v>1034</v>
      </c>
    </row>
    <row r="849" spans="1:12">
      <c r="A849" s="20" t="s">
        <v>827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694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1002</v>
      </c>
      <c r="B851" s="27" t="s">
        <v>678</v>
      </c>
      <c r="C851" s="27" t="s">
        <v>679</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870</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774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958</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1035</v>
      </c>
      <c r="B855" s="27" t="s">
        <v>787</v>
      </c>
      <c r="C855" s="27" t="s">
        <v>686</v>
      </c>
      <c r="D855" s="27" t="s">
        <v>687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1036</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1037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1038</v>
      </c>
      <c r="B858" s="27" t="s">
        <v>692</v>
      </c>
      <c r="C858" s="27" t="s">
        <v>693</v>
      </c>
      <c r="D858" s="27" t="s">
        <v>687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694</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1039</v>
      </c>
      <c r="B860" s="27" t="s">
        <v>696</v>
      </c>
      <c r="C860" s="27" t="s">
        <v>693</v>
      </c>
      <c r="D860" s="27" t="s">
        <v>687</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794</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934</v>
      </c>
      <c r="B862" s="27" t="s">
        <v>724</v>
      </c>
      <c r="C862" s="27" t="s">
        <v>679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698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row>
    <row r="865" spans="1:12">
      <c r="A865" s="20" t="s">
        <v>1040</v>
      </c>
    </row>
    <row r="866" spans="1:12">
      <c r="A866" s="20" t="s">
        <v>1041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1039</v>
      </c>
      <c r="B867" s="27" t="s">
        <v>787</v>
      </c>
      <c r="C867" s="27" t="s">
        <v>899</v>
      </c>
      <c r="D867" s="27" t="s">
        <v>687</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794</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934</v>
      </c>
      <c r="B869" s="27" t="s">
        <v>724</v>
      </c>
      <c r="C869" s="27" t="s">
        <v>679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1042</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683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217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1043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1044</v>
      </c>
      <c r="B874" s="27" t="s">
        <v>810</v>
      </c>
      <c r="C874" s="27" t="s">
        <v>749</v>
      </c>
      <c r="D874" s="27" t="s">
        <v>687</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698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row>
    <row r="877" spans="1:12">
      <c r="A877" s="20" t="s">
        <v>1045</v>
      </c>
    </row>
    <row r="878" spans="1:12">
      <c r="A878" s="20" t="s">
        <v>1046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1047</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1048</v>
      </c>
      <c r="B880" s="27" t="s">
        <v>678</v>
      </c>
      <c r="C880" s="27" t="s">
        <v>1049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682</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1050</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928</v>
      </c>
      <c r="B883" s="27" t="s">
        <v>685</v>
      </c>
      <c r="C883" s="27" t="s">
        <v>899</v>
      </c>
      <c r="D883" s="27" t="s">
        <v>687</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1036</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1051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683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1052</v>
      </c>
      <c r="B887" s="27" t="s">
        <v>692</v>
      </c>
      <c r="C887" s="27" t="s">
        <v>686</v>
      </c>
      <c r="D887" s="27" t="s">
        <v>687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676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683</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1053</v>
      </c>
      <c r="B890" s="27" t="s">
        <v>678</v>
      </c>
      <c r="C890" s="27" t="s">
        <v>686</v>
      </c>
      <c r="D890" s="27" t="s">
        <v>687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698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row>
    <row r="893" spans="1:12">
      <c r="A893" s="20" t="s">
        <v>699</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1054</v>
      </c>
    </row>
    <row r="895" spans="1:12">
      <c r="A895" s="20" t="s">
        <v>770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1055</v>
      </c>
      <c r="B896" s="27" t="s">
        <v>685</v>
      </c>
      <c r="C896" s="27" t="s">
        <v>693</v>
      </c>
      <c r="D896" s="27" t="s">
        <v>687</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694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958</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928</v>
      </c>
      <c r="B899" s="27" t="s">
        <v>696</v>
      </c>
      <c r="C899" s="27" t="s">
        <v>686</v>
      </c>
      <c r="D899" s="27" t="s">
        <v>687</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674</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1056</v>
      </c>
      <c r="B901" s="27" t="s">
        <v>724</v>
      </c>
      <c r="C901" s="27" t="s">
        <v>679</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674</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1037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1038</v>
      </c>
      <c r="B904" s="27" t="s">
        <v>678</v>
      </c>
      <c r="C904" s="27" t="s">
        <v>693</v>
      </c>
      <c r="D904" s="27" t="s">
        <v>687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694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1039</v>
      </c>
      <c r="B906" s="27" t="s">
        <v>678</v>
      </c>
      <c r="C906" s="27" t="s">
        <v>679</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1057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698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699</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1058</v>
      </c>
    </row>
    <row r="912" spans="1:12">
      <c r="A912" s="20" t="s">
        <v>1041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1039</v>
      </c>
      <c r="B913" s="27" t="s">
        <v>678</v>
      </c>
      <c r="C913" s="27" t="s">
        <v>899</v>
      </c>
      <c r="D913" s="27" t="s">
        <v>687</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1057</v>
      </c>
      <c r="B914" s="27" t="s">
        <v>787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1059</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732</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937</v>
      </c>
      <c r="B917" s="27" t="s">
        <v>807</v>
      </c>
      <c r="C917" s="27" t="s">
        <v>749</v>
      </c>
      <c r="D917" s="27" t="s">
        <v>687</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1060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676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306</v>
      </c>
      <c r="B920" s="27" t="s">
        <v>843</v>
      </c>
      <c r="C920" s="27" t="s">
        <v>731</v>
      </c>
      <c r="D920" s="27" t="s">
        <v>687</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732</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1061</v>
      </c>
      <c r="B922" s="27" t="s">
        <v>863</v>
      </c>
      <c r="C922" s="27" t="s">
        <v>749</v>
      </c>
      <c r="D922" s="27" t="s">
        <v>687</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1062</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683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1063</v>
      </c>
      <c r="B925" s="27" t="s">
        <v>821</v>
      </c>
      <c r="C925" s="27" t="s">
        <v>693</v>
      </c>
      <c r="D925" s="27" t="s">
        <v>687</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1064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676</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306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856</v>
      </c>
      <c r="B929" s="27" t="s">
        <v>843</v>
      </c>
      <c r="C929" s="27" t="s">
        <v>686</v>
      </c>
      <c r="D929" s="27" t="s">
        <v>687</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682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703</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1065</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674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1056</v>
      </c>
      <c r="B934" s="27" t="s">
        <v>1066</v>
      </c>
      <c r="C934" s="27" t="s">
        <v>679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674</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1067</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694</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162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683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1000</v>
      </c>
      <c r="B940" s="27" t="s">
        <v>744</v>
      </c>
      <c r="C940" s="27" t="s">
        <v>772</v>
      </c>
      <c r="D940" s="27" t="s">
        <v>687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784</v>
      </c>
      <c r="B941" s="27" t="s">
        <v>742</v>
      </c>
      <c r="C941" s="27" t="s">
        <v>686</v>
      </c>
      <c r="D941" s="27" t="s">
        <v>687</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729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1068</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698</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row>
    <row r="946" spans="1:12">
      <c r="A946" s="20" t="s">
        <v>1069</v>
      </c>
    </row>
    <row r="947" spans="1:12">
      <c r="A947" s="20" t="s">
        <v>827</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779</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1010</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1013</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771</v>
      </c>
      <c r="B951" s="27" t="s">
        <v>696</v>
      </c>
      <c r="C951" s="27" t="s">
        <v>772</v>
      </c>
      <c r="D951" s="27" t="s">
        <v>687</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994</v>
      </c>
      <c r="B952" s="27" t="s">
        <v>685</v>
      </c>
      <c r="C952" s="27" t="s">
        <v>899</v>
      </c>
      <c r="D952" s="27" t="s">
        <v>687</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683</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137</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782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794</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1070</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1004</v>
      </c>
      <c r="B958" s="27" t="s">
        <v>791</v>
      </c>
      <c r="C958" s="27" t="s">
        <v>899</v>
      </c>
      <c r="D958" s="27" t="s">
        <v>687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694</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784</v>
      </c>
      <c r="B960" s="27" t="s">
        <v>724</v>
      </c>
      <c r="C960" s="27" t="s">
        <v>693</v>
      </c>
      <c r="D960" s="27" t="s">
        <v>687</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694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683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997</v>
      </c>
      <c r="B963" s="27" t="s">
        <v>812</v>
      </c>
      <c r="C963" s="27" t="s">
        <v>686</v>
      </c>
      <c r="D963" s="27" t="s">
        <v>687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998</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698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row>
    <row r="967" spans="1:12">
      <c r="A967" s="20" t="s">
        <v>1071</v>
      </c>
    </row>
    <row r="968" spans="1:12">
      <c r="A968" s="20" t="s">
        <v>827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747</v>
      </c>
      <c r="B969" s="27" t="s">
        <v>685</v>
      </c>
      <c r="C969" s="27" t="s">
        <v>749</v>
      </c>
      <c r="D969" s="27" t="s">
        <v>687</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870</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1072</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1073</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1074</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1075</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774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733</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873</v>
      </c>
      <c r="B977" s="27" t="s">
        <v>692</v>
      </c>
      <c r="C977" s="27" t="s">
        <v>736</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732</v>
      </c>
      <c r="B978" s="27" t="s">
        <v>807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782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1076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1077</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794</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733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1014</v>
      </c>
      <c r="B984" s="27" t="s">
        <v>810</v>
      </c>
      <c r="C984" s="27" t="s">
        <v>736</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732</v>
      </c>
      <c r="B985" s="27" t="s">
        <v>864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1078</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725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1079</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698</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row>
    <row r="991" spans="1:12">
      <c r="A991" s="20" t="s">
        <v>1080</v>
      </c>
    </row>
    <row r="992" spans="1:12">
      <c r="A992" s="20" t="s">
        <v>827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1081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830</v>
      </c>
      <c r="B994" s="27" t="s">
        <v>692</v>
      </c>
      <c r="C994" s="27" t="s">
        <v>749</v>
      </c>
      <c r="D994" s="27" t="s">
        <v>687</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683</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1082</v>
      </c>
      <c r="B996" s="27" t="s">
        <v>685</v>
      </c>
      <c r="C996" s="27" t="s">
        <v>686</v>
      </c>
      <c r="D996" s="27" t="s">
        <v>687</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694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732</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1083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1084</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1085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1086</v>
      </c>
      <c r="B1002" s="27" t="s">
        <v>810</v>
      </c>
      <c r="C1002" s="27" t="s">
        <v>693</v>
      </c>
      <c r="D1002" s="27" t="s">
        <v>687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694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784</v>
      </c>
      <c r="B1004" s="27" t="s">
        <v>812</v>
      </c>
      <c r="C1004" s="27" t="s">
        <v>679</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698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row>
    <row r="1007" spans="1:12">
      <c r="A1007" s="20" t="s">
        <v>1087</v>
      </c>
    </row>
    <row r="1008" spans="1:12">
      <c r="A1008" s="20" t="s">
        <v>905</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1088</v>
      </c>
      <c r="B1009" s="27" t="s">
        <v>692</v>
      </c>
      <c r="C1009" s="27" t="s">
        <v>679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1089</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682</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732</v>
      </c>
      <c r="B1012" s="27" t="s">
        <v>807</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1037</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1090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1091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694</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1039</v>
      </c>
      <c r="B1017" s="27" t="s">
        <v>724</v>
      </c>
      <c r="C1017" s="27" t="s">
        <v>693</v>
      </c>
      <c r="D1017" s="27" t="s">
        <v>687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708</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851</v>
      </c>
      <c r="B1019" s="27" t="s">
        <v>812</v>
      </c>
      <c r="C1019" s="27" t="s">
        <v>679</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698</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row>
    <row r="1022" spans="1:12">
      <c r="A1022" s="20" t="s">
        <v>1092</v>
      </c>
    </row>
    <row r="1023" spans="1:12">
      <c r="A1023" s="20" t="s">
        <v>1093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1094</v>
      </c>
      <c r="B1024" s="27" t="s">
        <v>678</v>
      </c>
      <c r="C1024" s="27" t="s">
        <v>693</v>
      </c>
      <c r="D1024" s="27" t="s">
        <v>687</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721</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1095</v>
      </c>
      <c r="B1026" s="27" t="s">
        <v>678</v>
      </c>
      <c r="C1026" s="27" t="s">
        <v>679</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682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1096</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1097</v>
      </c>
      <c r="B1029" s="27" t="s">
        <v>696</v>
      </c>
      <c r="C1029" s="27" t="s">
        <v>679</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682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1098</v>
      </c>
      <c r="B1031" s="27" t="s">
        <v>696</v>
      </c>
      <c r="C1031" s="27" t="s">
        <v>679</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682</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1099</v>
      </c>
      <c r="B1033" s="27" t="s">
        <v>696</v>
      </c>
      <c r="C1033" s="27" t="s">
        <v>679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698</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row>
    <row r="1036" spans="1:12">
      <c r="A1036" s="20" t="s">
        <v>1100</v>
      </c>
    </row>
    <row r="1037" spans="1:12">
      <c r="A1037" s="20" t="s">
        <v>1093</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1094</v>
      </c>
      <c r="B1038" s="27" t="s">
        <v>678</v>
      </c>
      <c r="C1038" s="27" t="s">
        <v>679</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732</v>
      </c>
      <c r="B1039" s="27" t="s">
        <v>787</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849</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676</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1101</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794</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760</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1039</v>
      </c>
      <c r="B1045" s="27" t="s">
        <v>696</v>
      </c>
      <c r="C1045" s="27" t="s">
        <v>686</v>
      </c>
      <c r="D1045" s="27" t="s">
        <v>687</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703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794</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760</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851</v>
      </c>
      <c r="B1049" s="27" t="s">
        <v>696</v>
      </c>
      <c r="C1049" s="27" t="s">
        <v>686</v>
      </c>
      <c r="D1049" s="27" t="s">
        <v>687</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698</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row>
    <row r="1052" spans="1:12">
      <c r="A1052" s="20" t="s">
        <v>1102</v>
      </c>
    </row>
    <row r="1053" spans="1:12">
      <c r="A1053" s="20" t="s">
        <v>1103</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1104</v>
      </c>
      <c r="B1054" s="27" t="s">
        <v>787</v>
      </c>
      <c r="C1054" s="27" t="s">
        <v>716</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694</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937</v>
      </c>
      <c r="B1056" s="27" t="s">
        <v>724</v>
      </c>
      <c r="C1056" s="27" t="s">
        <v>749</v>
      </c>
      <c r="D1056" s="27" t="s">
        <v>687</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1105</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725</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1106</v>
      </c>
      <c r="B1059" s="27" t="s">
        <v>696</v>
      </c>
      <c r="C1059" s="27" t="s">
        <v>679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682</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717</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1083</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853</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1107</v>
      </c>
      <c r="B1064" s="27" t="s">
        <v>692</v>
      </c>
      <c r="C1064" s="27" t="s">
        <v>1049</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708</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958</v>
      </c>
      <c r="B1066" s="27" t="s">
        <v>810</v>
      </c>
      <c r="C1066" s="27" t="s">
        <v>749</v>
      </c>
      <c r="D1066" s="27" t="s">
        <v>687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1108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698</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row>
    <row r="1070" spans="1:12">
      <c r="A1070" s="20" t="s">
        <v>1109</v>
      </c>
    </row>
    <row r="1071" spans="1:12">
      <c r="A1071" s="20" t="s">
        <v>1110</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1111</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732</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740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729</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1112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676</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760</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761</v>
      </c>
      <c r="B1079" s="27" t="s">
        <v>724</v>
      </c>
      <c r="C1079" s="27" t="s">
        <v>745</v>
      </c>
      <c r="D1079" s="27" t="s">
        <v>687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1113</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717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1114</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306</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1115</v>
      </c>
      <c r="B1084" s="27" t="s">
        <v>843</v>
      </c>
      <c r="C1084" s="27" t="s">
        <v>772</v>
      </c>
      <c r="D1084" s="27" t="s">
        <v>687</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1116</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1117</v>
      </c>
      <c r="B1086" s="27" t="s">
        <v>863</v>
      </c>
      <c r="C1086" s="27" t="s">
        <v>686</v>
      </c>
      <c r="D1086" s="27" t="s">
        <v>687</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1113</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725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733</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1118</v>
      </c>
      <c r="B1090" s="27" t="s">
        <v>724</v>
      </c>
      <c r="C1090" s="27" t="s">
        <v>693</v>
      </c>
      <c r="D1090" s="27" t="s">
        <v>687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694</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831</v>
      </c>
      <c r="B1092" s="27" t="s">
        <v>812</v>
      </c>
      <c r="C1092" s="27" t="s">
        <v>679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698</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row>
    <row r="1095" spans="1:12">
      <c r="A1095" s="20" t="s">
        <v>1119</v>
      </c>
    </row>
    <row r="1096" spans="1:12">
      <c r="A1096" s="20" t="s">
        <v>1120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682</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717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849</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1121</v>
      </c>
      <c r="B1100" s="27" t="s">
        <v>692</v>
      </c>
      <c r="C1100" s="27" t="s">
        <v>716</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683</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217</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1122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732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683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1123</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1124</v>
      </c>
      <c r="B1107" s="27" t="s">
        <v>821</v>
      </c>
      <c r="C1107" s="27" t="s">
        <v>693</v>
      </c>
      <c r="D1107" s="27" t="s">
        <v>687</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694</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851</v>
      </c>
      <c r="B1109" s="27" t="s">
        <v>843</v>
      </c>
      <c r="C1109" s="27" t="s">
        <v>693</v>
      </c>
      <c r="D1109" s="27" t="s">
        <v>687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694</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1125</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703</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1126</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1127</v>
      </c>
      <c r="B1114" s="27" t="s">
        <v>728</v>
      </c>
      <c r="C1114" s="27" t="s">
        <v>679</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794</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1128</v>
      </c>
      <c r="B1116" s="27" t="s">
        <v>843</v>
      </c>
      <c r="C1116" s="27" t="s">
        <v>679</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1129</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703</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1130</v>
      </c>
      <c r="B1119" s="27" t="s">
        <v>728</v>
      </c>
      <c r="C1119" s="27" t="s">
        <v>679</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1131</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698</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row>
    <row r="1123" spans="1:12">
      <c r="A1123" s="20" t="s">
        <v>1132</v>
      </c>
    </row>
    <row r="1124" spans="1:12">
      <c r="A1124" s="20" t="s">
        <v>1133</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1083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1134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1088</v>
      </c>
      <c r="B1127" s="27" t="s">
        <v>692</v>
      </c>
      <c r="C1127" s="27" t="s">
        <v>1049</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732</v>
      </c>
      <c r="B1128" s="27" t="s">
        <v>821</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849</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694</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1135</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794</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760</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1136</v>
      </c>
      <c r="B1134" s="27" t="s">
        <v>843</v>
      </c>
      <c r="C1134" s="27" t="s">
        <v>772</v>
      </c>
      <c r="D1134" s="27" t="s">
        <v>687</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902</v>
      </c>
      <c r="B1135" s="27" t="s">
        <v>812</v>
      </c>
      <c r="C1135" s="27" t="s">
        <v>686</v>
      </c>
      <c r="D1135" s="27" t="s">
        <v>687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698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row>
    <row r="1138" spans="1:12">
      <c r="A1138" s="20" t="s">
        <v>1137</v>
      </c>
    </row>
    <row r="1139" spans="1:12">
      <c r="A1139" s="20" t="s">
        <v>827</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747</v>
      </c>
      <c r="B1140" s="27" t="s">
        <v>685</v>
      </c>
      <c r="C1140" s="27" t="s">
        <v>749</v>
      </c>
      <c r="D1140" s="27" t="s">
        <v>687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1138</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933</v>
      </c>
      <c r="B1142" s="27" t="s">
        <v>692</v>
      </c>
      <c r="C1142" s="27" t="s">
        <v>749</v>
      </c>
      <c r="D1142" s="27" t="s">
        <v>687</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1088</v>
      </c>
      <c r="B1143" s="27" t="s">
        <v>692</v>
      </c>
      <c r="C1143" s="27" t="s">
        <v>679</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1139</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682</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1140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306</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1141</v>
      </c>
      <c r="B1148" s="27" t="s">
        <v>787</v>
      </c>
      <c r="C1148" s="27" t="s">
        <v>693</v>
      </c>
      <c r="D1148" s="27" t="s">
        <v>687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694</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902</v>
      </c>
      <c r="B1150" s="27" t="s">
        <v>724</v>
      </c>
      <c r="C1150" s="27" t="s">
        <v>679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740</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683</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1142</v>
      </c>
      <c r="B1153" s="27" t="s">
        <v>678</v>
      </c>
      <c r="C1153" s="27" t="s">
        <v>686</v>
      </c>
      <c r="D1153" s="27" t="s">
        <v>687</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1143</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698</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row>
    <row r="1157" spans="1:12">
      <c r="A1157" s="20" t="s">
        <v>1144</v>
      </c>
    </row>
    <row r="1158" spans="1:12">
      <c r="A1158" s="20" t="s">
        <v>1093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1088</v>
      </c>
      <c r="B1159" s="27" t="s">
        <v>678</v>
      </c>
      <c r="C1159" s="27" t="s">
        <v>679</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732</v>
      </c>
      <c r="B1160" s="27" t="s">
        <v>787</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1037</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1145</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683</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760</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1136</v>
      </c>
      <c r="B1165" s="27" t="s">
        <v>724</v>
      </c>
      <c r="C1165" s="27" t="s">
        <v>772</v>
      </c>
      <c r="D1165" s="27" t="s">
        <v>687</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1039</v>
      </c>
      <c r="B1166" s="27" t="s">
        <v>696</v>
      </c>
      <c r="C1166" s="27" t="s">
        <v>686</v>
      </c>
      <c r="D1166" s="27" t="s">
        <v>687</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703</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732</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849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694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162</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430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1146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683</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1147</v>
      </c>
      <c r="B1175" s="27" t="s">
        <v>821</v>
      </c>
      <c r="C1175" s="27" t="s">
        <v>686</v>
      </c>
      <c r="D1175" s="27" t="s">
        <v>687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1044</v>
      </c>
      <c r="B1176" s="27" t="s">
        <v>843</v>
      </c>
      <c r="C1176" s="27" t="s">
        <v>749</v>
      </c>
      <c r="D1176" s="27" t="s">
        <v>687</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676</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760</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902</v>
      </c>
      <c r="B1179" s="27" t="s">
        <v>812</v>
      </c>
      <c r="C1179" s="27" t="s">
        <v>686</v>
      </c>
      <c r="D1179" s="27" t="s">
        <v>687</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698</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row>
    <row r="1182" spans="1:12">
      <c r="A1182" s="20" t="s">
        <v>1148</v>
      </c>
    </row>
    <row r="1183" spans="1:12">
      <c r="A1183" s="20" t="s">
        <v>1149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1088</v>
      </c>
      <c r="B1184" s="27" t="s">
        <v>685</v>
      </c>
      <c r="C1184" s="27" t="s">
        <v>899</v>
      </c>
      <c r="D1184" s="27" t="s">
        <v>687</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1139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682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958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928</v>
      </c>
      <c r="B1188" s="27" t="s">
        <v>696</v>
      </c>
      <c r="C1188" s="27" t="s">
        <v>686</v>
      </c>
      <c r="D1188" s="27" t="s">
        <v>687</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1150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1151</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1152</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1108</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698</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row>
    <row r="1195" spans="1:12">
      <c r="A1195" s="20" t="s">
        <v>1153</v>
      </c>
    </row>
    <row r="1196" spans="1:12">
      <c r="A1196" s="20" t="s">
        <v>1154</v>
      </c>
      <c r="B1196" s="27" t="s">
        <v>685</v>
      </c>
      <c r="C1196" s="27" t="s">
        <v>749</v>
      </c>
      <c r="D1196" s="27" t="s">
        <v>687</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814</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497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708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306</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1155</v>
      </c>
      <c r="B1201" s="27" t="s">
        <v>696</v>
      </c>
      <c r="C1201" s="27" t="s">
        <v>686</v>
      </c>
      <c r="D1201" s="27" t="s">
        <v>687</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1156</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694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306</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1157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958</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928</v>
      </c>
      <c r="B1207" s="27" t="s">
        <v>787</v>
      </c>
      <c r="C1207" s="27" t="s">
        <v>686</v>
      </c>
      <c r="D1207" s="27" t="s">
        <v>687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732</v>
      </c>
      <c r="B1208" s="27" t="s">
        <v>863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1067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1050</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1088</v>
      </c>
      <c r="B1211" s="27" t="s">
        <v>821</v>
      </c>
      <c r="C1211" s="27" t="s">
        <v>899</v>
      </c>
      <c r="D1211" s="27" t="s">
        <v>687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1158</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683</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689</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1159</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1160</v>
      </c>
      <c r="B1216" s="27" t="s">
        <v>791</v>
      </c>
      <c r="C1216" s="27" t="s">
        <v>693</v>
      </c>
      <c r="D1216" s="27" t="s">
        <v>687</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794</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937</v>
      </c>
      <c r="B1218" s="27" t="s">
        <v>724</v>
      </c>
      <c r="C1218" s="27" t="s">
        <v>749</v>
      </c>
      <c r="D1218" s="27" t="s">
        <v>687</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698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1161</v>
      </c>
    </row>
    <row r="1222" spans="1:12">
      <c r="A1222" s="20" t="s">
        <v>989</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830</v>
      </c>
      <c r="B1223" s="27" t="s">
        <v>692</v>
      </c>
      <c r="C1223" s="27" t="s">
        <v>749</v>
      </c>
      <c r="D1223" s="27" t="s">
        <v>687</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732</v>
      </c>
      <c r="B1224" s="27" t="s">
        <v>807</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1162</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751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1163</v>
      </c>
      <c r="B1227" s="27" t="s">
        <v>810</v>
      </c>
      <c r="C1227" s="27" t="s">
        <v>693</v>
      </c>
      <c r="D1227" s="27" t="s">
        <v>687</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694</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1164</v>
      </c>
      <c r="B1229" s="27" t="s">
        <v>812</v>
      </c>
      <c r="C1229" s="27" t="s">
        <v>679</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732</v>
      </c>
      <c r="B1230" s="27" t="s">
        <v>864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1165</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694</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512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698</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1166</v>
      </c>
    </row>
    <row r="1237" spans="1:12">
      <c r="A1237" s="20" t="s">
        <v>905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683</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1167</v>
      </c>
      <c r="B1239" s="27" t="s">
        <v>692</v>
      </c>
      <c r="C1239" s="27" t="s">
        <v>686</v>
      </c>
      <c r="D1239" s="27" t="s">
        <v>687</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682</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683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1164</v>
      </c>
      <c r="B1242" s="27" t="s">
        <v>696</v>
      </c>
      <c r="C1242" s="27" t="s">
        <v>686</v>
      </c>
      <c r="D1242" s="27" t="s">
        <v>687</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1168</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703</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683</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1164</v>
      </c>
      <c r="B1246" s="27" t="s">
        <v>696</v>
      </c>
      <c r="C1246" s="27" t="s">
        <v>686</v>
      </c>
      <c r="D1246" s="27" t="s">
        <v>687</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1169</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698</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row>
    <row r="1250" spans="1:12">
      <c r="A1250" s="20" t="s">
        <v>1170</v>
      </c>
    </row>
    <row r="1251" spans="1:12">
      <c r="A1251" s="20" t="s">
        <v>827</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937</v>
      </c>
      <c r="B1252" s="27" t="s">
        <v>685</v>
      </c>
      <c r="C1252" s="27" t="s">
        <v>749</v>
      </c>
      <c r="D1252" s="27" t="s">
        <v>687</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1171</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1151</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1172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698</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row>
    <row r="1258" spans="1:12">
      <c r="A1258" s="20" t="s">
        <v>1173</v>
      </c>
    </row>
    <row r="1259" spans="1:12">
      <c r="A1259" s="20" t="s">
        <v>1174</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1175</v>
      </c>
      <c r="B1260" s="27" t="s">
        <v>678</v>
      </c>
      <c r="C1260" s="27" t="s">
        <v>679</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682</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958</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928</v>
      </c>
      <c r="B1263" s="27" t="s">
        <v>685</v>
      </c>
      <c r="C1263" s="27" t="s">
        <v>693</v>
      </c>
      <c r="D1263" s="27" t="s">
        <v>687</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732</v>
      </c>
      <c r="B1264" s="27" t="s">
        <v>807</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1176</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676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897</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1177</v>
      </c>
      <c r="B1268" s="27" t="s">
        <v>696</v>
      </c>
      <c r="C1268" s="27" t="s">
        <v>899</v>
      </c>
      <c r="D1268" s="27" t="s">
        <v>687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1037</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928</v>
      </c>
      <c r="B1270" s="27" t="s">
        <v>678</v>
      </c>
      <c r="C1270" s="27" t="s">
        <v>693</v>
      </c>
      <c r="D1270" s="27" t="s">
        <v>687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1178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1140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782</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1179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721</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782</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760</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1039</v>
      </c>
      <c r="B1278" s="27" t="s">
        <v>807</v>
      </c>
      <c r="C1278" s="27" t="s">
        <v>686</v>
      </c>
      <c r="D1278" s="27" t="s">
        <v>687</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717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958</v>
      </c>
      <c r="B1280" s="27" t="s">
        <v>810</v>
      </c>
      <c r="C1280" s="27" t="s">
        <v>749</v>
      </c>
      <c r="D1280" s="27" t="s">
        <v>687</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1180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682</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430</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306</v>
      </c>
      <c r="B1284" s="27" t="s">
        <v>787</v>
      </c>
      <c r="C1284" s="27" t="s">
        <v>731</v>
      </c>
      <c r="D1284" s="27" t="s">
        <v>687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732</v>
      </c>
      <c r="B1285" s="27" t="s">
        <v>863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1084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1181</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740</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732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760</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1039</v>
      </c>
      <c r="B1291" s="27" t="s">
        <v>807</v>
      </c>
      <c r="C1291" s="27" t="s">
        <v>686</v>
      </c>
      <c r="D1291" s="27" t="s">
        <v>687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717</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958</v>
      </c>
      <c r="B1293" s="27" t="s">
        <v>810</v>
      </c>
      <c r="C1293" s="27" t="s">
        <v>749</v>
      </c>
      <c r="D1293" s="27" t="s">
        <v>687</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1182</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698</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row>
    <row r="1297" spans="1:12">
      <c r="A1297" s="20" t="s">
        <v>1183</v>
      </c>
    </row>
    <row r="1298" spans="1:12">
      <c r="A1298" s="20" t="s">
        <v>12</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848</v>
      </c>
      <c r="B1299" s="27" t="s">
        <v>685</v>
      </c>
      <c r="C1299" s="27" t="s">
        <v>686</v>
      </c>
      <c r="D1299" s="27" t="s">
        <v>687</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740</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727</v>
      </c>
      <c r="B1301" s="27" t="s">
        <v>678</v>
      </c>
      <c r="C1301" s="27" t="s">
        <v>716</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732</v>
      </c>
      <c r="B1302" s="27" t="s">
        <v>787</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1184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1185</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1186</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676</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853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1187</v>
      </c>
      <c r="B1308" s="27" t="s">
        <v>696</v>
      </c>
      <c r="C1308" s="27" t="s">
        <v>693</v>
      </c>
      <c r="D1308" s="27" t="s">
        <v>687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1188</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689</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170</v>
      </c>
      <c r="B1311" s="27" t="s">
        <v>724</v>
      </c>
      <c r="C1311" s="27" t="s">
        <v>736</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703</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689</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379</v>
      </c>
      <c r="B1314" s="27" t="s">
        <v>812</v>
      </c>
      <c r="C1314" s="27" t="s">
        <v>736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698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row>
    <row r="1317" spans="1:12">
      <c r="A1317" s="20" t="s">
        <v>1189</v>
      </c>
    </row>
    <row r="1318" spans="1:12">
      <c r="A1318" s="20" t="s">
        <v>824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683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1164</v>
      </c>
      <c r="B1320" s="27" t="s">
        <v>685</v>
      </c>
      <c r="C1320" s="27" t="s">
        <v>686</v>
      </c>
      <c r="D1320" s="27" t="s">
        <v>687</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740</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727</v>
      </c>
      <c r="B1322" s="27" t="s">
        <v>678</v>
      </c>
      <c r="C1322" s="27" t="s">
        <v>716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732</v>
      </c>
      <c r="B1323" s="27" t="s">
        <v>787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1190</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1191</v>
      </c>
      <c r="B1325" s="27" t="s">
        <v>791</v>
      </c>
      <c r="C1325" s="27" t="s">
        <v>679</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698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row>
    <row r="1328" spans="1:12">
      <c r="A1328" s="20" t="s">
        <v>1192</v>
      </c>
    </row>
    <row r="1329" spans="1:12">
      <c r="A1329" s="20" t="s">
        <v>1193</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1151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1191</v>
      </c>
      <c r="B1331" s="27" t="s">
        <v>678</v>
      </c>
      <c r="C1331" s="27" t="s">
        <v>679</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698</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row>
    <row r="1334" spans="1:12">
      <c r="A1334" s="20" t="s">
        <v>1194</v>
      </c>
    </row>
    <row r="1335" spans="1:12">
      <c r="A1335" s="20" t="s">
        <v>1195</v>
      </c>
      <c r="B1335" s="27" t="s">
        <v>685</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694</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760</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1033</v>
      </c>
      <c r="B1338" s="27" t="s">
        <v>696</v>
      </c>
      <c r="C1338" s="27" t="s">
        <v>686</v>
      </c>
      <c r="D1338" s="27" t="s">
        <v>687</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732</v>
      </c>
      <c r="B1339" s="27" t="s">
        <v>821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1196</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1197</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689</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1198</v>
      </c>
      <c r="B1343" s="27" t="s">
        <v>678</v>
      </c>
      <c r="C1343" s="27" t="s">
        <v>736</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1199</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1200</v>
      </c>
      <c r="B1345" s="27" t="s">
        <v>791</v>
      </c>
      <c r="C1345" s="27" t="s">
        <v>745</v>
      </c>
      <c r="D1345" s="27" t="s">
        <v>687</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1201</v>
      </c>
      <c r="B1346" s="27" t="s">
        <v>724</v>
      </c>
      <c r="C1346" s="27" t="s">
        <v>745</v>
      </c>
      <c r="D1346" s="27" t="s">
        <v>687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698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1202</v>
      </c>
    </row>
    <row r="1350" spans="1:12">
      <c r="A1350" s="20" t="s">
        <v>786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1203</v>
      </c>
      <c r="B1351" s="27" t="s">
        <v>787</v>
      </c>
      <c r="C1351" s="27" t="s">
        <v>749</v>
      </c>
      <c r="D1351" s="27" t="s">
        <v>687</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1001</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682</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1197</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1204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794</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1205</v>
      </c>
      <c r="B1357" s="27" t="s">
        <v>678</v>
      </c>
      <c r="C1357" s="27" t="s">
        <v>679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1206</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682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733</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734</v>
      </c>
      <c r="B1361" s="27" t="s">
        <v>696</v>
      </c>
      <c r="C1361" s="27" t="s">
        <v>736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1207</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1208</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682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703</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1209</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683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760</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1039</v>
      </c>
      <c r="B1369" s="27" t="s">
        <v>791</v>
      </c>
      <c r="C1369" s="27" t="s">
        <v>686</v>
      </c>
      <c r="D1369" s="27" t="s">
        <v>687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732</v>
      </c>
      <c r="B1370" s="27" t="s">
        <v>821</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1203</v>
      </c>
      <c r="B1371" s="27" t="s">
        <v>863</v>
      </c>
      <c r="C1371" s="27" t="s">
        <v>749</v>
      </c>
      <c r="D1371" s="27" t="s">
        <v>687</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1210</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1211</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682</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1210</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1212</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682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717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1213</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1214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1215</v>
      </c>
      <c r="B1381" s="27" t="s">
        <v>791</v>
      </c>
      <c r="C1381" s="27" t="s">
        <v>754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1216</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682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703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872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1171</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760</v>
      </c>
      <c r="B1387" s="27" t="s">
        <v>810</v>
      </c>
      <c r="C1387" s="27" t="s">
        <v>749</v>
      </c>
      <c r="D1387" s="27" t="s">
        <v>687</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1217</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1218</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698</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row>
    <row r="1392" spans="1:12">
      <c r="A1392" s="20" t="s">
        <v>1219</v>
      </c>
    </row>
    <row r="1393" spans="1:12">
      <c r="A1393" s="20" t="s">
        <v>1220</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933</v>
      </c>
      <c r="B1394" s="27" t="s">
        <v>692</v>
      </c>
      <c r="C1394" s="27" t="s">
        <v>749</v>
      </c>
      <c r="D1394" s="27" t="s">
        <v>687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732</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306</v>
      </c>
      <c r="B1396" s="27" t="s">
        <v>787</v>
      </c>
      <c r="C1396" s="27" t="s">
        <v>731</v>
      </c>
      <c r="D1396" s="27" t="s">
        <v>687</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1221</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676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306</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1222</v>
      </c>
      <c r="B1400" s="27" t="s">
        <v>696</v>
      </c>
      <c r="C1400" s="27" t="s">
        <v>686</v>
      </c>
      <c r="D1400" s="27" t="s">
        <v>687</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708</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1203</v>
      </c>
      <c r="B1402" s="27" t="s">
        <v>807</v>
      </c>
      <c r="C1402" s="27" t="s">
        <v>749</v>
      </c>
      <c r="D1402" s="27" t="s">
        <v>687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198</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1223</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1224</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1225</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698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row>
    <row r="1409" spans="1:12">
      <c r="A1409" s="20" t="s">
        <v>1226</v>
      </c>
    </row>
    <row r="1410" spans="1:12">
      <c r="A1410" s="20" t="s">
        <v>770</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795</v>
      </c>
      <c r="B1411" s="27" t="s">
        <v>685</v>
      </c>
      <c r="C1411" s="27" t="s">
        <v>686</v>
      </c>
      <c r="D1411" s="27" t="s">
        <v>687</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803</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732</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717</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306</v>
      </c>
      <c r="B1415" s="27" t="s">
        <v>791</v>
      </c>
      <c r="C1415" s="27" t="s">
        <v>749</v>
      </c>
      <c r="D1415" s="27" t="s">
        <v>687</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1217</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936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703</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1227</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306</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379</v>
      </c>
      <c r="B1421" s="27" t="s">
        <v>810</v>
      </c>
      <c r="C1421" s="27" t="s">
        <v>686</v>
      </c>
      <c r="D1421" s="27" t="s">
        <v>687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708</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811</v>
      </c>
      <c r="B1423" s="27" t="s">
        <v>724</v>
      </c>
      <c r="C1423" s="27" t="s">
        <v>679</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698</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row>
    <row r="1426" spans="1:12">
      <c r="A1426" s="20" t="s">
        <v>1228</v>
      </c>
    </row>
    <row r="1427" spans="1:12">
      <c r="A1427" s="20" t="s">
        <v>675</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717</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1229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1230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1215</v>
      </c>
      <c r="B1431" s="27" t="s">
        <v>791</v>
      </c>
      <c r="C1431" s="27" t="s">
        <v>679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1231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986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1232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682</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683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795</v>
      </c>
      <c r="B1437" s="27" t="s">
        <v>685</v>
      </c>
      <c r="C1437" s="27" t="s">
        <v>686</v>
      </c>
      <c r="D1437" s="27" t="s">
        <v>687</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1233</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306</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861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1234</v>
      </c>
      <c r="B1441" s="27" t="s">
        <v>692</v>
      </c>
      <c r="C1441" s="27" t="s">
        <v>693</v>
      </c>
      <c r="D1441" s="27" t="s">
        <v>687</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694</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306</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1235</v>
      </c>
      <c r="B1444" s="27" t="s">
        <v>696</v>
      </c>
      <c r="C1444" s="27" t="s">
        <v>686</v>
      </c>
      <c r="D1444" s="27" t="s">
        <v>687</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708</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1236</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794</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1205</v>
      </c>
      <c r="B1448" s="27" t="s">
        <v>724</v>
      </c>
      <c r="C1448" s="27" t="s">
        <v>679</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1206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682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703</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1203</v>
      </c>
      <c r="B1452" s="27" t="s">
        <v>807</v>
      </c>
      <c r="C1452" s="27" t="s">
        <v>749</v>
      </c>
      <c r="D1452" s="27" t="s">
        <v>687</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1237</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683</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725</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306</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1234</v>
      </c>
      <c r="B1457" s="27" t="s">
        <v>696</v>
      </c>
      <c r="C1457" s="27" t="s">
        <v>693</v>
      </c>
      <c r="D1457" s="27" t="s">
        <v>687</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694</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1200</v>
      </c>
      <c r="B1459" s="27" t="s">
        <v>724</v>
      </c>
      <c r="C1459" s="27" t="s">
        <v>745</v>
      </c>
      <c r="D1459" s="27" t="s">
        <v>687</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698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row>
    <row r="1462" spans="1:12">
      <c r="A1462" s="20" t="s">
        <v>1238</v>
      </c>
    </row>
    <row r="1463" spans="1:12">
      <c r="A1463" s="20" t="s">
        <v>756</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306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331</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694</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683</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1000</v>
      </c>
      <c r="B1468" s="27" t="s">
        <v>724</v>
      </c>
      <c r="C1468" s="27" t="s">
        <v>772</v>
      </c>
      <c r="D1468" s="27" t="s">
        <v>687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1239</v>
      </c>
      <c r="B1469" s="27" t="s">
        <v>696</v>
      </c>
      <c r="C1469" s="27" t="s">
        <v>686</v>
      </c>
      <c r="D1469" s="27" t="s">
        <v>687</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682</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1200</v>
      </c>
      <c r="B1471" s="27" t="s">
        <v>685</v>
      </c>
      <c r="C1471" s="27" t="s">
        <v>745</v>
      </c>
      <c r="D1471" s="27" t="s">
        <v>687</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1240</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782</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683</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113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1007</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1241</v>
      </c>
      <c r="B1477" s="27" t="s">
        <v>692</v>
      </c>
      <c r="C1477" s="27" t="s">
        <v>754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1242</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698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row>
    <row r="1481" spans="1:12">
      <c r="A1481" s="20" t="s">
        <v>1243</v>
      </c>
    </row>
    <row r="1482" spans="1:12">
      <c r="A1482" s="20" t="s">
        <v>1244</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1245</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1246</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1191</v>
      </c>
      <c r="B1485" s="27" t="s">
        <v>685</v>
      </c>
      <c r="C1485" s="27" t="s">
        <v>899</v>
      </c>
      <c r="D1485" s="27" t="s">
        <v>687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1247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676</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306</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1222</v>
      </c>
      <c r="B1489" s="27" t="s">
        <v>724</v>
      </c>
      <c r="C1489" s="27" t="s">
        <v>686</v>
      </c>
      <c r="D1489" s="27" t="s">
        <v>687</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1248</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1065</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1241</v>
      </c>
      <c r="B1492" s="27" t="s">
        <v>863</v>
      </c>
      <c r="C1492" s="27" t="s">
        <v>899</v>
      </c>
      <c r="D1492" s="27" t="s">
        <v>687</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1249</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682</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703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682</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721</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1250</v>
      </c>
      <c r="B1498" s="27" t="s">
        <v>728</v>
      </c>
      <c r="C1498" s="27" t="s">
        <v>679</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682</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1203</v>
      </c>
      <c r="B1500" s="27" t="s">
        <v>1066</v>
      </c>
      <c r="C1500" s="27" t="s">
        <v>749</v>
      </c>
      <c r="D1500" s="27" t="s">
        <v>687</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1251</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835</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1252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698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row>
    <row r="1506" spans="1:12">
      <c r="A1506" s="20" t="s">
        <v>1253</v>
      </c>
    </row>
    <row r="1507" spans="1:12">
      <c r="A1507" s="20" t="s">
        <v>868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1254</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676</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306</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1222</v>
      </c>
      <c r="B1511" s="27" t="s">
        <v>678</v>
      </c>
      <c r="C1511" s="27" t="s">
        <v>686</v>
      </c>
      <c r="D1511" s="27" t="s">
        <v>687</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682</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1255</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1256</v>
      </c>
      <c r="B1514" s="27" t="s">
        <v>692</v>
      </c>
      <c r="C1514" s="27" t="s">
        <v>679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683</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1257</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886</v>
      </c>
      <c r="B1517" s="27" t="s">
        <v>791</v>
      </c>
      <c r="C1517" s="27" t="s">
        <v>749</v>
      </c>
      <c r="D1517" s="27" t="s">
        <v>687</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794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760</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1258</v>
      </c>
      <c r="B1520" s="27" t="s">
        <v>791</v>
      </c>
      <c r="C1520" s="27" t="s">
        <v>686</v>
      </c>
      <c r="D1520" s="27" t="s">
        <v>687</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1259</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698</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row>
    <row r="1524" spans="1:12">
      <c r="A1524" s="20" t="s">
        <v>1260</v>
      </c>
    </row>
    <row r="1525" spans="1:12">
      <c r="A1525" s="20" t="s">
        <v>827</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1203</v>
      </c>
      <c r="B1526" s="27" t="s">
        <v>685</v>
      </c>
      <c r="C1526" s="27" t="s">
        <v>749</v>
      </c>
      <c r="D1526" s="27" t="s">
        <v>687</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1261</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1262</v>
      </c>
      <c r="B1528" s="27" t="s">
        <v>692</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1140</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717</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1162</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729</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1263</v>
      </c>
      <c r="B1533" s="27" t="s">
        <v>791</v>
      </c>
      <c r="C1533" s="27" t="s">
        <v>716</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708</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936</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698</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row>
    <row r="1538" spans="1:12">
      <c r="A1538" s="20" t="s">
        <v>1264</v>
      </c>
    </row>
    <row r="1539" spans="1:12">
      <c r="A1539" s="20" t="s">
        <v>1265</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1266</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689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1267</v>
      </c>
      <c r="B1542" s="27" t="s">
        <v>791</v>
      </c>
      <c r="C1542" s="27" t="s">
        <v>736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732</v>
      </c>
      <c r="B1543" s="27" t="s">
        <v>863</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1210</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820</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750</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1268</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1269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850</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689</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1270</v>
      </c>
      <c r="B1551" s="27" t="s">
        <v>812</v>
      </c>
      <c r="C1551" s="27" t="s">
        <v>693</v>
      </c>
      <c r="D1551" s="27" t="s">
        <v>687</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694</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683</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1000</v>
      </c>
      <c r="B1554" s="27" t="s">
        <v>728</v>
      </c>
      <c r="C1554" s="27" t="s">
        <v>772</v>
      </c>
      <c r="D1554" s="27" t="s">
        <v>687</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873</v>
      </c>
      <c r="B1555" s="27" t="s">
        <v>843</v>
      </c>
      <c r="C1555" s="27" t="s">
        <v>686</v>
      </c>
      <c r="D1555" s="27" t="s">
        <v>687</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698</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row>
    <row r="1558" spans="1:12">
      <c r="A1558" s="20" t="s">
        <v>1271</v>
      </c>
    </row>
    <row r="1559" spans="1:12">
      <c r="A1559" s="20" t="s">
        <v>756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683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1272</v>
      </c>
      <c r="B1561" s="27" t="s">
        <v>696</v>
      </c>
      <c r="C1561" s="27" t="s">
        <v>679</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682</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1197</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306</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1273</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676</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683</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873</v>
      </c>
      <c r="B1568" s="27" t="s">
        <v>678</v>
      </c>
      <c r="C1568" s="27" t="s">
        <v>686</v>
      </c>
      <c r="D1568" s="27" t="s">
        <v>687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683</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1274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708</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683</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695</v>
      </c>
      <c r="B1573" s="27" t="s">
        <v>724</v>
      </c>
      <c r="C1573" s="27" t="s">
        <v>686</v>
      </c>
      <c r="D1573" s="27" t="s">
        <v>687</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682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957</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1275</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676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306</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1276</v>
      </c>
      <c r="B1579" s="27" t="s">
        <v>843</v>
      </c>
      <c r="C1579" s="27" t="s">
        <v>686</v>
      </c>
      <c r="D1579" s="27" t="s">
        <v>687</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703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1277</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689</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1278</v>
      </c>
      <c r="B1583" s="27" t="s">
        <v>742</v>
      </c>
      <c r="C1583" s="27" t="s">
        <v>736</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977</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1279</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708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1280</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306</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1281</v>
      </c>
      <c r="B1589" s="27" t="s">
        <v>730</v>
      </c>
      <c r="C1589" s="27" t="s">
        <v>772</v>
      </c>
      <c r="D1589" s="27" t="s">
        <v>687</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1282</v>
      </c>
      <c r="B1590" s="27" t="s">
        <v>1283</v>
      </c>
      <c r="C1590" s="27" t="s">
        <v>686</v>
      </c>
      <c r="D1590" s="27" t="s">
        <v>687</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1284</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698</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row>
    <row r="1594" spans="1:12">
      <c r="A1594" s="20" t="s">
        <v>1285</v>
      </c>
    </row>
    <row r="1595" spans="1:12">
      <c r="A1595" s="20" t="s">
        <v>770</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795</v>
      </c>
      <c r="B1596" s="27" t="s">
        <v>685</v>
      </c>
      <c r="C1596" s="27" t="s">
        <v>686</v>
      </c>
      <c r="D1596" s="27" t="s">
        <v>687</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1286</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830</v>
      </c>
      <c r="B1598" s="27" t="s">
        <v>692</v>
      </c>
      <c r="C1598" s="27" t="s">
        <v>749</v>
      </c>
      <c r="D1598" s="27" t="s">
        <v>687</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683</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1287</v>
      </c>
      <c r="B1600" s="27" t="s">
        <v>692</v>
      </c>
      <c r="C1600" s="27" t="s">
        <v>693</v>
      </c>
      <c r="D1600" s="27" t="s">
        <v>687</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694</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430</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689</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1288</v>
      </c>
      <c r="B1604" s="27" t="s">
        <v>696</v>
      </c>
      <c r="C1604" s="27" t="s">
        <v>754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682</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683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306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83</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708</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811</v>
      </c>
      <c r="B1610" s="27" t="s">
        <v>724</v>
      </c>
      <c r="C1610" s="27" t="s">
        <v>679</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1289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1203</v>
      </c>
      <c r="B1612" s="27" t="s">
        <v>787</v>
      </c>
      <c r="C1612" s="27" t="s">
        <v>749</v>
      </c>
      <c r="D1612" s="27" t="s">
        <v>687</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1290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733</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695</v>
      </c>
      <c r="B1615" s="27" t="s">
        <v>791</v>
      </c>
      <c r="C1615" s="27" t="s">
        <v>736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1291</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698</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699</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1292</v>
      </c>
    </row>
    <row r="1621" spans="1:12">
      <c r="A1621" s="20" t="s">
        <v>674</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1154</v>
      </c>
      <c r="B1622" s="27" t="s">
        <v>685</v>
      </c>
      <c r="C1622" s="27" t="s">
        <v>749</v>
      </c>
      <c r="D1622" s="27" t="s">
        <v>687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1293</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306</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1278</v>
      </c>
      <c r="B1625" s="27" t="s">
        <v>692</v>
      </c>
      <c r="C1625" s="27" t="s">
        <v>693</v>
      </c>
      <c r="D1625" s="27" t="s">
        <v>687</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694</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1203</v>
      </c>
      <c r="B1627" s="27" t="s">
        <v>696</v>
      </c>
      <c r="C1627" s="27" t="s">
        <v>749</v>
      </c>
      <c r="D1627" s="27" t="s">
        <v>687</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682</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732</v>
      </c>
      <c r="B1629" s="27" t="s">
        <v>863</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782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1294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1151</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1218</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682</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674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676</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306</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1295</v>
      </c>
      <c r="B1638" s="27" t="s">
        <v>843</v>
      </c>
      <c r="C1638" s="27" t="s">
        <v>693</v>
      </c>
      <c r="D1638" s="27" t="s">
        <v>687</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694</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689</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1296</v>
      </c>
      <c r="B1641" s="27" t="s">
        <v>728</v>
      </c>
      <c r="C1641" s="27" t="s">
        <v>736</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674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698</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row>
    <row r="1645" spans="1:12">
      <c r="A1645" s="20" t="s">
        <v>699</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1297</v>
      </c>
    </row>
    <row r="1647" spans="1:12">
      <c r="A1647" s="20" t="s">
        <v>674</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827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870</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708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794</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1298</v>
      </c>
      <c r="B1652" s="27" t="s">
        <v>678</v>
      </c>
      <c r="C1652" s="27" t="s">
        <v>749</v>
      </c>
      <c r="D1652" s="27" t="s">
        <v>687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774</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674</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1299</v>
      </c>
      <c r="B1655" s="27" t="s">
        <v>807</v>
      </c>
      <c r="C1655" s="27" t="s">
        <v>749</v>
      </c>
      <c r="D1655" s="27" t="s">
        <v>687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1067</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1300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1301</v>
      </c>
      <c r="B1658" s="27" t="s">
        <v>810</v>
      </c>
      <c r="C1658" s="27" t="s">
        <v>693</v>
      </c>
      <c r="D1658" s="27" t="s">
        <v>687</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694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1302</v>
      </c>
      <c r="B1660" s="27" t="s">
        <v>812</v>
      </c>
      <c r="C1660" s="27" t="s">
        <v>679</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682</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1203</v>
      </c>
      <c r="B1662" s="27" t="s">
        <v>787</v>
      </c>
      <c r="C1662" s="27" t="s">
        <v>749</v>
      </c>
      <c r="D1662" s="27" t="s">
        <v>687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1303</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312</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1304</v>
      </c>
      <c r="B1665" s="27" t="s">
        <v>791</v>
      </c>
      <c r="C1665" s="27" t="s">
        <v>754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698</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row>
    <row r="1668" spans="1:12">
      <c r="A1668" s="20" t="s">
        <v>699</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1305</v>
      </c>
    </row>
    <row r="1670" spans="1:12">
      <c r="A1670" s="20" t="s">
        <v>674</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1306</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1307</v>
      </c>
      <c r="B1672" s="27" t="s">
        <v>685</v>
      </c>
      <c r="C1672" s="27" t="s">
        <v>693</v>
      </c>
      <c r="D1672" s="27" t="s">
        <v>687</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708</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1061</v>
      </c>
      <c r="B1674" s="27" t="s">
        <v>696</v>
      </c>
      <c r="C1674" s="27" t="s">
        <v>749</v>
      </c>
      <c r="D1674" s="27" t="s">
        <v>687</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740</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721</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1308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1307</v>
      </c>
      <c r="B1678" s="27" t="s">
        <v>678</v>
      </c>
      <c r="C1678" s="27" t="s">
        <v>693</v>
      </c>
      <c r="D1678" s="27" t="s">
        <v>687</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708</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1203</v>
      </c>
      <c r="B1680" s="27" t="s">
        <v>678</v>
      </c>
      <c r="C1680" s="27" t="s">
        <v>749</v>
      </c>
      <c r="D1680" s="27" t="s">
        <v>687</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698</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row>
    <row r="1683" spans="1:12">
      <c r="A1683" s="20" t="s">
        <v>699</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1309</v>
      </c>
    </row>
    <row r="1685" spans="1:12">
      <c r="A1685" s="20" t="s">
        <v>674</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1154</v>
      </c>
      <c r="B1686" s="27" t="s">
        <v>685</v>
      </c>
      <c r="C1686" s="27" t="s">
        <v>749</v>
      </c>
      <c r="D1686" s="27" t="s">
        <v>687</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1310</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732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717</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808</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777</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1274</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703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1311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886</v>
      </c>
      <c r="B1695" s="27" t="s">
        <v>821</v>
      </c>
      <c r="C1695" s="27" t="s">
        <v>749</v>
      </c>
      <c r="D1695" s="27" t="s">
        <v>687</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682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674</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836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792</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708</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811</v>
      </c>
      <c r="B1701" s="27" t="s">
        <v>678</v>
      </c>
      <c r="C1701" s="27" t="s">
        <v>679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703</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1312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890</v>
      </c>
      <c r="B1704" s="27" t="s">
        <v>791</v>
      </c>
      <c r="C1704" s="27" t="s">
        <v>749</v>
      </c>
      <c r="D1704" s="27" t="s">
        <v>687</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1313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1314</v>
      </c>
      <c r="B1706" s="27" t="s">
        <v>791</v>
      </c>
      <c r="C1706" s="27" t="s">
        <v>754</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676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306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1315</v>
      </c>
      <c r="B1709" s="27" t="s">
        <v>696</v>
      </c>
      <c r="C1709" s="27" t="s">
        <v>686</v>
      </c>
      <c r="D1709" s="27" t="s">
        <v>687</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698</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row>
    <row r="1712" spans="1:12">
      <c r="A1712" s="20" t="s">
        <v>699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1316</v>
      </c>
    </row>
    <row r="1714" spans="1:12">
      <c r="A1714" s="20" t="s">
        <v>674</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827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1317</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682</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870</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1072</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674</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1318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1319</v>
      </c>
      <c r="B1722" s="27" t="s">
        <v>787</v>
      </c>
      <c r="C1722" s="27" t="s">
        <v>716</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830</v>
      </c>
      <c r="B1723" s="27" t="s">
        <v>791</v>
      </c>
      <c r="C1723" s="27" t="s">
        <v>749</v>
      </c>
      <c r="D1723" s="27" t="s">
        <v>687</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1320</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430</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1203</v>
      </c>
      <c r="B1726" s="27" t="s">
        <v>807</v>
      </c>
      <c r="C1726" s="27" t="s">
        <v>749</v>
      </c>
      <c r="D1726" s="27" t="s">
        <v>687</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1001</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674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732</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683</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771</v>
      </c>
      <c r="B1731" s="27" t="s">
        <v>843</v>
      </c>
      <c r="C1731" s="27" t="s">
        <v>772</v>
      </c>
      <c r="D1731" s="27" t="s">
        <v>687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1321</v>
      </c>
      <c r="B1732" s="27" t="s">
        <v>863</v>
      </c>
      <c r="C1732" s="27" t="s">
        <v>686</v>
      </c>
      <c r="D1732" s="27" t="s">
        <v>687</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1322</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1323</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674</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732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1203</v>
      </c>
      <c r="B1737" s="27" t="s">
        <v>863</v>
      </c>
      <c r="C1737" s="27" t="s">
        <v>749</v>
      </c>
      <c r="D1737" s="27" t="s">
        <v>687</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1324</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1325</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703</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1326</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794</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760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1327</v>
      </c>
      <c r="B1744" s="27" t="s">
        <v>874</v>
      </c>
      <c r="C1744" s="27" t="s">
        <v>693</v>
      </c>
      <c r="D1744" s="27" t="s">
        <v>687</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694</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695</v>
      </c>
      <c r="B1746" s="27" t="s">
        <v>728</v>
      </c>
      <c r="C1746" s="27" t="s">
        <v>679</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1072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674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699</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1328</v>
      </c>
    </row>
    <row r="1752" spans="1:12">
      <c r="A1752" s="20" t="s">
        <v>827</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747</v>
      </c>
      <c r="B1753" s="27" t="s">
        <v>685</v>
      </c>
      <c r="C1753" s="27" t="s">
        <v>749</v>
      </c>
      <c r="D1753" s="27" t="s">
        <v>687</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1329</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890</v>
      </c>
      <c r="B1755" s="27" t="s">
        <v>692</v>
      </c>
      <c r="C1755" s="27" t="s">
        <v>749</v>
      </c>
      <c r="D1755" s="27" t="s">
        <v>687</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774</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674</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12</v>
      </c>
      <c r="B1758" s="27" t="s">
        <v>678</v>
      </c>
      <c r="C1758" s="27" t="s">
        <v>731</v>
      </c>
      <c r="D1758" s="27" t="s">
        <v>687</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732</v>
      </c>
      <c r="B1759" s="27" t="s">
        <v>807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1330</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202</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1331</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732</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306</v>
      </c>
      <c r="B1764" s="27" t="s">
        <v>874</v>
      </c>
      <c r="C1764" s="27" t="s">
        <v>749</v>
      </c>
      <c r="D1764" s="27" t="s">
        <v>687</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1332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683</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180</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674</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721</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1013</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1118</v>
      </c>
      <c r="B1771" s="27" t="s">
        <v>744</v>
      </c>
      <c r="C1771" s="27" t="s">
        <v>899</v>
      </c>
      <c r="D1771" s="27" t="s">
        <v>687</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1333</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682</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1334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682</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1335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780</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674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row>
    <row r="1780" spans="1:12">
      <c r="A1780" s="20" t="s">
        <v>1336</v>
      </c>
    </row>
    <row r="1781" spans="1:12">
      <c r="A1781" s="20" t="s">
        <v>827</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828</v>
      </c>
      <c r="B1782" s="27" t="s">
        <v>685</v>
      </c>
      <c r="C1782" s="27" t="s">
        <v>749</v>
      </c>
      <c r="D1782" s="27" t="s">
        <v>687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1337</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774</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row>
    <row r="1786" spans="1:12">
      <c r="A1786" s="20" t="s">
        <v>699</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1338</v>
      </c>
    </row>
    <row r="1788" spans="1:12">
      <c r="A1788" s="20" t="s">
        <v>674</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12</v>
      </c>
      <c r="B1789" s="27" t="s">
        <v>678</v>
      </c>
      <c r="C1789" s="27" t="s">
        <v>731</v>
      </c>
      <c r="D1789" s="27" t="s">
        <v>687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732</v>
      </c>
      <c r="B1790" s="27" t="s">
        <v>791</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747</v>
      </c>
      <c r="B1791" s="27" t="s">
        <v>787</v>
      </c>
      <c r="C1791" s="27" t="s">
        <v>749</v>
      </c>
      <c r="D1791" s="27" t="s">
        <v>687</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1339</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780</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row>
    <row r="1795" spans="1:12">
      <c r="A1795" s="20" t="s">
        <v>1340</v>
      </c>
    </row>
    <row r="1796" spans="1:12">
      <c r="A1796" s="20" t="s">
        <v>1341</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306</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682</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1197</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1342</v>
      </c>
      <c r="B1800" s="27" t="s">
        <v>692</v>
      </c>
      <c r="C1800" s="27" t="s">
        <v>716</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698</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row>
    <row r="1803" spans="1:12">
      <c r="A1803" s="20" t="s">
        <v>699</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1343</v>
      </c>
    </row>
    <row r="1805" spans="1:12">
      <c r="A1805" s="20" t="s">
        <v>674</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1200</v>
      </c>
      <c r="B1806" s="27" t="s">
        <v>685</v>
      </c>
      <c r="C1806" s="27" t="s">
        <v>745</v>
      </c>
      <c r="D1806" s="27" t="s">
        <v>687</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1151</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996</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1344</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1345</v>
      </c>
      <c r="B1810" s="27" t="s">
        <v>692</v>
      </c>
      <c r="C1810" s="27" t="s">
        <v>899</v>
      </c>
      <c r="D1810" s="27" t="s">
        <v>687</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676</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1203</v>
      </c>
      <c r="B1812" s="27" t="s">
        <v>678</v>
      </c>
      <c r="C1812" s="27" t="s">
        <v>749</v>
      </c>
      <c r="D1812" s="27" t="s">
        <v>687</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698</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row>
    <row r="1815" spans="1:12">
      <c r="A1815" s="20" t="s">
        <v>699</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1346</v>
      </c>
    </row>
    <row r="1817" spans="1:12">
      <c r="A1817" s="20" t="s">
        <v>674</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827</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747</v>
      </c>
      <c r="B1819" s="27" t="s">
        <v>685</v>
      </c>
      <c r="C1819" s="27" t="s">
        <v>749</v>
      </c>
      <c r="D1819" s="27" t="s">
        <v>687</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703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306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170</v>
      </c>
      <c r="B1822" s="27" t="s">
        <v>696</v>
      </c>
      <c r="C1822" s="27" t="s">
        <v>693</v>
      </c>
      <c r="D1822" s="27" t="s">
        <v>687</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694</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1203</v>
      </c>
      <c r="B1824" s="27" t="s">
        <v>724</v>
      </c>
      <c r="C1824" s="27" t="s">
        <v>749</v>
      </c>
      <c r="D1824" s="27" t="s">
        <v>687</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1347</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683</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1348</v>
      </c>
      <c r="B1827" s="27" t="s">
        <v>692</v>
      </c>
      <c r="C1827" s="27" t="s">
        <v>686</v>
      </c>
      <c r="D1827" s="27" t="s">
        <v>687</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694</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1349</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760</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1350</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683</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1147</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1351</v>
      </c>
      <c r="B1834" s="27" t="s">
        <v>821</v>
      </c>
      <c r="C1834" s="27" t="s">
        <v>749</v>
      </c>
      <c r="D1834" s="27" t="s">
        <v>687</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698</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674</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1352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1353</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1354</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741</v>
      </c>
      <c r="B1840" s="27" t="s">
        <v>791</v>
      </c>
      <c r="C1840" s="27" t="s">
        <v>693</v>
      </c>
      <c r="D1840" s="27" t="s">
        <v>687</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694</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760</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752</v>
      </c>
      <c r="B1843" s="27" t="s">
        <v>724</v>
      </c>
      <c r="C1843" s="27" t="s">
        <v>1355</v>
      </c>
      <c r="D1843" s="27" t="s">
        <v>687</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220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698</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row>
    <row r="1847" spans="1:12">
      <c r="A1847" s="20" t="s">
        <v>1356</v>
      </c>
    </row>
    <row r="1848" spans="1:12">
      <c r="A1848" s="20" t="s">
        <v>1357</v>
      </c>
      <c r="B1848" s="27" t="s">
        <v>685</v>
      </c>
      <c r="C1848" s="27" t="s">
        <v>731</v>
      </c>
      <c r="D1848" s="27" t="s">
        <v>687</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740</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694</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1358</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1113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908</v>
      </c>
      <c r="B1853" s="27" t="s">
        <v>678</v>
      </c>
      <c r="C1853" s="27" t="s">
        <v>745</v>
      </c>
      <c r="D1853" s="27" t="s">
        <v>687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1359</v>
      </c>
      <c r="B1854" s="27" t="s">
        <v>696</v>
      </c>
      <c r="C1854" s="27" t="s">
        <v>745</v>
      </c>
      <c r="D1854" s="27" t="s">
        <v>687</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1360</v>
      </c>
      <c r="B1855" s="27" t="s">
        <v>696</v>
      </c>
      <c r="C1855" s="27" t="s">
        <v>745</v>
      </c>
      <c r="D1855" s="27" t="s">
        <v>687</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682</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1361</v>
      </c>
      <c r="B1857" s="27" t="s">
        <v>696</v>
      </c>
      <c r="C1857" s="27" t="s">
        <v>693</v>
      </c>
      <c r="D1857" s="27" t="s">
        <v>687</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694</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683</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953</v>
      </c>
      <c r="B1860" s="27" t="s">
        <v>724</v>
      </c>
      <c r="C1860" s="27" t="s">
        <v>745</v>
      </c>
      <c r="D1860" s="27" t="s">
        <v>687</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1362</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1113</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1363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850</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689</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1364</v>
      </c>
      <c r="B1866" s="27" t="s">
        <v>812</v>
      </c>
      <c r="C1866" s="27" t="s">
        <v>736</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1365</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682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732</v>
      </c>
      <c r="B1869" s="27" t="s">
        <v>1066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1366</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774</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row>
    <row r="1873" spans="1:12">
      <c r="A1873" s="20" t="s">
        <v>699</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1367</v>
      </c>
    </row>
    <row r="1875" spans="1:12">
      <c r="A1875" s="20" t="s">
        <v>674</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894</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1083</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1214</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1368</v>
      </c>
      <c r="B1879" s="27" t="s">
        <v>791</v>
      </c>
      <c r="C1879" s="27" t="s">
        <v>754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708</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782</v>
      </c>
      <c r="B1881" s="27" t="s">
        <v>807</v>
      </c>
      <c r="C1881" s="27" t="s">
        <v>749</v>
      </c>
      <c r="D1881" s="27" t="s">
        <v>687</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1369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1370</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674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850</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1371</v>
      </c>
      <c r="B1886" s="27" t="s">
        <v>812</v>
      </c>
      <c r="C1886" s="27" t="s">
        <v>693</v>
      </c>
      <c r="D1886" s="27" t="s">
        <v>687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694</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979</v>
      </c>
      <c r="B1888" s="27" t="s">
        <v>843</v>
      </c>
      <c r="C1888" s="27" t="s">
        <v>679</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733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1014</v>
      </c>
      <c r="B1890" s="27" t="s">
        <v>821</v>
      </c>
      <c r="C1890" s="27" t="s">
        <v>693</v>
      </c>
      <c r="D1890" s="27" t="s">
        <v>687</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794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1372</v>
      </c>
      <c r="B1892" s="27" t="s">
        <v>843</v>
      </c>
      <c r="C1892" s="27" t="s">
        <v>693</v>
      </c>
      <c r="D1892" s="27" t="s">
        <v>687</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694</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1373</v>
      </c>
      <c r="B1894" s="27" t="s">
        <v>728</v>
      </c>
      <c r="C1894" s="27" t="s">
        <v>745</v>
      </c>
      <c r="D1894" s="27" t="s">
        <v>687</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682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674</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1374</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903</v>
      </c>
      <c r="B1898" s="27" t="s">
        <v>787</v>
      </c>
      <c r="C1898" s="27" t="s">
        <v>731</v>
      </c>
      <c r="D1898" s="27" t="s">
        <v>687</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1375</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1376</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1351</v>
      </c>
      <c r="B1901" s="27" t="s">
        <v>810</v>
      </c>
      <c r="C1901" s="27" t="s">
        <v>749</v>
      </c>
      <c r="D1901" s="27" t="s">
        <v>687</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676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689</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1377</v>
      </c>
      <c r="B1904" s="27" t="s">
        <v>724</v>
      </c>
      <c r="C1904" s="27" t="s">
        <v>736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674</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1374</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1378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689</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1379</v>
      </c>
      <c r="B1909" s="27" t="s">
        <v>821</v>
      </c>
      <c r="C1909" s="27" t="s">
        <v>736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729</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1380</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682</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1381</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698</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row>
    <row r="1916" spans="1:12">
      <c r="A1916" s="20" t="s">
        <v>699</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1382</v>
      </c>
    </row>
    <row r="1918" spans="1:12">
      <c r="A1918" s="20" t="s">
        <v>674</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701</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1383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682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1384</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1113</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1385</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698</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row>
    <row r="1927" spans="1:12">
      <c r="A1927" s="20" t="s">
        <v>1386</v>
      </c>
    </row>
    <row r="1928" spans="1:12">
      <c r="A1928" s="20" t="s">
        <v>824</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717</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1387</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1388</v>
      </c>
      <c r="B1931" s="27" t="s">
        <v>692</v>
      </c>
      <c r="C1931" s="27" t="s">
        <v>679</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698</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row>
    <row r="1934" spans="1:12">
      <c r="A1934" s="20" t="s">
        <v>699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1389</v>
      </c>
    </row>
    <row r="1936" spans="1:12">
      <c r="A1936" s="20" t="s">
        <v>674</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770</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1390</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1388</v>
      </c>
      <c r="B1939" s="27" t="s">
        <v>685</v>
      </c>
      <c r="C1939" s="27" t="s">
        <v>686</v>
      </c>
      <c r="D1939" s="27" t="s">
        <v>687</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1391</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1392</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694</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733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1393</v>
      </c>
      <c r="B1944" s="27" t="s">
        <v>692</v>
      </c>
      <c r="C1944" s="27" t="s">
        <v>693</v>
      </c>
      <c r="D1944" s="27" t="s">
        <v>687</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1394</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733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1118</v>
      </c>
      <c r="B1947" s="27" t="s">
        <v>696</v>
      </c>
      <c r="C1947" s="27" t="s">
        <v>736</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682</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674</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703</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1319</v>
      </c>
      <c r="B1951" s="27" t="s">
        <v>863</v>
      </c>
      <c r="C1951" s="27" t="s">
        <v>716</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794</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1372</v>
      </c>
      <c r="B1953" s="27" t="s">
        <v>843</v>
      </c>
      <c r="C1953" s="27" t="s">
        <v>693</v>
      </c>
      <c r="D1953" s="27" t="s">
        <v>687</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694</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1373</v>
      </c>
      <c r="B1955" s="27" t="s">
        <v>728</v>
      </c>
      <c r="C1955" s="27" t="s">
        <v>745</v>
      </c>
      <c r="D1955" s="27" t="s">
        <v>687</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717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740</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733</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1118</v>
      </c>
      <c r="B1959" s="27" t="s">
        <v>724</v>
      </c>
      <c r="C1959" s="27" t="s">
        <v>736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698</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674</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1395</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1396</v>
      </c>
      <c r="B1963" s="27" t="s">
        <v>787</v>
      </c>
      <c r="C1963" s="27" t="s">
        <v>1049</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1303</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1397</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682</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1398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306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1399</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1400</v>
      </c>
      <c r="B1970" s="27" t="s">
        <v>791</v>
      </c>
      <c r="C1970" s="27" t="s">
        <v>686</v>
      </c>
      <c r="D1970" s="27" t="s">
        <v>687</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732</v>
      </c>
      <c r="B1971" s="27" t="s">
        <v>821</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1401</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682</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676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306</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720</v>
      </c>
      <c r="B1976" s="27" t="s">
        <v>812</v>
      </c>
      <c r="C1976" s="27" t="s">
        <v>693</v>
      </c>
      <c r="D1976" s="27" t="s">
        <v>687</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694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928</v>
      </c>
      <c r="B1978" s="27" t="s">
        <v>843</v>
      </c>
      <c r="C1978" s="27" t="s">
        <v>679</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1402</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698</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row>
    <row r="1982" spans="1:12">
      <c r="A1982" s="20" t="s">
        <v>1403</v>
      </c>
    </row>
    <row r="1983" spans="1:12">
      <c r="A1983" s="20" t="s">
        <v>12</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58</v>
      </c>
      <c r="B1984" s="27" t="s">
        <v>685</v>
      </c>
      <c r="C1984" s="27" t="s">
        <v>686</v>
      </c>
      <c r="D1984" s="27" t="s">
        <v>687</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694</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732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683</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1404</v>
      </c>
      <c r="B1988" s="27" t="s">
        <v>812</v>
      </c>
      <c r="C1988" s="27" t="s">
        <v>772</v>
      </c>
      <c r="D1988" s="27" t="s">
        <v>687</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1405</v>
      </c>
      <c r="B1989" s="27" t="s">
        <v>807</v>
      </c>
      <c r="C1989" s="27" t="s">
        <v>686</v>
      </c>
      <c r="D1989" s="27" t="s">
        <v>687</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1406</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1074</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676</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760</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1407</v>
      </c>
      <c r="B1994" s="27" t="s">
        <v>678</v>
      </c>
      <c r="C1994" s="27" t="s">
        <v>686</v>
      </c>
      <c r="D1994" s="27" t="s">
        <v>687</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1408</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698</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row>
    <row r="1998" spans="1:12">
      <c r="A1998" s="20" t="s">
        <v>1409</v>
      </c>
    </row>
    <row r="1999" spans="1:12">
      <c r="A1999" s="20" t="s">
        <v>824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1410</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804</v>
      </c>
      <c r="B2001" s="27" t="s">
        <v>692</v>
      </c>
      <c r="C2001" s="27" t="s">
        <v>749</v>
      </c>
      <c r="D2001" s="27" t="s">
        <v>687</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694</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721</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1411</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118</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928</v>
      </c>
      <c r="B2006" s="27" t="s">
        <v>810</v>
      </c>
      <c r="C2006" s="27" t="s">
        <v>679</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732</v>
      </c>
      <c r="B2007" s="27" t="s">
        <v>864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1412</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1134</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1413</v>
      </c>
      <c r="B2010" s="27" t="s">
        <v>874</v>
      </c>
      <c r="C2010" s="27" t="s">
        <v>1049</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682</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721</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1411</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118</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928</v>
      </c>
      <c r="B2015" s="27" t="s">
        <v>874</v>
      </c>
      <c r="C2015" s="27" t="s">
        <v>679</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732</v>
      </c>
      <c r="B2016" s="27" t="s">
        <v>739</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982</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1414</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682</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306</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1415</v>
      </c>
      <c r="B2021" s="27" t="s">
        <v>874</v>
      </c>
      <c r="C2021" s="27" t="s">
        <v>686</v>
      </c>
      <c r="D2021" s="27" t="s">
        <v>687</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1020</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1416</v>
      </c>
      <c r="B2023" s="27" t="s">
        <v>739</v>
      </c>
      <c r="C2023" s="27" t="s">
        <v>679</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1417</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732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1050</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928</v>
      </c>
      <c r="B2027" s="27" t="s">
        <v>739</v>
      </c>
      <c r="C2027" s="27" t="s">
        <v>899</v>
      </c>
      <c r="D2027" s="27" t="s">
        <v>687</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982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698</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1418</v>
      </c>
    </row>
    <row r="2032" spans="1:12">
      <c r="A2032" s="20" t="s">
        <v>827</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683</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1419</v>
      </c>
      <c r="B2034" s="27" t="s">
        <v>685</v>
      </c>
      <c r="C2034" s="27" t="s">
        <v>686</v>
      </c>
      <c r="D2034" s="27" t="s">
        <v>687</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732</v>
      </c>
      <c r="B2035" s="27" t="s">
        <v>807</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1303</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1268</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1420</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1073</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682</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732</v>
      </c>
      <c r="B2041" s="27" t="s">
        <v>807</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740</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1150</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1421</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1422</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682</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740</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733</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1419</v>
      </c>
      <c r="B2049" s="27" t="s">
        <v>678</v>
      </c>
      <c r="C2049" s="27" t="s">
        <v>736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683</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732</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717</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1423</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1424</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1425</v>
      </c>
      <c r="B2055" s="27" t="s">
        <v>791</v>
      </c>
      <c r="C2055" s="27" t="s">
        <v>1049</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698</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row>
    <row r="2058" spans="1:12">
      <c r="A2058" s="20" t="s">
        <v>1426</v>
      </c>
    </row>
    <row r="2059" spans="1:12">
      <c r="A2059" s="20" t="s">
        <v>1427</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1039</v>
      </c>
      <c r="B2060" s="27" t="s">
        <v>685</v>
      </c>
      <c r="C2060" s="27" t="s">
        <v>1049</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732</v>
      </c>
      <c r="B2061" s="27" t="s">
        <v>810</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1428</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682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1429</v>
      </c>
      <c r="B2064" s="27" t="s">
        <v>696</v>
      </c>
      <c r="C2064" s="27" t="s">
        <v>745</v>
      </c>
      <c r="D2064" s="27" t="s">
        <v>687</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703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1430</v>
      </c>
      <c r="B2066" s="27" t="s">
        <v>696</v>
      </c>
      <c r="C2066" s="27" t="s">
        <v>745</v>
      </c>
      <c r="D2066" s="27" t="s">
        <v>687</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1431</v>
      </c>
      <c r="B2067" s="27" t="s">
        <v>724</v>
      </c>
      <c r="C2067" s="27" t="s">
        <v>745</v>
      </c>
      <c r="D2067" s="27" t="s">
        <v>687</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682</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1432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1433</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430</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682</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1434</v>
      </c>
      <c r="B2073" s="27" t="s">
        <v>787</v>
      </c>
      <c r="C2073" s="27" t="s">
        <v>679</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703</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1435</v>
      </c>
      <c r="B2075" s="27" t="s">
        <v>724</v>
      </c>
      <c r="C2075" s="27" t="s">
        <v>679</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1436</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682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306</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1281</v>
      </c>
      <c r="B2079" s="27" t="s">
        <v>724</v>
      </c>
      <c r="C2079" s="27" t="s">
        <v>772</v>
      </c>
      <c r="D2079" s="27" t="s">
        <v>687</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1273</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379</v>
      </c>
      <c r="B2081" s="27" t="s">
        <v>787</v>
      </c>
      <c r="C2081" s="27" t="s">
        <v>686</v>
      </c>
      <c r="D2081" s="27" t="s">
        <v>687</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1197</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1204</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794</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1372</v>
      </c>
      <c r="B2085" s="27" t="s">
        <v>696</v>
      </c>
      <c r="C2085" s="27" t="s">
        <v>693</v>
      </c>
      <c r="D2085" s="27" t="s">
        <v>687</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694</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1373</v>
      </c>
      <c r="B2087" s="27" t="s">
        <v>724</v>
      </c>
      <c r="C2087" s="27" t="s">
        <v>745</v>
      </c>
      <c r="D2087" s="27" t="s">
        <v>687</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698</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row>
    <row r="2090" spans="1:12">
      <c r="A2090" s="20" t="s">
        <v>1437</v>
      </c>
    </row>
    <row r="2091" spans="1:12">
      <c r="A2091" s="20" t="s">
        <v>1299</v>
      </c>
      <c r="B2091" s="27" t="s">
        <v>685</v>
      </c>
      <c r="C2091" s="27" t="s">
        <v>749</v>
      </c>
      <c r="D2091" s="27" t="s">
        <v>687</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1438</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732</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958</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1439</v>
      </c>
      <c r="B2095" s="27" t="s">
        <v>787</v>
      </c>
      <c r="C2095" s="27" t="s">
        <v>686</v>
      </c>
      <c r="D2095" s="27" t="s">
        <v>687</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1440</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708</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1203</v>
      </c>
      <c r="B2098" s="27" t="s">
        <v>696</v>
      </c>
      <c r="C2098" s="27" t="s">
        <v>749</v>
      </c>
      <c r="D2098" s="27" t="s">
        <v>687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717</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982</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306</v>
      </c>
      <c r="B2101" s="27" t="s">
        <v>678</v>
      </c>
      <c r="C2101" s="27" t="s">
        <v>731</v>
      </c>
      <c r="D2101" s="27" t="s">
        <v>687</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732</v>
      </c>
      <c r="B2102" s="27" t="s">
        <v>807</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1441</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725</v>
      </c>
      <c r="B2104" s="27" t="s">
        <v>810</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682</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703</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1442</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1025</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689</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704</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1443</v>
      </c>
      <c r="B2111" s="27" t="s">
        <v>874</v>
      </c>
      <c r="C2111" s="27" t="s">
        <v>736</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1113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1444</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1445</v>
      </c>
      <c r="B2114" s="27" t="s">
        <v>728</v>
      </c>
      <c r="C2114" s="27" t="s">
        <v>693</v>
      </c>
      <c r="D2114" s="27" t="s">
        <v>687</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694</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1446</v>
      </c>
      <c r="B2116" s="27" t="s">
        <v>744</v>
      </c>
      <c r="C2116" s="27" t="s">
        <v>679</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683</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732</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1447</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1448</v>
      </c>
      <c r="B2120" s="27" t="s">
        <v>1283</v>
      </c>
      <c r="C2120" s="27" t="s">
        <v>679</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794</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1449</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1019</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1039</v>
      </c>
      <c r="B2124" s="27" t="s">
        <v>1450</v>
      </c>
      <c r="C2124" s="27" t="s">
        <v>1049</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1113</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708</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1451</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1035</v>
      </c>
      <c r="B2128" s="27" t="s">
        <v>1452</v>
      </c>
      <c r="C2128" s="27" t="s">
        <v>679</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794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1453</v>
      </c>
      <c r="B2130" s="27" t="s">
        <v>1454</v>
      </c>
      <c r="C2130" s="27" t="s">
        <v>693</v>
      </c>
      <c r="D2130" s="27" t="s">
        <v>687</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694</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1373</v>
      </c>
      <c r="B2132" s="27" t="s">
        <v>1455</v>
      </c>
      <c r="C2132" s="27" t="s">
        <v>745</v>
      </c>
      <c r="D2132" s="27" t="s">
        <v>687</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698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row>
    <row r="2135" spans="1:12">
      <c r="A2135" s="20" t="s">
        <v>1456</v>
      </c>
    </row>
    <row r="2136" spans="1:12">
      <c r="A2136" s="20" t="s">
        <v>1457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752</v>
      </c>
      <c r="B2137" s="27" t="s">
        <v>787</v>
      </c>
      <c r="C2137" s="27" t="s">
        <v>679</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682</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1458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1443</v>
      </c>
      <c r="B2140" s="27" t="s">
        <v>685</v>
      </c>
      <c r="C2140" s="27" t="s">
        <v>899</v>
      </c>
      <c r="D2140" s="27" t="s">
        <v>687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1459</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782</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676</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727</v>
      </c>
      <c r="B2144" s="27" t="s">
        <v>678</v>
      </c>
      <c r="C2144" s="27" t="s">
        <v>716</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1199</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306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1460</v>
      </c>
      <c r="B2147" s="27" t="s">
        <v>724</v>
      </c>
      <c r="C2147" s="27" t="s">
        <v>745</v>
      </c>
      <c r="D2147" s="27" t="s">
        <v>687</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694</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1461</v>
      </c>
      <c r="B2149" s="27" t="s">
        <v>812</v>
      </c>
      <c r="C2149" s="27" t="s">
        <v>745</v>
      </c>
      <c r="D2149" s="27" t="s">
        <v>687</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682</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957</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1083</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835</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1462</v>
      </c>
      <c r="B2154" s="27" t="s">
        <v>874</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703</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1462</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694</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1035</v>
      </c>
      <c r="B2158" s="27" t="s">
        <v>874</v>
      </c>
      <c r="C2158" s="27" t="s">
        <v>693</v>
      </c>
      <c r="D2158" s="27" t="s">
        <v>687</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794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1463</v>
      </c>
      <c r="B2160" s="27" t="s">
        <v>728</v>
      </c>
      <c r="C2160" s="27" t="s">
        <v>679</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1464</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732</v>
      </c>
      <c r="B2162" s="27" t="s">
        <v>1465</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1176</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683</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725</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1466</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698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row>
    <row r="2169" spans="1:12">
      <c r="A2169" s="20" t="s">
        <v>699</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1467</v>
      </c>
    </row>
    <row r="2171" spans="1:12">
      <c r="A2171" s="20" t="s">
        <v>1468</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683</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1302</v>
      </c>
      <c r="B2173" s="27" t="s">
        <v>678</v>
      </c>
      <c r="C2173" s="27" t="s">
        <v>686</v>
      </c>
      <c r="D2173" s="27" t="s">
        <v>687</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694</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306</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914</v>
      </c>
      <c r="B2176" s="27" t="s">
        <v>678</v>
      </c>
      <c r="C2176" s="27" t="s">
        <v>686</v>
      </c>
      <c r="D2176" s="27" t="s">
        <v>687</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676</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683</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674</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1359</v>
      </c>
      <c r="B2180" s="27" t="s">
        <v>685</v>
      </c>
      <c r="C2180" s="27" t="s">
        <v>745</v>
      </c>
      <c r="D2180" s="27" t="s">
        <v>687</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1360</v>
      </c>
      <c r="B2181" s="27" t="s">
        <v>696</v>
      </c>
      <c r="C2181" s="27" t="s">
        <v>745</v>
      </c>
      <c r="D2181" s="27" t="s">
        <v>687</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674</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682</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683</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1469</v>
      </c>
      <c r="B2185" s="27" t="s">
        <v>696</v>
      </c>
      <c r="C2185" s="27" t="s">
        <v>693</v>
      </c>
      <c r="D2185" s="27" t="s">
        <v>687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694</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712</v>
      </c>
      <c r="B2187" s="27" t="s">
        <v>724</v>
      </c>
      <c r="C2187" s="27" t="s">
        <v>679</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708</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958</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928</v>
      </c>
      <c r="B2190" s="27" t="s">
        <v>724</v>
      </c>
      <c r="C2190" s="27" t="s">
        <v>693</v>
      </c>
      <c r="D2190" s="27" t="s">
        <v>687</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794</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1372</v>
      </c>
      <c r="B2192" s="27" t="s">
        <v>812</v>
      </c>
      <c r="C2192" s="27" t="s">
        <v>693</v>
      </c>
      <c r="D2192" s="27" t="s">
        <v>687</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694</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1373</v>
      </c>
      <c r="B2194" s="27" t="s">
        <v>843</v>
      </c>
      <c r="C2194" s="27" t="s">
        <v>745</v>
      </c>
      <c r="D2194" s="27" t="s">
        <v>687</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1470</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698</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row>
    <row r="2198" spans="1:12">
      <c r="A2198" s="20" t="s">
        <v>1471</v>
      </c>
    </row>
    <row r="2199" spans="1:12">
      <c r="A2199" s="20" t="s">
        <v>905</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928</v>
      </c>
      <c r="B2200" s="27" t="s">
        <v>692</v>
      </c>
      <c r="C2200" s="27" t="s">
        <v>693</v>
      </c>
      <c r="D2200" s="27" t="s">
        <v>687</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794</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1372</v>
      </c>
      <c r="B2202" s="27" t="s">
        <v>696</v>
      </c>
      <c r="C2202" s="27" t="s">
        <v>693</v>
      </c>
      <c r="D2202" s="27" t="s">
        <v>687</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694</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1373</v>
      </c>
      <c r="B2204" s="27" t="s">
        <v>724</v>
      </c>
      <c r="C2204" s="27" t="s">
        <v>745</v>
      </c>
      <c r="D2204" s="27" t="s">
        <v>687</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732</v>
      </c>
      <c r="B2205" s="27" t="s">
        <v>807</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1037</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1472</v>
      </c>
      <c r="B2207" s="27" t="s">
        <v>696</v>
      </c>
      <c r="C2207" s="27" t="s">
        <v>679</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682</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1037</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1473</v>
      </c>
      <c r="B2210" s="27" t="s">
        <v>678</v>
      </c>
      <c r="C2210" s="27" t="s">
        <v>679</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682</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1019</v>
      </c>
      <c r="B2212" s="27" t="s">
        <v>787</v>
      </c>
      <c r="C2212" s="27" t="s">
        <v>716</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732</v>
      </c>
      <c r="B2213" s="27" t="s">
        <v>863</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929</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577</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694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1048</v>
      </c>
      <c r="B2217" s="27" t="s">
        <v>843</v>
      </c>
      <c r="C2217" s="27" t="s">
        <v>693</v>
      </c>
      <c r="D2217" s="27" t="s">
        <v>687</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1474</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676</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683</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1475</v>
      </c>
      <c r="B2221" s="27" t="s">
        <v>728</v>
      </c>
      <c r="C2221" s="27" t="s">
        <v>686</v>
      </c>
      <c r="D2221" s="27" t="s">
        <v>687</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1476</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698</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row>
    <row r="2225" spans="1:12">
      <c r="A2225" s="20" t="s">
        <v>1477</v>
      </c>
    </row>
    <row r="2226" spans="1:12">
      <c r="A2226" s="20" t="s">
        <v>1478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1431</v>
      </c>
      <c r="B2227" s="27" t="s">
        <v>787</v>
      </c>
      <c r="C2227" s="27" t="s">
        <v>745</v>
      </c>
      <c r="D2227" s="27" t="s">
        <v>687</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1479</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1207</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683</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118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794</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903</v>
      </c>
      <c r="B2233" s="27" t="s">
        <v>696</v>
      </c>
      <c r="C2233" s="27" t="s">
        <v>731</v>
      </c>
      <c r="D2233" s="27" t="s">
        <v>687</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698</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row>
    <row r="2236" spans="1:12">
      <c r="A2236" s="20" t="s">
        <v>699</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1480</v>
      </c>
    </row>
    <row r="2238" spans="1:12">
      <c r="A2238" s="20" t="s">
        <v>827</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747</v>
      </c>
      <c r="B2239" s="27" t="s">
        <v>685</v>
      </c>
      <c r="C2239" s="27" t="s">
        <v>749</v>
      </c>
      <c r="D2239" s="27" t="s">
        <v>687</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1329</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933</v>
      </c>
      <c r="B2241" s="27" t="s">
        <v>692</v>
      </c>
      <c r="C2241" s="27" t="s">
        <v>749</v>
      </c>
      <c r="D2241" s="27" t="s">
        <v>687</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774</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1481</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782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780</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row>
    <row r="2247" spans="1:12">
      <c r="A2247" s="20" t="s">
        <v>699</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1482</v>
      </c>
    </row>
    <row r="2249" spans="1:12">
      <c r="A2249" s="20" t="s">
        <v>674</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1483</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732</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306</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1484</v>
      </c>
      <c r="B2253" s="27" t="s">
        <v>724</v>
      </c>
      <c r="C2253" s="27" t="s">
        <v>772</v>
      </c>
      <c r="D2253" s="27" t="s">
        <v>687</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379</v>
      </c>
      <c r="B2254" s="27" t="s">
        <v>787</v>
      </c>
      <c r="C2254" s="27" t="s">
        <v>686</v>
      </c>
      <c r="D2254" s="27" t="s">
        <v>687</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717</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1485</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1372</v>
      </c>
      <c r="B2257" s="27" t="s">
        <v>791</v>
      </c>
      <c r="C2257" s="27" t="s">
        <v>693</v>
      </c>
      <c r="D2257" s="27" t="s">
        <v>687</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694</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1373</v>
      </c>
      <c r="B2259" s="27" t="s">
        <v>724</v>
      </c>
      <c r="C2259" s="27" t="s">
        <v>745</v>
      </c>
      <c r="D2259" s="27" t="s">
        <v>687</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780</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row>
    <row r="2262" spans="1:12">
      <c r="A2262" s="20" t="s">
        <v>699</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1486</v>
      </c>
    </row>
    <row r="2264" spans="1:12">
      <c r="A2264" s="20" t="s">
        <v>1487</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694</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1210</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202</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1488</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1489</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694</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828</v>
      </c>
      <c r="B2271" s="27" t="s">
        <v>821</v>
      </c>
      <c r="C2271" s="27" t="s">
        <v>749</v>
      </c>
      <c r="D2271" s="27" t="s">
        <v>687</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780</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674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1490</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682</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306</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170</v>
      </c>
      <c r="B2277" s="27" t="s">
        <v>685</v>
      </c>
      <c r="C2277" s="27" t="s">
        <v>686</v>
      </c>
      <c r="D2277" s="27" t="s">
        <v>687</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1337</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774</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row>
    <row r="2281" spans="1:12">
      <c r="A2281" s="20" t="s">
        <v>699</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1491</v>
      </c>
    </row>
    <row r="2283" spans="1:12">
      <c r="A2283" s="20" t="s">
        <v>674</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1492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682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850</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306</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1493</v>
      </c>
      <c r="B2288" s="27" t="s">
        <v>678</v>
      </c>
      <c r="C2288" s="27" t="s">
        <v>745</v>
      </c>
      <c r="D2288" s="27" t="s">
        <v>687</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682</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306</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1115</v>
      </c>
      <c r="B2291" s="27" t="s">
        <v>678</v>
      </c>
      <c r="C2291" s="27" t="s">
        <v>772</v>
      </c>
      <c r="D2291" s="27" t="s">
        <v>687</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379</v>
      </c>
      <c r="B2292" s="27" t="s">
        <v>678</v>
      </c>
      <c r="C2292" s="27" t="s">
        <v>693</v>
      </c>
      <c r="D2292" s="27" t="s">
        <v>687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682</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1494</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830</v>
      </c>
      <c r="B2295" s="27" t="s">
        <v>791</v>
      </c>
      <c r="C2295" s="27" t="s">
        <v>749</v>
      </c>
      <c r="D2295" s="27" t="s">
        <v>687</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674</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1140</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708</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306</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1493</v>
      </c>
      <c r="B2300" s="27" t="s">
        <v>807</v>
      </c>
      <c r="C2300" s="27" t="s">
        <v>745</v>
      </c>
      <c r="D2300" s="27" t="s">
        <v>687</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740</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689</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1495</v>
      </c>
      <c r="B2303" s="27" t="s">
        <v>696</v>
      </c>
      <c r="C2303" s="27" t="s">
        <v>736</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1112</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694</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126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676</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306</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856</v>
      </c>
      <c r="B2309" s="27" t="s">
        <v>812</v>
      </c>
      <c r="C2309" s="27" t="s">
        <v>686</v>
      </c>
      <c r="D2309" s="27" t="s">
        <v>687</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682</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674</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703</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747</v>
      </c>
      <c r="B2313" s="27" t="s">
        <v>864</v>
      </c>
      <c r="C2313" s="27" t="s">
        <v>749</v>
      </c>
      <c r="D2313" s="27" t="s">
        <v>687</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1496</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694</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1497</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683</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306</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1493</v>
      </c>
      <c r="B2319" s="27" t="s">
        <v>742</v>
      </c>
      <c r="C2319" s="27" t="s">
        <v>745</v>
      </c>
      <c r="D2319" s="27" t="s">
        <v>687</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733</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712</v>
      </c>
      <c r="B2321" s="27" t="s">
        <v>742</v>
      </c>
      <c r="C2321" s="27" t="s">
        <v>736</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729</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1498</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698</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row>
    <row r="2326" spans="1:12">
      <c r="A2326" s="20" t="s">
        <v>699</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1499</v>
      </c>
    </row>
    <row r="2328" spans="1:12">
      <c r="A2328" s="20" t="s">
        <v>674</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824</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1500</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732</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682</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782</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1501</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1502</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958</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928</v>
      </c>
      <c r="B2337" s="27" t="s">
        <v>810</v>
      </c>
      <c r="C2337" s="27" t="s">
        <v>754</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794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1372</v>
      </c>
      <c r="B2339" s="27" t="s">
        <v>724</v>
      </c>
      <c r="C2339" s="27" t="s">
        <v>693</v>
      </c>
      <c r="D2339" s="27" t="s">
        <v>687</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694</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1373</v>
      </c>
      <c r="B2341" s="27" t="s">
        <v>812</v>
      </c>
      <c r="C2341" s="27" t="s">
        <v>745</v>
      </c>
      <c r="D2341" s="27" t="s">
        <v>687</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682</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903</v>
      </c>
      <c r="B2343" s="27" t="s">
        <v>787</v>
      </c>
      <c r="C2343" s="27" t="s">
        <v>731</v>
      </c>
      <c r="D2343" s="27" t="s">
        <v>687</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1323</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733</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1503</v>
      </c>
      <c r="B2346" s="27" t="s">
        <v>678</v>
      </c>
      <c r="C2346" s="27" t="s">
        <v>736</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1504</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698</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674</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827</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1430</v>
      </c>
      <c r="B2351" s="27" t="s">
        <v>787</v>
      </c>
      <c r="C2351" s="27" t="s">
        <v>745</v>
      </c>
      <c r="D2351" s="27" t="s">
        <v>687</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1431</v>
      </c>
      <c r="B2352" s="27" t="s">
        <v>724</v>
      </c>
      <c r="C2352" s="27" t="s">
        <v>745</v>
      </c>
      <c r="D2352" s="27" t="s">
        <v>687</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803</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830</v>
      </c>
      <c r="B2354" s="27" t="s">
        <v>791</v>
      </c>
      <c r="C2354" s="27" t="s">
        <v>749</v>
      </c>
      <c r="D2354" s="27" t="s">
        <v>687</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774</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674</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1154</v>
      </c>
      <c r="B2357" s="27" t="s">
        <v>791</v>
      </c>
      <c r="C2357" s="27" t="s">
        <v>749</v>
      </c>
      <c r="D2357" s="27" t="s">
        <v>687</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1505</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794</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306</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1429</v>
      </c>
      <c r="B2361" s="27" t="s">
        <v>812</v>
      </c>
      <c r="C2361" s="27" t="s">
        <v>745</v>
      </c>
      <c r="D2361" s="27" t="s">
        <v>687</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698</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row>
    <row r="2364" spans="1:12">
      <c r="A2364" s="20" t="s">
        <v>699</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1506</v>
      </c>
    </row>
    <row r="2366" spans="1:12">
      <c r="A2366" s="20" t="s">
        <v>674</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1507</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306</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1493</v>
      </c>
      <c r="B2369" s="27" t="s">
        <v>678</v>
      </c>
      <c r="C2369" s="27" t="s">
        <v>745</v>
      </c>
      <c r="D2369" s="27" t="s">
        <v>687</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682</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386</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676</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689</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1508</v>
      </c>
      <c r="B2374" s="27" t="s">
        <v>678</v>
      </c>
      <c r="C2374" s="27" t="s">
        <v>736</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708</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890</v>
      </c>
      <c r="B2376" s="27" t="s">
        <v>791</v>
      </c>
      <c r="C2376" s="27" t="s">
        <v>749</v>
      </c>
      <c r="D2376" s="27" t="s">
        <v>687</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1497</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733</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712</v>
      </c>
      <c r="B2379" s="27" t="s">
        <v>791</v>
      </c>
      <c r="C2379" s="27" t="s">
        <v>736</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729</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1498</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698</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row>
    <row r="2384" spans="1:12">
      <c r="A2384" s="20" t="s">
        <v>699</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1509</v>
      </c>
    </row>
    <row r="2386" spans="1:12">
      <c r="A2386" s="20" t="s">
        <v>674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824</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1510</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850</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1298</v>
      </c>
      <c r="B2390" s="27" t="s">
        <v>696</v>
      </c>
      <c r="C2390" s="27" t="s">
        <v>749</v>
      </c>
      <c r="D2390" s="27" t="s">
        <v>687</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1113</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1083</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90</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752</v>
      </c>
      <c r="B2394" s="27" t="s">
        <v>810</v>
      </c>
      <c r="C2394" s="27" t="s">
        <v>754</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682</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430</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1203</v>
      </c>
      <c r="B2397" s="27" t="s">
        <v>807</v>
      </c>
      <c r="C2397" s="27" t="s">
        <v>749</v>
      </c>
      <c r="D2397" s="27" t="s">
        <v>687</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1001</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682</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747</v>
      </c>
      <c r="B2400" s="27" t="s">
        <v>791</v>
      </c>
      <c r="C2400" s="27" t="s">
        <v>749</v>
      </c>
      <c r="D2400" s="27" t="s">
        <v>687</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717</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1511</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674</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732</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808</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31</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683</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1458</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1512</v>
      </c>
      <c r="B2409" s="27" t="s">
        <v>724</v>
      </c>
      <c r="C2409" s="27" t="s">
        <v>899</v>
      </c>
      <c r="D2409" s="27" t="s">
        <v>687</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698</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row>
    <row r="2412" spans="1:12">
      <c r="A2412" s="20" t="s">
        <v>699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1513</v>
      </c>
    </row>
    <row r="2414" spans="1:12">
      <c r="A2414" s="20" t="s">
        <v>674</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1514</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850</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1298</v>
      </c>
      <c r="B2417" s="27" t="s">
        <v>791</v>
      </c>
      <c r="C2417" s="27" t="s">
        <v>749</v>
      </c>
      <c r="D2417" s="27" t="s">
        <v>687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682</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860</v>
      </c>
      <c r="B2419" s="27" t="s">
        <v>685</v>
      </c>
      <c r="C2419" s="27" t="s">
        <v>731</v>
      </c>
      <c r="D2419" s="27" t="s">
        <v>687</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783</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830</v>
      </c>
      <c r="B2421" s="27" t="s">
        <v>692</v>
      </c>
      <c r="C2421" s="27" t="s">
        <v>749</v>
      </c>
      <c r="D2421" s="27" t="s">
        <v>687</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983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861</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703</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983</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729</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1515</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674</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703</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1516</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983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729</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1379</v>
      </c>
      <c r="B2433" s="27" t="s">
        <v>821</v>
      </c>
      <c r="C2433" s="27" t="s">
        <v>679</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683</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1517</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683</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771</v>
      </c>
      <c r="B2437" s="27" t="s">
        <v>843</v>
      </c>
      <c r="C2437" s="27" t="s">
        <v>772</v>
      </c>
      <c r="D2437" s="27" t="s">
        <v>687</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712</v>
      </c>
      <c r="B2438" s="27" t="s">
        <v>821</v>
      </c>
      <c r="C2438" s="27" t="s">
        <v>686</v>
      </c>
      <c r="D2438" s="27" t="s">
        <v>687</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674</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732</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682</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1510</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850</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1298</v>
      </c>
      <c r="B2444" s="27" t="s">
        <v>744</v>
      </c>
      <c r="C2444" s="27" t="s">
        <v>749</v>
      </c>
      <c r="D2444" s="27" t="s">
        <v>687</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682</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747</v>
      </c>
      <c r="B2446" s="27" t="s">
        <v>1066</v>
      </c>
      <c r="C2446" s="27" t="s">
        <v>749</v>
      </c>
      <c r="D2446" s="27" t="s">
        <v>687</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717</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1518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694</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1203</v>
      </c>
      <c r="B2450" s="27" t="s">
        <v>742</v>
      </c>
      <c r="C2450" s="27" t="s">
        <v>749</v>
      </c>
      <c r="D2450" s="27" t="s">
        <v>687</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674</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850</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1263</v>
      </c>
      <c r="B2453" s="27" t="s">
        <v>728</v>
      </c>
      <c r="C2453" s="27" t="s">
        <v>716</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676</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1458</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856</v>
      </c>
      <c r="B2456" s="27" t="s">
        <v>728</v>
      </c>
      <c r="C2456" s="27" t="s">
        <v>899</v>
      </c>
      <c r="D2456" s="27" t="s">
        <v>687</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698</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674</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1519</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676</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689</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1520</v>
      </c>
      <c r="B2462" s="27" t="s">
        <v>843</v>
      </c>
      <c r="C2462" s="27" t="s">
        <v>736</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676</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732</v>
      </c>
      <c r="B2464" s="27" t="s">
        <v>753</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683</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1164</v>
      </c>
      <c r="B2466" s="27" t="s">
        <v>748</v>
      </c>
      <c r="C2466" s="27" t="s">
        <v>693</v>
      </c>
      <c r="D2466" s="27" t="s">
        <v>687</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1169</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708</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1070</v>
      </c>
      <c r="B2469" s="27" t="s">
        <v>1450</v>
      </c>
      <c r="C2469" s="27" t="s">
        <v>731</v>
      </c>
      <c r="D2469" s="27" t="s">
        <v>687</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703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1521</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1134</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1522</v>
      </c>
      <c r="B2473" s="27" t="s">
        <v>730</v>
      </c>
      <c r="C2473" s="27" t="s">
        <v>1049</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1074</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683</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1523</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1524</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698</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row>
    <row r="2480" spans="1:12">
      <c r="A2480" s="20" t="s">
        <v>1525</v>
      </c>
    </row>
    <row r="2481" spans="1:12">
      <c r="A2481" s="20" t="s">
        <v>756</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306</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1526</v>
      </c>
      <c r="B2483" s="27" t="s">
        <v>696</v>
      </c>
      <c r="C2483" s="27" t="s">
        <v>679</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682</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1527</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1528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676</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689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1520</v>
      </c>
      <c r="B2489" s="27" t="s">
        <v>678</v>
      </c>
      <c r="C2489" s="27" t="s">
        <v>736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676</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732</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683</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1404</v>
      </c>
      <c r="B2493" s="27" t="s">
        <v>812</v>
      </c>
      <c r="C2493" s="27" t="s">
        <v>772</v>
      </c>
      <c r="D2493" s="27" t="s">
        <v>687</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1215</v>
      </c>
      <c r="B2494" s="27" t="s">
        <v>807</v>
      </c>
      <c r="C2494" s="27" t="s">
        <v>686</v>
      </c>
      <c r="D2494" s="27" t="s">
        <v>687</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708</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1529</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1050</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1522</v>
      </c>
      <c r="B2498" s="27" t="s">
        <v>874</v>
      </c>
      <c r="C2498" s="27" t="s">
        <v>899</v>
      </c>
      <c r="D2498" s="27" t="s">
        <v>687</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1530</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683</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689</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1267</v>
      </c>
      <c r="B2502" s="27" t="s">
        <v>724</v>
      </c>
      <c r="C2502" s="27" t="s">
        <v>736</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1210</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820</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1531</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698</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row>
    <row r="2508" spans="1:12">
      <c r="A2508" s="20" t="s">
        <v>1532</v>
      </c>
    </row>
    <row r="2509" spans="1:12">
      <c r="A2509" s="20" t="s">
        <v>1533</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682</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683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1055</v>
      </c>
      <c r="B2512" s="27" t="s">
        <v>685</v>
      </c>
      <c r="C2512" s="27" t="s">
        <v>693</v>
      </c>
      <c r="D2512" s="27" t="s">
        <v>687</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694</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760</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1534</v>
      </c>
      <c r="B2515" s="27" t="s">
        <v>696</v>
      </c>
      <c r="C2515" s="27" t="s">
        <v>686</v>
      </c>
      <c r="D2515" s="27" t="s">
        <v>687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732</v>
      </c>
      <c r="B2516" s="27" t="s">
        <v>863</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1535</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940</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676</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760</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761</v>
      </c>
      <c r="B2521" s="27" t="s">
        <v>843</v>
      </c>
      <c r="C2521" s="27" t="s">
        <v>745</v>
      </c>
      <c r="D2521" s="27" t="s">
        <v>687</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1536</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397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1537</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1538</v>
      </c>
      <c r="B2525" s="27" t="s">
        <v>692</v>
      </c>
      <c r="C2525" s="27" t="s">
        <v>693</v>
      </c>
      <c r="D2525" s="27" t="s">
        <v>687</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682</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732</v>
      </c>
      <c r="B2527" s="27" t="s">
        <v>807</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1037</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1539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676</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306</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1540</v>
      </c>
      <c r="B2532" s="27" t="s">
        <v>724</v>
      </c>
      <c r="C2532" s="27" t="s">
        <v>686</v>
      </c>
      <c r="D2532" s="27" t="s">
        <v>687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703</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1541</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683</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689</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1542</v>
      </c>
      <c r="B2537" s="27" t="s">
        <v>696</v>
      </c>
      <c r="C2537" s="27" t="s">
        <v>736</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682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732</v>
      </c>
      <c r="B2539" s="27" t="s">
        <v>863</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933</v>
      </c>
      <c r="B2540" s="27" t="s">
        <v>821</v>
      </c>
      <c r="C2540" s="27" t="s">
        <v>749</v>
      </c>
      <c r="D2540" s="27" t="s">
        <v>687</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1543</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1544</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689</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1545</v>
      </c>
      <c r="B2544" s="27" t="s">
        <v>874</v>
      </c>
      <c r="C2544" s="27" t="s">
        <v>693</v>
      </c>
      <c r="D2544" s="27" t="s">
        <v>687</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694</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683</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934</v>
      </c>
      <c r="B2547" s="27" t="s">
        <v>728</v>
      </c>
      <c r="C2547" s="27" t="s">
        <v>686</v>
      </c>
      <c r="D2547" s="27" t="s">
        <v>687</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703</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1546</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306</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1547</v>
      </c>
      <c r="B2551" s="27" t="s">
        <v>791</v>
      </c>
      <c r="C2551" s="27" t="s">
        <v>686</v>
      </c>
      <c r="D2551" s="27" t="s">
        <v>687</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1548</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698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row>
    <row r="2555" spans="1:12">
      <c r="A2555" s="20" t="s">
        <v>1549</v>
      </c>
    </row>
    <row r="2556" spans="1:12">
      <c r="A2556" s="20" t="s">
        <v>1195</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1550</v>
      </c>
      <c r="B2557" s="27" t="s">
        <v>685</v>
      </c>
      <c r="C2557" s="27" t="s">
        <v>736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732</v>
      </c>
      <c r="B2558" s="27" t="s">
        <v>807</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1303</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1268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1551</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676</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1552</v>
      </c>
      <c r="B2563" s="27" t="s">
        <v>724</v>
      </c>
      <c r="C2563" s="27" t="s">
        <v>679</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1113</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306</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1553</v>
      </c>
      <c r="B2566" s="27" t="s">
        <v>812</v>
      </c>
      <c r="C2566" s="27" t="s">
        <v>745</v>
      </c>
      <c r="D2566" s="27" t="s">
        <v>687</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1113</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740</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1554</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708</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1555</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683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1556</v>
      </c>
      <c r="B2573" s="27" t="s">
        <v>791</v>
      </c>
      <c r="C2573" s="27" t="s">
        <v>693</v>
      </c>
      <c r="D2573" s="27" t="s">
        <v>687</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694</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306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1557</v>
      </c>
      <c r="B2576" s="27" t="s">
        <v>724</v>
      </c>
      <c r="C2576" s="27" t="s">
        <v>693</v>
      </c>
      <c r="D2576" s="27" t="s">
        <v>687</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694</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683</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1558</v>
      </c>
      <c r="B2579" s="27" t="s">
        <v>812</v>
      </c>
      <c r="C2579" s="27" t="s">
        <v>686</v>
      </c>
      <c r="D2579" s="27" t="s">
        <v>687</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698</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row>
    <row r="2582" spans="1:12">
      <c r="A2582" s="20" t="s">
        <v>1559</v>
      </c>
    </row>
    <row r="2583" spans="1:12">
      <c r="A2583" s="20" t="s">
        <v>770</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1558</v>
      </c>
      <c r="B2584" s="27" t="s">
        <v>787</v>
      </c>
      <c r="C2584" s="27" t="s">
        <v>686</v>
      </c>
      <c r="D2584" s="27" t="s">
        <v>687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740</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683</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1048</v>
      </c>
      <c r="B2587" s="27" t="s">
        <v>678</v>
      </c>
      <c r="C2587" s="27" t="s">
        <v>693</v>
      </c>
      <c r="D2587" s="27" t="s">
        <v>687</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729</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1101</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694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1205</v>
      </c>
      <c r="B2591" s="27" t="s">
        <v>696</v>
      </c>
      <c r="C2591" s="27" t="s">
        <v>679</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703</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760</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1552</v>
      </c>
      <c r="B2594" s="27" t="s">
        <v>696</v>
      </c>
      <c r="C2594" s="27" t="s">
        <v>686</v>
      </c>
      <c r="D2594" s="27" t="s">
        <v>687</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732</v>
      </c>
      <c r="B2595" s="27" t="s">
        <v>863</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1560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897</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1561</v>
      </c>
      <c r="B2598" s="27" t="s">
        <v>821</v>
      </c>
      <c r="C2598" s="27" t="s">
        <v>899</v>
      </c>
      <c r="D2598" s="27" t="s">
        <v>687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703</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732</v>
      </c>
      <c r="B2600" s="27" t="s">
        <v>864</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1067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306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1557</v>
      </c>
      <c r="B2603" s="27" t="s">
        <v>874</v>
      </c>
      <c r="C2603" s="27" t="s">
        <v>693</v>
      </c>
      <c r="D2603" s="27" t="s">
        <v>687</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694</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683</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1558</v>
      </c>
      <c r="B2606" s="27" t="s">
        <v>728</v>
      </c>
      <c r="C2606" s="27" t="s">
        <v>686</v>
      </c>
      <c r="D2606" s="27" t="s">
        <v>687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1562</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778</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683</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306</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1563</v>
      </c>
      <c r="B2611" s="27" t="s">
        <v>678</v>
      </c>
      <c r="C2611" s="27" t="s">
        <v>686</v>
      </c>
      <c r="D2611" s="27" t="s">
        <v>687</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1077</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698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row>
    <row r="2615" spans="1:12">
      <c r="A2615" s="20" t="s">
        <v>1564</v>
      </c>
    </row>
    <row r="2616" spans="1:12">
      <c r="A2616" s="20" t="s">
        <v>1478</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1565</v>
      </c>
      <c r="B2617" s="27" t="s">
        <v>685</v>
      </c>
      <c r="C2617" s="27" t="s">
        <v>693</v>
      </c>
      <c r="D2617" s="27" t="s">
        <v>687</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676</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1566</v>
      </c>
      <c r="B2619" s="27" t="s">
        <v>696</v>
      </c>
      <c r="C2619" s="27" t="s">
        <v>679</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1567</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1176</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1568</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698</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row>
    <row r="2625" spans="1:12">
      <c r="A2625" s="20" t="s">
        <v>1569</v>
      </c>
    </row>
    <row r="2626" spans="1:12">
      <c r="A2626" s="20" t="s">
        <v>905</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1570</v>
      </c>
      <c r="B2627" s="27" t="s">
        <v>692</v>
      </c>
      <c r="C2627" s="27" t="s">
        <v>679</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683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306</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1571</v>
      </c>
      <c r="B2630" s="27" t="s">
        <v>692</v>
      </c>
      <c r="C2630" s="27" t="s">
        <v>686</v>
      </c>
      <c r="D2630" s="27" t="s">
        <v>687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732</v>
      </c>
      <c r="B2631" s="27" t="s">
        <v>863</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1176</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683</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936</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1572</v>
      </c>
      <c r="B2635" s="27" t="s">
        <v>821</v>
      </c>
      <c r="C2635" s="27" t="s">
        <v>679</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683</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1573</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683</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1372</v>
      </c>
      <c r="B2639" s="27" t="s">
        <v>874</v>
      </c>
      <c r="C2639" s="27" t="s">
        <v>693</v>
      </c>
      <c r="D2639" s="27" t="s">
        <v>687</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694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1373</v>
      </c>
      <c r="B2641" s="27" t="s">
        <v>728</v>
      </c>
      <c r="C2641" s="27" t="s">
        <v>745</v>
      </c>
      <c r="D2641" s="27" t="s">
        <v>687</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676</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683</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1574</v>
      </c>
      <c r="B2644" s="27" t="s">
        <v>728</v>
      </c>
      <c r="C2644" s="27" t="s">
        <v>693</v>
      </c>
      <c r="D2644" s="27" t="s">
        <v>687</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694</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733</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1048</v>
      </c>
      <c r="B2647" s="27" t="s">
        <v>744</v>
      </c>
      <c r="C2647" s="27" t="s">
        <v>736</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729</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1129</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703</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1575</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732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1210</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682</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1576</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782</v>
      </c>
      <c r="B2656" s="27" t="s">
        <v>791</v>
      </c>
      <c r="C2656" s="27" t="s">
        <v>749</v>
      </c>
      <c r="D2656" s="27" t="s">
        <v>687</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729</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1498</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708</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958</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928</v>
      </c>
      <c r="B2661" s="27" t="s">
        <v>696</v>
      </c>
      <c r="C2661" s="27" t="s">
        <v>686</v>
      </c>
      <c r="D2661" s="27" t="s">
        <v>687</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1529</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1050</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1577</v>
      </c>
      <c r="B2664" s="27" t="s">
        <v>810</v>
      </c>
      <c r="C2664" s="27" t="s">
        <v>899</v>
      </c>
      <c r="D2664" s="27" t="s">
        <v>687</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986</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1311</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1044</v>
      </c>
      <c r="B2667" s="27" t="s">
        <v>810</v>
      </c>
      <c r="C2667" s="27" t="s">
        <v>749</v>
      </c>
      <c r="D2667" s="27" t="s">
        <v>687</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698</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row>
    <row r="2670" spans="1:12">
      <c r="A2670" s="20" t="s">
        <v>1578</v>
      </c>
    </row>
    <row r="2671" spans="1:12">
      <c r="A2671" s="20" t="s">
        <v>1579</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682</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849</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306</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1400</v>
      </c>
      <c r="B2675" s="27" t="s">
        <v>692</v>
      </c>
      <c r="C2675" s="27" t="s">
        <v>686</v>
      </c>
      <c r="D2675" s="27" t="s">
        <v>687</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1169</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703</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306</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1400</v>
      </c>
      <c r="B2679" s="27" t="s">
        <v>696</v>
      </c>
      <c r="C2679" s="27" t="s">
        <v>686</v>
      </c>
      <c r="D2679" s="27" t="s">
        <v>687</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1234</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698</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row>
    <row r="2683" spans="1:12">
      <c r="A2683" s="20" t="s">
        <v>1580</v>
      </c>
    </row>
    <row r="2684" spans="1:12">
      <c r="A2684" s="20" t="s">
        <v>827</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747</v>
      </c>
      <c r="B2685" s="27" t="s">
        <v>685</v>
      </c>
      <c r="C2685" s="27" t="s">
        <v>749</v>
      </c>
      <c r="D2685" s="27" t="s">
        <v>687</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1581</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676</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1582</v>
      </c>
      <c r="B2688" s="27" t="s">
        <v>692</v>
      </c>
      <c r="C2688" s="27" t="s">
        <v>1583</v>
      </c>
      <c r="D2688" s="27" t="s">
        <v>687</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698</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row>
    <row r="2691" spans="1:12">
      <c r="A2691" s="20" t="s">
        <v>1584</v>
      </c>
    </row>
    <row r="2692" spans="1:12">
      <c r="A2692" s="20" t="s">
        <v>1585</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732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306</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1400</v>
      </c>
      <c r="B2695" s="27" t="s">
        <v>787</v>
      </c>
      <c r="C2695" s="27" t="s">
        <v>686</v>
      </c>
      <c r="D2695" s="27" t="s">
        <v>687</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1169</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740</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1586</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703</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1587</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703</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1588</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682</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703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1589</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306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990</v>
      </c>
      <c r="B2707" s="27" t="s">
        <v>692</v>
      </c>
      <c r="C2707" s="27" t="s">
        <v>731</v>
      </c>
      <c r="D2707" s="27" t="s">
        <v>687</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866</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306</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1400</v>
      </c>
      <c r="B2710" s="27" t="s">
        <v>696</v>
      </c>
      <c r="C2710" s="27" t="s">
        <v>686</v>
      </c>
      <c r="D2710" s="27" t="s">
        <v>687</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1234</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698</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row>
    <row r="2714" spans="1:12">
      <c r="A2714" s="20" t="s">
        <v>1590</v>
      </c>
    </row>
    <row r="2715" spans="1:12">
      <c r="A2715" s="20" t="s">
        <v>824</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1500</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732</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740</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733</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1591</v>
      </c>
      <c r="B2720" s="27" t="s">
        <v>678</v>
      </c>
      <c r="C2720" s="27" t="s">
        <v>736</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430</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689</v>
      </c>
      <c r="B2722" s="27" t="s">
        <v>787</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694</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1061</v>
      </c>
      <c r="B2724" s="27" t="s">
        <v>724</v>
      </c>
      <c r="C2724" s="27" t="s">
        <v>749</v>
      </c>
      <c r="D2724" s="27" t="s">
        <v>687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717</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1147</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306</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854</v>
      </c>
      <c r="B2728" s="27" t="s">
        <v>791</v>
      </c>
      <c r="C2728" s="27" t="s">
        <v>716</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698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row>
    <row r="2731" spans="1:12">
      <c r="A2731" s="20" t="s">
        <v>1592</v>
      </c>
    </row>
    <row r="2732" spans="1:12">
      <c r="A2732" s="20" t="s">
        <v>827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430</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1593</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683</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1594</v>
      </c>
      <c r="B2736" s="27" t="s">
        <v>678</v>
      </c>
      <c r="C2736" s="27" t="s">
        <v>686</v>
      </c>
      <c r="D2736" s="27" t="s">
        <v>687</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721</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1176</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683</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1595</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676</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1522</v>
      </c>
      <c r="B2742" s="27" t="s">
        <v>812</v>
      </c>
      <c r="C2742" s="27" t="s">
        <v>693</v>
      </c>
      <c r="D2742" s="27" t="s">
        <v>687</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721</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958</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751</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732</v>
      </c>
      <c r="B2746" s="27" t="s">
        <v>748</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1596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694</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1597</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682</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683</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958</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1175</v>
      </c>
      <c r="B2753" s="27" t="s">
        <v>735</v>
      </c>
      <c r="C2753" s="27" t="s">
        <v>686</v>
      </c>
      <c r="D2753" s="27" t="s">
        <v>687</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1589</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732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740</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721</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1598</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1599</v>
      </c>
      <c r="B2759" s="27" t="s">
        <v>1450</v>
      </c>
      <c r="C2759" s="27" t="s">
        <v>899</v>
      </c>
      <c r="D2759" s="27" t="s">
        <v>687</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676</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683</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1600</v>
      </c>
      <c r="B2762" s="27" t="s">
        <v>730</v>
      </c>
      <c r="C2762" s="27" t="s">
        <v>686</v>
      </c>
      <c r="D2762" s="27" t="s">
        <v>687</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430</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306</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1601</v>
      </c>
      <c r="B2765" s="27" t="s">
        <v>1602</v>
      </c>
      <c r="C2765" s="27" t="s">
        <v>686</v>
      </c>
      <c r="D2765" s="27" t="s">
        <v>687</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1603</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732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1604</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683</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1605</v>
      </c>
      <c r="B2770" s="27" t="s">
        <v>1606</v>
      </c>
      <c r="C2770" s="27" t="s">
        <v>686</v>
      </c>
      <c r="D2770" s="27" t="s">
        <v>687</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676</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306</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1607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1520</v>
      </c>
      <c r="B2774" s="27" t="s">
        <v>1455</v>
      </c>
      <c r="C2774" s="27" t="s">
        <v>686</v>
      </c>
      <c r="D2774" s="27" t="s">
        <v>687</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676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732</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828</v>
      </c>
      <c r="B2777" s="27" t="s">
        <v>1608</v>
      </c>
      <c r="C2777" s="27" t="s">
        <v>749</v>
      </c>
      <c r="D2777" s="27" t="s">
        <v>687</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1074</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1609</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683</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1610</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676</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689</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1611</v>
      </c>
      <c r="B2784" s="27" t="s">
        <v>1612</v>
      </c>
      <c r="C2784" s="27" t="s">
        <v>736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698</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row>
    <row r="2787" spans="1:12">
      <c r="A2787" s="20" t="s">
        <v>1613</v>
      </c>
    </row>
    <row r="2788" spans="1:12">
      <c r="A2788" s="20" t="s">
        <v>1614</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694</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71</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676</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721</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676</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760</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1615</v>
      </c>
      <c r="B2795" s="27" t="s">
        <v>696</v>
      </c>
      <c r="C2795" s="27" t="s">
        <v>693</v>
      </c>
      <c r="D2795" s="27" t="s">
        <v>687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866</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1616</v>
      </c>
      <c r="B2797" s="27" t="s">
        <v>724</v>
      </c>
      <c r="C2797" s="27" t="s">
        <v>693</v>
      </c>
      <c r="D2797" s="27" t="s">
        <v>687</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676</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1617</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698</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row>
    <row r="2802" spans="1:12">
      <c r="A2802" s="20" t="s">
        <v>1618</v>
      </c>
    </row>
    <row r="2803" spans="1:12">
      <c r="A2803" s="20" t="s">
        <v>1174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1175</v>
      </c>
      <c r="B2804" s="27" t="s">
        <v>678</v>
      </c>
      <c r="C2804" s="27" t="s">
        <v>679</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682</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683</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1012</v>
      </c>
      <c r="B2807" s="27" t="s">
        <v>685</v>
      </c>
      <c r="C2807" s="27" t="s">
        <v>693</v>
      </c>
      <c r="D2807" s="27" t="s">
        <v>687</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694</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683</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1619</v>
      </c>
      <c r="B2810" s="27" t="s">
        <v>696</v>
      </c>
      <c r="C2810" s="27" t="s">
        <v>686</v>
      </c>
      <c r="D2810" s="27" t="s">
        <v>687</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740</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774</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306</v>
      </c>
      <c r="B2813" s="27" t="s">
        <v>678</v>
      </c>
      <c r="C2813" s="27" t="s">
        <v>731</v>
      </c>
      <c r="D2813" s="27" t="s">
        <v>687</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732</v>
      </c>
      <c r="B2814" s="27" t="s">
        <v>787</v>
      </c>
      <c r="C2814" s="27" t="s">
        <v>1620</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740</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732</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1621</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676</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760</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1136</v>
      </c>
      <c r="B2820" s="27" t="s">
        <v>724</v>
      </c>
      <c r="C2820" s="27" t="s">
        <v>772</v>
      </c>
      <c r="D2820" s="27" t="s">
        <v>687</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851</v>
      </c>
      <c r="B2821" s="27" t="s">
        <v>791</v>
      </c>
      <c r="C2821" s="27" t="s">
        <v>686</v>
      </c>
      <c r="D2821" s="27" t="s">
        <v>687</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703</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306</v>
      </c>
      <c r="B2823" s="27" t="s">
        <v>678</v>
      </c>
      <c r="C2823" s="27" t="s">
        <v>731</v>
      </c>
      <c r="D2823" s="27" t="s">
        <v>687</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732</v>
      </c>
      <c r="B2824" s="27" t="s">
        <v>807</v>
      </c>
      <c r="C2824" s="27" t="s">
        <v>1620</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740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732</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1622</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1108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676</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1061</v>
      </c>
      <c r="B2830" s="27" t="s">
        <v>821</v>
      </c>
      <c r="C2830" s="27" t="s">
        <v>749</v>
      </c>
      <c r="D2830" s="27" t="s">
        <v>687</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780</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row>
    <row r="2833" spans="1:12">
      <c r="A2833" s="20" t="s">
        <v>1623</v>
      </c>
    </row>
    <row r="2834" spans="1:12">
      <c r="A2834" s="20" t="s">
        <v>1624</v>
      </c>
      <c r="B2834" s="27" t="s">
        <v>685</v>
      </c>
      <c r="C2834" s="27" t="s">
        <v>745</v>
      </c>
      <c r="D2834" s="27" t="s">
        <v>687</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1625</v>
      </c>
      <c r="B2835" s="27" t="s">
        <v>696</v>
      </c>
      <c r="C2835" s="27" t="s">
        <v>745</v>
      </c>
      <c r="D2835" s="27" t="s">
        <v>687</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682</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733</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1626</v>
      </c>
      <c r="B2838" s="27" t="s">
        <v>696</v>
      </c>
      <c r="C2838" s="27" t="s">
        <v>736</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1627</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850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306</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1628</v>
      </c>
      <c r="B2842" s="27" t="s">
        <v>812</v>
      </c>
      <c r="C2842" s="27" t="s">
        <v>686</v>
      </c>
      <c r="D2842" s="27" t="s">
        <v>687</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682</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803</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774</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row>
    <row r="2847" spans="1:12">
      <c r="A2847" s="20" t="s">
        <v>699</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1629</v>
      </c>
    </row>
    <row r="2849" spans="1:12">
      <c r="A2849" s="20" t="s">
        <v>674</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786</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760</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1039</v>
      </c>
      <c r="B2852" s="27" t="s">
        <v>787</v>
      </c>
      <c r="C2852" s="27" t="s">
        <v>686</v>
      </c>
      <c r="D2852" s="27" t="s">
        <v>687</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1630</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774</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674</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892</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1154</v>
      </c>
      <c r="B2857" s="27" t="s">
        <v>685</v>
      </c>
      <c r="C2857" s="27" t="s">
        <v>749</v>
      </c>
      <c r="D2857" s="27" t="s">
        <v>687</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814</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732</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306</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796</v>
      </c>
      <c r="B2861" s="27" t="s">
        <v>724</v>
      </c>
      <c r="C2861" s="27" t="s">
        <v>772</v>
      </c>
      <c r="D2861" s="27" t="s">
        <v>687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379</v>
      </c>
      <c r="B2862" s="27" t="s">
        <v>787</v>
      </c>
      <c r="C2862" s="27" t="s">
        <v>686</v>
      </c>
      <c r="D2862" s="27" t="s">
        <v>687</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717</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1631</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1632</v>
      </c>
      <c r="B2865" s="27" t="s">
        <v>678</v>
      </c>
      <c r="C2865" s="27" t="s">
        <v>679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682</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674</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306</v>
      </c>
      <c r="B2868" s="27" t="s">
        <v>692</v>
      </c>
      <c r="C2868" s="27" t="s">
        <v>731</v>
      </c>
      <c r="D2868" s="27" t="s">
        <v>687</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732</v>
      </c>
      <c r="B2869" s="27" t="s">
        <v>821</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1061</v>
      </c>
      <c r="B2870" s="27" t="s">
        <v>863</v>
      </c>
      <c r="C2870" s="27" t="s">
        <v>749</v>
      </c>
      <c r="D2870" s="27" t="s">
        <v>687</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1176</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683</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254</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740</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774</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row>
    <row r="2877" spans="1:12">
      <c r="A2877" s="20" t="s">
        <v>699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1633</v>
      </c>
    </row>
    <row r="2879" spans="1:12">
      <c r="A2879" s="20" t="s">
        <v>674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892</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1154</v>
      </c>
      <c r="B2881" s="27" t="s">
        <v>685</v>
      </c>
      <c r="C2881" s="27" t="s">
        <v>749</v>
      </c>
      <c r="D2881" s="27" t="s">
        <v>687</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814</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732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683</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1014</v>
      </c>
      <c r="B2885" s="27" t="s">
        <v>787</v>
      </c>
      <c r="C2885" s="27" t="s">
        <v>686</v>
      </c>
      <c r="D2885" s="27" t="s">
        <v>687</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732</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1634</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717</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1635</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674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1636</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732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747</v>
      </c>
      <c r="B2893" s="27" t="s">
        <v>807</v>
      </c>
      <c r="C2893" s="27" t="s">
        <v>749</v>
      </c>
      <c r="D2893" s="27" t="s">
        <v>687</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1485</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689</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379</v>
      </c>
      <c r="B2896" s="27" t="s">
        <v>810</v>
      </c>
      <c r="C2896" s="27" t="s">
        <v>736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852</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682</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1637</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682</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676</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1638</v>
      </c>
      <c r="B2902" s="27" t="s">
        <v>724</v>
      </c>
      <c r="C2902" s="27" t="s">
        <v>693</v>
      </c>
      <c r="D2902" s="27" t="s">
        <v>687</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694</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1458</v>
      </c>
      <c r="B2904" s="27" t="s">
        <v>812</v>
      </c>
      <c r="C2904" s="27" t="s">
        <v>731</v>
      </c>
      <c r="D2904" s="27" t="s">
        <v>687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1639</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row>
    <row r="2907" spans="1:12">
      <c r="A2907" s="20" t="s">
        <v>699</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1640</v>
      </c>
    </row>
    <row r="2909" spans="1:12">
      <c r="A2909" s="20" t="s">
        <v>674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1641</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1075</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698</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row>
    <row r="2914" spans="1:12">
      <c r="A2914" s="20" t="s">
        <v>1642</v>
      </c>
    </row>
    <row r="2915" spans="1:12">
      <c r="A2915" s="20" t="s">
        <v>701</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860</v>
      </c>
      <c r="B2916" s="27" t="s">
        <v>678</v>
      </c>
      <c r="C2916" s="27" t="s">
        <v>731</v>
      </c>
      <c r="D2916" s="27" t="s">
        <v>687</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732</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1643</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430</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1644</v>
      </c>
      <c r="B2920" s="27" t="s">
        <v>807</v>
      </c>
      <c r="C2920" s="27" t="s">
        <v>749</v>
      </c>
      <c r="D2920" s="27" t="s">
        <v>687</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1645</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850</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683</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1404</v>
      </c>
      <c r="B2924" s="27" t="s">
        <v>812</v>
      </c>
      <c r="C2924" s="27" t="s">
        <v>772</v>
      </c>
      <c r="D2924" s="27" t="s">
        <v>687</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1646</v>
      </c>
      <c r="B2925" s="27" t="s">
        <v>810</v>
      </c>
      <c r="C2925" s="27" t="s">
        <v>686</v>
      </c>
      <c r="D2925" s="27" t="s">
        <v>687</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698</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row>
    <row r="2928" spans="1:12">
      <c r="A2928" s="20" t="s">
        <v>699</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1647</v>
      </c>
    </row>
    <row r="2930" spans="1:12">
      <c r="A2930" s="20" t="s">
        <v>674</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701</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860</v>
      </c>
      <c r="B2932" s="27" t="s">
        <v>678</v>
      </c>
      <c r="C2932" s="27" t="s">
        <v>731</v>
      </c>
      <c r="D2932" s="27" t="s">
        <v>687</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732</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1648</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430</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1649</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850</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733</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1650</v>
      </c>
      <c r="B2939" s="27" t="s">
        <v>810</v>
      </c>
      <c r="C2939" s="27" t="s">
        <v>736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674</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1113</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732</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306</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1484</v>
      </c>
      <c r="B2944" s="27" t="s">
        <v>843</v>
      </c>
      <c r="C2944" s="27" t="s">
        <v>772</v>
      </c>
      <c r="D2944" s="27" t="s">
        <v>687</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1651</v>
      </c>
      <c r="B2945" s="27" t="s">
        <v>812</v>
      </c>
      <c r="C2945" s="27" t="s">
        <v>686</v>
      </c>
      <c r="D2945" s="27" t="s">
        <v>687</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729</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1652</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708</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806</v>
      </c>
      <c r="B2949" s="27" t="s">
        <v>728</v>
      </c>
      <c r="C2949" s="27" t="s">
        <v>749</v>
      </c>
      <c r="D2949" s="27" t="s">
        <v>687</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674</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740</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732</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689</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1288</v>
      </c>
      <c r="B2954" s="27" t="s">
        <v>744</v>
      </c>
      <c r="C2954" s="27" t="s">
        <v>754</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1653</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694</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1654</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674</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703</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732</v>
      </c>
      <c r="B2960" s="27" t="s">
        <v>748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682</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850</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1655</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694</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958</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1656</v>
      </c>
      <c r="B2966" s="27" t="s">
        <v>730</v>
      </c>
      <c r="C2966" s="27" t="s">
        <v>772</v>
      </c>
      <c r="D2966" s="27" t="s">
        <v>687</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1657</v>
      </c>
      <c r="B2967" s="27" t="s">
        <v>1450</v>
      </c>
      <c r="C2967" s="27" t="s">
        <v>686</v>
      </c>
      <c r="D2967" s="27" t="s">
        <v>687</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682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1658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1659</v>
      </c>
      <c r="B2970" s="27" t="s">
        <v>753</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708</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1644</v>
      </c>
      <c r="B2972" s="27" t="s">
        <v>1465</v>
      </c>
      <c r="C2972" s="27" t="s">
        <v>749</v>
      </c>
      <c r="D2972" s="27" t="s">
        <v>687</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1660</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698</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674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row>
    <row r="2977" spans="1:12">
      <c r="A2977" s="20" t="s">
        <v>1661</v>
      </c>
    </row>
    <row r="2978" spans="1:12">
      <c r="A2978" s="20" t="s">
        <v>701</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689</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1512</v>
      </c>
      <c r="B2980" s="27" t="s">
        <v>678</v>
      </c>
      <c r="C2980" s="27" t="s">
        <v>693</v>
      </c>
      <c r="D2980" s="27" t="s">
        <v>687</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694</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1662</v>
      </c>
      <c r="B2982" s="27" t="s">
        <v>678</v>
      </c>
      <c r="C2982" s="27" t="s">
        <v>679</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1207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1663</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836</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1664</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708</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683</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709</v>
      </c>
      <c r="B2989" s="27" t="s">
        <v>791</v>
      </c>
      <c r="C2989" s="27" t="s">
        <v>686</v>
      </c>
      <c r="D2989" s="27" t="s">
        <v>687</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694</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732</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958</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928</v>
      </c>
      <c r="B2993" s="27" t="s">
        <v>863</v>
      </c>
      <c r="C2993" s="27" t="s">
        <v>686</v>
      </c>
      <c r="D2993" s="27" t="s">
        <v>687</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782</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1665</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794</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683</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712</v>
      </c>
      <c r="B2998" s="27" t="s">
        <v>821</v>
      </c>
      <c r="C2998" s="27" t="s">
        <v>686</v>
      </c>
      <c r="D2998" s="27" t="s">
        <v>687</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732</v>
      </c>
      <c r="B2999" s="27" t="s">
        <v>742</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1067</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703</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717</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1666</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725</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1667</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986</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1668</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986</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1669</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698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row>
    <row r="3012" spans="1:12">
      <c r="A3012" s="20" t="s">
        <v>1670</v>
      </c>
    </row>
    <row r="3013" spans="1:12">
      <c r="A3013" s="20" t="s">
        <v>1671</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725</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1672</v>
      </c>
      <c r="B3015" s="27" t="s">
        <v>787</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1374</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732</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1673</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732</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1674</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708</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725</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698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row>
    <row r="3025" spans="1:12">
      <c r="A3025" s="20" t="s">
        <v>1675</v>
      </c>
    </row>
    <row r="3026" spans="1:12">
      <c r="A3026" s="20" t="s">
        <v>1676</v>
      </c>
      <c r="B3026" s="27" t="s">
        <v>685</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694</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958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1677</v>
      </c>
      <c r="B3029" s="27" t="s">
        <v>696</v>
      </c>
      <c r="C3029" s="27" t="s">
        <v>686</v>
      </c>
      <c r="D3029" s="27" t="s">
        <v>687</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732</v>
      </c>
      <c r="B3030" s="27" t="s">
        <v>821</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1428</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708</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1458</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1678</v>
      </c>
      <c r="B3034" s="27" t="s">
        <v>812</v>
      </c>
      <c r="C3034" s="27" t="s">
        <v>899</v>
      </c>
      <c r="D3034" s="27" t="s">
        <v>687</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1197</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683</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873</v>
      </c>
      <c r="B3037" s="27" t="s">
        <v>678</v>
      </c>
      <c r="C3037" s="27" t="s">
        <v>693</v>
      </c>
      <c r="D3037" s="27" t="s">
        <v>687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694</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1679</v>
      </c>
      <c r="B3039" s="27" t="s">
        <v>678</v>
      </c>
      <c r="C3039" s="27" t="s">
        <v>745</v>
      </c>
      <c r="D3039" s="27" t="s">
        <v>687</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1680</v>
      </c>
      <c r="B3040" s="27" t="s">
        <v>696</v>
      </c>
      <c r="C3040" s="27" t="s">
        <v>745</v>
      </c>
      <c r="D3040" s="27" t="s">
        <v>687</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682</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689</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694</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760</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1681</v>
      </c>
      <c r="B3045" s="27" t="s">
        <v>696</v>
      </c>
      <c r="C3045" s="27" t="s">
        <v>693</v>
      </c>
      <c r="D3045" s="27" t="s">
        <v>687</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694</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306</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1682</v>
      </c>
      <c r="B3048" s="27" t="s">
        <v>724</v>
      </c>
      <c r="C3048" s="27" t="s">
        <v>693</v>
      </c>
      <c r="D3048" s="27" t="s">
        <v>687</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694</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1683</v>
      </c>
      <c r="B3050" s="27" t="s">
        <v>812</v>
      </c>
      <c r="C3050" s="27" t="s">
        <v>745</v>
      </c>
      <c r="D3050" s="27" t="s">
        <v>687</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698</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row>
    <row r="3053" spans="1:12">
      <c r="A3053" s="20" t="s">
        <v>1684</v>
      </c>
    </row>
    <row r="3054" spans="1:12">
      <c r="A3054" s="20" t="s">
        <v>1685</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1207</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1191</v>
      </c>
      <c r="B3056" s="27" t="s">
        <v>692</v>
      </c>
      <c r="C3056" s="27" t="s">
        <v>1049</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683</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1686</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1687</v>
      </c>
      <c r="B3059" s="27" t="s">
        <v>810</v>
      </c>
      <c r="C3059" s="27" t="s">
        <v>749</v>
      </c>
      <c r="D3059" s="27" t="s">
        <v>687</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683</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1489</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794</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1298</v>
      </c>
      <c r="B3063" s="27" t="s">
        <v>791</v>
      </c>
      <c r="C3063" s="27" t="s">
        <v>749</v>
      </c>
      <c r="D3063" s="27" t="s">
        <v>687</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682</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703</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682</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430</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1688</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682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974</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983</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1689</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694</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683</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1000</v>
      </c>
      <c r="B3075" s="27" t="s">
        <v>812</v>
      </c>
      <c r="C3075" s="27" t="s">
        <v>772</v>
      </c>
      <c r="D3075" s="27" t="s">
        <v>687</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1287</v>
      </c>
      <c r="B3076" s="27" t="s">
        <v>724</v>
      </c>
      <c r="C3076" s="27" t="s">
        <v>686</v>
      </c>
      <c r="D3076" s="27" t="s">
        <v>687</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732</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717</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1690</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1691</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694</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1692</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1351</v>
      </c>
      <c r="B3083" s="27" t="s">
        <v>874</v>
      </c>
      <c r="C3083" s="27" t="s">
        <v>749</v>
      </c>
      <c r="D3083" s="27" t="s">
        <v>687</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698</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row>
    <row r="3086" spans="1:12">
      <c r="A3086" s="20" t="s">
        <v>1693</v>
      </c>
    </row>
    <row r="3087" spans="1:12">
      <c r="A3087" s="20" t="s">
        <v>756</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306</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1273</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1694</v>
      </c>
      <c r="B3090" s="27" t="s">
        <v>678</v>
      </c>
      <c r="C3090" s="27" t="s">
        <v>686</v>
      </c>
      <c r="D3090" s="27" t="s">
        <v>687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732</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1695</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794</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1061</v>
      </c>
      <c r="B3094" s="27" t="s">
        <v>678</v>
      </c>
      <c r="C3094" s="27" t="s">
        <v>749</v>
      </c>
      <c r="D3094" s="27" t="s">
        <v>687</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1113</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306</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1273</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694</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1696</v>
      </c>
      <c r="B3099" s="27" t="s">
        <v>812</v>
      </c>
      <c r="C3099" s="27" t="s">
        <v>716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1113</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1697</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729</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694</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906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1698</v>
      </c>
      <c r="B3105" s="27" t="s">
        <v>821</v>
      </c>
      <c r="C3105" s="27" t="s">
        <v>693</v>
      </c>
      <c r="D3105" s="27" t="s">
        <v>687</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694</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1699</v>
      </c>
      <c r="B3107" s="27" t="s">
        <v>843</v>
      </c>
      <c r="C3107" s="27" t="s">
        <v>679</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698</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row>
    <row r="3110" spans="1:12">
      <c r="A3110" s="20" t="s">
        <v>1700</v>
      </c>
    </row>
    <row r="3111" spans="1:12">
      <c r="A3111" s="20" t="s">
        <v>756</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683</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1701</v>
      </c>
      <c r="B3113" s="27" t="s">
        <v>678</v>
      </c>
      <c r="C3113" s="27" t="s">
        <v>693</v>
      </c>
      <c r="D3113" s="27" t="s">
        <v>687</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694</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1702</v>
      </c>
      <c r="B3115" s="27" t="s">
        <v>696</v>
      </c>
      <c r="C3115" s="27" t="s">
        <v>679</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1703</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1704</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1705</v>
      </c>
      <c r="B3118" s="27" t="s">
        <v>678</v>
      </c>
      <c r="C3118" s="27" t="s">
        <v>693</v>
      </c>
      <c r="D3118" s="27" t="s">
        <v>687</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698</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row>
    <row r="3121" spans="1:12">
      <c r="A3121" s="20" t="s">
        <v>1706</v>
      </c>
    </row>
    <row r="3122" spans="1:12">
      <c r="A3122" s="20" t="s">
        <v>1707</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1708</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676</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683</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1709</v>
      </c>
      <c r="B3126" s="27" t="s">
        <v>678</v>
      </c>
      <c r="C3126" s="27" t="s">
        <v>686</v>
      </c>
      <c r="D3126" s="27" t="s">
        <v>687</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698</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row>
    <row r="3129" spans="1:12">
      <c r="A3129" s="20" t="s">
        <v>1710</v>
      </c>
    </row>
    <row r="3130" spans="1:12">
      <c r="A3130" s="20" t="s">
        <v>1711</v>
      </c>
      <c r="B3130" s="27" t="s">
        <v>787</v>
      </c>
      <c r="C3130" s="27" t="s">
        <v>745</v>
      </c>
      <c r="D3130" s="27" t="s">
        <v>687</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1680</v>
      </c>
      <c r="B3131" s="27" t="s">
        <v>724</v>
      </c>
      <c r="C3131" s="27" t="s">
        <v>745</v>
      </c>
      <c r="D3131" s="27" t="s">
        <v>687</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1010</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683</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1712</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306</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1713</v>
      </c>
      <c r="B3136" s="27" t="s">
        <v>791</v>
      </c>
      <c r="C3136" s="27" t="s">
        <v>686</v>
      </c>
      <c r="D3136" s="27" t="s">
        <v>687</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698</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row>
    <row r="3139" spans="1:12">
      <c r="A3139" s="20" t="s">
        <v>699</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1714</v>
      </c>
    </row>
    <row r="3141" spans="1:12">
      <c r="A3141" s="20" t="s">
        <v>827</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747</v>
      </c>
      <c r="B3142" s="27" t="s">
        <v>685</v>
      </c>
      <c r="C3142" s="27" t="s">
        <v>749</v>
      </c>
      <c r="D3142" s="27" t="s">
        <v>687</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1329</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774</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674</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1318</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306</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1679</v>
      </c>
      <c r="B3148" s="27" t="s">
        <v>787</v>
      </c>
      <c r="C3148" s="27" t="s">
        <v>745</v>
      </c>
      <c r="D3148" s="27" t="s">
        <v>687</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1715</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779</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835</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682</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674</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1303</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1716</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1082</v>
      </c>
      <c r="B3156" s="27" t="s">
        <v>791</v>
      </c>
      <c r="C3156" s="27" t="s">
        <v>693</v>
      </c>
      <c r="D3156" s="27" t="s">
        <v>687</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694</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306</v>
      </c>
      <c r="B3158" s="27" t="s">
        <v>724</v>
      </c>
      <c r="C3158" s="27" t="s">
        <v>731</v>
      </c>
      <c r="D3158" s="27" t="s">
        <v>687</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732</v>
      </c>
      <c r="B3159" s="27" t="s">
        <v>864</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1717</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694</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890</v>
      </c>
      <c r="B3162" s="27" t="s">
        <v>742</v>
      </c>
      <c r="C3162" s="27" t="s">
        <v>749</v>
      </c>
      <c r="D3162" s="27" t="s">
        <v>687</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298</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780</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674</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827</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306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170</v>
      </c>
      <c r="B3168" s="27" t="s">
        <v>787</v>
      </c>
      <c r="C3168" s="27" t="s">
        <v>686</v>
      </c>
      <c r="D3168" s="27" t="s">
        <v>687</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803</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774</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row>
    <row r="3172" spans="1:12">
      <c r="A3172" s="20" t="s">
        <v>699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1718</v>
      </c>
    </row>
    <row r="3174" spans="1:12">
      <c r="A3174" s="20" t="s">
        <v>674</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1719</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732</v>
      </c>
      <c r="B3176" s="27" t="s">
        <v>692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1384</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698</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row>
    <row r="3180" spans="1:12">
      <c r="A3180" s="20" t="s">
        <v>699</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1720</v>
      </c>
    </row>
    <row r="3182" spans="1:12">
      <c r="A3182" s="20" t="s">
        <v>674</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1721</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694</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890</v>
      </c>
      <c r="B3185" s="27" t="s">
        <v>791</v>
      </c>
      <c r="C3185" s="27" t="s">
        <v>749</v>
      </c>
      <c r="D3185" s="27" t="s">
        <v>687</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298</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732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1722</v>
      </c>
      <c r="B3188" s="27" t="s">
        <v>807</v>
      </c>
      <c r="C3188" s="27" t="s">
        <v>679</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818</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1203</v>
      </c>
      <c r="B3190" s="27" t="s">
        <v>864</v>
      </c>
      <c r="C3190" s="27" t="s">
        <v>749</v>
      </c>
      <c r="D3190" s="27" t="s">
        <v>687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126</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683</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936</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698</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674</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row>
    <row r="3197" spans="1:12">
      <c r="A3197" s="20" t="s">
        <v>1723</v>
      </c>
    </row>
    <row r="3198" spans="1:12">
      <c r="A3198" s="20" t="s">
        <v>1711</v>
      </c>
      <c r="B3198" s="27" t="s">
        <v>685</v>
      </c>
      <c r="C3198" s="27" t="s">
        <v>745</v>
      </c>
      <c r="D3198" s="27" t="s">
        <v>687</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1724</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708</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306</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1725</v>
      </c>
      <c r="B3202" s="27" t="s">
        <v>678</v>
      </c>
      <c r="C3202" s="27" t="s">
        <v>686</v>
      </c>
      <c r="D3202" s="27" t="s">
        <v>687</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703</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1726</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1727</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689</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1728</v>
      </c>
      <c r="B3207" s="27" t="s">
        <v>696</v>
      </c>
      <c r="C3207" s="27" t="s">
        <v>736</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698</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row>
    <row r="3210" spans="1:12">
      <c r="A3210" s="20" t="s">
        <v>1729</v>
      </c>
    </row>
    <row r="3211" spans="1:12">
      <c r="A3211" s="20" t="s">
        <v>939</v>
      </c>
      <c r="B3211" s="27" t="s">
        <v>685</v>
      </c>
      <c r="C3211" s="27" t="s">
        <v>745</v>
      </c>
      <c r="D3211" s="27" t="s">
        <v>687</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1724</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708</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1730</v>
      </c>
      <c r="B3214" s="27" t="s">
        <v>678</v>
      </c>
      <c r="C3214" s="27" t="s">
        <v>679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703</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803</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774</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row>
    <row r="3219" spans="1:12">
      <c r="A3219" s="20" t="s">
        <v>699</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1731</v>
      </c>
    </row>
    <row r="3221" spans="1:12">
      <c r="A3221" s="20" t="s">
        <v>674</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1732</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890</v>
      </c>
      <c r="B3223" s="27" t="s">
        <v>692</v>
      </c>
      <c r="C3223" s="27" t="s">
        <v>749</v>
      </c>
      <c r="D3223" s="27" t="s">
        <v>687</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732</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830</v>
      </c>
      <c r="B3225" s="27" t="s">
        <v>791</v>
      </c>
      <c r="C3225" s="27" t="s">
        <v>749</v>
      </c>
      <c r="D3225" s="27" t="s">
        <v>687</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1733</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850</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t="s">
        <v>725</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683</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1000</v>
      </c>
      <c r="B3230" s="27" t="s">
        <v>724</v>
      </c>
      <c r="C3230" s="27" t="s">
        <v>772</v>
      </c>
      <c r="D3230" s="27" t="s">
        <v>687</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795</v>
      </c>
      <c r="B3231" s="27" t="s">
        <v>696</v>
      </c>
      <c r="C3231" s="27" t="s">
        <v>686</v>
      </c>
      <c r="D3231" s="27" t="s">
        <v>687</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674</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703</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1210</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66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306</v>
      </c>
      <c r="B3236" s="27" t="s">
        <v>821</v>
      </c>
      <c r="C3236" s="27" t="s">
        <v>731</v>
      </c>
      <c r="D3236" s="27" t="s">
        <v>687</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732</v>
      </c>
      <c r="B3237" s="27" t="s">
        <v>739</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1010</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683</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512</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t="s">
        <v>1734</v>
      </c>
      <c r="E3241" s="21">
        <f>IF(D3241="?OLD","!!!","")</f>
        <v/>
      </c>
      <c r="F3241" s="22" t="str">
        <f>IF(OR(E3241="",E3241="!!!"),"",IF(NOT(ISNA(VLOOKUP(E3241,E$1:E3240,1,FALSE()))),"OLD",IF(AND(E3241&lt;&gt;"",E3241&lt;&gt;"!!!"),"NEW","")))</f>
        <v> </v>
      </c>
      <c r="G3241" s="23" t="str">
        <f>IF(OR(E3241="",E3241="!!!"),"",IF(OR(J3241=0,AND(J3241=1,K3241=1),AND(J3241=1,I3241="SBJ"),AND(J3241=1,I3241=0)),"?IN_FOCUS",IF(J3241&lt;=2,"?ACTIVATED",IF(J3241&lt;&gt;"","?FAMILIAR",IF(F3241="NEW",IF(ISNA(VLOOKUP(E3241,#REF!,1,FALSE())),"?TYPE_IDENTIFIABLE","?REFERENTIAL"),"_")))))</f>
        <v> </v>
      </c>
      <c r="H3241" s="24" t="str">
        <f>IF(J3241&lt;&gt;1,"",IF(I3241="SBJ","CB","?"))</f>
        <v> </v>
      </c>
      <c r="I3241" s="25" t="str">
        <f>IF(OR(E3241="",E3241="!!!",F3241="NEW"),"",INDEX(B3240:B$2,-1+SUMPRODUCT(MAX(ROW(E3240:E$2)*(E3241=E3240:E$2)))))</f>
        <v> </v>
      </c>
      <c r="J3241" s="25" t="str">
        <f>IF(OR(E3241="",E3241="!!!",F3241="NEW"),"",COUNTBLANK(OFFSET(A$1,,,SUMPRODUCT(MAX(ROW(E$2:E3241)*(E3241=E$2:E3241)))))-COUNTBLANK(OFFSET(A$1,,,SUMPRODUCT(MAX(ROW(E$1:E3240)*(E2=E$1:E3240))))))</f>
        <v> </v>
      </c>
      <c r="K3241" s="25" t="str">
        <f>IF(OR(E3241="",E3241="!!!",F3241="NEW"),"",INDEX(J$1:J3240,SUMPRODUCT(MAX(ROW(E$1:E3240)*(E3241=E$1:E3240)))))</f>
        <v> </v>
      </c>
      <c r="L3241" s="26"/>
    </row>
    <row r="3242" spans="1:12">
      <c r="A3242" s="20" t="s">
        <v>694</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683</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1000</v>
      </c>
      <c r="B3244" s="27" t="s">
        <v>1450</v>
      </c>
      <c r="C3244" s="27" t="s">
        <v>772</v>
      </c>
      <c r="D3244" s="27" t="s">
        <v>687</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1735</v>
      </c>
      <c r="B3245" s="27" t="s">
        <v>735</v>
      </c>
      <c r="C3245" s="27" t="s">
        <v>686</v>
      </c>
      <c r="D3245" s="27" t="s">
        <v>687</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698</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674</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786</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747</v>
      </c>
      <c r="B3249" s="27" t="s">
        <v>787</v>
      </c>
      <c r="C3249" s="27" t="s">
        <v>749</v>
      </c>
      <c r="D3249" s="27" t="s">
        <v>687</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1736</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794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828</v>
      </c>
      <c r="B3252" s="27" t="s">
        <v>696</v>
      </c>
      <c r="C3252" s="27" t="s">
        <v>749</v>
      </c>
      <c r="D3252" s="27" t="s">
        <v>687</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789</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752</v>
      </c>
      <c r="B3254" s="27" t="s">
        <v>791</v>
      </c>
      <c r="C3254" s="27" t="s">
        <v>1049</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729</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1068</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1113</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689</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694</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1696</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1737</v>
      </c>
      <c r="B3261" s="27" t="s">
        <v>728</v>
      </c>
      <c r="C3261" s="27" t="s">
        <v>1049</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732</v>
      </c>
      <c r="B3262" s="27" t="s">
        <v>748</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1347</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1738</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1113</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828</v>
      </c>
      <c r="B3266" s="27" t="s">
        <v>863</v>
      </c>
      <c r="C3266" s="27" t="s">
        <v>749</v>
      </c>
      <c r="D3266" s="27" t="s">
        <v>687</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803</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774</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row>
    <row r="3270" spans="1:12">
      <c r="A3270" s="20" t="s">
        <v>699</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1739</v>
      </c>
    </row>
    <row r="3272" spans="1:12">
      <c r="A3272" s="20" t="s">
        <v>674</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508</v>
      </c>
      <c r="B3273" s="27" t="s">
        <v>678</v>
      </c>
      <c r="C3273" s="27" t="s">
        <v>745</v>
      </c>
      <c r="D3273" s="27" t="s">
        <v>687</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682</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1740</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732</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877</v>
      </c>
      <c r="B3277" s="27" t="s">
        <v>787</v>
      </c>
      <c r="C3277" s="27" t="s">
        <v>731</v>
      </c>
      <c r="D3277" s="27" t="s">
        <v>687</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1741</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682</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674</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747</v>
      </c>
      <c r="B3281" s="27" t="s">
        <v>807</v>
      </c>
      <c r="C3281" s="27" t="s">
        <v>749</v>
      </c>
      <c r="D3281" s="27" t="s">
        <v>687</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847</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1742</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1210</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202</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1743</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682</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1210</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202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1744</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851</v>
      </c>
      <c r="B3291" s="27" t="s">
        <v>742</v>
      </c>
      <c r="C3291" s="27" t="s">
        <v>679</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698</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row>
    <row r="3294" spans="1:12">
      <c r="A3294" s="20" t="s">
        <v>699</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1745</v>
      </c>
    </row>
    <row r="3296" spans="1:12">
      <c r="A3296" s="20" t="s">
        <v>674</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1318</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747</v>
      </c>
      <c r="B3298" s="27" t="s">
        <v>807</v>
      </c>
      <c r="C3298" s="27" t="s">
        <v>749</v>
      </c>
      <c r="D3298" s="27" t="s">
        <v>687</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717</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1485</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1746</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708</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306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1747</v>
      </c>
      <c r="B3304" s="27" t="s">
        <v>724</v>
      </c>
      <c r="C3304" s="27" t="s">
        <v>693</v>
      </c>
      <c r="D3304" s="27" t="s">
        <v>687</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694</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1748</v>
      </c>
      <c r="B3306" s="27" t="s">
        <v>812</v>
      </c>
      <c r="C3306" s="27" t="s">
        <v>745</v>
      </c>
      <c r="D3306" s="27" t="s">
        <v>687</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674</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703</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717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830</v>
      </c>
      <c r="B3310" s="27" t="s">
        <v>821</v>
      </c>
      <c r="C3310" s="27" t="s">
        <v>749</v>
      </c>
      <c r="D3310" s="27" t="s">
        <v>687</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1485</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1749</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794</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1429</v>
      </c>
      <c r="B3314" s="27" t="s">
        <v>812</v>
      </c>
      <c r="C3314" s="27" t="s">
        <v>745</v>
      </c>
      <c r="D3314" s="27" t="s">
        <v>687</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682</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674</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1013</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1014</v>
      </c>
      <c r="B3318" s="27" t="s">
        <v>787</v>
      </c>
      <c r="C3318" s="27" t="s">
        <v>899</v>
      </c>
      <c r="D3318" s="27" t="s">
        <v>687</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717</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1213</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1750</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682</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1013</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1751</v>
      </c>
      <c r="B3324" s="27" t="s">
        <v>685</v>
      </c>
      <c r="C3324" s="27" t="s">
        <v>899</v>
      </c>
      <c r="D3324" s="27" t="s">
        <v>687</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1385</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717</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1213</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1752</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698</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row>
    <row r="3331" spans="1:12">
      <c r="A3331" s="20" t="s">
        <v>699</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1753</v>
      </c>
    </row>
    <row r="3333" spans="1:12">
      <c r="A3333" s="20" t="s">
        <v>674</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824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1634</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1754</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683</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1369</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732</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t="s">
        <v>1755</v>
      </c>
      <c r="E3340" s="21">
        <f>IF(D3340="?OLD","!!!","")</f>
        <v/>
      </c>
      <c r="F3340" s="22" t="str">
        <f>IF(OR(E3340="",E3340="!!!"),"",IF(NOT(ISNA(VLOOKUP(E3340,E$1:E3339,1,FALSE()))),"OLD",IF(AND(E3340&lt;&gt;"",E3340&lt;&gt;"!!!"),"NEW","")))</f>
        <v> </v>
      </c>
      <c r="G3340" s="23" t="str">
        <f>IF(OR(E3340="",E3340="!!!"),"",IF(OR(J3340=0,AND(J3340=1,K3340=1),AND(J3340=1,I3340="SBJ"),AND(J3340=1,I3340=0)),"?IN_FOCUS",IF(J3340&lt;=2,"?ACTIVATED",IF(J3340&lt;&gt;"","?FAMILIAR",IF(F3340="NEW",IF(ISNA(VLOOKUP(E3340,#REF!,1,FALSE())),"?TYPE_IDENTIFIABLE","?REFERENTIAL"),"_")))))</f>
        <v> </v>
      </c>
      <c r="H3340" s="24" t="str">
        <f>IF(J3340&lt;&gt;1,"",IF(I3340="SBJ","CB","?"))</f>
        <v> </v>
      </c>
      <c r="I3340" s="25" t="str">
        <f>IF(OR(E3340="",E3340="!!!",F3340="NEW"),"",INDEX(B3339:B$2,-1+SUMPRODUCT(MAX(ROW(E3339:E$2)*(E3340=E3339:E$2)))))</f>
        <v> </v>
      </c>
      <c r="J3340" s="25" t="str">
        <f>IF(OR(E3340="",E3340="!!!",F3340="NEW"),"",COUNTBLANK(OFFSET(A$1,,,SUMPRODUCT(MAX(ROW(E$2:E3340)*(E3340=E$2:E3340)))))-COUNTBLANK(OFFSET(A$1,,,SUMPRODUCT(MAX(ROW(E$1:E3339)*(E2=E$1:E3339))))))</f>
        <v> </v>
      </c>
      <c r="K3340" s="25" t="str">
        <f>IF(OR(E3340="",E3340="!!!",F3340="NEW"),"",INDEX(J$1:J3339,SUMPRODUCT(MAX(ROW(E$1:E3339)*(E3340=E$1:E3339)))))</f>
        <v> </v>
      </c>
      <c r="L3340" s="26"/>
    </row>
    <row r="3341" spans="1:12">
      <c r="A3341" s="20" t="s">
        <v>1756</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760</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851</v>
      </c>
      <c r="B3343" s="27" t="s">
        <v>810</v>
      </c>
      <c r="C3343" s="27" t="s">
        <v>686</v>
      </c>
      <c r="D3343" s="27" t="s">
        <v>687</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732</v>
      </c>
      <c r="B3344" s="27" t="s">
        <v>864</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1757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674</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732</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717</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901</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1758</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733</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712</v>
      </c>
      <c r="B3352" s="27" t="s">
        <v>1759</v>
      </c>
      <c r="C3352" s="27" t="s">
        <v>736</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t="s">
        <v>1760</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1061</v>
      </c>
      <c r="B3354" s="27" t="s">
        <v>744</v>
      </c>
      <c r="C3354" s="27" t="s">
        <v>749</v>
      </c>
      <c r="D3354" s="27" t="s">
        <v>687</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698</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row>
    <row r="3357" spans="1:12">
      <c r="A3357" s="20" t="s">
        <v>699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1761</v>
      </c>
    </row>
    <row r="3359" spans="1:12">
      <c r="A3359" s="20" t="s">
        <v>674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1762</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683</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1763</v>
      </c>
      <c r="B3362" s="27" t="s">
        <v>692</v>
      </c>
      <c r="C3362" s="27" t="s">
        <v>686</v>
      </c>
      <c r="D3362" s="27" t="s">
        <v>687</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732</v>
      </c>
      <c r="B3363" s="27" t="s">
        <v>807</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1764</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683</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760</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1019</v>
      </c>
      <c r="B3367" s="27" t="s">
        <v>724</v>
      </c>
      <c r="C3367" s="27" t="s">
        <v>716</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682</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708</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683</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1157</v>
      </c>
      <c r="B3371" s="27" t="s">
        <v>864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717</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t="s">
        <v>1251</v>
      </c>
      <c r="E3373" s="21">
        <f>IF(D3373="?OLD","!!!","")</f>
        <v/>
      </c>
      <c r="F3373" s="22" t="str">
        <f>IF(OR(E3373="",E3373="!!!"),"",IF(NOT(ISNA(VLOOKUP(E3373,E$1:E3372,1,FALSE()))),"OLD",IF(AND(E3373&lt;&gt;"",E3373&lt;&gt;"!!!"),"NEW","")))</f>
        <v> </v>
      </c>
      <c r="G3373" s="23" t="str">
        <f>IF(OR(E3373="",E3373="!!!"),"",IF(OR(J3373=0,AND(J3373=1,K3373=1),AND(J3373=1,I3373="SBJ"),AND(J3373=1,I3373=0)),"?IN_FOCUS",IF(J3373&lt;=2,"?ACTIVATED",IF(J3373&lt;&gt;"","?FAMILIAR",IF(F3373="NEW",IF(ISNA(VLOOKUP(E3373,#REF!,1,FALSE())),"?TYPE_IDENTIFIABLE","?REFERENTIAL"),"_")))))</f>
        <v> </v>
      </c>
      <c r="H3373" s="24" t="str">
        <f>IF(J3373&lt;&gt;1,"",IF(I3373="SBJ","CB","?"))</f>
        <v> </v>
      </c>
      <c r="I3373" s="25" t="str">
        <f>IF(OR(E3373="",E3373="!!!",F3373="NEW"),"",INDEX(B3372:B$2,-1+SUMPRODUCT(MAX(ROW(E3372:E$2)*(E3373=E3372:E$2)))))</f>
        <v> </v>
      </c>
      <c r="J3373" s="25" t="str">
        <f>IF(OR(E3373="",E3373="!!!",F3373="NEW"),"",COUNTBLANK(OFFSET(A$1,,,SUMPRODUCT(MAX(ROW(E$2:E3373)*(E3373=E$2:E3373)))))-COUNTBLANK(OFFSET(A$1,,,SUMPRODUCT(MAX(ROW(E$1:E3372)*(E2=E$1:E3372))))))</f>
        <v> </v>
      </c>
      <c r="K3373" s="25" t="str">
        <f>IF(OR(E3373="",E3373="!!!",F3373="NEW"),"",INDEX(J$1:J3372,SUMPRODUCT(MAX(ROW(E$1:E3372)*(E3373=E$1:E3372)))))</f>
        <v> </v>
      </c>
      <c r="L3373" s="26"/>
    </row>
    <row r="3374" spans="1:12">
      <c r="A3374" s="20" t="s">
        <v>184</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1765</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1766</v>
      </c>
      <c r="B3376" s="27" t="s">
        <v>874</v>
      </c>
      <c r="C3376" s="27" t="s">
        <v>754</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682</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674</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836</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708</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683</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1763</v>
      </c>
      <c r="B3382" s="27" t="s">
        <v>843</v>
      </c>
      <c r="C3382" s="27" t="s">
        <v>686</v>
      </c>
      <c r="D3382" s="27" t="s">
        <v>687</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732</v>
      </c>
      <c r="B3383" s="27" t="s">
        <v>739</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1061</v>
      </c>
      <c r="B3384" s="27" t="s">
        <v>739</v>
      </c>
      <c r="C3384" s="27" t="s">
        <v>749</v>
      </c>
      <c r="D3384" s="27" t="s">
        <v>687</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830</v>
      </c>
      <c r="B3385" s="27" t="s">
        <v>1759</v>
      </c>
      <c r="C3385" s="27" t="s">
        <v>749</v>
      </c>
      <c r="D3385" s="27" t="s">
        <v>687</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1764</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682</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1083</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1766</v>
      </c>
      <c r="B3389" s="27" t="s">
        <v>742</v>
      </c>
      <c r="C3389" s="27" t="s">
        <v>679</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674</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698</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row>
    <row r="3393" spans="1:12">
      <c r="A3393" s="20" t="s">
        <v>699</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1767</v>
      </c>
    </row>
    <row r="3395" spans="1:12">
      <c r="A3395" s="20" t="s">
        <v>674</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1507</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903</v>
      </c>
      <c r="B3397" s="27" t="s">
        <v>678</v>
      </c>
      <c r="C3397" s="27" t="s">
        <v>731</v>
      </c>
      <c r="D3397" s="27" t="s">
        <v>687</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682</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1248</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1768</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732</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1213</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1268</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861</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708</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306</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856</v>
      </c>
      <c r="B3407" s="27" t="s">
        <v>696</v>
      </c>
      <c r="C3407" s="27" t="s">
        <v>686</v>
      </c>
      <c r="D3407" s="27" t="s">
        <v>687</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674</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732</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1679</v>
      </c>
      <c r="B3410" s="27" t="s">
        <v>787</v>
      </c>
      <c r="C3410" s="27" t="s">
        <v>745</v>
      </c>
      <c r="D3410" s="27" t="s">
        <v>687</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1210</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1485</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1769</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682</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674</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1770</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732</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903</v>
      </c>
      <c r="B3418" s="27" t="s">
        <v>807</v>
      </c>
      <c r="C3418" s="27" t="s">
        <v>731</v>
      </c>
      <c r="D3418" s="27" t="s">
        <v>687</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717</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1213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1268</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306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861</v>
      </c>
      <c r="B3423" s="27" t="s">
        <v>696</v>
      </c>
      <c r="C3423" s="27" t="s">
        <v>693</v>
      </c>
      <c r="D3423" s="27" t="s">
        <v>687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708</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1771</v>
      </c>
      <c r="B3425" s="27" t="s">
        <v>724</v>
      </c>
      <c r="C3425" s="27" t="s">
        <v>679</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674</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1772</v>
      </c>
      <c r="B3427" s="27" t="s">
        <v>812</v>
      </c>
      <c r="C3427" s="27" t="s">
        <v>745</v>
      </c>
      <c r="D3427" s="27" t="s">
        <v>687</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721</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833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1773</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732</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1502</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1070</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1677</v>
      </c>
      <c r="B3434" s="27" t="s">
        <v>864</v>
      </c>
      <c r="C3434" s="27" t="s">
        <v>899</v>
      </c>
      <c r="D3434" s="27" t="s">
        <v>687</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1774</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1704</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1775</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851</v>
      </c>
      <c r="B3438" s="27" t="s">
        <v>874</v>
      </c>
      <c r="C3438" s="27" t="s">
        <v>899</v>
      </c>
      <c r="D3438" s="27" t="s">
        <v>687</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794</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1704</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1775</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1463</v>
      </c>
      <c r="B3442" s="27" t="s">
        <v>874</v>
      </c>
      <c r="C3442" s="27" t="s">
        <v>899</v>
      </c>
      <c r="D3442" s="27" t="s">
        <v>687</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682</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1463</v>
      </c>
      <c r="B3444" s="27" t="s">
        <v>728</v>
      </c>
      <c r="C3444" s="27" t="s">
        <v>679</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732</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1061</v>
      </c>
      <c r="B3446" s="27" t="s">
        <v>748</v>
      </c>
      <c r="C3446" s="27" t="s">
        <v>749</v>
      </c>
      <c r="D3446" s="27" t="s">
        <v>687</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682</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676</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683</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1000</v>
      </c>
      <c r="B3450" s="27" t="s">
        <v>1450</v>
      </c>
      <c r="C3450" s="27" t="s">
        <v>772</v>
      </c>
      <c r="D3450" s="27" t="s">
        <v>687</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1776</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979</v>
      </c>
      <c r="B3452" s="27" t="s">
        <v>735</v>
      </c>
      <c r="C3452" s="27" t="s">
        <v>686</v>
      </c>
      <c r="D3452" s="27" t="s">
        <v>687</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682</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1777</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1331</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1342</v>
      </c>
      <c r="B3456" s="27" t="s">
        <v>753</v>
      </c>
      <c r="C3456" s="27" t="s">
        <v>716</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708</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1778</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682</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703</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732</v>
      </c>
      <c r="B3461" s="27" t="s">
        <v>1779</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1704</v>
      </c>
      <c r="B3462" s="27" t="s">
        <v>1780</v>
      </c>
      <c r="C3462" s="27" t="s">
        <v>1583</v>
      </c>
      <c r="D3462" s="27" t="s">
        <v>687</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1781</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1782</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1756</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1783</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676</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1344</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1142</v>
      </c>
      <c r="B3469" s="27" t="s">
        <v>1454</v>
      </c>
      <c r="C3469" s="27" t="s">
        <v>899</v>
      </c>
      <c r="D3469" s="27" t="s">
        <v>687</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694</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1619</v>
      </c>
      <c r="B3471" s="27" t="s">
        <v>1455</v>
      </c>
      <c r="C3471" s="27" t="s">
        <v>679</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698</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row>
    <row r="3474" spans="1:12">
      <c r="A3474" s="20" t="s">
        <v>1784</v>
      </c>
    </row>
    <row r="3475" spans="1:12">
      <c r="A3475" s="20" t="s">
        <v>881</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870</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732</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1704</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806</v>
      </c>
      <c r="B3479" s="27" t="s">
        <v>791</v>
      </c>
      <c r="C3479" s="27" t="s">
        <v>749</v>
      </c>
      <c r="D3479" s="27" t="s">
        <v>687</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682</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732</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849</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851</v>
      </c>
      <c r="B3483" s="27" t="s">
        <v>810</v>
      </c>
      <c r="C3483" s="27" t="s">
        <v>679</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682</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1785</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760</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851</v>
      </c>
      <c r="B3487" s="27" t="s">
        <v>692</v>
      </c>
      <c r="C3487" s="27" t="s">
        <v>686</v>
      </c>
      <c r="D3487" s="27" t="s">
        <v>687</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732</v>
      </c>
      <c r="B3488" s="27" t="s">
        <v>807</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849</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682</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794</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760</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844</v>
      </c>
      <c r="B3493" s="27" t="s">
        <v>812</v>
      </c>
      <c r="C3493" s="27" t="s">
        <v>772</v>
      </c>
      <c r="D3493" s="27" t="s">
        <v>687</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1786</v>
      </c>
      <c r="B3494" s="27" t="s">
        <v>810</v>
      </c>
      <c r="C3494" s="27" t="s">
        <v>686</v>
      </c>
      <c r="D3494" s="27" t="s">
        <v>687</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698</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row>
    <row r="3497" spans="1:12">
      <c r="A3497" s="20" t="s">
        <v>1787</v>
      </c>
    </row>
    <row r="3498" spans="1:12">
      <c r="A3498" s="20" t="s">
        <v>1318</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1026</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1788</v>
      </c>
      <c r="B3500" s="27" t="s">
        <v>685</v>
      </c>
      <c r="C3500" s="27" t="s">
        <v>693</v>
      </c>
      <c r="D3500" s="27" t="s">
        <v>687</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1789</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694</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1002</v>
      </c>
      <c r="B3503" s="27" t="s">
        <v>696</v>
      </c>
      <c r="C3503" s="27" t="s">
        <v>679</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1790</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850</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306</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1791</v>
      </c>
      <c r="B3507" s="27" t="s">
        <v>692</v>
      </c>
      <c r="C3507" s="27" t="s">
        <v>693</v>
      </c>
      <c r="D3507" s="27" t="s">
        <v>687</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694</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683</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771</v>
      </c>
      <c r="B3510" s="27" t="s">
        <v>724</v>
      </c>
      <c r="C3510" s="27" t="s">
        <v>772</v>
      </c>
      <c r="D3510" s="27" t="s">
        <v>687</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1792</v>
      </c>
      <c r="B3511" s="27" t="s">
        <v>696</v>
      </c>
      <c r="C3511" s="27" t="s">
        <v>686</v>
      </c>
      <c r="D3511" s="27" t="s">
        <v>687</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694</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126</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703</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782</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1793</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708</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242</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958</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1035</v>
      </c>
      <c r="B3520" s="27" t="s">
        <v>810</v>
      </c>
      <c r="C3520" s="27" t="s">
        <v>686</v>
      </c>
      <c r="D3520" s="27" t="s">
        <v>687</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732</v>
      </c>
      <c r="B3521" s="27" t="s">
        <v>874</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1634</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703</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1497</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830</v>
      </c>
      <c r="B3525" s="27" t="s">
        <v>791</v>
      </c>
      <c r="C3525" s="27" t="s">
        <v>749</v>
      </c>
      <c r="D3525" s="27" t="s">
        <v>687</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1134</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682</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1035</v>
      </c>
      <c r="B3528" s="27" t="s">
        <v>724</v>
      </c>
      <c r="C3528" s="27" t="s">
        <v>679</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1794</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1113</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729</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1795</v>
      </c>
      <c r="B3532" s="27" t="s">
        <v>812</v>
      </c>
      <c r="C3532" s="27" t="s">
        <v>1049</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682</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729</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1796</v>
      </c>
      <c r="B3535" s="27" t="s">
        <v>812</v>
      </c>
      <c r="C3535" s="27" t="s">
        <v>1049</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682</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729</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1797</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682</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729</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1798</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1113</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747</v>
      </c>
      <c r="B3543" s="27" t="s">
        <v>807</v>
      </c>
      <c r="C3543" s="27" t="s">
        <v>749</v>
      </c>
      <c r="D3543" s="27" t="s">
        <v>687</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1217</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1799</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830</v>
      </c>
      <c r="B3546" s="27" t="s">
        <v>810</v>
      </c>
      <c r="C3546" s="27" t="s">
        <v>749</v>
      </c>
      <c r="D3546" s="27" t="s">
        <v>687</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683</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958</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1035</v>
      </c>
      <c r="B3549" s="27" t="s">
        <v>810</v>
      </c>
      <c r="C3549" s="27" t="s">
        <v>686</v>
      </c>
      <c r="D3549" s="27" t="s">
        <v>687</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732</v>
      </c>
      <c r="B3550" s="27" t="s">
        <v>864</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1634</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703</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1800</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708</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1555</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715</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1801</v>
      </c>
      <c r="B3557" s="27" t="s">
        <v>1759</v>
      </c>
      <c r="C3557" s="27" t="s">
        <v>1049</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1802</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698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row>
    <row r="3561" spans="1:12">
      <c r="A3561" s="20" t="s">
        <v>699</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1803</v>
      </c>
    </row>
    <row r="3563" spans="1:12">
      <c r="A3563" s="20" t="s">
        <v>756</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306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965</v>
      </c>
      <c r="B3565" s="27" t="s">
        <v>678</v>
      </c>
      <c r="C3565" s="27" t="s">
        <v>686</v>
      </c>
      <c r="D3565" s="27" t="s">
        <v>687</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682</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1804</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732</v>
      </c>
      <c r="B3568" s="27" t="s">
        <v>692</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682</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694</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683</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1805</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1594</v>
      </c>
      <c r="B3573" s="27" t="s">
        <v>696</v>
      </c>
      <c r="C3573" s="27" t="s">
        <v>686</v>
      </c>
      <c r="D3573" s="27" t="s">
        <v>687</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732</v>
      </c>
      <c r="B3574" s="27" t="s">
        <v>863</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1806</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689</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1807</v>
      </c>
      <c r="B3577" s="27" t="s">
        <v>821</v>
      </c>
      <c r="C3577" s="27" t="s">
        <v>736</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683</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683</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841</v>
      </c>
      <c r="B3580" s="27" t="s">
        <v>812</v>
      </c>
      <c r="C3580" s="27" t="s">
        <v>693</v>
      </c>
      <c r="D3580" s="27" t="s">
        <v>687</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694</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1808</v>
      </c>
      <c r="B3582" s="27" t="s">
        <v>843</v>
      </c>
      <c r="C3582" s="27" t="s">
        <v>679</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676</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733</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1809</v>
      </c>
      <c r="B3585" s="27" t="s">
        <v>812</v>
      </c>
      <c r="C3585" s="27" t="s">
        <v>736</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708</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1122</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732</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717</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1810</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1808</v>
      </c>
      <c r="B3591" s="27" t="s">
        <v>1759</v>
      </c>
      <c r="C3591" s="27" t="s">
        <v>679</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430</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306</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1115</v>
      </c>
      <c r="B3594" s="27" t="s">
        <v>1450</v>
      </c>
      <c r="C3594" s="27" t="s">
        <v>772</v>
      </c>
      <c r="D3594" s="27" t="s">
        <v>687</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379</v>
      </c>
      <c r="B3595" s="27" t="s">
        <v>748</v>
      </c>
      <c r="C3595" s="27" t="s">
        <v>686</v>
      </c>
      <c r="D3595" s="27" t="s">
        <v>687</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782</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1811</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1207</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694</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306</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1812</v>
      </c>
      <c r="B3601" s="27" t="s">
        <v>1450</v>
      </c>
      <c r="C3601" s="27" t="s">
        <v>686</v>
      </c>
      <c r="D3601" s="27" t="s">
        <v>687</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1813</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682</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1527</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1070</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1814</v>
      </c>
      <c r="B3606" s="27" t="s">
        <v>753</v>
      </c>
      <c r="C3606" s="27" t="s">
        <v>899</v>
      </c>
      <c r="D3606" s="27" t="s">
        <v>687</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694</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1677</v>
      </c>
      <c r="B3608" s="27" t="s">
        <v>1450</v>
      </c>
      <c r="C3608" s="27" t="s">
        <v>679</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683</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1815</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1070</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1413</v>
      </c>
      <c r="B3612" s="27" t="s">
        <v>1283</v>
      </c>
      <c r="C3612" s="27" t="s">
        <v>899</v>
      </c>
      <c r="D3612" s="27" t="s">
        <v>687</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1816</v>
      </c>
      <c r="B3613" s="27" t="s">
        <v>1602</v>
      </c>
      <c r="C3613" s="27" t="s">
        <v>716</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782</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1817</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676</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683</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1142</v>
      </c>
      <c r="B3618" s="27" t="s">
        <v>1454</v>
      </c>
      <c r="C3618" s="27" t="s">
        <v>693</v>
      </c>
      <c r="D3618" s="27" t="s">
        <v>687</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1818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694</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683</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1819</v>
      </c>
      <c r="B3622" s="27" t="s">
        <v>1455</v>
      </c>
      <c r="C3622" s="27" t="s">
        <v>686</v>
      </c>
      <c r="D3622" s="27" t="s">
        <v>687</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682</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732</v>
      </c>
      <c r="B3624" s="27" t="s">
        <v>1608</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740</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1151</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1113</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683</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958</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1175</v>
      </c>
      <c r="B3630" s="27" t="s">
        <v>1612</v>
      </c>
      <c r="C3630" s="27" t="s">
        <v>679</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1820</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708</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760</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1136</v>
      </c>
      <c r="B3634" s="27" t="s">
        <v>1612</v>
      </c>
      <c r="C3634" s="27" t="s">
        <v>772</v>
      </c>
      <c r="D3634" s="27" t="s">
        <v>687</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851</v>
      </c>
      <c r="B3635" s="27" t="s">
        <v>1821</v>
      </c>
      <c r="C3635" s="27" t="s">
        <v>686</v>
      </c>
      <c r="D3635" s="27" t="s">
        <v>687</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703</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1822</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774</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674</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1046</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957</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1823</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780</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674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1824</v>
      </c>
      <c r="B3645" s="27" t="s">
        <v>696</v>
      </c>
      <c r="C3645" s="27" t="s">
        <v>745</v>
      </c>
      <c r="D3645" s="27" t="s">
        <v>687</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732</v>
      </c>
      <c r="B3646" s="27" t="s">
        <v>821</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682</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1248</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805</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733</v>
      </c>
      <c r="B3650" s="27" t="s">
        <v>863</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694</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1050</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1413</v>
      </c>
      <c r="B3653" s="27" t="s">
        <v>863</v>
      </c>
      <c r="C3653" s="27" t="s">
        <v>899</v>
      </c>
      <c r="D3653" s="27" t="s">
        <v>687</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1825</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1826</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1827</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1113</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1083</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1392</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1828</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1829</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1677</v>
      </c>
      <c r="B3662" s="27" t="s">
        <v>874</v>
      </c>
      <c r="C3662" s="27" t="s">
        <v>1049</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683</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1236</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794</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683</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1830</v>
      </c>
      <c r="B3667" s="27" t="s">
        <v>728</v>
      </c>
      <c r="C3667" s="27" t="s">
        <v>686</v>
      </c>
      <c r="D3667" s="27" t="s">
        <v>687</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682</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1828</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1829</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1677</v>
      </c>
      <c r="B3671" s="27" t="s">
        <v>742</v>
      </c>
      <c r="C3671" s="27" t="s">
        <v>693</v>
      </c>
      <c r="D3671" s="27" t="s">
        <v>687</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694</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1035</v>
      </c>
      <c r="B3673" s="27" t="s">
        <v>744</v>
      </c>
      <c r="C3673" s="27" t="s">
        <v>679</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732</v>
      </c>
      <c r="B3674" s="27" t="s">
        <v>1465</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t="s">
        <v>1037</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1831</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682</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1828</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1829</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1677</v>
      </c>
      <c r="B3680" s="27" t="s">
        <v>744</v>
      </c>
      <c r="C3680" s="27" t="s">
        <v>693</v>
      </c>
      <c r="D3680" s="27" t="s">
        <v>687</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694</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1832</v>
      </c>
      <c r="B3682" s="27" t="s">
        <v>735</v>
      </c>
      <c r="C3682" s="27" t="s">
        <v>679</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682</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1113</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732</v>
      </c>
      <c r="B3685" s="27" t="s">
        <v>739</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1833</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1834</v>
      </c>
      <c r="B3687" s="27" t="s">
        <v>1759</v>
      </c>
      <c r="C3687" s="27" t="s">
        <v>679</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1835</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676</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1696</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1836</v>
      </c>
      <c r="B3691" s="27" t="s">
        <v>744</v>
      </c>
      <c r="C3691" s="27" t="s">
        <v>1049</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1113</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1083</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1104</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1677</v>
      </c>
      <c r="B3695" s="27" t="s">
        <v>753</v>
      </c>
      <c r="C3695" s="27" t="s">
        <v>1049</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676</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805</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733</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694</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1070</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1837</v>
      </c>
      <c r="B3701" s="27" t="s">
        <v>1450</v>
      </c>
      <c r="C3701" s="27" t="s">
        <v>899</v>
      </c>
      <c r="D3701" s="27" t="s">
        <v>687</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698</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row>
    <row r="3704" spans="1:12">
      <c r="A3704" s="20" t="s">
        <v>1838</v>
      </c>
    </row>
    <row r="3705" spans="1:12">
      <c r="A3705" s="20" t="s">
        <v>824</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782</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1839</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683</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71</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732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683</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1142</v>
      </c>
      <c r="B3712" s="27" t="s">
        <v>863</v>
      </c>
      <c r="C3712" s="27" t="s">
        <v>686</v>
      </c>
      <c r="D3712" s="27" t="s">
        <v>687</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694</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1236</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794</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683</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1840</v>
      </c>
      <c r="B3717" s="27" t="s">
        <v>742</v>
      </c>
      <c r="C3717" s="27" t="s">
        <v>686</v>
      </c>
      <c r="D3717" s="27" t="s">
        <v>687</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1734</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694</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683</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1841</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873</v>
      </c>
      <c r="B3722" s="27" t="s">
        <v>744</v>
      </c>
      <c r="C3722" s="27" t="s">
        <v>686</v>
      </c>
      <c r="D3722" s="27" t="s">
        <v>687</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740</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877</v>
      </c>
      <c r="B3724" s="27" t="s">
        <v>724</v>
      </c>
      <c r="C3724" s="27" t="s">
        <v>731</v>
      </c>
      <c r="D3724" s="27" t="s">
        <v>687</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794</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732</v>
      </c>
      <c r="B3726" s="27" t="s">
        <v>742</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1134</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928</v>
      </c>
      <c r="B3728" s="27" t="s">
        <v>1066</v>
      </c>
      <c r="C3728" s="27" t="s">
        <v>1049</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1176</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683</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1236</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682</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1317</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1051</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732</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740</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689</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1842</v>
      </c>
      <c r="B3738" s="27" t="s">
        <v>678</v>
      </c>
      <c r="C3738" s="27" t="s">
        <v>736</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1150</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1818</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698</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row>
    <row r="3743" spans="1:12">
      <c r="A3743" s="20" t="s">
        <v>1843</v>
      </c>
    </row>
    <row r="3744" spans="1:12">
      <c r="A3744" s="20" t="s">
        <v>1844</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682</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1845</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782</v>
      </c>
      <c r="B3747" s="27" t="s">
        <v>685</v>
      </c>
      <c r="C3747" s="27" t="s">
        <v>749</v>
      </c>
      <c r="D3747" s="27" t="s">
        <v>687</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732</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1037</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958</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1656</v>
      </c>
      <c r="B3751" s="27" t="s">
        <v>696</v>
      </c>
      <c r="C3751" s="27" t="s">
        <v>772</v>
      </c>
      <c r="D3751" s="27" t="s">
        <v>687</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t="s">
        <v>1413</v>
      </c>
      <c r="B3752" s="27" t="s">
        <v>678</v>
      </c>
      <c r="C3752" s="27" t="s">
        <v>686</v>
      </c>
      <c r="D3752" s="27" t="s">
        <v>687</v>
      </c>
      <c r="E3752" s="21">
        <f>IF(D3752="?OLD","!!!","")</f>
        <v/>
      </c>
      <c r="F3752" s="22" t="str">
        <f>IF(OR(E3752="",E3752="!!!"),"",IF(NOT(ISNA(VLOOKUP(E3752,E$1:E3751,1,FALSE()))),"OLD",IF(AND(E3752&lt;&gt;"",E3752&lt;&gt;"!!!"),"NEW","")))</f>
        <v> </v>
      </c>
      <c r="G3752" s="23" t="str">
        <f>IF(OR(E3752="",E3752="!!!"),"",IF(OR(J3752=0,AND(J3752=1,K3752=1),AND(J3752=1,I3752="SBJ"),AND(J3752=1,I3752=0)),"?IN_FOCUS",IF(J3752&lt;=2,"?ACTIVATED",IF(J3752&lt;&gt;"","?FAMILIAR",IF(F3752="NEW",IF(ISNA(VLOOKUP(E3752,#REF!,1,FALSE())),"?TYPE_IDENTIFIABLE","?REFERENTIAL"),"_")))))</f>
        <v> </v>
      </c>
      <c r="H3752" s="24" t="str">
        <f>IF(J3752&lt;&gt;1,"",IF(I3752="SBJ","CB","?"))</f>
        <v> </v>
      </c>
      <c r="I3752" s="25" t="str">
        <f>IF(OR(E3752="",E3752="!!!",F3752="NEW"),"",INDEX(B3751:B$2,-1+SUMPRODUCT(MAX(ROW(E3751:E$2)*(E3752=E3751:E$2)))))</f>
        <v> </v>
      </c>
      <c r="J3752" s="25" t="str">
        <f>IF(OR(E3752="",E3752="!!!",F3752="NEW"),"",COUNTBLANK(OFFSET(A$1,,,SUMPRODUCT(MAX(ROW(E$2:E3752)*(E3752=E$2:E3752)))))-COUNTBLANK(OFFSET(A$1,,,SUMPRODUCT(MAX(ROW(E$1:E3751)*(E2=E$1:E3751))))))</f>
        <v> </v>
      </c>
      <c r="K3752" s="25" t="str">
        <f>IF(OR(E3752="",E3752="!!!",F3752="NEW"),"",INDEX(J$1:J3751,SUMPRODUCT(MAX(ROW(E$1:E3751)*(E3752=E$1:E3751)))))</f>
        <v> </v>
      </c>
      <c r="L3752" s="26"/>
    </row>
    <row r="3753" spans="1:12">
      <c r="A3753" s="20" t="s">
        <v>703</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721</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1846</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794</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683</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1840</v>
      </c>
      <c r="B3758" s="27" t="s">
        <v>791</v>
      </c>
      <c r="C3758" s="27" t="s">
        <v>686</v>
      </c>
      <c r="D3758" s="27" t="s">
        <v>687</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732</v>
      </c>
      <c r="B3759" s="27" t="s">
        <v>821</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676</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760</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1847</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698</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row>
    <row r="3765" spans="1:12">
      <c r="A3765" s="20" t="s">
        <v>1848</v>
      </c>
    </row>
    <row r="3766" spans="1:12">
      <c r="A3766" s="20" t="s">
        <v>1154</v>
      </c>
      <c r="B3766" s="27" t="s">
        <v>685</v>
      </c>
      <c r="C3766" s="27" t="s">
        <v>749</v>
      </c>
      <c r="D3766" s="27" t="s">
        <v>687</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1849</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202</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851</v>
      </c>
      <c r="B3769" s="27" t="s">
        <v>791</v>
      </c>
      <c r="C3769" s="27" t="s">
        <v>679</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1248</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1010</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683</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269</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676</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1458</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1678</v>
      </c>
      <c r="B3776" s="27" t="s">
        <v>724</v>
      </c>
      <c r="C3776" s="27" t="s">
        <v>899</v>
      </c>
      <c r="D3776" s="27" t="s">
        <v>687</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698</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row>
    <row r="3779" spans="1:12">
      <c r="A3779" s="20" t="s">
        <v>1850</v>
      </c>
    </row>
    <row r="3780" spans="1:12">
      <c r="A3780" s="20" t="s">
        <v>1174</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928</v>
      </c>
      <c r="B3781" s="27" t="s">
        <v>685</v>
      </c>
      <c r="C3781" s="27" t="s">
        <v>1049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1851</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1852</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703</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1853</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774</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row>
    <row r="3788" spans="1:12">
      <c r="A3788" s="20" t="s">
        <v>699</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1854</v>
      </c>
    </row>
    <row r="3790" spans="1:12">
      <c r="A3790" s="20" t="s">
        <v>674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824</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721</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740</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732</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1855</v>
      </c>
      <c r="B3795" s="27" t="s">
        <v>685</v>
      </c>
      <c r="C3795" s="27" t="s">
        <v>679</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543</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202</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851</v>
      </c>
      <c r="B3798" s="27" t="s">
        <v>791</v>
      </c>
      <c r="C3798" s="27" t="s">
        <v>679</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674</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1248</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1856</v>
      </c>
      <c r="B3801" s="27" t="s">
        <v>812</v>
      </c>
      <c r="C3801" s="27" t="s">
        <v>679</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1342</v>
      </c>
      <c r="B3802" s="27" t="s">
        <v>863</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306</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732</v>
      </c>
      <c r="B3804" s="27" t="s">
        <v>843</v>
      </c>
      <c r="C3804" s="27" t="s">
        <v>731</v>
      </c>
      <c r="D3804" s="27" t="s">
        <v>687</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1251</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1497</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1857</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780</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674</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row>
    <row r="3811" spans="1:12">
      <c r="A3811" s="20" t="s">
        <v>699</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1858</v>
      </c>
    </row>
    <row r="3813" spans="1:12">
      <c r="A3813" s="20" t="s">
        <v>827</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747</v>
      </c>
      <c r="B3814" s="27" t="s">
        <v>807</v>
      </c>
      <c r="C3814" s="27" t="s">
        <v>749</v>
      </c>
      <c r="D3814" s="27" t="s">
        <v>687</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1859</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774</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674</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1154</v>
      </c>
      <c r="B3818" s="27" t="s">
        <v>787</v>
      </c>
      <c r="C3818" s="27" t="s">
        <v>749</v>
      </c>
      <c r="D3818" s="27" t="s">
        <v>687</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717</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895</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683</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1860</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1342</v>
      </c>
      <c r="B3823" s="27" t="s">
        <v>863</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306</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732</v>
      </c>
      <c r="B3825" s="27" t="s">
        <v>843</v>
      </c>
      <c r="C3825" s="27" t="s">
        <v>731</v>
      </c>
      <c r="D3825" s="27" t="s">
        <v>687</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1251</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1497</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1857</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698</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row>
    <row r="3831" spans="1:12">
      <c r="A3831" s="20" t="s">
        <v>699</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1861</v>
      </c>
    </row>
    <row r="3833" spans="1:12">
      <c r="A3833" s="20" t="s">
        <v>674</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12</v>
      </c>
      <c r="B3834" s="27" t="s">
        <v>807</v>
      </c>
      <c r="C3834" s="27" t="s">
        <v>731</v>
      </c>
      <c r="D3834" s="27" t="s">
        <v>687</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732</v>
      </c>
      <c r="B3835" s="27" t="s">
        <v>742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747</v>
      </c>
      <c r="B3836" s="27" t="s">
        <v>1066</v>
      </c>
      <c r="C3836" s="27" t="s">
        <v>749</v>
      </c>
      <c r="D3836" s="27" t="s">
        <v>687</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895</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683</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1860</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740</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1862</v>
      </c>
      <c r="B3841" s="27" t="s">
        <v>724</v>
      </c>
      <c r="C3841" s="27" t="s">
        <v>1620</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848</v>
      </c>
      <c r="B3842" s="27" t="s">
        <v>787</v>
      </c>
      <c r="C3842" s="27" t="s">
        <v>1049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1251</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1654</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682</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674</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990</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430</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1342</v>
      </c>
      <c r="B3849" s="27" t="s">
        <v>807</v>
      </c>
      <c r="C3849" s="27" t="s">
        <v>716</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1078</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126</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683</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1863</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1864</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698</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674</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1772</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1207</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676</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683</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795</v>
      </c>
      <c r="B3861" s="27" t="s">
        <v>810</v>
      </c>
      <c r="C3861" s="27" t="s">
        <v>693</v>
      </c>
      <c r="D3861" s="27" t="s">
        <v>687</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694</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733</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1014</v>
      </c>
      <c r="B3864" s="27" t="s">
        <v>812</v>
      </c>
      <c r="C3864" s="27" t="s">
        <v>736</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1865</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732</v>
      </c>
      <c r="B3866" s="27" t="s">
        <v>742</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747</v>
      </c>
      <c r="B3867" s="27" t="s">
        <v>1066</v>
      </c>
      <c r="C3867" s="27" t="s">
        <v>749</v>
      </c>
      <c r="D3867" s="27" t="s">
        <v>687</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750</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1866</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682</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733</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1014</v>
      </c>
      <c r="B3872" s="27" t="s">
        <v>812</v>
      </c>
      <c r="C3872" s="27" t="s">
        <v>693</v>
      </c>
      <c r="D3872" s="27" t="s">
        <v>687</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794</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733</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1867</v>
      </c>
      <c r="B3875" s="27" t="s">
        <v>843</v>
      </c>
      <c r="C3875" s="27" t="s">
        <v>736</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1868</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682</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732</v>
      </c>
      <c r="B3878" s="27" t="s">
        <v>739</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1869</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850</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1870</v>
      </c>
      <c r="B3881" s="27" t="s">
        <v>744</v>
      </c>
      <c r="C3881" s="27" t="s">
        <v>679</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1871</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698</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row>
    <row r="3885" spans="1:12">
      <c r="A3885" s="20" t="s">
        <v>1872</v>
      </c>
    </row>
    <row r="3886" spans="1:12">
      <c r="A3886" s="20" t="s">
        <v>786</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958</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1873</v>
      </c>
      <c r="B3888" s="27" t="s">
        <v>724</v>
      </c>
      <c r="C3888" s="27" t="s">
        <v>772</v>
      </c>
      <c r="D3888" s="27" t="s">
        <v>687</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1874</v>
      </c>
      <c r="B3889" s="27" t="s">
        <v>787</v>
      </c>
      <c r="C3889" s="27" t="s">
        <v>686</v>
      </c>
      <c r="D3889" s="27" t="s">
        <v>687</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1432</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1875</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682</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683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795</v>
      </c>
      <c r="B3894" s="27" t="s">
        <v>685</v>
      </c>
      <c r="C3894" s="27" t="s">
        <v>686</v>
      </c>
      <c r="D3894" s="27" t="s">
        <v>687</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803</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774</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row>
    <row r="3898" spans="1:12">
      <c r="A3898" s="20" t="s">
        <v>699</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1876</v>
      </c>
    </row>
    <row r="3900" spans="1:12">
      <c r="A3900" s="20" t="s">
        <v>674</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1877</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779</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850</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1766</v>
      </c>
      <c r="B3904" s="27" t="s">
        <v>678</v>
      </c>
      <c r="C3904" s="27" t="s">
        <v>679</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850</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202</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1268</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1878</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1444</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1175</v>
      </c>
      <c r="B3910" s="27" t="s">
        <v>696</v>
      </c>
      <c r="C3910" s="27" t="s">
        <v>754</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774</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674</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1879</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830</v>
      </c>
      <c r="B3914" s="27" t="s">
        <v>791</v>
      </c>
      <c r="C3914" s="27" t="s">
        <v>749</v>
      </c>
      <c r="D3914" s="27" t="s">
        <v>687</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683</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1014</v>
      </c>
      <c r="B3916" s="27" t="s">
        <v>791</v>
      </c>
      <c r="C3916" s="27" t="s">
        <v>686</v>
      </c>
      <c r="D3916" s="27" t="s">
        <v>687</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732</v>
      </c>
      <c r="B3917" s="27" t="s">
        <v>821</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814</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703</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1880</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1879</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830</v>
      </c>
      <c r="B3922" s="27" t="s">
        <v>810</v>
      </c>
      <c r="C3922" s="27" t="s">
        <v>749</v>
      </c>
      <c r="D3922" s="27" t="s">
        <v>687</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306</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379</v>
      </c>
      <c r="B3924" s="27" t="s">
        <v>807</v>
      </c>
      <c r="C3924" s="27" t="s">
        <v>686</v>
      </c>
      <c r="D3924" s="27" t="s">
        <v>687</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732</v>
      </c>
      <c r="B3925" s="27" t="s">
        <v>864</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1881</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698</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674</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row>
    <row r="3930" spans="1:12">
      <c r="A3930" s="20" t="s">
        <v>1882</v>
      </c>
    </row>
    <row r="3931" spans="1:12">
      <c r="A3931" s="20" t="s">
        <v>827</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747</v>
      </c>
      <c r="B3932" s="27" t="s">
        <v>685</v>
      </c>
      <c r="C3932" s="27" t="s">
        <v>749</v>
      </c>
      <c r="D3932" s="27" t="s">
        <v>687</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1883</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682</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1317</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682</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732</v>
      </c>
      <c r="B3937" s="27" t="s">
        <v>787</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833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1884</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853</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1118</v>
      </c>
      <c r="B3941" s="27" t="s">
        <v>807</v>
      </c>
      <c r="C3941" s="27" t="s">
        <v>1049</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527</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853</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1014</v>
      </c>
      <c r="B3944" s="27" t="s">
        <v>863</v>
      </c>
      <c r="C3944" s="27" t="s">
        <v>1049</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782</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1485</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1390</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1885</v>
      </c>
      <c r="B3948" s="27" t="s">
        <v>812</v>
      </c>
      <c r="C3948" s="27" t="s">
        <v>679</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694</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1886</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886</v>
      </c>
      <c r="B3951" s="27" t="s">
        <v>742</v>
      </c>
      <c r="C3951" s="27" t="s">
        <v>749</v>
      </c>
      <c r="D3951" s="27" t="s">
        <v>687</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698</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row>
    <row r="3954" spans="1:12">
      <c r="A3954" s="20" t="s">
        <v>1887</v>
      </c>
    </row>
    <row r="3955" spans="1:12">
      <c r="A3955" s="20" t="s">
        <v>12</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796</v>
      </c>
      <c r="B3956" s="27" t="s">
        <v>696</v>
      </c>
      <c r="C3956" s="27" t="s">
        <v>772</v>
      </c>
      <c r="D3956" s="27" t="s">
        <v>687</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581</v>
      </c>
      <c r="B3957" s="27" t="s">
        <v>685</v>
      </c>
      <c r="C3957" s="27" t="s">
        <v>686</v>
      </c>
      <c r="D3957" s="27" t="s">
        <v>687</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740</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306</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170</v>
      </c>
      <c r="B3960" s="27" t="s">
        <v>678</v>
      </c>
      <c r="C3960" s="27" t="s">
        <v>693</v>
      </c>
      <c r="D3960" s="27" t="s">
        <v>687</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1888</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694</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1085</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851</v>
      </c>
      <c r="B3964" s="27" t="s">
        <v>678</v>
      </c>
      <c r="C3964" s="27" t="s">
        <v>693</v>
      </c>
      <c r="D3964" s="27" t="s">
        <v>687</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794</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1104</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1889</v>
      </c>
      <c r="B3967" s="27" t="s">
        <v>696</v>
      </c>
      <c r="C3967" s="27" t="s">
        <v>693</v>
      </c>
      <c r="D3967" s="27" t="s">
        <v>687</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1890</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676</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1891</v>
      </c>
      <c r="B3970" s="27" t="s">
        <v>724</v>
      </c>
      <c r="C3970" s="27" t="s">
        <v>745</v>
      </c>
      <c r="D3970" s="27" t="s">
        <v>687</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698</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row>
    <row r="3973" spans="1:12">
      <c r="A3973" s="20" t="s">
        <v>1892</v>
      </c>
    </row>
    <row r="3974" spans="1:12">
      <c r="A3974" s="20" t="s">
        <v>1154</v>
      </c>
      <c r="B3974" s="27" t="s">
        <v>685</v>
      </c>
      <c r="C3974" s="27" t="s">
        <v>749</v>
      </c>
      <c r="D3974" s="27" t="s">
        <v>687</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750</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689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994</v>
      </c>
      <c r="B3977" s="27" t="s">
        <v>692</v>
      </c>
      <c r="C3977" s="27" t="s">
        <v>736</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1893</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694</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683</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695</v>
      </c>
      <c r="B3981" s="27" t="s">
        <v>724</v>
      </c>
      <c r="C3981" s="27" t="s">
        <v>686</v>
      </c>
      <c r="D3981" s="27" t="s">
        <v>687</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732</v>
      </c>
      <c r="B3982" s="27" t="s">
        <v>864</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750</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758</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850</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689</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1894</v>
      </c>
      <c r="B3987" s="27" t="s">
        <v>843</v>
      </c>
      <c r="C3987" s="27" t="s">
        <v>736</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703</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814</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202</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851</v>
      </c>
      <c r="B3991" s="27" t="s">
        <v>810</v>
      </c>
      <c r="C3991" s="27" t="s">
        <v>679</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698</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row>
    <row r="3994" spans="1:12">
      <c r="A3994" s="20" t="s">
        <v>1895</v>
      </c>
    </row>
    <row r="3995" spans="1:12">
      <c r="A3995" s="20" t="s">
        <v>827</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1740</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682</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828</v>
      </c>
      <c r="B3998" s="27" t="s">
        <v>685</v>
      </c>
      <c r="C3998" s="27" t="s">
        <v>749</v>
      </c>
      <c r="D3998" s="27" t="s">
        <v>687</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703</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747</v>
      </c>
      <c r="B4000" s="27" t="s">
        <v>807</v>
      </c>
      <c r="C4000" s="27" t="s">
        <v>749</v>
      </c>
      <c r="D4000" s="27" t="s">
        <v>687</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849</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733</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997</v>
      </c>
      <c r="B4003" s="27" t="s">
        <v>810</v>
      </c>
      <c r="C4003" s="27" t="s">
        <v>736</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682</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703</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795</v>
      </c>
      <c r="B4006" s="27" t="s">
        <v>696</v>
      </c>
      <c r="C4006" s="27" t="s">
        <v>679</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703</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997</v>
      </c>
      <c r="B4008" s="27" t="s">
        <v>696</v>
      </c>
      <c r="C4008" s="27" t="s">
        <v>679</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1896</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676</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306</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1897</v>
      </c>
      <c r="B4012" s="27" t="s">
        <v>678</v>
      </c>
      <c r="C4012" s="27" t="s">
        <v>745</v>
      </c>
      <c r="D4012" s="27" t="s">
        <v>687</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698</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row>
    <row r="4015" spans="1:12">
      <c r="A4015" s="20" t="s">
        <v>1898</v>
      </c>
    </row>
    <row r="4016" spans="1:12">
      <c r="A4016" s="20" t="s">
        <v>827</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306</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796</v>
      </c>
      <c r="B4018" s="27" t="s">
        <v>678</v>
      </c>
      <c r="C4018" s="27" t="s">
        <v>772</v>
      </c>
      <c r="D4018" s="27" t="s">
        <v>687</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581</v>
      </c>
      <c r="B4019" s="27" t="s">
        <v>678</v>
      </c>
      <c r="C4019" s="27" t="s">
        <v>686</v>
      </c>
      <c r="D4019" s="27" t="s">
        <v>687</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703</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747</v>
      </c>
      <c r="B4021" s="27" t="s">
        <v>787</v>
      </c>
      <c r="C4021" s="27" t="s">
        <v>749</v>
      </c>
      <c r="D4021" s="27" t="s">
        <v>687</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849</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689</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379</v>
      </c>
      <c r="B4024" s="27" t="s">
        <v>791</v>
      </c>
      <c r="C4024" s="27" t="s">
        <v>736</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t="s">
        <v>732</v>
      </c>
      <c r="B4025" s="27" t="s">
        <v>863</v>
      </c>
      <c r="E4025" s="21">
        <f>IF(D4025="?OLD","!!!","")</f>
        <v/>
      </c>
      <c r="F4025" s="22" t="str">
        <f>IF(OR(E4025="",E4025="!!!"),"",IF(NOT(ISNA(VLOOKUP(E4025,E$1:E4024,1,FALSE()))),"OLD",IF(AND(E4025&lt;&gt;"",E4025&lt;&gt;"!!!"),"NEW","")))</f>
        <v> </v>
      </c>
      <c r="G4025" s="23" t="str">
        <f>IF(OR(E4025="",E4025="!!!"),"",IF(OR(J4025=0,AND(J4025=1,K4025=1),AND(J4025=1,I4025="SBJ"),AND(J4025=1,I4025=0)),"?IN_FOCUS",IF(J4025&lt;=2,"?ACTIVATED",IF(J4025&lt;&gt;"","?FAMILIAR",IF(F4025="NEW",IF(ISNA(VLOOKUP(E4025,#REF!,1,FALSE())),"?TYPE_IDENTIFIABLE","?REFERENTIAL"),"_")))))</f>
        <v> </v>
      </c>
      <c r="H4025" s="24" t="str">
        <f>IF(J4025&lt;&gt;1,"",IF(I4025="SBJ","CB","?"))</f>
        <v> </v>
      </c>
      <c r="I4025" s="25" t="str">
        <f>IF(OR(E4025="",E4025="!!!",F4025="NEW"),"",INDEX(B4024:B$2,-1+SUMPRODUCT(MAX(ROW(E4024:E$2)*(E4025=E4024:E$2)))))</f>
        <v> </v>
      </c>
      <c r="J4025" s="25" t="str">
        <f>IF(OR(E4025="",E4025="!!!",F4025="NEW"),"",COUNTBLANK(OFFSET(A$1,,,SUMPRODUCT(MAX(ROW(E$2:E4025)*(E4025=E$2:E4025)))))-COUNTBLANK(OFFSET(A$1,,,SUMPRODUCT(MAX(ROW(E$1:E4024)*(E2=E$1:E4024))))))</f>
        <v> </v>
      </c>
      <c r="K4025" s="25" t="str">
        <f>IF(OR(E4025="",E4025="!!!",F4025="NEW"),"",INDEX(J$1:J4024,SUMPRODUCT(MAX(ROW(E$1:E4024)*(E4025=E$1:E4024)))))</f>
        <v> </v>
      </c>
      <c r="L4025" s="26"/>
    </row>
    <row r="4026" spans="1:12">
      <c r="A4026" s="20" t="s">
        <v>1899</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1900</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1901</v>
      </c>
      <c r="B4028" s="27" t="s">
        <v>812</v>
      </c>
      <c r="C4028" s="27" t="s">
        <v>679</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306</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1191</v>
      </c>
      <c r="B4030" s="27" t="s">
        <v>821</v>
      </c>
      <c r="C4030" s="27" t="s">
        <v>686</v>
      </c>
      <c r="D4030" s="27" t="s">
        <v>687</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1245</v>
      </c>
      <c r="B4031" s="27" t="s">
        <v>843</v>
      </c>
      <c r="C4031" s="27" t="s">
        <v>1583</v>
      </c>
      <c r="D4031" s="27" t="s">
        <v>687</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682</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694</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306</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1157</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747</v>
      </c>
      <c r="B4036" s="27" t="s">
        <v>864</v>
      </c>
      <c r="C4036" s="27" t="s">
        <v>749</v>
      </c>
      <c r="D4036" s="27" t="s">
        <v>687</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838</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306</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170</v>
      </c>
      <c r="B4039" s="27" t="s">
        <v>812</v>
      </c>
      <c r="C4039" s="27" t="s">
        <v>693</v>
      </c>
      <c r="D4039" s="27" t="s">
        <v>687</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1888</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682</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703</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683</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1404</v>
      </c>
      <c r="B4044" s="27" t="s">
        <v>744</v>
      </c>
      <c r="C4044" s="27" t="s">
        <v>772</v>
      </c>
      <c r="D4044" s="27" t="s">
        <v>687</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1902</v>
      </c>
      <c r="B4045" s="27" t="s">
        <v>1066</v>
      </c>
      <c r="C4045" s="27" t="s">
        <v>693</v>
      </c>
      <c r="D4045" s="27" t="s">
        <v>687</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708</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683</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1574</v>
      </c>
      <c r="B4048" s="27" t="s">
        <v>744</v>
      </c>
      <c r="C4048" s="27" t="s">
        <v>686</v>
      </c>
      <c r="D4048" s="27" t="s">
        <v>687</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1197</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683</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1903</v>
      </c>
      <c r="B4051" s="27" t="s">
        <v>843</v>
      </c>
      <c r="C4051" s="27" t="s">
        <v>745</v>
      </c>
      <c r="D4051" s="27" t="s">
        <v>687</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682</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683</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795</v>
      </c>
      <c r="B4054" s="27" t="s">
        <v>843</v>
      </c>
      <c r="C4054" s="27" t="s">
        <v>693</v>
      </c>
      <c r="D4054" s="27" t="s">
        <v>687</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1904</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694</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1905</v>
      </c>
      <c r="B4057" s="27" t="s">
        <v>728</v>
      </c>
      <c r="C4057" s="27" t="s">
        <v>745</v>
      </c>
      <c r="D4057" s="27" t="s">
        <v>687</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703</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1906</v>
      </c>
      <c r="B4059" s="27" t="s">
        <v>744</v>
      </c>
      <c r="C4059" s="27" t="s">
        <v>745</v>
      </c>
      <c r="D4059" s="27" t="s">
        <v>687</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676</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1891</v>
      </c>
      <c r="B4061" s="27" t="s">
        <v>728</v>
      </c>
      <c r="C4061" s="27" t="s">
        <v>745</v>
      </c>
      <c r="D4061" s="27" t="s">
        <v>687</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698</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row>
    <row r="4064" spans="1:12">
      <c r="A4064" s="20" t="s">
        <v>1907</v>
      </c>
    </row>
    <row r="4065" spans="1:12">
      <c r="A4065" s="20" t="s">
        <v>1579</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t="s">
        <v>682</v>
      </c>
      <c r="E4066" s="21">
        <f>IF(D4066="?OLD","!!!","")</f>
        <v/>
      </c>
      <c r="F4066" s="22" t="str">
        <f>IF(OR(E4066="",E4066="!!!"),"",IF(NOT(ISNA(VLOOKUP(E4066,E$1:E4065,1,FALSE()))),"OLD",IF(AND(E4066&lt;&gt;"",E4066&lt;&gt;"!!!"),"NEW","")))</f>
        <v> </v>
      </c>
      <c r="G4066" s="23" t="str">
        <f>IF(OR(E4066="",E4066="!!!"),"",IF(OR(J4066=0,AND(J4066=1,K4066=1),AND(J4066=1,I4066="SBJ"),AND(J4066=1,I4066=0)),"?IN_FOCUS",IF(J4066&lt;=2,"?ACTIVATED",IF(J4066&lt;&gt;"","?FAMILIAR",IF(F4066="NEW",IF(ISNA(VLOOKUP(E4066,#REF!,1,FALSE())),"?TYPE_IDENTIFIABLE","?REFERENTIAL"),"_")))))</f>
        <v> </v>
      </c>
      <c r="H4066" s="24" t="str">
        <f>IF(J4066&lt;&gt;1,"",IF(I4066="SBJ","CB","?"))</f>
        <v> </v>
      </c>
      <c r="I4066" s="25" t="str">
        <f>IF(OR(E4066="",E4066="!!!",F4066="NEW"),"",INDEX(B4065:B$2,-1+SUMPRODUCT(MAX(ROW(E4065:E$2)*(E4066=E4065:E$2)))))</f>
        <v> </v>
      </c>
      <c r="J4066" s="25" t="str">
        <f>IF(OR(E4066="",E4066="!!!",F4066="NEW"),"",COUNTBLANK(OFFSET(A$1,,,SUMPRODUCT(MAX(ROW(E$2:E4066)*(E4066=E$2:E4066)))))-COUNTBLANK(OFFSET(A$1,,,SUMPRODUCT(MAX(ROW(E$1:E4065)*(E2=E$1:E4065))))))</f>
        <v> </v>
      </c>
      <c r="K4066" s="25" t="str">
        <f>IF(OR(E4066="",E4066="!!!",F4066="NEW"),"",INDEX(J$1:J4065,SUMPRODUCT(MAX(ROW(E$1:E4065)*(E4066=E$1:E4065)))))</f>
        <v> </v>
      </c>
      <c r="L4066" s="26"/>
    </row>
    <row r="4067" spans="1:12">
      <c r="A4067" s="20" t="s">
        <v>1908</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682</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1037</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1909</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1039</v>
      </c>
      <c r="B4071" s="27" t="s">
        <v>678</v>
      </c>
      <c r="C4071" s="27" t="s">
        <v>693</v>
      </c>
      <c r="D4071" s="27" t="s">
        <v>687</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694</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1308</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851</v>
      </c>
      <c r="B4074" s="27" t="s">
        <v>678</v>
      </c>
      <c r="C4074" s="27" t="s">
        <v>693</v>
      </c>
      <c r="D4074" s="27" t="s">
        <v>687</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694</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751</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1910</v>
      </c>
      <c r="B4077" s="27" t="s">
        <v>696</v>
      </c>
      <c r="C4077" s="27" t="s">
        <v>754</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698</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row>
    <row r="4080" spans="1:12">
      <c r="A4080" s="20" t="s">
        <v>1911</v>
      </c>
    </row>
    <row r="4081" spans="1:12">
      <c r="A4081" s="20" t="s">
        <v>905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928</v>
      </c>
      <c r="B4082" s="27" t="s">
        <v>692</v>
      </c>
      <c r="C4082" s="27" t="s">
        <v>679</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732</v>
      </c>
      <c r="B4083" s="27" t="s">
        <v>807</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1912</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732</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683</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1646</v>
      </c>
      <c r="B4087" s="27" t="s">
        <v>863</v>
      </c>
      <c r="C4087" s="27" t="s">
        <v>693</v>
      </c>
      <c r="D4087" s="27" t="s">
        <v>687</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694</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683</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771</v>
      </c>
      <c r="B4090" s="27" t="s">
        <v>728</v>
      </c>
      <c r="C4090" s="27" t="s">
        <v>772</v>
      </c>
      <c r="D4090" s="27" t="s">
        <v>687</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873</v>
      </c>
      <c r="B4091" s="27" t="s">
        <v>843</v>
      </c>
      <c r="C4091" s="27" t="s">
        <v>693</v>
      </c>
      <c r="D4091" s="27" t="s">
        <v>687</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694</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1913</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1495</v>
      </c>
      <c r="B4094" s="27" t="s">
        <v>728</v>
      </c>
      <c r="C4094" s="27" t="s">
        <v>1049</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1914</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682</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1915</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986</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1916</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683</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1000</v>
      </c>
      <c r="B4101" s="27" t="s">
        <v>843</v>
      </c>
      <c r="C4101" s="27" t="s">
        <v>772</v>
      </c>
      <c r="D4101" s="27" t="s">
        <v>687</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873</v>
      </c>
      <c r="B4102" s="27" t="s">
        <v>821</v>
      </c>
      <c r="C4102" s="27" t="s">
        <v>686</v>
      </c>
      <c r="D4102" s="27" t="s">
        <v>687</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698</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row>
    <row r="4105" spans="1:12">
      <c r="A4105" s="20" t="s">
        <v>1917</v>
      </c>
    </row>
    <row r="4106" spans="1:12">
      <c r="A4106" s="20" t="s">
        <v>827</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1083</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928</v>
      </c>
      <c r="B4108" s="27" t="s">
        <v>692</v>
      </c>
      <c r="C4108" s="27" t="s">
        <v>679</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732</v>
      </c>
      <c r="B4109" s="27" t="s">
        <v>807</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1912</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732</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1677</v>
      </c>
      <c r="B4112" s="27" t="s">
        <v>863</v>
      </c>
      <c r="C4112" s="27" t="s">
        <v>679</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721</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683</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771</v>
      </c>
      <c r="B4115" s="27" t="s">
        <v>864</v>
      </c>
      <c r="C4115" s="27" t="s">
        <v>772</v>
      </c>
      <c r="D4115" s="27" t="s">
        <v>687</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717</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1918</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725</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1919</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683</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1654</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698</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row>
    <row r="4124" spans="1:12">
      <c r="A4124" s="20" t="s">
        <v>1920</v>
      </c>
    </row>
    <row r="4125" spans="1:12">
      <c r="A4125" s="20" t="s">
        <v>1154</v>
      </c>
      <c r="B4125" s="27" t="s">
        <v>685</v>
      </c>
      <c r="C4125" s="27" t="s">
        <v>749</v>
      </c>
      <c r="D4125" s="27" t="s">
        <v>687</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717</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1921</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1922</v>
      </c>
      <c r="B4128" s="27" t="s">
        <v>692</v>
      </c>
      <c r="C4128" s="27" t="s">
        <v>693</v>
      </c>
      <c r="D4128" s="27" t="s">
        <v>687</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1923</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694</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848</v>
      </c>
      <c r="B4131" s="27" t="s">
        <v>696</v>
      </c>
      <c r="C4131" s="27" t="s">
        <v>679</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682</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1392</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1922</v>
      </c>
      <c r="B4134" s="27" t="s">
        <v>678</v>
      </c>
      <c r="C4134" s="27" t="s">
        <v>679</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1924</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698</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row>
    <row r="4138" spans="1:12">
      <c r="A4138" s="20" t="s">
        <v>1925</v>
      </c>
    </row>
    <row r="4139" spans="1:12">
      <c r="A4139" s="20" t="s">
        <v>827</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1581</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732</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715</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721</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1926</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694</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1927</v>
      </c>
      <c r="B4146" s="27" t="s">
        <v>696</v>
      </c>
      <c r="C4146" s="27" t="s">
        <v>693</v>
      </c>
      <c r="D4146" s="27" t="s">
        <v>687</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694</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1928</v>
      </c>
      <c r="B4148" s="27" t="s">
        <v>724</v>
      </c>
      <c r="C4148" s="27" t="s">
        <v>679</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708</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1122</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732</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306</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1929</v>
      </c>
      <c r="B4153" s="27" t="s">
        <v>864</v>
      </c>
      <c r="C4153" s="27" t="s">
        <v>686</v>
      </c>
      <c r="D4153" s="27" t="s">
        <v>687</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1930</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1931</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683</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1654</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682</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1527</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1926</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694</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1013</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1927</v>
      </c>
      <c r="B4163" s="27" t="s">
        <v>742</v>
      </c>
      <c r="C4163" s="27" t="s">
        <v>899</v>
      </c>
      <c r="D4163" s="27" t="s">
        <v>687</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694</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1932</v>
      </c>
      <c r="B4165" s="27" t="s">
        <v>744</v>
      </c>
      <c r="C4165" s="27" t="s">
        <v>693</v>
      </c>
      <c r="D4165" s="27" t="s">
        <v>687</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703</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1927</v>
      </c>
      <c r="B4167" s="27" t="s">
        <v>735</v>
      </c>
      <c r="C4167" s="27" t="s">
        <v>679</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694</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1677</v>
      </c>
      <c r="B4169" s="27" t="s">
        <v>735</v>
      </c>
      <c r="C4169" s="27" t="s">
        <v>679</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708</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1933</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683</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1934</v>
      </c>
      <c r="B4173" s="27" t="s">
        <v>1779</v>
      </c>
      <c r="C4173" s="27" t="s">
        <v>693</v>
      </c>
      <c r="D4173" s="27" t="s">
        <v>687</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694</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683</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1935</v>
      </c>
      <c r="B4176" s="27" t="s">
        <v>1454</v>
      </c>
      <c r="C4176" s="27" t="s">
        <v>686</v>
      </c>
      <c r="D4176" s="27" t="s">
        <v>687</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698</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row>
    <row r="4179" spans="1:12">
      <c r="A4179" s="20" t="s">
        <v>1936</v>
      </c>
    </row>
    <row r="4180" spans="1:12">
      <c r="A4180" s="20" t="s">
        <v>756</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306</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1288</v>
      </c>
      <c r="B4182" s="27" t="s">
        <v>678</v>
      </c>
      <c r="C4182" s="27" t="s">
        <v>686</v>
      </c>
      <c r="D4182" s="27" t="s">
        <v>687</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683</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1937</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683</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306</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1938</v>
      </c>
      <c r="B4187" s="27" t="s">
        <v>696</v>
      </c>
      <c r="C4187" s="27" t="s">
        <v>693</v>
      </c>
      <c r="D4187" s="27" t="s">
        <v>687</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694</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306</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1115</v>
      </c>
      <c r="B4190" s="27" t="s">
        <v>812</v>
      </c>
      <c r="C4190" s="27" t="s">
        <v>772</v>
      </c>
      <c r="D4190" s="27" t="s">
        <v>687</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379</v>
      </c>
      <c r="B4191" s="27" t="s">
        <v>724</v>
      </c>
      <c r="C4191" s="27" t="s">
        <v>686</v>
      </c>
      <c r="D4191" s="27" t="s">
        <v>687</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682</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683</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1939</v>
      </c>
      <c r="B4194" s="27" t="s">
        <v>787</v>
      </c>
      <c r="C4194" s="27" t="s">
        <v>686</v>
      </c>
      <c r="D4194" s="27" t="s">
        <v>687</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1940</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676</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306</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1941</v>
      </c>
      <c r="B4198" s="27" t="s">
        <v>696</v>
      </c>
      <c r="C4198" s="27" t="s">
        <v>693</v>
      </c>
      <c r="D4198" s="27" t="s">
        <v>687</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694</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1222</v>
      </c>
      <c r="B4200" s="27" t="s">
        <v>724</v>
      </c>
      <c r="C4200" s="27" t="s">
        <v>679</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703</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803</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732</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1010</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1942</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698</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row>
    <row r="4208" spans="1:12">
      <c r="A4208" s="20" t="s">
        <v>1943</v>
      </c>
    </row>
    <row r="4209" spans="1:12">
      <c r="A4209" s="20" t="s">
        <v>1944</v>
      </c>
      <c r="B4209" s="27" t="s">
        <v>787</v>
      </c>
      <c r="C4209" s="27" t="s">
        <v>749</v>
      </c>
      <c r="D4209" s="27" t="s">
        <v>687</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717</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1010</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683</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1945</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958</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1946</v>
      </c>
      <c r="B4215" s="27" t="s">
        <v>791</v>
      </c>
      <c r="C4215" s="27" t="s">
        <v>686</v>
      </c>
      <c r="D4215" s="27" t="s">
        <v>687</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1947</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698</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row>
    <row r="4219" spans="1:12">
      <c r="A4219" s="20" t="s">
        <v>1948</v>
      </c>
    </row>
    <row r="4220" spans="1:12">
      <c r="A4220" s="20" t="s">
        <v>1009</v>
      </c>
      <c r="B4220" s="27" t="s">
        <v>685</v>
      </c>
      <c r="C4220" s="27" t="s">
        <v>749</v>
      </c>
      <c r="D4220" s="27" t="s">
        <v>687</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803</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732</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1949</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1950</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732</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750</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1951</v>
      </c>
      <c r="B4227" s="27" t="s">
        <v>810</v>
      </c>
      <c r="C4227" s="27" t="s">
        <v>679</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1952</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698</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row>
    <row r="4231" spans="1:12">
      <c r="A4231" s="20" t="s">
        <v>1953</v>
      </c>
    </row>
    <row r="4232" spans="1:12">
      <c r="A4232" s="20" t="s">
        <v>756</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683</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1954</v>
      </c>
      <c r="B4234" s="27" t="s">
        <v>678</v>
      </c>
      <c r="C4234" s="27" t="s">
        <v>686</v>
      </c>
      <c r="D4234" s="27" t="s">
        <v>687</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676</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732</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1203</v>
      </c>
      <c r="B4237" s="27" t="s">
        <v>807</v>
      </c>
      <c r="C4237" s="27" t="s">
        <v>749</v>
      </c>
      <c r="D4237" s="27" t="s">
        <v>687</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958</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1955</v>
      </c>
      <c r="B4239" s="27" t="s">
        <v>696</v>
      </c>
      <c r="C4239" s="27" t="s">
        <v>686</v>
      </c>
      <c r="D4239" s="27" t="s">
        <v>687</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682</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1956</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306</v>
      </c>
      <c r="B4242" s="27" t="s">
        <v>692</v>
      </c>
      <c r="C4242" s="27" t="s">
        <v>749</v>
      </c>
      <c r="D4242" s="27" t="s">
        <v>687</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694</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1048</v>
      </c>
      <c r="B4244" s="27" t="s">
        <v>696</v>
      </c>
      <c r="C4244" s="27" t="s">
        <v>679</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1957</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682</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306</v>
      </c>
      <c r="B4247" s="27" t="s">
        <v>724</v>
      </c>
      <c r="C4247" s="27" t="s">
        <v>731</v>
      </c>
      <c r="D4247" s="27" t="s">
        <v>687</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732</v>
      </c>
      <c r="B4248" s="27" t="s">
        <v>864</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683</v>
      </c>
      <c r="B4249" s="27" t="s">
        <v>874</v>
      </c>
      <c r="C4249" s="27" t="s">
        <v>749</v>
      </c>
      <c r="D4249" s="27" t="s">
        <v>687</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1227</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683</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71</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732</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808</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184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676</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1958</v>
      </c>
      <c r="B4257" s="27" t="s">
        <v>735</v>
      </c>
      <c r="C4257" s="27" t="s">
        <v>679</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689</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1959</v>
      </c>
      <c r="B4259" s="27" t="s">
        <v>1759</v>
      </c>
      <c r="C4259" s="27" t="s">
        <v>693</v>
      </c>
      <c r="D4259" s="27" t="s">
        <v>687</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694</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1026</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1027</v>
      </c>
      <c r="B4262" s="27" t="s">
        <v>735</v>
      </c>
      <c r="C4262" s="27" t="s">
        <v>1049</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698</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row>
    <row r="4265" spans="1:12">
      <c r="A4265" s="20" t="s">
        <v>1960</v>
      </c>
    </row>
    <row r="4266" spans="1:12">
      <c r="A4266" s="20" t="s">
        <v>827</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1203</v>
      </c>
      <c r="B4267" s="27" t="s">
        <v>685</v>
      </c>
      <c r="C4267" s="27" t="s">
        <v>749</v>
      </c>
      <c r="D4267" s="27" t="s">
        <v>687</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750</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733</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1735</v>
      </c>
      <c r="B4270" s="27" t="s">
        <v>692</v>
      </c>
      <c r="C4270" s="27" t="s">
        <v>736</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1207</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1230</v>
      </c>
      <c r="B4272" s="27" t="s">
        <v>692</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682</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732</v>
      </c>
      <c r="B4274" s="27" t="s">
        <v>810</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828</v>
      </c>
      <c r="B4275" s="27" t="s">
        <v>807</v>
      </c>
      <c r="C4275" s="27" t="s">
        <v>749</v>
      </c>
      <c r="D4275" s="27" t="s">
        <v>687</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1726</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198</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1961</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1962</v>
      </c>
      <c r="B4279" s="27" t="s">
        <v>874</v>
      </c>
      <c r="C4279" s="27" t="s">
        <v>679</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698</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row>
    <row r="4282" spans="1:12">
      <c r="A4282" s="20" t="s">
        <v>1963</v>
      </c>
    </row>
    <row r="4283" spans="1:12">
      <c r="A4283" s="20" t="s">
        <v>868</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828</v>
      </c>
      <c r="B4284" s="27" t="s">
        <v>787</v>
      </c>
      <c r="C4284" s="27" t="s">
        <v>749</v>
      </c>
      <c r="D4284" s="27" t="s">
        <v>687</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830</v>
      </c>
      <c r="B4285" s="27" t="s">
        <v>791</v>
      </c>
      <c r="C4285" s="27" t="s">
        <v>749</v>
      </c>
      <c r="D4285" s="27" t="s">
        <v>687</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876</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1070</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1094</v>
      </c>
      <c r="B4288" s="27" t="s">
        <v>791</v>
      </c>
      <c r="C4288" s="27" t="s">
        <v>899</v>
      </c>
      <c r="D4288" s="27" t="s">
        <v>687</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682</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1964</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306</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1443</v>
      </c>
      <c r="B4292" s="27" t="s">
        <v>692</v>
      </c>
      <c r="C4292" s="27" t="s">
        <v>693</v>
      </c>
      <c r="D4292" s="27" t="s">
        <v>687</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694</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306</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796</v>
      </c>
      <c r="B4295" s="27" t="s">
        <v>724</v>
      </c>
      <c r="C4295" s="27" t="s">
        <v>772</v>
      </c>
      <c r="D4295" s="27" t="s">
        <v>687</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725</v>
      </c>
      <c r="B4296" s="27" t="s">
        <v>696</v>
      </c>
      <c r="C4296" s="27" t="s">
        <v>686</v>
      </c>
      <c r="D4296" s="27" t="s">
        <v>687</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683</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1965</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782</v>
      </c>
      <c r="B4299" s="27" t="s">
        <v>791</v>
      </c>
      <c r="C4299" s="27" t="s">
        <v>749</v>
      </c>
      <c r="D4299" s="27" t="s">
        <v>687</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676</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306</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1725</v>
      </c>
      <c r="B4302" s="27" t="s">
        <v>696</v>
      </c>
      <c r="C4302" s="27" t="s">
        <v>686</v>
      </c>
      <c r="D4302" s="27" t="s">
        <v>687</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698</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row>
    <row r="4305" spans="1:12">
      <c r="A4305" s="20" t="s">
        <v>1966</v>
      </c>
    </row>
    <row r="4306" spans="1:12">
      <c r="A4306" s="20" t="s">
        <v>1772</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732</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750</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1967</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1727</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1968</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752</v>
      </c>
      <c r="B4312" s="27" t="s">
        <v>696</v>
      </c>
      <c r="C4312" s="27" t="s">
        <v>1049</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676</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689</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1969</v>
      </c>
      <c r="B4315" s="27" t="s">
        <v>696</v>
      </c>
      <c r="C4315" s="27" t="s">
        <v>693</v>
      </c>
      <c r="D4315" s="27" t="s">
        <v>687</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866</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306</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t="s">
        <v>1783</v>
      </c>
      <c r="B4318" s="27" t="s">
        <v>724</v>
      </c>
      <c r="C4318" s="27" t="s">
        <v>686</v>
      </c>
      <c r="D4318" s="27" t="s">
        <v>687</v>
      </c>
      <c r="E4318" s="21">
        <f>IF(D4318="?OLD","!!!","")</f>
        <v/>
      </c>
      <c r="F4318" s="22" t="str">
        <f>IF(OR(E4318="",E4318="!!!"),"",IF(NOT(ISNA(VLOOKUP(E4318,E$1:E4317,1,FALSE()))),"OLD",IF(AND(E4318&lt;&gt;"",E4318&lt;&gt;"!!!"),"NEW","")))</f>
        <v> </v>
      </c>
      <c r="G4318" s="23" t="str">
        <f>IF(OR(E4318="",E4318="!!!"),"",IF(OR(J4318=0,AND(J4318=1,K4318=1),AND(J4318=1,I4318="SBJ"),AND(J4318=1,I4318=0)),"?IN_FOCUS",IF(J4318&lt;=2,"?ACTIVATED",IF(J4318&lt;&gt;"","?FAMILIAR",IF(F4318="NEW",IF(ISNA(VLOOKUP(E4318,#REF!,1,FALSE())),"?TYPE_IDENTIFIABLE","?REFERENTIAL"),"_")))))</f>
        <v> </v>
      </c>
      <c r="H4318" s="24" t="str">
        <f>IF(J4318&lt;&gt;1,"",IF(I4318="SBJ","CB","?"))</f>
        <v> </v>
      </c>
      <c r="I4318" s="25" t="str">
        <f>IF(OR(E4318="",E4318="!!!",F4318="NEW"),"",INDEX(B4317:B$2,-1+SUMPRODUCT(MAX(ROW(E4317:E$2)*(E4318=E4317:E$2)))))</f>
        <v> </v>
      </c>
      <c r="J4318" s="25" t="str">
        <f>IF(OR(E4318="",E4318="!!!",F4318="NEW"),"",COUNTBLANK(OFFSET(A$1,,,SUMPRODUCT(MAX(ROW(E$2:E4318)*(E4318=E$2:E4318)))))-COUNTBLANK(OFFSET(A$1,,,SUMPRODUCT(MAX(ROW(E$1:E4317)*(E2=E$1:E4317))))))</f>
        <v> </v>
      </c>
      <c r="K4318" s="25" t="str">
        <f>IF(OR(E4318="",E4318="!!!",F4318="NEW"),"",INDEX(J$1:J4317,SUMPRODUCT(MAX(ROW(E$1:E4317)*(E4318=E$1:E4317)))))</f>
        <v> </v>
      </c>
      <c r="L4318" s="26"/>
    </row>
    <row r="4319" spans="1:12">
      <c r="A4319" s="20" t="s">
        <v>732</v>
      </c>
      <c r="B4319" s="27" t="s">
        <v>874</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958</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928</v>
      </c>
      <c r="B4321" s="27" t="s">
        <v>864</v>
      </c>
      <c r="C4321" s="27" t="s">
        <v>686</v>
      </c>
      <c r="D4321" s="27" t="s">
        <v>687</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1412</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1782</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676</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683</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1142</v>
      </c>
      <c r="B4326" s="27" t="s">
        <v>843</v>
      </c>
      <c r="C4326" s="27" t="s">
        <v>693</v>
      </c>
      <c r="D4326" s="27" t="s">
        <v>687</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694</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725</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1039</v>
      </c>
      <c r="B4329" s="27" t="s">
        <v>728</v>
      </c>
      <c r="C4329" s="27" t="s">
        <v>693</v>
      </c>
      <c r="D4329" s="27" t="s">
        <v>687</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694</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1035</v>
      </c>
      <c r="B4331" s="27" t="s">
        <v>744</v>
      </c>
      <c r="C4331" s="27" t="s">
        <v>679</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732</v>
      </c>
      <c r="B4332" s="27" t="s">
        <v>1465</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1037</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1970</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682</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703</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747</v>
      </c>
      <c r="B4337" s="27" t="s">
        <v>807</v>
      </c>
      <c r="C4337" s="27" t="s">
        <v>749</v>
      </c>
      <c r="D4337" s="27" t="s">
        <v>687</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717</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814</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1971</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830</v>
      </c>
      <c r="B4341" s="27" t="s">
        <v>821</v>
      </c>
      <c r="C4341" s="27" t="s">
        <v>749</v>
      </c>
      <c r="D4341" s="27" t="s">
        <v>687</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683</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1246</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1141</v>
      </c>
      <c r="B4344" s="27" t="s">
        <v>812</v>
      </c>
      <c r="C4344" s="27" t="s">
        <v>899</v>
      </c>
      <c r="D4344" s="27" t="s">
        <v>687</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698</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row>
    <row r="4347" spans="1:12">
      <c r="A4347" s="20" t="s">
        <v>1972</v>
      </c>
    </row>
    <row r="4348" spans="1:12">
      <c r="A4348" s="20" t="s">
        <v>1973</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306</v>
      </c>
      <c r="B4349" s="27" t="s">
        <v>685</v>
      </c>
      <c r="C4349" s="27" t="s">
        <v>731</v>
      </c>
      <c r="D4349" s="27" t="s">
        <v>687</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732</v>
      </c>
      <c r="B4350" s="27" t="s">
        <v>807</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1010</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683</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1974</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833</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733</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1082</v>
      </c>
      <c r="B4356" s="27" t="s">
        <v>678</v>
      </c>
      <c r="C4356" s="27" t="s">
        <v>693</v>
      </c>
      <c r="D4356" s="27" t="s">
        <v>687</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694</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t="s">
        <v>734</v>
      </c>
      <c r="B4358" s="27" t="s">
        <v>678</v>
      </c>
      <c r="C4358" s="27" t="s">
        <v>679</v>
      </c>
      <c r="E4358" s="21">
        <f>IF(D4358="?OLD","!!!","")</f>
        <v/>
      </c>
      <c r="F4358" s="22" t="str">
        <f>IF(OR(E4358="",E4358="!!!"),"",IF(NOT(ISNA(VLOOKUP(E4358,E$1:E4357,1,FALSE()))),"OLD",IF(AND(E4358&lt;&gt;"",E4358&lt;&gt;"!!!"),"NEW","")))</f>
        <v> </v>
      </c>
      <c r="G4358" s="23" t="str">
        <f>IF(OR(E4358="",E4358="!!!"),"",IF(OR(J4358=0,AND(J4358=1,K4358=1),AND(J4358=1,I4358="SBJ"),AND(J4358=1,I4358=0)),"?IN_FOCUS",IF(J4358&lt;=2,"?ACTIVATED",IF(J4358&lt;&gt;"","?FAMILIAR",IF(F4358="NEW",IF(ISNA(VLOOKUP(E4358,#REF!,1,FALSE())),"?TYPE_IDENTIFIABLE","?REFERENTIAL"),"_")))))</f>
        <v> </v>
      </c>
      <c r="H4358" s="24" t="str">
        <f>IF(J4358&lt;&gt;1,"",IF(I4358="SBJ","CB","?"))</f>
        <v> </v>
      </c>
      <c r="I4358" s="25" t="str">
        <f>IF(OR(E4358="",E4358="!!!",F4358="NEW"),"",INDEX(B4357:B$2,-1+SUMPRODUCT(MAX(ROW(E4357:E$2)*(E4358=E4357:E$2)))))</f>
        <v> </v>
      </c>
      <c r="J4358" s="25" t="str">
        <f>IF(OR(E4358="",E4358="!!!",F4358="NEW"),"",COUNTBLANK(OFFSET(A$1,,,SUMPRODUCT(MAX(ROW(E$2:E4358)*(E4358=E$2:E4358)))))-COUNTBLANK(OFFSET(A$1,,,SUMPRODUCT(MAX(ROW(E$1:E4357)*(E2=E$1:E4357))))))</f>
        <v> </v>
      </c>
      <c r="K4358" s="25" t="str">
        <f>IF(OR(E4358="",E4358="!!!",F4358="NEW"),"",INDEX(J$1:J4357,SUMPRODUCT(MAX(ROW(E$1:E4357)*(E4358=E$1:E4357)))))</f>
        <v> </v>
      </c>
      <c r="L4358" s="26"/>
    </row>
    <row r="4359" spans="1:12">
      <c r="A4359" s="20" t="s">
        <v>698</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row>
    <row r="4361" spans="1:12">
      <c r="A4361" s="20" t="s">
        <v>1975</v>
      </c>
    </row>
    <row r="4362" spans="1:12">
      <c r="A4362" s="20" t="s">
        <v>827</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721</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1704</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760</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1039</v>
      </c>
      <c r="B4366" s="27" t="s">
        <v>678</v>
      </c>
      <c r="C4366" s="27" t="s">
        <v>693</v>
      </c>
      <c r="D4366" s="27" t="s">
        <v>687</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1976</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760</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1977</v>
      </c>
      <c r="B4369" s="27" t="s">
        <v>696</v>
      </c>
      <c r="C4369" s="27" t="s">
        <v>693</v>
      </c>
      <c r="D4369" s="27" t="s">
        <v>687</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694</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760</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1978</v>
      </c>
      <c r="B4372" s="27" t="s">
        <v>724</v>
      </c>
      <c r="C4372" s="27" t="s">
        <v>686</v>
      </c>
      <c r="D4372" s="27" t="s">
        <v>687</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682</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814</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1979</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306</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796</v>
      </c>
      <c r="B4377" s="27" t="s">
        <v>724</v>
      </c>
      <c r="C4377" s="27" t="s">
        <v>772</v>
      </c>
      <c r="D4377" s="27" t="s">
        <v>687</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379</v>
      </c>
      <c r="B4378" s="27" t="s">
        <v>791</v>
      </c>
      <c r="C4378" s="27" t="s">
        <v>693</v>
      </c>
      <c r="D4378" s="27" t="s">
        <v>687</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694</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683</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734</v>
      </c>
      <c r="B4381" s="27" t="s">
        <v>724</v>
      </c>
      <c r="C4381" s="27" t="s">
        <v>686</v>
      </c>
      <c r="D4381" s="27" t="s">
        <v>687</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698</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row>
    <row r="4384" spans="1:12">
      <c r="A4384" s="20" t="s">
        <v>1980</v>
      </c>
    </row>
    <row r="4385" spans="1:12">
      <c r="A4385" s="20" t="s">
        <v>827</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1527</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830</v>
      </c>
      <c r="B4387" s="27" t="s">
        <v>692</v>
      </c>
      <c r="C4387" s="27" t="s">
        <v>749</v>
      </c>
      <c r="D4387" s="27" t="s">
        <v>687</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814</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1979</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694</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683</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734</v>
      </c>
      <c r="B4392" s="27" t="s">
        <v>791</v>
      </c>
      <c r="C4392" s="27" t="s">
        <v>686</v>
      </c>
      <c r="D4392" s="27" t="s">
        <v>687</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698</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row>
    <row r="4395" spans="1:12">
      <c r="A4395" s="20" t="s">
        <v>1981</v>
      </c>
    </row>
    <row r="4396" spans="1:12">
      <c r="A4396" s="20" t="s">
        <v>675</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1740</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682</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1982</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683</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306</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1983</v>
      </c>
      <c r="B4402" s="27" t="s">
        <v>696</v>
      </c>
      <c r="C4402" s="27" t="s">
        <v>686</v>
      </c>
      <c r="D4402" s="27" t="s">
        <v>687</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732</v>
      </c>
      <c r="B4403" s="27" t="s">
        <v>821</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t="s">
        <v>750</v>
      </c>
      <c r="E4404" s="21">
        <f>IF(D4404="?OLD","!!!","")</f>
        <v/>
      </c>
      <c r="F4404" s="22" t="str">
        <f>IF(OR(E4404="",E4404="!!!"),"",IF(NOT(ISNA(VLOOKUP(E4404,E$1:E4403,1,FALSE()))),"OLD",IF(AND(E4404&lt;&gt;"",E4404&lt;&gt;"!!!"),"NEW","")))</f>
        <v> </v>
      </c>
      <c r="G4404" s="23" t="str">
        <f>IF(OR(E4404="",E4404="!!!"),"",IF(OR(J4404=0,AND(J4404=1,K4404=1),AND(J4404=1,I4404="SBJ"),AND(J4404=1,I4404=0)),"?IN_FOCUS",IF(J4404&lt;=2,"?ACTIVATED",IF(J4404&lt;&gt;"","?FAMILIAR",IF(F4404="NEW",IF(ISNA(VLOOKUP(E4404,#REF!,1,FALSE())),"?TYPE_IDENTIFIABLE","?REFERENTIAL"),"_")))))</f>
        <v> </v>
      </c>
      <c r="H4404" s="24" t="str">
        <f>IF(J4404&lt;&gt;1,"",IF(I4404="SBJ","CB","?"))</f>
        <v> </v>
      </c>
      <c r="I4404" s="25" t="str">
        <f>IF(OR(E4404="",E4404="!!!",F4404="NEW"),"",INDEX(B4403:B$2,-1+SUMPRODUCT(MAX(ROW(E4403:E$2)*(E4404=E4403:E$2)))))</f>
        <v> </v>
      </c>
      <c r="J4404" s="25" t="str">
        <f>IF(OR(E4404="",E4404="!!!",F4404="NEW"),"",COUNTBLANK(OFFSET(A$1,,,SUMPRODUCT(MAX(ROW(E$2:E4404)*(E4404=E$2:E4404)))))-COUNTBLANK(OFFSET(A$1,,,SUMPRODUCT(MAX(ROW(E$1:E4403)*(E2=E$1:E4403))))))</f>
        <v> </v>
      </c>
      <c r="K4404" s="25" t="str">
        <f>IF(OR(E4404="",E4404="!!!",F4404="NEW"),"",INDEX(J$1:J4403,SUMPRODUCT(MAX(ROW(E$1:E4403)*(E4404=E$1:E4403)))))</f>
        <v> </v>
      </c>
      <c r="L4404" s="26"/>
    </row>
    <row r="4405" spans="1:12">
      <c r="A4405" s="20" t="s">
        <v>1984</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682</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747</v>
      </c>
      <c r="B4407" s="27" t="s">
        <v>685</v>
      </c>
      <c r="C4407" s="27" t="s">
        <v>749</v>
      </c>
      <c r="D4407" s="27" t="s">
        <v>687</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1310</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732</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782</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1203</v>
      </c>
      <c r="B4411" s="27" t="s">
        <v>807</v>
      </c>
      <c r="C4411" s="27" t="s">
        <v>749</v>
      </c>
      <c r="D4411" s="27" t="s">
        <v>687</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1485</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853</v>
      </c>
      <c r="B4413" s="27" t="s">
        <v>810</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694</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958</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1094</v>
      </c>
      <c r="B4416" s="27" t="s">
        <v>812</v>
      </c>
      <c r="C4416" s="27" t="s">
        <v>686</v>
      </c>
      <c r="D4416" s="27" t="s">
        <v>687</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732</v>
      </c>
      <c r="B4417" s="27" t="s">
        <v>1066</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1703</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1609</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683</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1985</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682</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1050</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1986</v>
      </c>
      <c r="B4424" s="27" t="s">
        <v>1759</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682</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676</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1987</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1988</v>
      </c>
      <c r="B4428" s="27" t="s">
        <v>735</v>
      </c>
      <c r="C4428" s="27" t="s">
        <v>679</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682</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683</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1000</v>
      </c>
      <c r="B4431" s="27" t="s">
        <v>735</v>
      </c>
      <c r="C4431" s="27" t="s">
        <v>772</v>
      </c>
      <c r="D4431" s="27" t="s">
        <v>687</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784</v>
      </c>
      <c r="B4432" s="27" t="s">
        <v>744</v>
      </c>
      <c r="C4432" s="27" t="s">
        <v>686</v>
      </c>
      <c r="D4432" s="27" t="s">
        <v>687</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682</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703</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682</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782</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1989</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683</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1000</v>
      </c>
      <c r="B4439" s="27" t="s">
        <v>1450</v>
      </c>
      <c r="C4439" s="27" t="s">
        <v>772</v>
      </c>
      <c r="D4439" s="27" t="s">
        <v>687</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784</v>
      </c>
      <c r="B4440" s="27" t="s">
        <v>735</v>
      </c>
      <c r="C4440" s="27" t="s">
        <v>686</v>
      </c>
      <c r="D4440" s="27" t="s">
        <v>687</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682</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1990</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1991</v>
      </c>
      <c r="B4443" s="27" t="s">
        <v>791</v>
      </c>
      <c r="C4443" s="27" t="s">
        <v>749</v>
      </c>
      <c r="D4443" s="27" t="s">
        <v>687</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1992</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676</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683</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771</v>
      </c>
      <c r="B4447" s="27" t="s">
        <v>724</v>
      </c>
      <c r="C4447" s="27" t="s">
        <v>772</v>
      </c>
      <c r="D4447" s="27" t="s">
        <v>687</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784</v>
      </c>
      <c r="B4448" s="27" t="s">
        <v>696</v>
      </c>
      <c r="C4448" s="27" t="s">
        <v>686</v>
      </c>
      <c r="D4448" s="27" t="s">
        <v>687</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682</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703</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732</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897</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734</v>
      </c>
      <c r="B4453" s="27" t="s">
        <v>787</v>
      </c>
      <c r="C4453" s="27" t="s">
        <v>899</v>
      </c>
      <c r="D4453" s="27" t="s">
        <v>687</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1217</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1993</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733</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1048</v>
      </c>
      <c r="B4457" s="27" t="s">
        <v>791</v>
      </c>
      <c r="C4457" s="27" t="s">
        <v>736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1207</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852</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1248</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782</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1994</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698</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row>
    <row r="4465" spans="1:12">
      <c r="A4465" s="20" t="s">
        <v>1995</v>
      </c>
    </row>
    <row r="4466" spans="1:12">
      <c r="A4466" s="20" t="s">
        <v>1996</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886</v>
      </c>
      <c r="B4467" s="27" t="s">
        <v>692</v>
      </c>
      <c r="C4467" s="27" t="s">
        <v>749</v>
      </c>
      <c r="D4467" s="27" t="s">
        <v>687</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683</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733</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1997</v>
      </c>
      <c r="B4470" s="27" t="s">
        <v>692</v>
      </c>
      <c r="C4470" s="27" t="s">
        <v>736</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1998</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682</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1880</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683</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733</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1999</v>
      </c>
      <c r="B4476" s="27" t="s">
        <v>696</v>
      </c>
      <c r="C4476" s="27" t="s">
        <v>745</v>
      </c>
      <c r="D4476" s="27" t="s">
        <v>687</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682</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2000</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676</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306</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2001</v>
      </c>
      <c r="B4481" s="27" t="s">
        <v>791</v>
      </c>
      <c r="C4481" s="27" t="s">
        <v>686</v>
      </c>
      <c r="D4481" s="27" t="s">
        <v>687</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2002</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703</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2003</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890</v>
      </c>
      <c r="B4485" s="27" t="s">
        <v>791</v>
      </c>
      <c r="C4485" s="27" t="s">
        <v>749</v>
      </c>
      <c r="D4485" s="27" t="s">
        <v>687</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733</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2004</v>
      </c>
      <c r="B4487" s="27" t="s">
        <v>791</v>
      </c>
      <c r="C4487" s="27" t="s">
        <v>693</v>
      </c>
      <c r="D4487" s="27" t="s">
        <v>687</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694</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1571</v>
      </c>
      <c r="B4489" s="27" t="s">
        <v>724</v>
      </c>
      <c r="C4489" s="27" t="s">
        <v>679</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698</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row>
    <row r="4492" spans="1:12">
      <c r="A4492" s="20" t="s">
        <v>2005</v>
      </c>
    </row>
    <row r="4493" spans="1:12">
      <c r="A4493" s="20" t="s">
        <v>2006</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804</v>
      </c>
      <c r="B4494" s="27" t="s">
        <v>678</v>
      </c>
      <c r="C4494" s="27" t="s">
        <v>679</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2007</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698</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row>
    <row r="4498" spans="1:12">
      <c r="A4498" s="20" t="s">
        <v>2008</v>
      </c>
    </row>
    <row r="4499" spans="1:12">
      <c r="A4499" s="20" t="s">
        <v>770</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306</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2009</v>
      </c>
      <c r="B4501" s="27" t="s">
        <v>678</v>
      </c>
      <c r="C4501" s="27" t="s">
        <v>693</v>
      </c>
      <c r="D4501" s="27" t="s">
        <v>687</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694</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1909</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1698</v>
      </c>
      <c r="B4504" s="27" t="s">
        <v>696</v>
      </c>
      <c r="C4504" s="27" t="s">
        <v>693</v>
      </c>
      <c r="D4504" s="27" t="s">
        <v>687</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694</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2010</v>
      </c>
      <c r="B4506" s="27" t="s">
        <v>724</v>
      </c>
      <c r="C4506" s="27" t="s">
        <v>679</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682</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1209</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804</v>
      </c>
      <c r="B4509" s="27" t="s">
        <v>692</v>
      </c>
      <c r="C4509" s="27" t="s">
        <v>749</v>
      </c>
      <c r="D4509" s="27" t="s">
        <v>687</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732</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306</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1540</v>
      </c>
      <c r="B4512" s="27" t="s">
        <v>787</v>
      </c>
      <c r="C4512" s="27" t="s">
        <v>686</v>
      </c>
      <c r="D4512" s="27" t="s">
        <v>687</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833</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2011</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1077</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703</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732</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1203</v>
      </c>
      <c r="B4518" s="27" t="s">
        <v>863</v>
      </c>
      <c r="C4518" s="27" t="s">
        <v>749</v>
      </c>
      <c r="D4518" s="27" t="s">
        <v>687</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1010</v>
      </c>
      <c r="B4519" s="27" t="s">
        <v>863</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2012</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1010</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683</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2013</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958</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1946</v>
      </c>
      <c r="B4525" s="27" t="s">
        <v>821</v>
      </c>
      <c r="C4525" s="27" t="s">
        <v>686</v>
      </c>
      <c r="D4525" s="27" t="s">
        <v>687</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2014</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698</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row>
    <row r="4529" spans="1:12">
      <c r="A4529" s="20" t="s">
        <v>2015</v>
      </c>
    </row>
    <row r="4530" spans="1:12">
      <c r="A4530" s="20" t="s">
        <v>786</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747</v>
      </c>
      <c r="B4531" s="27" t="s">
        <v>787</v>
      </c>
      <c r="C4531" s="27" t="s">
        <v>749</v>
      </c>
      <c r="D4531" s="27" t="s">
        <v>687</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1329</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683</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683</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1939</v>
      </c>
      <c r="B4535" s="27" t="s">
        <v>791</v>
      </c>
      <c r="C4535" s="27" t="s">
        <v>686</v>
      </c>
      <c r="D4535" s="27" t="s">
        <v>687</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306</v>
      </c>
      <c r="B4536" s="27" t="s">
        <v>724</v>
      </c>
      <c r="C4536" s="27" t="s">
        <v>731</v>
      </c>
      <c r="D4536" s="27" t="s">
        <v>687</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732</v>
      </c>
      <c r="B4537" s="27" t="s">
        <v>864</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750</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1752</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682</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828</v>
      </c>
      <c r="B4541" s="27" t="s">
        <v>685</v>
      </c>
      <c r="C4541" s="27" t="s">
        <v>749</v>
      </c>
      <c r="D4541" s="27" t="s">
        <v>687</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803</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732</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872</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682</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694</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2016</v>
      </c>
      <c r="B4547" s="27" t="s">
        <v>724</v>
      </c>
      <c r="C4547" s="27" t="s">
        <v>679</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682</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1203</v>
      </c>
      <c r="B4549" s="27" t="s">
        <v>787</v>
      </c>
      <c r="C4549" s="27" t="s">
        <v>749</v>
      </c>
      <c r="D4549" s="27" t="s">
        <v>687</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750</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1744</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733</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2017</v>
      </c>
      <c r="B4553" s="27" t="s">
        <v>791</v>
      </c>
      <c r="C4553" s="27" t="s">
        <v>736</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698</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row>
    <row r="4556" spans="1:12">
      <c r="A4556" s="20" t="s">
        <v>2018</v>
      </c>
    </row>
    <row r="4557" spans="1:12">
      <c r="A4557" s="20" t="s">
        <v>824</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747</v>
      </c>
      <c r="B4558" s="27" t="s">
        <v>685</v>
      </c>
      <c r="C4558" s="27" t="s">
        <v>749</v>
      </c>
      <c r="D4558" s="27" t="s">
        <v>687</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870</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1072</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676</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721</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683</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771</v>
      </c>
      <c r="B4564" s="27" t="s">
        <v>724</v>
      </c>
      <c r="C4564" s="27" t="s">
        <v>772</v>
      </c>
      <c r="D4564" s="27" t="s">
        <v>687</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795</v>
      </c>
      <c r="B4565" s="27" t="s">
        <v>787</v>
      </c>
      <c r="C4565" s="27" t="s">
        <v>686</v>
      </c>
      <c r="D4565" s="27" t="s">
        <v>687</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1010</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1047</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698</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row>
    <row r="4570" spans="1:12">
      <c r="A4570" s="20" t="s">
        <v>2019</v>
      </c>
    </row>
    <row r="4571" spans="1:12">
      <c r="A4571" s="20" t="s">
        <v>1772</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732</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306</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848</v>
      </c>
      <c r="B4574" s="27" t="s">
        <v>787</v>
      </c>
      <c r="C4574" s="27" t="s">
        <v>686</v>
      </c>
      <c r="D4574" s="27" t="s">
        <v>687</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732</v>
      </c>
      <c r="B4575" s="27" t="s">
        <v>863</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849</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850</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760</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1136</v>
      </c>
      <c r="B4579" s="27" t="s">
        <v>843</v>
      </c>
      <c r="C4579" s="27" t="s">
        <v>772</v>
      </c>
      <c r="D4579" s="27" t="s">
        <v>687</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851</v>
      </c>
      <c r="B4580" s="27" t="s">
        <v>821</v>
      </c>
      <c r="C4580" s="27" t="s">
        <v>686</v>
      </c>
      <c r="D4580" s="27" t="s">
        <v>687</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740</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852</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694</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853</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854</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855</v>
      </c>
      <c r="B4586" s="27" t="s">
        <v>696</v>
      </c>
      <c r="C4586" s="27" t="s">
        <v>693</v>
      </c>
      <c r="D4586" s="27" t="s">
        <v>687</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694</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306</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856</v>
      </c>
      <c r="B4589" s="27" t="s">
        <v>724</v>
      </c>
      <c r="C4589" s="27" t="s">
        <v>686</v>
      </c>
      <c r="D4589" s="27" t="s">
        <v>687</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682</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703</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682</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778</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677</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851</v>
      </c>
      <c r="B4595" s="27" t="s">
        <v>821</v>
      </c>
      <c r="C4595" s="27" t="s">
        <v>679</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682</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717</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858</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721</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740</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1246</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855</v>
      </c>
      <c r="B4602" s="27" t="s">
        <v>724</v>
      </c>
      <c r="C4602" s="27" t="s">
        <v>899</v>
      </c>
      <c r="D4602" s="27" t="s">
        <v>687</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698</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row>
    <row r="4605" spans="1:12">
      <c r="A4605" s="20" t="s">
        <v>2020</v>
      </c>
    </row>
    <row r="4606" spans="1:12">
      <c r="A4606" s="20" t="s">
        <v>2021</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732</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958</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1035</v>
      </c>
      <c r="B4609" s="27" t="s">
        <v>787</v>
      </c>
      <c r="C4609" s="27" t="s">
        <v>686</v>
      </c>
      <c r="D4609" s="27" t="s">
        <v>687</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830</v>
      </c>
      <c r="B4610" s="27" t="s">
        <v>791</v>
      </c>
      <c r="C4610" s="27" t="s">
        <v>749</v>
      </c>
      <c r="D4610" s="27" t="s">
        <v>687</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2022</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676</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306</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1520</v>
      </c>
      <c r="B4614" s="27" t="s">
        <v>696</v>
      </c>
      <c r="C4614" s="27" t="s">
        <v>686</v>
      </c>
      <c r="D4614" s="27" t="s">
        <v>687</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676</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732</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2023</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683</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1619</v>
      </c>
      <c r="B4619" s="27" t="s">
        <v>821</v>
      </c>
      <c r="C4619" s="27" t="s">
        <v>693</v>
      </c>
      <c r="D4619" s="27" t="s">
        <v>687</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683</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683</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1503</v>
      </c>
      <c r="B4622" s="27" t="s">
        <v>843</v>
      </c>
      <c r="C4622" s="27" t="s">
        <v>686</v>
      </c>
      <c r="D4622" s="27" t="s">
        <v>687</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698</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row>
    <row r="4625" spans="1:12">
      <c r="A4625" s="20" t="s">
        <v>2024</v>
      </c>
    </row>
    <row r="4626" spans="1:12">
      <c r="A4626" s="20" t="s">
        <v>824</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717</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1634</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683</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2025</v>
      </c>
      <c r="B4630" s="27" t="s">
        <v>692</v>
      </c>
      <c r="C4630" s="27" t="s">
        <v>686</v>
      </c>
      <c r="D4630" s="27" t="s">
        <v>687</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694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732</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830</v>
      </c>
      <c r="B4633" s="27" t="s">
        <v>810</v>
      </c>
      <c r="C4633" s="27" t="s">
        <v>749</v>
      </c>
      <c r="D4633" s="27" t="s">
        <v>687</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1213</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2026</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694</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903</v>
      </c>
      <c r="B4637" s="27" t="s">
        <v>810</v>
      </c>
      <c r="C4637" s="27" t="s">
        <v>731</v>
      </c>
      <c r="D4637" s="27" t="s">
        <v>687</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782</v>
      </c>
      <c r="B4638" s="27" t="s">
        <v>787</v>
      </c>
      <c r="C4638" s="27" t="s">
        <v>749</v>
      </c>
      <c r="D4638" s="27" t="s">
        <v>687</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717</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1485</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1747</v>
      </c>
      <c r="B4641" s="27" t="s">
        <v>791</v>
      </c>
      <c r="C4641" s="27" t="s">
        <v>679</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983</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2027</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676</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1458</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796</v>
      </c>
      <c r="B4646" s="27" t="s">
        <v>843</v>
      </c>
      <c r="C4646" s="27" t="s">
        <v>772</v>
      </c>
      <c r="D4646" s="27" t="s">
        <v>687</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1678</v>
      </c>
      <c r="B4647" s="27" t="s">
        <v>812</v>
      </c>
      <c r="C4647" s="27" t="s">
        <v>899</v>
      </c>
      <c r="D4647" s="27" t="s">
        <v>687</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694</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2028</v>
      </c>
      <c r="B4649" s="27" t="s">
        <v>843</v>
      </c>
      <c r="C4649" s="27" t="s">
        <v>679</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698</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row>
    <row r="4652" spans="1:12">
      <c r="A4652" s="20" t="s">
        <v>2029</v>
      </c>
    </row>
    <row r="4653" spans="1:12">
      <c r="A4653" s="20" t="s">
        <v>1154</v>
      </c>
      <c r="B4653" s="27" t="s">
        <v>685</v>
      </c>
      <c r="C4653" s="27" t="s">
        <v>749</v>
      </c>
      <c r="D4653" s="27" t="s">
        <v>687</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750</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1782</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1756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848</v>
      </c>
      <c r="B4657" s="27" t="s">
        <v>692</v>
      </c>
      <c r="C4657" s="27" t="s">
        <v>1049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2030</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703</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2031</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1207</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2032</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t="s">
        <v>676</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760</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844</v>
      </c>
      <c r="B4665" s="27" t="s">
        <v>696</v>
      </c>
      <c r="C4665" s="27" t="s">
        <v>772</v>
      </c>
      <c r="D4665" s="27" t="s">
        <v>687</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2033</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2034</v>
      </c>
      <c r="B4667" s="27" t="s">
        <v>678</v>
      </c>
      <c r="C4667" s="27" t="s">
        <v>686</v>
      </c>
      <c r="D4667" s="27" t="s">
        <v>687</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698</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row>
    <row r="4670" spans="1:12">
      <c r="A4670" s="20" t="s">
        <v>2035</v>
      </c>
    </row>
    <row r="4671" spans="1:12">
      <c r="A4671" s="20" t="s">
        <v>827</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1293</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721</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306</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2036</v>
      </c>
      <c r="B4675" s="27" t="s">
        <v>807</v>
      </c>
      <c r="C4675" s="27" t="s">
        <v>686</v>
      </c>
      <c r="D4675" s="27" t="s">
        <v>687</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1251</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2037</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778</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990</v>
      </c>
      <c r="B4679" s="27" t="s">
        <v>724</v>
      </c>
      <c r="C4679" s="27" t="s">
        <v>679</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958</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2038</v>
      </c>
      <c r="B4681" s="27" t="s">
        <v>810</v>
      </c>
      <c r="C4681" s="27" t="s">
        <v>686</v>
      </c>
      <c r="D4681" s="27" t="s">
        <v>687</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729</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2039</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698</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row>
    <row r="4686" spans="1:12">
      <c r="A4686" s="20" t="s">
        <v>2040</v>
      </c>
    </row>
    <row r="4687" spans="1:12">
      <c r="A4687" s="20" t="s">
        <v>2041</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1775</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42</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752</v>
      </c>
      <c r="B4690" s="27" t="s">
        <v>678</v>
      </c>
      <c r="C4690" s="27" t="s">
        <v>899</v>
      </c>
      <c r="D4690" s="27" t="s">
        <v>687</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682</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747</v>
      </c>
      <c r="B4692" s="27" t="s">
        <v>685</v>
      </c>
      <c r="C4692" s="27" t="s">
        <v>749</v>
      </c>
      <c r="D4692" s="27" t="s">
        <v>687</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750</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2042</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703</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2043</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683</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2044</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2045</v>
      </c>
      <c r="B4699" s="27" t="s">
        <v>791</v>
      </c>
      <c r="C4699" s="27" t="s">
        <v>693</v>
      </c>
      <c r="D4699" s="27" t="s">
        <v>687</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694</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683</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2046</v>
      </c>
      <c r="B4702" s="27" t="s">
        <v>724</v>
      </c>
      <c r="C4702" s="27" t="s">
        <v>686</v>
      </c>
      <c r="D4702" s="27" t="s">
        <v>687</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2047</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682</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703</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750</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1866</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721</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828</v>
      </c>
      <c r="B4709" s="27" t="s">
        <v>807</v>
      </c>
      <c r="C4709" s="27" t="s">
        <v>749</v>
      </c>
      <c r="D4709" s="27" t="s">
        <v>687</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2048</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1342</v>
      </c>
      <c r="B4711" s="27" t="s">
        <v>810</v>
      </c>
      <c r="C4711" s="27" t="s">
        <v>716</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306</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2049</v>
      </c>
      <c r="B4713" s="27" t="s">
        <v>724</v>
      </c>
      <c r="C4713" s="27" t="s">
        <v>686</v>
      </c>
      <c r="D4713" s="27" t="s">
        <v>687</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698</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row>
    <row r="4716" spans="1:12">
      <c r="A4716" s="20" t="s">
        <v>2050</v>
      </c>
    </row>
    <row r="4717" spans="1:12">
      <c r="A4717" s="20" t="s">
        <v>1103</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682</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850</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1175</v>
      </c>
      <c r="B4720" s="27" t="s">
        <v>696</v>
      </c>
      <c r="C4720" s="27" t="s">
        <v>679</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682</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747</v>
      </c>
      <c r="B4722" s="27" t="s">
        <v>787</v>
      </c>
      <c r="C4722" s="27" t="s">
        <v>749</v>
      </c>
      <c r="D4722" s="27" t="s">
        <v>687</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1378</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2051</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732</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760</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1039</v>
      </c>
      <c r="B4727" s="27" t="s">
        <v>807</v>
      </c>
      <c r="C4727" s="27" t="s">
        <v>686</v>
      </c>
      <c r="D4727" s="27" t="s">
        <v>687</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732</v>
      </c>
      <c r="B4728" s="27" t="s">
        <v>742</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747</v>
      </c>
      <c r="B4729" s="27" t="s">
        <v>1066</v>
      </c>
      <c r="C4729" s="27" t="s">
        <v>749</v>
      </c>
      <c r="D4729" s="27" t="s">
        <v>687</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1010</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683</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2052</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982</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2053</v>
      </c>
      <c r="B4734" s="27" t="s">
        <v>696</v>
      </c>
      <c r="C4734" s="27" t="s">
        <v>679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682</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2054</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782</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708</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733</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2055</v>
      </c>
      <c r="B4740" s="27" t="s">
        <v>724</v>
      </c>
      <c r="C4740" s="27" t="s">
        <v>693</v>
      </c>
      <c r="D4740" s="27" t="s">
        <v>687</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694</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712</v>
      </c>
      <c r="B4742" s="27" t="s">
        <v>812</v>
      </c>
      <c r="C4742" s="27" t="s">
        <v>679</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794</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760</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844</v>
      </c>
      <c r="B4745" s="27" t="s">
        <v>812</v>
      </c>
      <c r="C4745" s="27" t="s">
        <v>772</v>
      </c>
      <c r="D4745" s="27" t="s">
        <v>687</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851</v>
      </c>
      <c r="B4746" s="27" t="s">
        <v>810</v>
      </c>
      <c r="C4746" s="27" t="s">
        <v>686</v>
      </c>
      <c r="D4746" s="27" t="s">
        <v>687</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2056</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703</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2057</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2058</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784</v>
      </c>
      <c r="B4751" s="27" t="s">
        <v>821</v>
      </c>
      <c r="C4751" s="27" t="s">
        <v>679</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683</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2059</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694</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683</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2060</v>
      </c>
      <c r="B4756" s="27" t="s">
        <v>843</v>
      </c>
      <c r="C4756" s="27" t="s">
        <v>686</v>
      </c>
      <c r="D4756" s="27" t="s">
        <v>687</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682</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1883</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676</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2061</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1288</v>
      </c>
      <c r="B4761" s="27" t="s">
        <v>678</v>
      </c>
      <c r="C4761" s="27" t="s">
        <v>899</v>
      </c>
      <c r="D4761" s="27" t="s">
        <v>687</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732</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683</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771</v>
      </c>
      <c r="B4764" s="27" t="s">
        <v>812</v>
      </c>
      <c r="C4764" s="27" t="s">
        <v>772</v>
      </c>
      <c r="D4764" s="27" t="s">
        <v>687</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2062</v>
      </c>
      <c r="B4765" s="27" t="s">
        <v>807</v>
      </c>
      <c r="C4765" s="27" t="s">
        <v>686</v>
      </c>
      <c r="D4765" s="27" t="s">
        <v>687</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830</v>
      </c>
      <c r="B4766" s="27" t="s">
        <v>810</v>
      </c>
      <c r="C4766" s="27" t="s">
        <v>749</v>
      </c>
      <c r="D4766" s="27" t="s">
        <v>687</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750</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2063</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733</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2064</v>
      </c>
      <c r="B4770" s="27" t="s">
        <v>810</v>
      </c>
      <c r="C4770" s="27" t="s">
        <v>736</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703</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732</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747</v>
      </c>
      <c r="B4773" s="27" t="s">
        <v>863</v>
      </c>
      <c r="C4773" s="27" t="s">
        <v>749</v>
      </c>
      <c r="D4773" s="27" t="s">
        <v>687</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1010</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2065</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708</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830</v>
      </c>
      <c r="B4777" s="27" t="s">
        <v>874</v>
      </c>
      <c r="C4777" s="27" t="s">
        <v>749</v>
      </c>
      <c r="D4777" s="27" t="s">
        <v>687</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1971</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683</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1061</v>
      </c>
      <c r="B4780" s="27" t="s">
        <v>874</v>
      </c>
      <c r="C4780" s="27" t="s">
        <v>749</v>
      </c>
      <c r="D4780" s="27" t="s">
        <v>687</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676</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306</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1281</v>
      </c>
      <c r="B4783" s="27" t="s">
        <v>744</v>
      </c>
      <c r="C4783" s="27" t="s">
        <v>772</v>
      </c>
      <c r="D4783" s="27" t="s">
        <v>687</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2066</v>
      </c>
      <c r="B4784" s="27" t="s">
        <v>728</v>
      </c>
      <c r="C4784" s="27" t="s">
        <v>686</v>
      </c>
      <c r="D4784" s="27" t="s">
        <v>687</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698</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row>
    <row r="4787" spans="1:12">
      <c r="A4787" s="20" t="s">
        <v>2067</v>
      </c>
    </row>
    <row r="4788" spans="1:12">
      <c r="A4788" s="20" t="s">
        <v>2068</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698</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2025-07-10T18:08:34Z</dcterms:created>
  <dcterms:modified xsi:type="dcterms:W3CDTF">2025-07-10T18:08:34Z</dcterms:modified>
</cp:coreProperties>
</file>