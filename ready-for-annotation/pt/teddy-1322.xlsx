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<sst xmlns="http://schemas.openxmlformats.org/spreadsheetml/2006/main" count="9044" uniqueCount="2069">
  <si>
    <t>ID</t>
  </si>
  <si>
    <t>PRED_ID</t>
  </si>
  <si>
    <t>MARKER_AUTO</t>
  </si>
  <si>
    <t>PREDICATE</t>
  </si>
  <si>
    <t>TEXT</t>
  </si>
  <si>
    <t>SENTENCE</t>
  </si>
  <si>
    <t>MARKER</t>
  </si>
  <si>
    <t>TARGET</t>
  </si>
  <si>
    <t>RELATION</t>
  </si>
  <si>
    <t>COMMENT</t>
  </si>
  <si>
    <t>1</t>
  </si>
  <si>
    <t>11</t>
  </si>
  <si>
    <t>_</t>
  </si>
  <si>
    <t>representar</t>
  </si>
  <si>
    <t>&amp;quot; Mesmo em termos puramente não-religiosos , &amp;quot; a homossexualidade representa um mau uso da de a faculdade sexual .</t>
  </si>
  <si>
    <t>file://conllu/pt/teddy-1322.conllu#s1_0</t>
  </si>
  <si>
    <t>2</t>
  </si>
  <si>
    <t>ser (ser substituto)</t>
  </si>
  <si>
    <t>&amp;quot; É um patético e pequeno substituto de segunda categoria para a realidade , &amp;quot; um voo lamentável da de a vida .</t>
  </si>
  <si>
    <t>file://conllu/pt/teddy-1322.conllu#s2_0</t>
  </si>
  <si>
    <t>3</t>
  </si>
  <si>
    <t>merecer</t>
  </si>
  <si>
    <t>&amp;quot; Como tal , não merece compaixão , &amp;quot; não merece tratamento &amp;quot; como martírio de minoria , &amp;quot; e não merece ser considerado algo mais do de o que uma doença perniciosa . &amp;quot; Isto é da de a revista Time , em 1966 , quando eu tinha três anos .</t>
  </si>
  <si>
    <t>file://conllu/pt/teddy-1322.conllu#s3_0</t>
  </si>
  <si>
    <t>5</t>
  </si>
  <si>
    <t>7</t>
  </si>
  <si>
    <t>ser (ser aplauso)</t>
  </si>
  <si>
    <t>( Aplausos ) A minha pergunta é :</t>
  </si>
  <si>
    <t>file://conllu/pt/teddy-1322.conllu#s5_0</t>
  </si>
  <si>
    <t>6</t>
  </si>
  <si>
    <t>Até?</t>
  </si>
  <si>
    <t>chegar</t>
  </si>
  <si>
    <t>Como chegámos de lá até aqui ?</t>
  </si>
  <si>
    <t>file://conllu/pt/teddy-1322.conllu#s6_0</t>
  </si>
  <si>
    <t>tornar</t>
  </si>
  <si>
    <t>Como é que uma doença se tornou uma identidade ?</t>
  </si>
  <si>
    <t>file://conllu/pt/teddy-1322.conllu#s7_0</t>
  </si>
  <si>
    <t>8</t>
  </si>
  <si>
    <t>9</t>
  </si>
  <si>
    <t>ser (ser sapataria)</t>
  </si>
  <si>
    <t>Quando eu tinha talvez uns seis anos , fui a uma sapataria com a minha mãe e o meu irmão .</t>
  </si>
  <si>
    <t>file://conllu/pt/teddy-1322.conllu#s8_0</t>
  </si>
  <si>
    <t>10</t>
  </si>
  <si>
    <t>querer (querer querer)</t>
  </si>
  <si>
    <t>meu irmão queria um balão vermelho e eu queria um balão cor-de-rosa .</t>
  </si>
  <si>
    <t>file://conllu/pt/teddy-1322.conllu#s10_0</t>
  </si>
  <si>
    <t>pensar (pensar dizer)</t>
  </si>
  <si>
    <t>A minha mãe disse que pensava que eu preferiria antes ter um balão azul .</t>
  </si>
  <si>
    <t>file://conllu/pt/teddy-1322.conllu#s11_0</t>
  </si>
  <si>
    <t>12</t>
  </si>
  <si>
    <t>querer (querer dizer)</t>
  </si>
  <si>
    <t>Mas eu disse que queria definitivamente o cor-de-rosa .</t>
  </si>
  <si>
    <t>file://conllu/pt/teddy-1322.conllu#s12_0</t>
  </si>
  <si>
    <t>13</t>
  </si>
  <si>
    <t>lembrar</t>
  </si>
  <si>
    <t>E ela lembrou-me lembrou me de que a minha cor preferida era o azul .</t>
  </si>
  <si>
    <t>file://conllu/pt/teddy-1322.conllu#s13_0</t>
  </si>
  <si>
    <t>14</t>
  </si>
  <si>
    <t>facto</t>
  </si>
  <si>
    <t>facto de que agora a minha cor preferida é o azul mas eu ainda sou &amp;quot; gay &amp;quot; ( Risos ) é prova da de a influência da de a minha mãe e dos de os seus limites .</t>
  </si>
  <si>
    <t>file://conllu/pt/teddy-1322.conllu#s14_0</t>
  </si>
  <si>
    <t>15</t>
  </si>
  <si>
    <t>costumar</t>
  </si>
  <si>
    <t>Quando eu era pequeno , a minha mãe costumava dizer : &amp;quot; amor que temos pelos por os filhos é diferente de qualquer outro sentimento no em o mundo .</t>
  </si>
  <si>
    <t>file://conllu/pt/teddy-1322.conllu#s15_0</t>
  </si>
  <si>
    <t>16</t>
  </si>
  <si>
    <t>saber</t>
  </si>
  <si>
    <t>&amp;quot; E até termos filhos , não sabemos como é . &amp;quot; Quando eu era pequeno , eu tomava isto como o melhor elogio do de o mundo que ela diria sobre ser a minha mãe e do de o meu irmão .</t>
  </si>
  <si>
    <t>file://conllu/pt/teddy-1322.conllu#s16_0</t>
  </si>
  <si>
    <t>17</t>
  </si>
  <si>
    <t>4</t>
  </si>
  <si>
    <t>pensar</t>
  </si>
  <si>
    <t>Enquanto adolescente , pensei que , sendo &amp;quot; gay &amp;quot; , provavelmente não poderia ter uma família .</t>
  </si>
  <si>
    <t>file://conllu/pt/teddy-1322.conllu#s17_0</t>
  </si>
  <si>
    <t>18</t>
  </si>
  <si>
    <t>dizer (dizer sentir)</t>
  </si>
  <si>
    <t>E , quando ela dizia aquilo , sentia-me sentia me ansioso .</t>
  </si>
  <si>
    <t>file://conllu/pt/teddy-1322.conllu#s18_0</t>
  </si>
  <si>
    <t>19</t>
  </si>
  <si>
    <t>dizer (dizer continuar sentir)</t>
  </si>
  <si>
    <t>Depois de ter &amp;quot; saído do de o armário &amp;quot; , quando ela continuou a dizê-lo dizê lo , sentia-me sentia me furioso .</t>
  </si>
  <si>
    <t>file://conllu/pt/teddy-1322.conllu#s19_0</t>
  </si>
  <si>
    <t>21</t>
  </si>
  <si>
    <t>voltar</t>
  </si>
  <si>
    <t>Não estou voltado para essa direção .</t>
  </si>
  <si>
    <t>file://conllu/pt/teddy-1322.conllu#s21_0</t>
  </si>
  <si>
    <t>22</t>
  </si>
  <si>
    <t>querer</t>
  </si>
  <si>
    <t>&amp;quot; E quero que pares de dizer isso . &amp;quot;</t>
  </si>
  <si>
    <t>file://conllu/pt/teddy-1322.conllu#s22_0</t>
  </si>
  <si>
    <t>23</t>
  </si>
  <si>
    <t>convidar</t>
  </si>
  <si>
    <t>Há uns 20 anos , os editores da de a revista The New York Times convidaram-me convidaram me para escrever um artigo sobre a cultura surda .</t>
  </si>
  <si>
    <t>file://conllu/pt/teddy-1322.conllu#s23_0</t>
  </si>
  <si>
    <t>24</t>
  </si>
  <si>
    <t>ficar</t>
  </si>
  <si>
    <t>Fiquei bastante surpreendido .</t>
  </si>
  <si>
    <t>file://conllu/pt/teddy-1322.conllu#s24_0</t>
  </si>
  <si>
    <t>25</t>
  </si>
  <si>
    <t>Sempre pensara na em a surdez como uma doença .</t>
  </si>
  <si>
    <t>file://conllu/pt/teddy-1322.conllu#s25_0</t>
  </si>
  <si>
    <t>26</t>
  </si>
  <si>
    <t>conseguir</t>
  </si>
  <si>
    <t>Aquelas pobres pessoas não conseguem ouvir .</t>
  </si>
  <si>
    <t>file://conllu/pt/teddy-1322.conllu#s26_0</t>
  </si>
  <si>
    <t>28</t>
  </si>
  <si>
    <t>conhecer</t>
  </si>
  <si>
    <t>Então eu fui conhecer o mundo dos de os surdos .</t>
  </si>
  <si>
    <t>file://conllu/pt/teddy-1322.conllu#s28_0</t>
  </si>
  <si>
    <t>29</t>
  </si>
  <si>
    <t>ser (ser clube)</t>
  </si>
  <si>
    <t>Fui a clubes de surdos .</t>
  </si>
  <si>
    <t>file://conllu/pt/teddy-1322.conllu#s29_0</t>
  </si>
  <si>
    <t>30</t>
  </si>
  <si>
    <t>vir</t>
  </si>
  <si>
    <t>Vi apresentações de teatro de surdos e de poesia de surdos .</t>
  </si>
  <si>
    <t>file://conllu/pt/teddy-1322.conllu#s30_0</t>
  </si>
  <si>
    <t>31</t>
  </si>
  <si>
    <t>ver</t>
  </si>
  <si>
    <t>Até fui ver o concurso de Miss América Surda em Nashville , no em o Tennessee , onde as pessoas se queixaram da de a linguagem gestual do de o sul .</t>
  </si>
  <si>
    <t>file://conllu/pt/teddy-1322.conllu#s31_0</t>
  </si>
  <si>
    <t>32</t>
  </si>
  <si>
    <t>convencer</t>
  </si>
  <si>
    <t>Quanto mais fundo mergulhava no em o mundo dos de os surdos , mais me convencia de que a surdez era uma cultura e que , quando as pessoas do de o mundo surdo diziam :</t>
  </si>
  <si>
    <t>file://conllu/pt/teddy-1322.conllu#s32_0</t>
  </si>
  <si>
    <t>33</t>
  </si>
  <si>
    <t>estar</t>
  </si>
  <si>
    <t>&amp;quot; Não temos falta de audição , somos membros de uma cultura &amp;quot; , estavam a dizer algo que era viável .</t>
  </si>
  <si>
    <t>file://conllu/pt/teddy-1322.conllu#s33_0</t>
  </si>
  <si>
    <t>34</t>
  </si>
  <si>
    <t>Não era a minha cultura , não queria especialmente apressar-me apressar me a fazer parte dela de ela , mas pude apreciar que era uma cultura e que , para as pessoas que eram membros dela de ela , era tão valiosa como a cultura latina ou a cultura &amp;quot; gay &amp;quot; ou a cultura judaica .</t>
  </si>
  <si>
    <t>file://conllu/pt/teddy-1322.conllu#s34_0</t>
  </si>
  <si>
    <t>36</t>
  </si>
  <si>
    <t>meçar</t>
  </si>
  <si>
    <t>Depois , uma amiga de um amigo meu teve uma filha que era anã .</t>
  </si>
  <si>
    <t>file://conllu/pt/teddy-1322.conllu#s36_0</t>
  </si>
  <si>
    <t>37</t>
  </si>
  <si>
    <t>deparar</t>
  </si>
  <si>
    <t>Quando a sua filha nasceu , ela de repente deparou-se deparou se com as questões que agora me começavam a parecer bastante importantes .</t>
  </si>
  <si>
    <t>file://conllu/pt/teddy-1322.conllu#s37_0</t>
  </si>
  <si>
    <t>38</t>
  </si>
  <si>
    <t>Ela estava a enfrentar a questão do de o que fazer com esta criança .</t>
  </si>
  <si>
    <t>file://conllu/pt/teddy-1322.conllu#s38_0</t>
  </si>
  <si>
    <t>39</t>
  </si>
  <si>
    <t>dever</t>
  </si>
  <si>
    <t>Devia dizer :</t>
  </si>
  <si>
    <t>file://conllu/pt/teddy-1322.conllu#s39_0</t>
  </si>
  <si>
    <t>40</t>
  </si>
  <si>
    <t>exatamente</t>
  </si>
  <si>
    <t>&amp;quot; És exatamente como os outros , mas um pouco mais baixa &amp;quot; ?</t>
  </si>
  <si>
    <t>file://conllu/pt/teddy-1322.conllu#s40_0</t>
  </si>
  <si>
    <t>41</t>
  </si>
  <si>
    <t>Ou devia tentar construir algum tipo de identidade anã , envolver-se envolver se na em a organização Pessoas Pequenas da de a América , tornar-se tornar se consciente do de o que estava a acontecer com os anões ?</t>
  </si>
  <si>
    <t>file://conllu/pt/teddy-1322.conllu#s41_0</t>
  </si>
  <si>
    <t>42</t>
  </si>
  <si>
    <t>E de repente pensei : as crianças surdas são filhas de pais com audição .</t>
  </si>
  <si>
    <t>file://conllu/pt/teddy-1322.conllu#s42_0</t>
  </si>
  <si>
    <t>43</t>
  </si>
  <si>
    <t>tender</t>
  </si>
  <si>
    <t>Esses pais com audição tendem a tentar curá-las curá las .</t>
  </si>
  <si>
    <t>file://conllu/pt/teddy-1322.conllu#s43_0</t>
  </si>
  <si>
    <t>44</t>
  </si>
  <si>
    <t>descobrir</t>
  </si>
  <si>
    <t>De certa forma , essas pessoas surdas descobrem a comunidade na em a adolescência .</t>
  </si>
  <si>
    <t>file://conllu/pt/teddy-1322.conllu#s44_0</t>
  </si>
  <si>
    <t>45</t>
  </si>
  <si>
    <t>ser (ser filha)</t>
  </si>
  <si>
    <t>A maioria das de as pessoas &amp;quot; gays &amp;quot; são filhas de pais heterossexuais .</t>
  </si>
  <si>
    <t>file://conllu/pt/teddy-1322.conllu#s45_0</t>
  </si>
  <si>
    <t>46</t>
  </si>
  <si>
    <t>pai</t>
  </si>
  <si>
    <t>Esses pais heterossexuais desejam que elas funcionem no em o que eles consideram a corrente principal no em o mundo , e esses &amp;quot; gays &amp;quot; têm de descobrir a sua identidade mais tarde .</t>
  </si>
  <si>
    <t>file://conllu/pt/teddy-1322.conllu#s46_0</t>
  </si>
  <si>
    <t>47</t>
  </si>
  <si>
    <t>E aqui estava esta minha amiga a deparar-se deparar se com estas questões de identidade da de a filha anã .</t>
  </si>
  <si>
    <t>file://conllu/pt/teddy-1322.conllu#s47_0</t>
  </si>
  <si>
    <t>48</t>
  </si>
  <si>
    <t>E eu pensei ... aí está novamente : uma família que se considera normal com uma criança que parece ser extraordinária .</t>
  </si>
  <si>
    <t>file://conllu/pt/teddy-1322.conllu#s48_0</t>
  </si>
  <si>
    <t>49</t>
  </si>
  <si>
    <t>surgir</t>
  </si>
  <si>
    <t>E surgiu-me surgiu me a ideia de que há realmente dois tipos de identidade .</t>
  </si>
  <si>
    <t>file://conllu/pt/teddy-1322.conllu#s49_0</t>
  </si>
  <si>
    <t>50</t>
  </si>
  <si>
    <t>haver</t>
  </si>
  <si>
    <t>Há identidades verticais , que são passadas hereditariamente de pais para filhos .</t>
  </si>
  <si>
    <t>file://conllu/pt/teddy-1322.conllu#s50_0</t>
  </si>
  <si>
    <t>51</t>
  </si>
  <si>
    <t>ser (ser coisa)</t>
  </si>
  <si>
    <t>São coisas como etnicidade , frequentemente nacionalidade , língua , religião .</t>
  </si>
  <si>
    <t>file://conllu/pt/teddy-1322.conllu#s51_0</t>
  </si>
  <si>
    <t>52</t>
  </si>
  <si>
    <t>São coisas que temos em comum com os pais e com os filhos .</t>
  </si>
  <si>
    <t>file://conllu/pt/teddy-1322.conllu#s52_0</t>
  </si>
  <si>
    <t>53</t>
  </si>
  <si>
    <t>Embora algumas delas de elas possam ser difíceis , não há qualquer tentativa para as curar .</t>
  </si>
  <si>
    <t>file://conllu/pt/teddy-1322.conllu#s53_0</t>
  </si>
  <si>
    <t>54</t>
  </si>
  <si>
    <t>poder</t>
  </si>
  <si>
    <t>Podem argumentar que é mais difícil nos em os EUA — não obstante o nosso actual presidente — ser uma pessoa de cor .</t>
  </si>
  <si>
    <t>file://conllu/pt/teddy-1322.conllu#s54_0</t>
  </si>
  <si>
    <t>55</t>
  </si>
  <si>
    <t>ter</t>
  </si>
  <si>
    <t>Contudo , não temos ninguém a tentar garantir que a próxima geração de filhos de afro-americanos e asiáticos saia com pele clara e cabelo loiro .</t>
  </si>
  <si>
    <t>file://conllu/pt/teddy-1322.conllu#s55_0</t>
  </si>
  <si>
    <t>56</t>
  </si>
  <si>
    <t>Também há outras identidades que temos de aprender com os nossos pares .</t>
  </si>
  <si>
    <t>file://conllu/pt/teddy-1322.conllu#s56_0</t>
  </si>
  <si>
    <t>57</t>
  </si>
  <si>
    <t>chamar</t>
  </si>
  <si>
    <t>E eu chamo-lhes chamo lhes identidades horizontais , porque o grupo de pares é a experiência horizontal .</t>
  </si>
  <si>
    <t>file://conllu/pt/teddy-1322.conllu#s57_0</t>
  </si>
  <si>
    <t>58</t>
  </si>
  <si>
    <t>ser (ser identidade)</t>
  </si>
  <si>
    <t>São identidades que são alheias aos a os nossos pais e que temos de descobrir quando começamos a vê-las vê las nos em os pares .</t>
  </si>
  <si>
    <t>file://conllu/pt/teddy-1322.conllu#s58_0</t>
  </si>
  <si>
    <t>59</t>
  </si>
  <si>
    <t>tentar</t>
  </si>
  <si>
    <t>Essas identidades horizontais , as pessoas quase sempre tentaram curar .</t>
  </si>
  <si>
    <t>file://conllu/pt/teddy-1322.conllu#s59_0</t>
  </si>
  <si>
    <t>60</t>
  </si>
  <si>
    <t>Eu queria olhar para o processo através do de o qual as pessoas que têm essas identidades chegam a um bom relacionamento com elas .</t>
  </si>
  <si>
    <t>file://conllu/pt/teddy-1322.conllu#s60_0</t>
  </si>
  <si>
    <t>62</t>
  </si>
  <si>
    <t>Há a auto-aceitação , a aceitação familiar e a aceitação social .</t>
  </si>
  <si>
    <t>file://conllu/pt/teddy-1322.conllu#s62_0</t>
  </si>
  <si>
    <t>63</t>
  </si>
  <si>
    <t>coincidir</t>
  </si>
  <si>
    <t>E elas nem sempre coincidem .</t>
  </si>
  <si>
    <t>file://conllu/pt/teddy-1322.conllu#s63_0</t>
  </si>
  <si>
    <t>64</t>
  </si>
  <si>
    <t>ser (ser pessoa)</t>
  </si>
  <si>
    <t>Muitas vezes , as pessoas que estão nessa em essa situação são pessoas zangadas porque se sentem como se os pais não as amassem , quando o que realmente acontece é que os pais não as aceitam .</t>
  </si>
  <si>
    <t>file://conllu/pt/teddy-1322.conllu#s64_0</t>
  </si>
  <si>
    <t>65</t>
  </si>
  <si>
    <t>ser (ser algo)</t>
  </si>
  <si>
    <t>amor é algo que idealmente existe incondicionalmente em qualquer relação entre um pai e um filho .</t>
  </si>
  <si>
    <t>file://conllu/pt/teddy-1322.conllu#s65_0</t>
  </si>
  <si>
    <t>66</t>
  </si>
  <si>
    <t>Mas a aceitação é algo que leva tempo .</t>
  </si>
  <si>
    <t>file://conllu/pt/teddy-1322.conllu#s66_0</t>
  </si>
  <si>
    <t>67</t>
  </si>
  <si>
    <t>levar</t>
  </si>
  <si>
    <t>Leva sempre tempo .</t>
  </si>
  <si>
    <t>file://conllu/pt/teddy-1322.conllu#s67_0</t>
  </si>
  <si>
    <t>68</t>
  </si>
  <si>
    <t>ser (ser indivíduo)</t>
  </si>
  <si>
    <t>Um dos de os anões que conheci foi um indivíduo chamado Clinton Brown .</t>
  </si>
  <si>
    <t>file://conllu/pt/teddy-1322.conllu#s68_0</t>
  </si>
  <si>
    <t>69</t>
  </si>
  <si>
    <t>diagnosticar</t>
  </si>
  <si>
    <t>Quando ele nasceu , foi diagnosticado com nanismo diastrófico , uma doença muito incapacitante , e disseram aos a os pais que ele nunca andaria , nunca falaria , não teria nenhuma capacidade intelectual , e provavelmente nem os iria reconhecer .</t>
  </si>
  <si>
    <t>file://conllu/pt/teddy-1322.conllu#s69_0</t>
  </si>
  <si>
    <t>71</t>
  </si>
  <si>
    <t>dizer</t>
  </si>
  <si>
    <t>A mãe disse que não o iria fazer e levou o filho para casa .</t>
  </si>
  <si>
    <t>file://conllu/pt/teddy-1322.conllu#s71_0</t>
  </si>
  <si>
    <t>72</t>
  </si>
  <si>
    <t>encontrar</t>
  </si>
  <si>
    <t>Mesmo não tendo grande capacidade financeira ou educativa , a mãe encontrou o melhor médico do de o país para lidar com nanismo diastrófico , e ele veio a ser o médico de Clinton .</t>
  </si>
  <si>
    <t>file://conllu/pt/teddy-1322.conllu#s72_0</t>
  </si>
  <si>
    <t>74</t>
  </si>
  <si>
    <t>passar</t>
  </si>
  <si>
    <t>Passou todo esse tempo preso no em o hospital enquanto esses procedimentos aconteciam , e , como resultado , ele pode agora andar .</t>
  </si>
  <si>
    <t>file://conllu/pt/teddy-1322.conllu#s74_0</t>
  </si>
  <si>
    <t>75</t>
  </si>
  <si>
    <t>Enquanto esteve no em o hospital , houve tutores a ajudá-lo ajudá lo com os trabalhos escolares .</t>
  </si>
  <si>
    <t>file://conllu/pt/teddy-1322.conllu#s75_0</t>
  </si>
  <si>
    <t>76</t>
  </si>
  <si>
    <t>trabalhar</t>
  </si>
  <si>
    <t>E ele trabalhou intensamente porque não havia mais nada para fazer .</t>
  </si>
  <si>
    <t>file://conllu/pt/teddy-1322.conllu#s76_0</t>
  </si>
  <si>
    <t>77</t>
  </si>
  <si>
    <t>acabar</t>
  </si>
  <si>
    <t>Acabou alcançando um nível que nunca antes tinha sido atingido por um membro da de a sua família .</t>
  </si>
  <si>
    <t>file://conllu/pt/teddy-1322.conllu#s77_0</t>
  </si>
  <si>
    <t>79</t>
  </si>
  <si>
    <t>contar</t>
  </si>
  <si>
    <t>A mãe contou-me contou me a história de quando um dia , ao a o voltar para casa – ele frequentava uma faculdade perto .</t>
  </si>
  <si>
    <t>file://conllu/pt/teddy-1322.conllu#s79_0</t>
  </si>
  <si>
    <t>80</t>
  </si>
  <si>
    <t>&amp;quot; Eu vi o carro dele de ele , que se consegue sempre reconhecer , &amp;quot; no em o estacionamento de um bar &amp;quot; .</t>
  </si>
  <si>
    <t>file://conllu/pt/teddy-1322.conllu#s80_0</t>
  </si>
  <si>
    <t>81</t>
  </si>
  <si>
    <t>&amp;quot; E pensei para comigo com mim : &amp;quot; Eles têm 1,80 m de altura , ele tem 90 centímetros .</t>
  </si>
  <si>
    <t>file://conllu/pt/teddy-1322.conllu#s81_0</t>
  </si>
  <si>
    <t>82</t>
  </si>
  <si>
    <t>É como?</t>
  </si>
  <si>
    <t>ser (ser cerveja)</t>
  </si>
  <si>
    <t>&amp;quot; Duas cervejas para eles é como quatro cervejas para ele .</t>
  </si>
  <si>
    <t>file://conllu/pt/teddy-1322.conllu#s82_0</t>
  </si>
  <si>
    <t>83</t>
  </si>
  <si>
    <t>&amp;quot; Eu sabia que não poderia lá ir e interrompê-lo interrompê lo , &amp;quot; mas fui para casa e deixei-lhe deixei lhe oito mensagens no em o telemóvel .</t>
  </si>
  <si>
    <t>file://conllu/pt/teddy-1322.conllu#s83_0</t>
  </si>
  <si>
    <t>84</t>
  </si>
  <si>
    <t>&amp;quot; E então , pensei ... &amp;quot; Se alguém me dissesse quando ele nasceu &amp;quot; que a minha preocupação futura seria &amp;quot; que ele ia beber e conduzir com os amigos de faculdade ... &amp;quot;</t>
  </si>
  <si>
    <t>file://conllu/pt/teddy-1322.conllu#s84_0</t>
  </si>
  <si>
    <t>85</t>
  </si>
  <si>
    <t>perguntar</t>
  </si>
  <si>
    <t>E eu perguntei-lhe perguntei lhe : &amp;quot; que pensa ter feito que o ajudou a surgir &amp;quot; como esta pessoa encantadora , talentosa , maravilhosa ? &amp;quot;</t>
  </si>
  <si>
    <t>file://conllu/pt/teddy-1322.conllu#s85_0</t>
  </si>
  <si>
    <t>86</t>
  </si>
  <si>
    <t>responder</t>
  </si>
  <si>
    <t>E ela respondeu :</t>
  </si>
  <si>
    <t>file://conllu/pt/teddy-1322.conllu#s86_0</t>
  </si>
  <si>
    <t>87</t>
  </si>
  <si>
    <t>o</t>
  </si>
  <si>
    <t>&amp;quot; que eu fiz ?</t>
  </si>
  <si>
    <t>file://conllu/pt/teddy-1322.conllu#s87_0</t>
  </si>
  <si>
    <t>89</t>
  </si>
  <si>
    <t>&amp;quot; Clinton sempre teve aquela luz nele em ele .</t>
  </si>
  <si>
    <t>file://conllu/pt/teddy-1322.conllu#s89_0</t>
  </si>
  <si>
    <t>90</t>
  </si>
  <si>
    <t>&amp;quot; E eu e o pai dele de ele tivemos a sorte de sermos os primeiros a vê-la vê la . &amp;quot; Vou citar outra revista dos de os anos 60 .</t>
  </si>
  <si>
    <t>file://conllu/pt/teddy-1322.conllu#s90_0</t>
  </si>
  <si>
    <t>91</t>
  </si>
  <si>
    <t>ser (ser 1968)</t>
  </si>
  <si>
    <t>Esta é de 1968 — The Atlantic Monthly , voz da de a América liberal — escrita por um importante bioeticista , que escreveu :</t>
  </si>
  <si>
    <t>file://conllu/pt/teddy-1322.conllu#s91_0</t>
  </si>
  <si>
    <t>92</t>
  </si>
  <si>
    <t>&amp;quot; Não há nenhuma razão para se sentir culpado &amp;quot; por pôr de parte uma criança com síndrome de Down , &amp;quot; quer isso signifique escondê-la escondê la num em um sanatório &amp;quot; quer tenha um sentido mais responsável , letal .</t>
  </si>
  <si>
    <t>file://conllu/pt/teddy-1322.conllu#s92_0</t>
  </si>
  <si>
    <t>93</t>
  </si>
  <si>
    <t>ser (ser triste)</t>
  </si>
  <si>
    <t>&amp;quot; É triste , sim — terrível .</t>
  </si>
  <si>
    <t>file://conllu/pt/teddy-1322.conllu#s93_0</t>
  </si>
  <si>
    <t>94</t>
  </si>
  <si>
    <t>carregar</t>
  </si>
  <si>
    <t>Mas não carrega culpa .</t>
  </si>
  <si>
    <t>file://conllu/pt/teddy-1322.conllu#s94_0</t>
  </si>
  <si>
    <t>95</t>
  </si>
  <si>
    <t>decorrer</t>
  </si>
  <si>
    <t>&amp;quot; A verdadeira culpa decorre apenas de uma ofensa contra uma pessoa , &amp;quot; e alguém com síndrome de Down não é uma pessoa . &amp;quot; Muita tinta tem corrido , dado o enorme progresso que fizemos , no em o tratamento de pessoas homossexuais .</t>
  </si>
  <si>
    <t>file://conllu/pt/teddy-1322.conllu#s95_0</t>
  </si>
  <si>
    <t>96</t>
  </si>
  <si>
    <t>estar (estar cabeçalho)</t>
  </si>
  <si>
    <t>facto de que a nossa atitude mudou está nos em os cabeçalhos diários .</t>
  </si>
  <si>
    <t>file://conllu/pt/teddy-1322.conllu#s96_0</t>
  </si>
  <si>
    <t>97</t>
  </si>
  <si>
    <t>esquecemar</t>
  </si>
  <si>
    <t>Mas esquecemo-nos esquecemo nos de como costumávamos ver pessoas que tinham outras diferenças , como costumávamos ver pessoas que eram incapacitadas , o quão pouco umanas considerávamos que essas pessoas eram .</t>
  </si>
  <si>
    <t>file://conllu/pt/teddy-1322.conllu#s97_0</t>
  </si>
  <si>
    <t>98</t>
  </si>
  <si>
    <t>ser (ser mudança)</t>
  </si>
  <si>
    <t>E a mudança que tem sido alcançada aí , que é quase igualmente radical , é uma mudança a que não prestamos muita atenção .</t>
  </si>
  <si>
    <t>file://conllu/pt/teddy-1322.conllu#s98_0</t>
  </si>
  <si>
    <t>99</t>
  </si>
  <si>
    <t>surpreender</t>
  </si>
  <si>
    <t>Uns pais que entrevistei , Tom e Karen Robards , foram surpreendidos quando , jovens e bem-sucedidos nova-iorquinos , o seu primeiro filho foi diagnosticado com síndrome de Down .</t>
  </si>
  <si>
    <t>file://conllu/pt/teddy-1322.conllu#s99_0</t>
  </si>
  <si>
    <t>100</t>
  </si>
  <si>
    <t>achar</t>
  </si>
  <si>
    <t>Eles acharam que as oportunidades educativas para ele não eram o que deveriam ser , e decidiram construir um pequeno centro — duas salas de aula a que deram início com alguns outros pais — para educar crianças com síndroma de Down .</t>
  </si>
  <si>
    <t>file://conllu/pt/teddy-1322.conllu#s100_0</t>
  </si>
  <si>
    <t>101</t>
  </si>
  <si>
    <t>transformar</t>
  </si>
  <si>
    <t>Passados anos , este centro transformou-se transformou se em algo chamado o Centro de Cooke , onde há agora milhares e milhares de crianças com problemas cognitivos que estão a ser ensinadas .</t>
  </si>
  <si>
    <t>file://conllu/pt/teddy-1322.conllu#s101_0</t>
  </si>
  <si>
    <t>102</t>
  </si>
  <si>
    <t>triplicar</t>
  </si>
  <si>
    <t>Desde a altura do de o artigo na em a &amp;quot; Atlantic Monthly &amp;quot; , a esperança de vida para as pessoas com síndrome de Down triplicou .</t>
  </si>
  <si>
    <t>file://conllu/pt/teddy-1322.conllu#s102_0</t>
  </si>
  <si>
    <t>103</t>
  </si>
  <si>
    <t>Há pessoas com síndrome de Down que são actores , são escritores , outros que conseguem viver de forma independente na em a idade adulta .</t>
  </si>
  <si>
    <t>file://conllu/pt/teddy-1322.conllu#s103_0</t>
  </si>
  <si>
    <t>104</t>
  </si>
  <si>
    <t>Os Robards tiveram muito a ver com isso .</t>
  </si>
  <si>
    <t>file://conllu/pt/teddy-1322.conllu#s104_0</t>
  </si>
  <si>
    <t>105</t>
  </si>
  <si>
    <t>E eu perguntei-lhes perguntei lhes : &amp;quot;Arrependem-se &amp;quot;Arrependem se ?</t>
  </si>
  <si>
    <t>file://conllu/pt/teddy-1322.conllu#s105_0</t>
  </si>
  <si>
    <t>106</t>
  </si>
  <si>
    <t>Desejar</t>
  </si>
  <si>
    <t>&amp;quot; Desejavam que o vosso filho não tivesse síndrome de Down ?</t>
  </si>
  <si>
    <t>file://conllu/pt/teddy-1322.conllu#s106_0</t>
  </si>
  <si>
    <t>107</t>
  </si>
  <si>
    <t>&amp;quot;Gostariam de nunca ter ouvido falar dela de ela ? &amp;quot; Curiosamente , o pai respondeu :</t>
  </si>
  <si>
    <t>file://conllu/pt/teddy-1322.conllu#s107_0</t>
  </si>
  <si>
    <t>108</t>
  </si>
  <si>
    <t>filho</t>
  </si>
  <si>
    <t>&amp;quot; Bem , pelo por o David , o nosso filho , arrependo-me arrependo me &amp;quot; porque para o David é um modo difícil de estar no em o mundo , &amp;quot; e eu gostaria de dar ao a o David uma vida mais fácil .</t>
  </si>
  <si>
    <t>file://conllu/pt/teddy-1322.conllu#s108_0</t>
  </si>
  <si>
    <t>109</t>
  </si>
  <si>
    <t>&amp;quot; Mas acho que , se perdêssemos todas as pessoas com síndrome de Down , isso seria uma perda catastrófica . &amp;quot; E Karen Robards disse-me disse me : &amp;quot; Eu concordo com o Tom .</t>
  </si>
  <si>
    <t>file://conllu/pt/teddy-1322.conllu#s109_0</t>
  </si>
  <si>
    <t>110</t>
  </si>
  <si>
    <t>curá-lo-ia</t>
  </si>
  <si>
    <t>&amp;quot; Pelo Por o David , curá-lo-ia num em um instante para lhe dar uma vida mais fácil .</t>
  </si>
  <si>
    <t>file://conllu/pt/teddy-1322.conllu#s110_0</t>
  </si>
  <si>
    <t>111</t>
  </si>
  <si>
    <t>falar (falar acreditar)</t>
  </si>
  <si>
    <t>&amp;quot; Mas falando por mim — há 23 anos , quando ele nasceu , eu não acreditava &amp;quot; que poderia chegar a este ponto .</t>
  </si>
  <si>
    <t>file://conllu/pt/teddy-1322.conllu#s111_0</t>
  </si>
  <si>
    <t>112</t>
  </si>
  <si>
    <t>&amp;quot; Falando por mim , isto tornou-me tornou me tão melhor e tão mais gentil &amp;quot; e deu tão mais sentido a toda a minha vida &amp;quot; que , falando por mim , eu não desistiria dele de ele &amp;quot; por nada neste em este mundo . &amp;quot; Vivemos num em um momento em que a aceitação social para estas e muitas outras condições está a aumentar continuamente .</t>
  </si>
  <si>
    <t>file://conllu/pt/teddy-1322.conllu#s112_0</t>
  </si>
  <si>
    <t>114</t>
  </si>
  <si>
    <t>receber</t>
  </si>
  <si>
    <t>Actualmente , a maioria dos de os bebés que nascem surdos nos em os EUA irá receber implantes cocleares , que são colocados no em o cérebro e ligados a um receptor , que lhes permite adquirir um fac-símile da de a audição e usar o discurso oral .</t>
  </si>
  <si>
    <t>file://conllu/pt/teddy-1322.conllu#s114_0</t>
  </si>
  <si>
    <t>115</t>
  </si>
  <si>
    <t>ser (ser útil)</t>
  </si>
  <si>
    <t>Um composto que tem sido testado em ratinhos — o BMN-111 — é útil para impedir a ação do de o gene da de a acondroplasia .</t>
  </si>
  <si>
    <t>file://conllu/pt/teddy-1322.conllu#s115_0</t>
  </si>
  <si>
    <t>116</t>
  </si>
  <si>
    <t>cresc</t>
  </si>
  <si>
    <t>A acondroplasia é a forma mais comum de nanismo e os ratinhos que receberam essa substância e que têm o gene da de a acondroplasia crescem até ao a o tamanho normal .</t>
  </si>
  <si>
    <t>file://conllu/pt/teddy-1322.conllu#s116_0</t>
  </si>
  <si>
    <t>117</t>
  </si>
  <si>
    <t>estar (estar iminente)</t>
  </si>
  <si>
    <t>Os testes em seres humanos estão iminentes .</t>
  </si>
  <si>
    <t>file://conllu/pt/teddy-1322.conllu#s117_0</t>
  </si>
  <si>
    <t>118</t>
  </si>
  <si>
    <t>Há análises ao a o sangue que estão a fazer progressos a detectar a síndrome de Down na em a gravidez de uma forma mais clara e precoce que nunca , tornando-se tornando se mais fácil para as pessoas eliminar essas gravidezes ou interrompê-las interrompê las .</t>
  </si>
  <si>
    <t>file://conllu/pt/teddy-1322.conllu#s118_0</t>
  </si>
  <si>
    <t>119</t>
  </si>
  <si>
    <t>Assim , temos o progresso social e o progresso médico .</t>
  </si>
  <si>
    <t>file://conllu/pt/teddy-1322.conllu#s119_0</t>
  </si>
  <si>
    <t>120</t>
  </si>
  <si>
    <t>acreditar</t>
  </si>
  <si>
    <t>E eu acredito em ambos .</t>
  </si>
  <si>
    <t>file://conllu/pt/teddy-1322.conllu#s120_0</t>
  </si>
  <si>
    <t>121</t>
  </si>
  <si>
    <t>crer</t>
  </si>
  <si>
    <t>Creio que o progresso social é fantástico e significativo e maravilhoso , e penso o mesmo sobre o progresso médico .</t>
  </si>
  <si>
    <t>file://conllu/pt/teddy-1322.conllu#s121_0</t>
  </si>
  <si>
    <t>122</t>
  </si>
  <si>
    <t>Mas acho que é uma tragédia quando um deles de eles não vê o outro .</t>
  </si>
  <si>
    <t>file://conllu/pt/teddy-1322.conllu#s122_0</t>
  </si>
  <si>
    <t>123</t>
  </si>
  <si>
    <t>quando</t>
  </si>
  <si>
    <t>E quando vejo a maneira como estão a interagir em condições como as três que acabei de descrever , às a as vezes penso que é como aqueles momentos na em a ópera quando o herói percebe que ama a heroína no em o exacto momento em que ela está prestes a expirar num em um divã .</t>
  </si>
  <si>
    <t>file://conllu/pt/teddy-1322.conllu#s123_0</t>
  </si>
  <si>
    <t>124</t>
  </si>
  <si>
    <t>Temos de pensar em como nos em os sentimos sobre curas em geral .</t>
  </si>
  <si>
    <t>file://conllu/pt/teddy-1322.conllu#s124_0</t>
  </si>
  <si>
    <t>125</t>
  </si>
  <si>
    <t>ser (ser o)</t>
  </si>
  <si>
    <t>Muitas vezes , a questão da de a paternidade é : o que é que aceitamos nos em os nossos filhos e o que é que queremos curar neles em eles ?</t>
  </si>
  <si>
    <t>file://conllu/pt/teddy-1322.conllu#s125_0</t>
  </si>
  <si>
    <t>126</t>
  </si>
  <si>
    <t>Jim Sinclair , uma proeminente activista pelo por o autismo , disse :</t>
  </si>
  <si>
    <t>file://conllu/pt/teddy-1322.conllu#s126_0</t>
  </si>
  <si>
    <t>127</t>
  </si>
  <si>
    <t>dizer (dizer querer)</t>
  </si>
  <si>
    <t>&amp;quot; Quando os pais dizem : &amp;quot; ' Eu queria que o meu filho não fosse autista' , &amp;quot; o que eles estão a dizer é :</t>
  </si>
  <si>
    <t>file://conllu/pt/teddy-1322.conllu#s127_0</t>
  </si>
  <si>
    <t>128</t>
  </si>
  <si>
    <t>&amp;quot; ' Eu queria que a criança que tenho não existisse &amp;quot; 'e que eu tivesse um filho diferente , não-autista , em vez deste de este .'</t>
  </si>
  <si>
    <t>file://conllu/pt/teddy-1322.conllu#s128_0</t>
  </si>
  <si>
    <t>129</t>
  </si>
  <si>
    <t>Le</t>
  </si>
  <si>
    <t>&amp;quot; Leiam novamente .</t>
  </si>
  <si>
    <t>file://conllu/pt/teddy-1322.conllu#s129_0</t>
  </si>
  <si>
    <t>130</t>
  </si>
  <si>
    <t>ser (ser isto)</t>
  </si>
  <si>
    <t>É isto que entendemos quando vocês choram pela por a nossa existência .</t>
  </si>
  <si>
    <t>file://conllu/pt/teddy-1322.conllu#s130_0</t>
  </si>
  <si>
    <t>131</t>
  </si>
  <si>
    <t>&amp;quot; É isto que ouvimos quando rezam por uma cura &amp;quot; — que o vosso desejo mais carinhoso para nós &amp;quot; é que um dia deixemos de existir &amp;quot; e que , por trás das de as nossas caras , apareçam estranhos para vocês amarem . &amp;quot;</t>
  </si>
  <si>
    <t>file://conllu/pt/teddy-1322.conllu#s131_0</t>
  </si>
  <si>
    <t>132</t>
  </si>
  <si>
    <t>ser (ser ponto)</t>
  </si>
  <si>
    <t>É um ponto de vista muito extremo mas aponta para a realidade de que as pessoas se envolvem com a vida que têm e não querem ser curadas ou alteradas ou eliminadas .</t>
  </si>
  <si>
    <t>file://conllu/pt/teddy-1322.conllu#s132_0</t>
  </si>
  <si>
    <t>133</t>
  </si>
  <si>
    <t>Quem?</t>
  </si>
  <si>
    <t>Querem ser quem quer que seja que vieram para ser .</t>
  </si>
  <si>
    <t>file://conllu/pt/teddy-1322.conllu#s133_0</t>
  </si>
  <si>
    <t>134</t>
  </si>
  <si>
    <t>ser (ser família)</t>
  </si>
  <si>
    <t>Uma das de as famílias que entrevistei para este projecto foi a família de Dylan Klebold , um dos de os autores do de o massacre de Columbine .</t>
  </si>
  <si>
    <t>file://conllu/pt/teddy-1322.conllu#s134_0</t>
  </si>
  <si>
    <t>135</t>
  </si>
  <si>
    <t>demorar</t>
  </si>
  <si>
    <t>Demorou muito tempo a convencê-los convencê los a falar comigo com mim , e , quando concordaram , estavam tão cheios da de a sua história que não conseguiam parar de contá-la contá la .</t>
  </si>
  <si>
    <t>file://conllu/pt/teddy-1322.conllu#s135_0</t>
  </si>
  <si>
    <t>138</t>
  </si>
  <si>
    <t>estar (estar sentado)</t>
  </si>
  <si>
    <t>Estávamos sentados na em a cozinha .</t>
  </si>
  <si>
    <t>file://conllu/pt/teddy-1322.conllu#s138_0</t>
  </si>
  <si>
    <t>139</t>
  </si>
  <si>
    <t>Sue Klebold estava a preparar o jantar .</t>
  </si>
  <si>
    <t>file://conllu/pt/teddy-1322.conllu#s139_0</t>
  </si>
  <si>
    <t>140</t>
  </si>
  <si>
    <t>dizer (dizer perguntar)</t>
  </si>
  <si>
    <t>E eu perguntei : &amp;quot; Se o Dylan estivesse aqui agora , &amp;quot; tem alguma ideia do de o que gostariam de lhe perguntar ? &amp;quot; E o pai disse :</t>
  </si>
  <si>
    <t>file://conllu/pt/teddy-1322.conllu#s140_0</t>
  </si>
  <si>
    <t>141</t>
  </si>
  <si>
    <t>claro</t>
  </si>
  <si>
    <t>&amp;quot; Claro que sim .</t>
  </si>
  <si>
    <t>file://conllu/pt/teddy-1322.conllu#s141_0</t>
  </si>
  <si>
    <t>142</t>
  </si>
  <si>
    <t>gostar</t>
  </si>
  <si>
    <t>&amp;quot; Gostaria de lhe perguntar que diabo pensava ele estar a fazer . &amp;quot;</t>
  </si>
  <si>
    <t>file://conllu/pt/teddy-1322.conllu#s142_0</t>
  </si>
  <si>
    <t>143</t>
  </si>
  <si>
    <t>olhar</t>
  </si>
  <si>
    <t>Sue olhou para o chão e pensou durante um minuto .</t>
  </si>
  <si>
    <t>file://conllu/pt/teddy-1322.conllu#s143_0</t>
  </si>
  <si>
    <t>144</t>
  </si>
  <si>
    <t>Então olhou para cima e disse :</t>
  </si>
  <si>
    <t>file://conllu/pt/teddy-1322.conllu#s144_0</t>
  </si>
  <si>
    <t>145</t>
  </si>
  <si>
    <t>Pedir</t>
  </si>
  <si>
    <t>&amp;quot; Pedir-lhe-ia Pediria lhe que me perdoasse por ser a sua mãe &amp;quot; e nunca saber o que estava a acontecer dentro da de a sua cabeça . &amp;quot; Quando eu jantei com ela uns anos mais tarde — um de muitos jantares que tivemos juntos — ela disse :</t>
  </si>
  <si>
    <t>file://conllu/pt/teddy-1322.conllu#s145_0</t>
  </si>
  <si>
    <t>146</t>
  </si>
  <si>
    <t>Sabes</t>
  </si>
  <si>
    <t>&amp;quot; Sabes , assim que aquilo aconteceu , &amp;quot; eu costumava desejar nunca ter casado , nunca ter tido filhos .</t>
  </si>
  <si>
    <t>file://conllu/pt/teddy-1322.conllu#s146_0</t>
  </si>
  <si>
    <t>147</t>
  </si>
  <si>
    <t>acontecer</t>
  </si>
  <si>
    <t>&amp;quot; Se eu não tivesse ido para o estado de Ohio &amp;quot; e não me tivesse cruzado com Tom , &amp;quot; esta criança não teria existido , esta coisa terrível não teria acontecido .</t>
  </si>
  <si>
    <t>file://conllu/pt/teddy-1322.conllu#s147_0</t>
  </si>
  <si>
    <t>148</t>
  </si>
  <si>
    <t>&amp;quot; Mas tenho vindo a sentir que amo tanto os filhos que tive &amp;quot; que não quero imaginar uma vida sem eles .</t>
  </si>
  <si>
    <t>file://conllu/pt/teddy-1322.conllu#s148_0</t>
  </si>
  <si>
    <t>149</t>
  </si>
  <si>
    <t>Reconhecer</t>
  </si>
  <si>
    <t>&amp;quot; Reconheço a dor que causaram aos a os outros , para a qual não pode haver nenhum perdão , &amp;quot; mas para a dor que eles me causaram , há perdão &amp;quot; .</t>
  </si>
  <si>
    <t>file://conllu/pt/teddy-1322.conllu#s149_0</t>
  </si>
  <si>
    <t>150</t>
  </si>
  <si>
    <t>concluir (concluir reconhecer)</t>
  </si>
  <si>
    <t>&amp;quot; Por isso , enquanto reconheço que teria sido melhor para o mundo &amp;quot; que Dylan nunca tivesse nascido , &amp;quot; concluí que isso não teria sido o melhor para mim. &amp;quot; Pensei como era surpreendente que todas estas famílias tivessem todos estes filhos com todos estes problemas , problemas que eles , na em a sua maior parte , teriam feito tudo para evitar , e que todos tenham encontrado tanto significado naquela em aquela experiência de paternidade .</t>
  </si>
  <si>
    <t>file://conllu/pt/teddy-1322.conllu#s150_0</t>
  </si>
  <si>
    <t>151</t>
  </si>
  <si>
    <t>amar</t>
  </si>
  <si>
    <t>Depois pensei que todos nós , que temos filhos , amamos os filhos que temos , com os seus defeitos .</t>
  </si>
  <si>
    <t>file://conllu/pt/teddy-1322.conllu#s151_0</t>
  </si>
  <si>
    <t>152</t>
  </si>
  <si>
    <t>E se?</t>
  </si>
  <si>
    <t>descer</t>
  </si>
  <si>
    <t>Se algum anjo glorioso de repente descesse pelo por o tecto da de a minha sala de estar e se oferecesse para levar as crianças que tenho e dar-me dar me outras , crianças melhores — mais bem-educadas , mais engraçadas , mais agradáveis , mais inteligentes — eu iria agarrar-me agarrar me às a as crianças que tenho e rezar para impedir tal espectáculo atroz .</t>
  </si>
  <si>
    <t>file://conllu/pt/teddy-1322.conllu#s152_0</t>
  </si>
  <si>
    <t>154</t>
  </si>
  <si>
    <t>Mas se começarmos a pensar que a experiência de lidar com a diferença dentro da de a própria família é aquilo com que outras pessoas estão a lidar , então descobrem que é um fenómeno quase universal .</t>
  </si>
  <si>
    <t>file://conllu/pt/teddy-1322.conllu#s154_0</t>
  </si>
  <si>
    <t>155</t>
  </si>
  <si>
    <t>verificar</t>
  </si>
  <si>
    <t>Ironicamente , verifica-se verifica se que são as nossas diferenças e como lidamos com a diferença que nos em os unem .</t>
  </si>
  <si>
    <t>file://conllu/pt/teddy-1322.conllu#s155_0</t>
  </si>
  <si>
    <t>156</t>
  </si>
  <si>
    <t>decidir</t>
  </si>
  <si>
    <t>Eu decidi ter filhos enquanto estava a trabalhar neste em este projecto .</t>
  </si>
  <si>
    <t>file://conllu/pt/teddy-1322.conllu#s156_0</t>
  </si>
  <si>
    <t>157</t>
  </si>
  <si>
    <t>Muitas pessoas ficavam surpreendidas e perguntavam :</t>
  </si>
  <si>
    <t>file://conllu/pt/teddy-1322.conllu#s157_0</t>
  </si>
  <si>
    <t>158</t>
  </si>
  <si>
    <t>&amp;quot; Mas como é que podes decidir ter filhos &amp;quot; enquanto estudas tudo o que pode dar errado ? &amp;quot;</t>
  </si>
  <si>
    <t>file://conllu/pt/teddy-1322.conllu#s158_0</t>
  </si>
  <si>
    <t>159</t>
  </si>
  <si>
    <t>E eu respondi : &amp;quot; Eu não estou a estudar tudo o que pode dar errado .</t>
  </si>
  <si>
    <t>file://conllu/pt/teddy-1322.conllu#s159_0</t>
  </si>
  <si>
    <t>160</t>
  </si>
  <si>
    <t>&amp;quot; que eu estou a estudar é quanto amor pode existir , &amp;quot; mesmo quando tudo parece estar a correr mal . &amp;quot; Pensei muito na em a mãe de uma criança deficiente que eu tinha visto , uma criança com uma deficiência grave , que morreu por negligência médica .</t>
  </si>
  <si>
    <t>file://conllu/pt/teddy-1322.conllu#s160_0</t>
  </si>
  <si>
    <t>161</t>
  </si>
  <si>
    <t>Quando as suas cinzas foram enterradas , a mãe disse :</t>
  </si>
  <si>
    <t>file://conllu/pt/teddy-1322.conllu#s161_0</t>
  </si>
  <si>
    <t>162</t>
  </si>
  <si>
    <t>Rezar</t>
  </si>
  <si>
    <t>&amp;quot; Rezo aqui por perdão por ter sido roubada duas vezes : &amp;quot; roubaram-me roubaram me a criança que queria e depois roubaram-me roubaram me o filho que amava . &amp;quot;</t>
  </si>
  <si>
    <t>file://conllu/pt/teddy-1322.conllu#s162_0</t>
  </si>
  <si>
    <t>163</t>
  </si>
  <si>
    <t>perceber</t>
  </si>
  <si>
    <t>E eu percebi , então , que era possível qualquer pessoa amar qualquer criança se tivesse verdadeira vontade de fazê-lo fazê lo .</t>
  </si>
  <si>
    <t>file://conllu/pt/teddy-1322.conllu#s163_0</t>
  </si>
  <si>
    <t>164</t>
  </si>
  <si>
    <t>ser (ser pai)</t>
  </si>
  <si>
    <t>meu marido é o pai biológico de dois filhos com algumas amigas lésbicas em Minneapolis .</t>
  </si>
  <si>
    <t>file://conllu/pt/teddy-1322.conllu#s164_0</t>
  </si>
  <si>
    <t>165</t>
  </si>
  <si>
    <t>Eu tinha um amiga chegada da de a faculdade que tinha passado por um divórcio e queria ter filhos .</t>
  </si>
  <si>
    <t>file://conllu/pt/teddy-1322.conllu#s165_0</t>
  </si>
  <si>
    <t>166</t>
  </si>
  <si>
    <t>viver</t>
  </si>
  <si>
    <t>E assim , ela e eu temos uma filha , e mãe e filha vivem no em o Texas .</t>
  </si>
  <si>
    <t>file://conllu/pt/teddy-1322.conllu#s166_0</t>
  </si>
  <si>
    <t>167</t>
  </si>
  <si>
    <t>marido</t>
  </si>
  <si>
    <t>E o meu marido e eu temos um filho que mora connosco con nosco o tempo todo , do de o qual eu sou o pai biológico , e a nossa substituta para a gravidez foi a Laura , a mãe lésbica de Oliver e Lucy em Minneapolis .</t>
  </si>
  <si>
    <t>file://conllu/pt/teddy-1322.conllu#s167_0</t>
  </si>
  <si>
    <t>168</t>
  </si>
  <si>
    <t>Assim , abreviando , são cinco pais de quatro filhos de três Estados .</t>
  </si>
  <si>
    <t>file://conllu/pt/teddy-1322.conllu#s168_0</t>
  </si>
  <si>
    <t>169</t>
  </si>
  <si>
    <t>Há pessoas que pensam que a existência da de a minha família de certo modo prejudica , enfraquece ou danifica a sua família .</t>
  </si>
  <si>
    <t>file://conllu/pt/teddy-1322.conllu#s169_0</t>
  </si>
  <si>
    <t>170</t>
  </si>
  <si>
    <t>E há pessoas que pensam que famílias como a minha não deviam ser autorizadas a existir .</t>
  </si>
  <si>
    <t>file://conllu/pt/teddy-1322.conllu#s170_0</t>
  </si>
  <si>
    <t>171</t>
  </si>
  <si>
    <t>aceitar</t>
  </si>
  <si>
    <t>Eu não aceito modelos subtractivos de amor , apenas modelos aditivos .</t>
  </si>
  <si>
    <t>file://conllu/pt/teddy-1322.conllu#s171_0</t>
  </si>
  <si>
    <t>172</t>
  </si>
  <si>
    <t>E acredito que tal como precisamos de diversidade de espécies para garantir que o planeta possa continuar a existir , também precisamos desta de esta diversidade de afecto e diversidade de famílias para reforçar a ecosfera da de a bondade .</t>
  </si>
  <si>
    <t>file://conllu/pt/teddy-1322.conllu#s172_0</t>
  </si>
  <si>
    <t>174</t>
  </si>
  <si>
    <t>Ele não estava a esticar as pernas adequadamente .</t>
  </si>
  <si>
    <t>file://conllu/pt/teddy-1322.conllu#s174_0</t>
  </si>
  <si>
    <t>175</t>
  </si>
  <si>
    <t>Ela disse que podia significar que tinha danos cerebrais .</t>
  </si>
  <si>
    <t>file://conllu/pt/teddy-1322.conllu#s175_0</t>
  </si>
  <si>
    <t>177</t>
  </si>
  <si>
    <t>E ele tinha uma cabeça muito grande , que ela pensou poder indicar hidrocefalia .</t>
  </si>
  <si>
    <t>file://conllu/pt/teddy-1322.conllu#s177_0</t>
  </si>
  <si>
    <t>178</t>
  </si>
  <si>
    <t>Enquanto ela me dizia estas coisas , senti o centro do de o meu ser a derramar-se derramar se no em o chão .</t>
  </si>
  <si>
    <t>file://conllu/pt/teddy-1322.conllu#s178_0</t>
  </si>
  <si>
    <t>179</t>
  </si>
  <si>
    <t>Pensei que tinha trabalhado durante tantos anos num em um livro sobre o significado que as pessoas tinham encontrado na em a experiência de ser pais de crianças que são deficientes , e eu não queria juntar-me juntar me a esse grupo .</t>
  </si>
  <si>
    <t>file://conllu/pt/teddy-1322.conllu#s179_0</t>
  </si>
  <si>
    <t>180</t>
  </si>
  <si>
    <t>ser (ser ideia)</t>
  </si>
  <si>
    <t>Porque o que estava a encarar era uma ideia de doença .</t>
  </si>
  <si>
    <t>file://conllu/pt/teddy-1322.conllu#s180_0</t>
  </si>
  <si>
    <t>181</t>
  </si>
  <si>
    <t>E como todos os pais desde os primórdios dos de os tempos , queria proteger o meu filho da de a doença .</t>
  </si>
  <si>
    <t>file://conllu/pt/teddy-1322.conllu#s181_0</t>
  </si>
  <si>
    <t>182</t>
  </si>
  <si>
    <t>E também me queria proteger da de a doença .</t>
  </si>
  <si>
    <t>file://conllu/pt/teddy-1322.conllu#s182_0</t>
  </si>
  <si>
    <t>183</t>
  </si>
  <si>
    <t>Mesmo assim , devido ao a o trabalho que tinha realizado , eu sabia que se ele tivesse qualquer das de as coisas que estávamos prestes a testar , essas seriam , em última análise , a sua identidade , e , se fossem a sua identidade , tornam-se- tornam se- iam na em a minha identidade , e que essa doença iria tomar uma forma muito diferente enquanto se desenrolasse .</t>
  </si>
  <si>
    <t>file://conllu/pt/teddy-1322.conllu#s183_0</t>
  </si>
  <si>
    <t>187</t>
  </si>
  <si>
    <t>perguntar (perguntar dizer)</t>
  </si>
  <si>
    <t>Quando eu perguntei à a a pediatra o que tinha acontecido , ela disse que provavelmente , de manhã , ele tinha tido uma cãibra .</t>
  </si>
  <si>
    <t>file://conllu/pt/teddy-1322.conllu#s187_0</t>
  </si>
  <si>
    <t>188</t>
  </si>
  <si>
    <t>Mas eu pensei ... em como a minha mãe estava certa .</t>
  </si>
  <si>
    <t>file://conllu/pt/teddy-1322.conllu#s188_0</t>
  </si>
  <si>
    <t>189</t>
  </si>
  <si>
    <t>Pensei que o amor que temos pelos por os nossos filhos é diferente de qualquer outro sentimento do de o mundo , e , até termos filhos , não sabemos como é esse sentimento .</t>
  </si>
  <si>
    <t>file://conllu/pt/teddy-1322.conllu#s189_0</t>
  </si>
  <si>
    <t>190</t>
  </si>
  <si>
    <t>Acho que as crianças me apanharam no em o momento em que associei a paternidade à a a perda .</t>
  </si>
  <si>
    <t>file://conllu/pt/teddy-1322.conllu#s190_0</t>
  </si>
  <si>
    <t>191</t>
  </si>
  <si>
    <t>Mas não tenho a certeza de que me teria apercebido disso de isso se não tivesse estado tão envolvido neste em este meu projecto de investigação .</t>
  </si>
  <si>
    <t>file://conllu/pt/teddy-1322.conllu#s191_0</t>
  </si>
  <si>
    <t>192</t>
  </si>
  <si>
    <t>Eu tinha encontrado tanto amor estranho e caí muito naturalmente nos em os seus encantadores padrões .</t>
  </si>
  <si>
    <t>file://conllu/pt/teddy-1322.conllu#s192_0</t>
  </si>
  <si>
    <t>193</t>
  </si>
  <si>
    <t>E vi como o esplendor pode iluminar até mesmo as vulnerabilidades mais abjectas .</t>
  </si>
  <si>
    <t>file://conllu/pt/teddy-1322.conllu#s193_0</t>
  </si>
  <si>
    <t>194</t>
  </si>
  <si>
    <t>testemunhar</t>
  </si>
  <si>
    <t>Durante estes 10 anos , eu tinha testemunhado e aprendido a assustadora alegria da de a responsabilidade insuportável , e tinha visto como ela vence tudo o resto .</t>
  </si>
  <si>
    <t>file://conllu/pt/teddy-1322.conllu#s194_0</t>
  </si>
  <si>
    <t>195</t>
  </si>
  <si>
    <t>tentar (tentar pensar perceber)</t>
  </si>
  <si>
    <t>Embora , por vezes , eu tenha pensado que os pais que eu estava a entrevistar eram tolos , escravizando-se escravizando se para uma jornada de vida com os seus filhos ingratos e tentando criar identidade a partir da de a miséria , percebi naquele em aquele dia que a minha pesquisa me tinha construído uma prancha e que eu estava pronto para me juntar a eles no em o seu navio .</t>
  </si>
  <si>
    <t>file://conllu/pt/teddy-1322.conllu#s195_0</t>
  </si>
  <si>
    <t>196</t>
  </si>
  <si>
    <t>obrigar</t>
  </si>
  <si>
    <t>Obrigado .</t>
  </si>
  <si>
    <t>file://conllu/pt/teddy-1322.conllu#s196_0</t>
  </si>
  <si>
    <t>WORD</t>
  </si>
  <si>
    <t>GR</t>
  </si>
  <si>
    <t>NP_TYPE</t>
  </si>
  <si>
    <t>REF_AUTO</t>
  </si>
  <si>
    <t>COREF</t>
  </si>
  <si>
    <t>REF</t>
  </si>
  <si>
    <t>IS</t>
  </si>
  <si>
    <t>CB</t>
  </si>
  <si>
    <t>GR_ANTE</t>
  </si>
  <si>
    <t>REF_DIST</t>
  </si>
  <si>
    <t>REF_DIST_ANTE</t>
  </si>
  <si>
    <t># text = "Mesmo em termos puramente não-religiosos, "a homossexualidade representa um mau uso da faculdade sexual.</t>
  </si>
  <si>
    <t>&amp;quot;</t>
  </si>
  <si>
    <t>Mesmo</t>
  </si>
  <si>
    <t>em</t>
  </si>
  <si>
    <t>termos</t>
  </si>
  <si>
    <t>other</t>
  </si>
  <si>
    <t>indef-np.bare</t>
  </si>
  <si>
    <t>puramente</t>
  </si>
  <si>
    <t>não-religiosos</t>
  </si>
  <si>
    <t>,</t>
  </si>
  <si>
    <t>a</t>
  </si>
  <si>
    <t>homossexualidade</t>
  </si>
  <si>
    <t>SBJ</t>
  </si>
  <si>
    <t>def-np.the</t>
  </si>
  <si>
    <t>?OLD</t>
  </si>
  <si>
    <t>representa</t>
  </si>
  <si>
    <t>um</t>
  </si>
  <si>
    <t>mau</t>
  </si>
  <si>
    <t>uso</t>
  </si>
  <si>
    <t>OBJ</t>
  </si>
  <si>
    <t>def-np.poss</t>
  </si>
  <si>
    <t>de</t>
  </si>
  <si>
    <t>faculdade</t>
  </si>
  <si>
    <t>other_2</t>
  </si>
  <si>
    <t>sexual</t>
  </si>
  <si>
    <t>.</t>
  </si>
  <si>
    <t>--</t>
  </si>
  <si>
    <t># text = "É um patético e pequeno substituto de segunda categoria para a realidade, "um voo lamentável da vida.</t>
  </si>
  <si>
    <t>É</t>
  </si>
  <si>
    <t>patético</t>
  </si>
  <si>
    <t>e</t>
  </si>
  <si>
    <t>pequeno</t>
  </si>
  <si>
    <t>substituto</t>
  </si>
  <si>
    <t>segunda</t>
  </si>
  <si>
    <t>categoria</t>
  </si>
  <si>
    <t>para</t>
  </si>
  <si>
    <t>realidade</t>
  </si>
  <si>
    <t>voo</t>
  </si>
  <si>
    <t>lamentável</t>
  </si>
  <si>
    <t>vida</t>
  </si>
  <si>
    <t># text = \"Como tal, não merece compaixão, \"não merece tratamento \"como martírio de minoria, \"e não merece ser considerado algo mais do que uma doença perniciosa.\" Isto é da revista Time, em 1966, quando eu tinha três anos.</t>
  </si>
  <si>
    <t>Como</t>
  </si>
  <si>
    <t>tal</t>
  </si>
  <si>
    <t>pron.pind</t>
  </si>
  <si>
    <t>não</t>
  </si>
  <si>
    <t>merece</t>
  </si>
  <si>
    <t>compaixão</t>
  </si>
  <si>
    <t>tratamento</t>
  </si>
  <si>
    <t>como</t>
  </si>
  <si>
    <t>martírio</t>
  </si>
  <si>
    <t>minoria</t>
  </si>
  <si>
    <t>other_3</t>
  </si>
  <si>
    <t>ser</t>
  </si>
  <si>
    <t>considerado</t>
  </si>
  <si>
    <t>algo</t>
  </si>
  <si>
    <t>other_6</t>
  </si>
  <si>
    <t>mais</t>
  </si>
  <si>
    <t>other_10</t>
  </si>
  <si>
    <t>pron.pds</t>
  </si>
  <si>
    <t>que</t>
  </si>
  <si>
    <t>uma</t>
  </si>
  <si>
    <t>doença</t>
  </si>
  <si>
    <t>other_8</t>
  </si>
  <si>
    <t>indef-np.a</t>
  </si>
  <si>
    <t>perniciosa</t>
  </si>
  <si>
    <t>Isto</t>
  </si>
  <si>
    <t>SBJ_7</t>
  </si>
  <si>
    <t>é</t>
  </si>
  <si>
    <t>revista</t>
  </si>
  <si>
    <t>OBJ_6</t>
  </si>
  <si>
    <t>Time</t>
  </si>
  <si>
    <t>other_7</t>
  </si>
  <si>
    <t>ne</t>
  </si>
  <si>
    <t>1966</t>
  </si>
  <si>
    <t>eu</t>
  </si>
  <si>
    <t>SBJ_8</t>
  </si>
  <si>
    <t>pron.pper</t>
  </si>
  <si>
    <t>tinha</t>
  </si>
  <si>
    <t>três</t>
  </si>
  <si>
    <t>anos</t>
  </si>
  <si>
    <t>OBJ_8</t>
  </si>
  <si>
    <t>indef-np.quant</t>
  </si>
  <si>
    <t># text = No ano passado, o Presidente dos EUA saiu em favor do casamento homossexual.</t>
  </si>
  <si>
    <t>Em</t>
  </si>
  <si>
    <t>ano</t>
  </si>
  <si>
    <t>passado</t>
  </si>
  <si>
    <t>Presidente</t>
  </si>
  <si>
    <t>os</t>
  </si>
  <si>
    <t>EUA</t>
  </si>
  <si>
    <t>saiu</t>
  </si>
  <si>
    <t>favor</t>
  </si>
  <si>
    <t>casamento</t>
  </si>
  <si>
    <t>homossexual</t>
  </si>
  <si>
    <t># text = (Aplausos) A minha pergunta é:</t>
  </si>
  <si>
    <t>(</t>
  </si>
  <si>
    <t>Aplausos</t>
  </si>
  <si>
    <t>)</t>
  </si>
  <si>
    <t>A</t>
  </si>
  <si>
    <t>minha</t>
  </si>
  <si>
    <t>pron.ppos</t>
  </si>
  <si>
    <t>pergunta</t>
  </si>
  <si>
    <t>:</t>
  </si>
  <si>
    <t># text = Como chegámos de lá até aqui?</t>
  </si>
  <si>
    <t>chegámos</t>
  </si>
  <si>
    <t>lá</t>
  </si>
  <si>
    <t>até</t>
  </si>
  <si>
    <t>aqui</t>
  </si>
  <si>
    <t>?</t>
  </si>
  <si>
    <t># text = Como é que uma doença se tornou uma identidade?</t>
  </si>
  <si>
    <t>se</t>
  </si>
  <si>
    <t>tornou</t>
  </si>
  <si>
    <t>identidade</t>
  </si>
  <si>
    <t># text = Quando eu tinha talvez uns seis anos, fui a uma sapataria com a minha mãe e o meu irmão.</t>
  </si>
  <si>
    <t>Quando</t>
  </si>
  <si>
    <t>SBJ_2</t>
  </si>
  <si>
    <t>talvez</t>
  </si>
  <si>
    <t>uns</t>
  </si>
  <si>
    <t>seis</t>
  </si>
  <si>
    <t>OBJ_2</t>
  </si>
  <si>
    <t>fui</t>
  </si>
  <si>
    <t>sapataria</t>
  </si>
  <si>
    <t>com</t>
  </si>
  <si>
    <t>mãe</t>
  </si>
  <si>
    <t>meu</t>
  </si>
  <si>
    <t>irmão</t>
  </si>
  <si>
    <t># text = No final da compra dos sapatos, o vendedor disse-nos que cada um de nós poderia levar um balão para casa.</t>
  </si>
  <si>
    <t>final</t>
  </si>
  <si>
    <t>compra</t>
  </si>
  <si>
    <t>sapatos</t>
  </si>
  <si>
    <t>vendedor</t>
  </si>
  <si>
    <t>disse</t>
  </si>
  <si>
    <t>nos</t>
  </si>
  <si>
    <t>cada</t>
  </si>
  <si>
    <t>nós</t>
  </si>
  <si>
    <t>SBJ_3</t>
  </si>
  <si>
    <t>poderia</t>
  </si>
  <si>
    <t>balão</t>
  </si>
  <si>
    <t>OBJ_3</t>
  </si>
  <si>
    <t>casa</t>
  </si>
  <si>
    <t>other_4</t>
  </si>
  <si>
    <t># text = O meu irmão queria um balão vermelho e eu queria um balão cor-de-rosa.</t>
  </si>
  <si>
    <t>queria</t>
  </si>
  <si>
    <t>vermelho</t>
  </si>
  <si>
    <t>cor-de-rosa</t>
  </si>
  <si>
    <t># text = A minha mãe disse que pensava que eu preferiria antes ter um balão azul.</t>
  </si>
  <si>
    <t>pensava</t>
  </si>
  <si>
    <t>preferiria</t>
  </si>
  <si>
    <t>antes</t>
  </si>
  <si>
    <t>OBJ_4</t>
  </si>
  <si>
    <t>azul</t>
  </si>
  <si>
    <t># text = Mas eu disse que queria definitivamente o cor-de-rosa.</t>
  </si>
  <si>
    <t>Mas</t>
  </si>
  <si>
    <t>definitivamente</t>
  </si>
  <si>
    <t># text = E ela lembrou-me de que a minha cor preferida era o azul.</t>
  </si>
  <si>
    <t>E</t>
  </si>
  <si>
    <t>ela</t>
  </si>
  <si>
    <t>lembrou</t>
  </si>
  <si>
    <t>me</t>
  </si>
  <si>
    <t>cor</t>
  </si>
  <si>
    <t>preferida</t>
  </si>
  <si>
    <t>era</t>
  </si>
  <si>
    <t># text = O facto de que agora a minha cor preferida é o azul mas eu ainda sou "gay" (Risos) é prova da influência da minha mãe e dos seus limites.</t>
  </si>
  <si>
    <t>agora</t>
  </si>
  <si>
    <t>mas</t>
  </si>
  <si>
    <t>ainda</t>
  </si>
  <si>
    <t>sou</t>
  </si>
  <si>
    <t>gay</t>
  </si>
  <si>
    <t>Risos</t>
  </si>
  <si>
    <t>prova</t>
  </si>
  <si>
    <t>influência</t>
  </si>
  <si>
    <t>other_5</t>
  </si>
  <si>
    <t>seus</t>
  </si>
  <si>
    <t>limites</t>
  </si>
  <si>
    <t># text = Quando eu era pequeno, a minha mãe costumava dizer: "O amor que temos pelos filhos é diferente de qualquer outro sentimento no mundo.</t>
  </si>
  <si>
    <t>costumava</t>
  </si>
  <si>
    <t>amor</t>
  </si>
  <si>
    <t>temos</t>
  </si>
  <si>
    <t>por</t>
  </si>
  <si>
    <t>filhos</t>
  </si>
  <si>
    <t>diferente</t>
  </si>
  <si>
    <t>qualquer</t>
  </si>
  <si>
    <t>outro</t>
  </si>
  <si>
    <t>sentimento</t>
  </si>
  <si>
    <t>mundo</t>
  </si>
  <si>
    <t># text = \"E até termos filhos, não sabemos como é.\" Quando eu era pequeno, eu tomava isto como o melhor elogio do mundo que ela diria sobre ser a minha mãe e do meu irmão.</t>
  </si>
  <si>
    <t>sabemos</t>
  </si>
  <si>
    <t>tomava</t>
  </si>
  <si>
    <t>isto</t>
  </si>
  <si>
    <t>melhor</t>
  </si>
  <si>
    <t>elogio</t>
  </si>
  <si>
    <t>SBJ_4</t>
  </si>
  <si>
    <t>SBJ_5</t>
  </si>
  <si>
    <t>diria</t>
  </si>
  <si>
    <t>sobre</t>
  </si>
  <si>
    <t># text = Enquanto adolescente, pensei que, sendo "gay", provavelmente não poderia ter uma família.</t>
  </si>
  <si>
    <t>Enquanto</t>
  </si>
  <si>
    <t>adolescente</t>
  </si>
  <si>
    <t>pensei</t>
  </si>
  <si>
    <t>sendo</t>
  </si>
  <si>
    <t>provavelmente</t>
  </si>
  <si>
    <t>família</t>
  </si>
  <si>
    <t>OBJ_5</t>
  </si>
  <si>
    <t># text = E, quando ela dizia aquilo, sentia-me ansioso.</t>
  </si>
  <si>
    <t>dizia</t>
  </si>
  <si>
    <t>aquilo</t>
  </si>
  <si>
    <t>sentia</t>
  </si>
  <si>
    <t>ansioso</t>
  </si>
  <si>
    <t># text = Depois de ter \"saído do armário\", quando ela continuou a dizê-lo, sentia-me furioso.</t>
  </si>
  <si>
    <t>Depois</t>
  </si>
  <si>
    <t>saído</t>
  </si>
  <si>
    <t>armário</t>
  </si>
  <si>
    <t>continuou</t>
  </si>
  <si>
    <t>dizê</t>
  </si>
  <si>
    <t>lo</t>
  </si>
  <si>
    <t>furioso</t>
  </si>
  <si>
    <t># text = Disse-lhe: \"Sou 'gay'.</t>
  </si>
  <si>
    <t>Disse</t>
  </si>
  <si>
    <t>lhe</t>
  </si>
  <si>
    <t>Sou</t>
  </si>
  <si>
    <t>'</t>
  </si>
  <si>
    <t># text = Não estou voltado para essa direção.</t>
  </si>
  <si>
    <t>Não</t>
  </si>
  <si>
    <t>estou</t>
  </si>
  <si>
    <t>voltado</t>
  </si>
  <si>
    <t>essa</t>
  </si>
  <si>
    <t>direção</t>
  </si>
  <si>
    <t>def-np.dem</t>
  </si>
  <si>
    <t># text = \"E quero que pares de dizer isso.\"</t>
  </si>
  <si>
    <t>quero</t>
  </si>
  <si>
    <t>pares</t>
  </si>
  <si>
    <t>isso</t>
  </si>
  <si>
    <t># text = Há uns 20 anos, os editores da revista The New York Times convidaram-me para escrever um artigo sobre a cultura surda.</t>
  </si>
  <si>
    <t>Há</t>
  </si>
  <si>
    <t>20</t>
  </si>
  <si>
    <t>editores</t>
  </si>
  <si>
    <t>The</t>
  </si>
  <si>
    <t>New</t>
  </si>
  <si>
    <t>York</t>
  </si>
  <si>
    <t>Times</t>
  </si>
  <si>
    <t>convidaram</t>
  </si>
  <si>
    <t>escrever</t>
  </si>
  <si>
    <t>artigo</t>
  </si>
  <si>
    <t>cultura</t>
  </si>
  <si>
    <t>surda</t>
  </si>
  <si>
    <t># text = Fiquei bastante surpreendido.</t>
  </si>
  <si>
    <t>Fiquei</t>
  </si>
  <si>
    <t>bastante</t>
  </si>
  <si>
    <t>surpreendido</t>
  </si>
  <si>
    <t># text = Sempre pensara na surdez como uma doença.</t>
  </si>
  <si>
    <t>Sempre</t>
  </si>
  <si>
    <t>pensara</t>
  </si>
  <si>
    <t>surdez</t>
  </si>
  <si>
    <t># text = Aquelas pobres pessoas não conseguem ouvir.</t>
  </si>
  <si>
    <t>Aquelas</t>
  </si>
  <si>
    <t>pobres</t>
  </si>
  <si>
    <t>pessoas</t>
  </si>
  <si>
    <t>conseguem</t>
  </si>
  <si>
    <t>ouvir</t>
  </si>
  <si>
    <t># text = Faltava-lhes audição, o que poderíamos fazer por elas?</t>
  </si>
  <si>
    <t>Faltava</t>
  </si>
  <si>
    <t>lhes</t>
  </si>
  <si>
    <t>audição</t>
  </si>
  <si>
    <t>poderíamos</t>
  </si>
  <si>
    <t>fazer</t>
  </si>
  <si>
    <t>elas</t>
  </si>
  <si>
    <t># text = Então eu fui conhecer o mundo dos surdos.</t>
  </si>
  <si>
    <t>Então</t>
  </si>
  <si>
    <t>surdos</t>
  </si>
  <si>
    <t># text = Fui a clubes de surdos.</t>
  </si>
  <si>
    <t>Fui</t>
  </si>
  <si>
    <t>clubes</t>
  </si>
  <si>
    <t># text = Vi apresentações de teatro de surdos e de poesia de surdos.</t>
  </si>
  <si>
    <t>Vi</t>
  </si>
  <si>
    <t>apresentações</t>
  </si>
  <si>
    <t>teatro</t>
  </si>
  <si>
    <t>poesia</t>
  </si>
  <si>
    <t># text = Até fui ver o concurso de Miss América Surda em Nashville, no Tennessee, onde as pessoas se queixaram da linguagem gestual do sul.</t>
  </si>
  <si>
    <t>Até</t>
  </si>
  <si>
    <t>concurso</t>
  </si>
  <si>
    <t>Miss</t>
  </si>
  <si>
    <t>América</t>
  </si>
  <si>
    <t>Surda</t>
  </si>
  <si>
    <t>Nashville</t>
  </si>
  <si>
    <t>Tennessee</t>
  </si>
  <si>
    <t>onde</t>
  </si>
  <si>
    <t>as</t>
  </si>
  <si>
    <t>queixaram</t>
  </si>
  <si>
    <t>linguagem</t>
  </si>
  <si>
    <t>gestual</t>
  </si>
  <si>
    <t>sul</t>
  </si>
  <si>
    <t># text = Quanto mais fundo mergulhava no mundo dos surdos, mais me convencia de que a surdez era uma cultura e que, quando as pessoas do mundo surdo diziam:</t>
  </si>
  <si>
    <t>Quanto</t>
  </si>
  <si>
    <t>fundo</t>
  </si>
  <si>
    <t>mergulhava</t>
  </si>
  <si>
    <t>convencia</t>
  </si>
  <si>
    <t>surdo</t>
  </si>
  <si>
    <t>diziam</t>
  </si>
  <si>
    <t># text = \"Não temos falta de audição, somos membros de uma cultura\", estavam a dizer algo que era viável.</t>
  </si>
  <si>
    <t>falta</t>
  </si>
  <si>
    <t>somos</t>
  </si>
  <si>
    <t>membros</t>
  </si>
  <si>
    <t>estavam</t>
  </si>
  <si>
    <t>viável</t>
  </si>
  <si>
    <t># text = Não era a minha cultura, não queria especialmente apressar-me a fazer parte dela, mas pude apreciar que era uma cultura e que, para as pessoas que eram membros dela, era tão valiosa como a cultura latina ou a cultura \"gay\" ou a cultura judaica.</t>
  </si>
  <si>
    <t>especialmente</t>
  </si>
  <si>
    <t>apressar</t>
  </si>
  <si>
    <t>parte</t>
  </si>
  <si>
    <t>pude</t>
  </si>
  <si>
    <t>apreciar</t>
  </si>
  <si>
    <t>eram</t>
  </si>
  <si>
    <t>tão</t>
  </si>
  <si>
    <t>valiosa</t>
  </si>
  <si>
    <t>latina</t>
  </si>
  <si>
    <t>ou</t>
  </si>
  <si>
    <t>judaica</t>
  </si>
  <si>
    <t># text = Parecia-me talvez mesmo tão válida como a cultura norte-americana.</t>
  </si>
  <si>
    <t>Parecia</t>
  </si>
  <si>
    <t>mesmo</t>
  </si>
  <si>
    <t>válida</t>
  </si>
  <si>
    <t>norte-americana</t>
  </si>
  <si>
    <t># text = Depois, uma amiga de um amigo meu teve uma filha que era anã.</t>
  </si>
  <si>
    <t>amiga</t>
  </si>
  <si>
    <t>amigo</t>
  </si>
  <si>
    <t>teve</t>
  </si>
  <si>
    <t>filha</t>
  </si>
  <si>
    <t>anã</t>
  </si>
  <si>
    <t># text = Quando a sua filha nasceu, ela de repente deparou-se com as questões que agora me começavam a parecer bastante importantes.</t>
  </si>
  <si>
    <t>sua</t>
  </si>
  <si>
    <t>nasceu</t>
  </si>
  <si>
    <t>repente</t>
  </si>
  <si>
    <t>deparou</t>
  </si>
  <si>
    <t>questões</t>
  </si>
  <si>
    <t>começavam</t>
  </si>
  <si>
    <t>parecer</t>
  </si>
  <si>
    <t>importantes</t>
  </si>
  <si>
    <t># text = Ela estava a enfrentar a questão do que fazer com esta criança.</t>
  </si>
  <si>
    <t>Ela</t>
  </si>
  <si>
    <t>estava</t>
  </si>
  <si>
    <t>enfrentar</t>
  </si>
  <si>
    <t>questão</t>
  </si>
  <si>
    <t>esta</t>
  </si>
  <si>
    <t>criança</t>
  </si>
  <si>
    <t># text = Devia dizer:</t>
  </si>
  <si>
    <t>Devia</t>
  </si>
  <si>
    <t># text = "És exatamente como os outros, mas um pouco mais baixa"?</t>
  </si>
  <si>
    <t>És</t>
  </si>
  <si>
    <t>outros</t>
  </si>
  <si>
    <t>pouco</t>
  </si>
  <si>
    <t>baixa</t>
  </si>
  <si>
    <t># text = Ou devia tentar construir algum tipo de identidade anã, envolver-se na organização Pessoas Pequenas da América, tornar-se consciente do que estava a acontecer com os anões?</t>
  </si>
  <si>
    <t>Ou</t>
  </si>
  <si>
    <t>devia</t>
  </si>
  <si>
    <t>construir</t>
  </si>
  <si>
    <t>algum</t>
  </si>
  <si>
    <t>tipo</t>
  </si>
  <si>
    <t>envolver</t>
  </si>
  <si>
    <t>organização</t>
  </si>
  <si>
    <t>Pessoas</t>
  </si>
  <si>
    <t>Pequenas</t>
  </si>
  <si>
    <t>consciente</t>
  </si>
  <si>
    <t>anões</t>
  </si>
  <si>
    <t># text = E de repente pensei: as crianças surdas são filhas de pais com audição.</t>
  </si>
  <si>
    <t>crianças</t>
  </si>
  <si>
    <t>surdas</t>
  </si>
  <si>
    <t>são</t>
  </si>
  <si>
    <t>filhas</t>
  </si>
  <si>
    <t>pais</t>
  </si>
  <si>
    <t># text = Esses pais com audição tendem a tentar curá-las.</t>
  </si>
  <si>
    <t>Esses</t>
  </si>
  <si>
    <t>tendem</t>
  </si>
  <si>
    <t>curá</t>
  </si>
  <si>
    <t>las</t>
  </si>
  <si>
    <t># text = De certa forma, essas pessoas surdas descobrem a comunidade na adolescência.</t>
  </si>
  <si>
    <t>De</t>
  </si>
  <si>
    <t>certa</t>
  </si>
  <si>
    <t>forma</t>
  </si>
  <si>
    <t>indef-np</t>
  </si>
  <si>
    <t>essas</t>
  </si>
  <si>
    <t>descobrem</t>
  </si>
  <si>
    <t>comunidade</t>
  </si>
  <si>
    <t>adolescência</t>
  </si>
  <si>
    <t># text = A maioria das pessoas "gays" são filhas de pais heterossexuais.</t>
  </si>
  <si>
    <t>maioria</t>
  </si>
  <si>
    <t>gays</t>
  </si>
  <si>
    <t>heterossexuais</t>
  </si>
  <si>
    <t># text = Esses pais heterossexuais desejam que elas funcionem no que eles consideram a corrente principal no mundo, e esses "gays" têm de descobrir a sua identidade mais tarde.</t>
  </si>
  <si>
    <t>desejam</t>
  </si>
  <si>
    <t>funcionem</t>
  </si>
  <si>
    <t>eles</t>
  </si>
  <si>
    <t>consideram</t>
  </si>
  <si>
    <t>corrente</t>
  </si>
  <si>
    <t>principal</t>
  </si>
  <si>
    <t>esses</t>
  </si>
  <si>
    <t>SBJ_6</t>
  </si>
  <si>
    <t>têm</t>
  </si>
  <si>
    <t>tarde</t>
  </si>
  <si>
    <t># text = E aqui estava esta minha amiga a deparar-se com estas questões de identidade da filha anã.</t>
  </si>
  <si>
    <t>estas</t>
  </si>
  <si>
    <t># text = E eu pensei... aí está novamente: uma família que se considera normal com uma criança que parece ser extraordinária.</t>
  </si>
  <si>
    <t>...</t>
  </si>
  <si>
    <t>aí</t>
  </si>
  <si>
    <t>está</t>
  </si>
  <si>
    <t>novamente</t>
  </si>
  <si>
    <t>considera</t>
  </si>
  <si>
    <t>normal</t>
  </si>
  <si>
    <t>parece</t>
  </si>
  <si>
    <t>extraordinária</t>
  </si>
  <si>
    <t># text = E surgiu-me a ideia de que há realmente dois tipos de identidade.</t>
  </si>
  <si>
    <t>surgiu</t>
  </si>
  <si>
    <t>ideia</t>
  </si>
  <si>
    <t>há</t>
  </si>
  <si>
    <t>realmente</t>
  </si>
  <si>
    <t>dois</t>
  </si>
  <si>
    <t>tipos</t>
  </si>
  <si>
    <t># text = Há identidades verticais, que são passadas hereditariamente de pais para filhos.</t>
  </si>
  <si>
    <t>identidades</t>
  </si>
  <si>
    <t>verticais</t>
  </si>
  <si>
    <t>passadas</t>
  </si>
  <si>
    <t>hereditariamente</t>
  </si>
  <si>
    <t># text = São coisas como etnicidade, frequentemente nacionalidade, língua, religião.</t>
  </si>
  <si>
    <t>São</t>
  </si>
  <si>
    <t>coisas</t>
  </si>
  <si>
    <t>etnicidade</t>
  </si>
  <si>
    <t>frequentemente</t>
  </si>
  <si>
    <t>nacionalidade</t>
  </si>
  <si>
    <t>língua</t>
  </si>
  <si>
    <t>religião</t>
  </si>
  <si>
    <t># text = São coisas que temos em comum com os pais e com os filhos.</t>
  </si>
  <si>
    <t>comum</t>
  </si>
  <si>
    <t># text = Embora algumas delas possam ser difíceis, não há qualquer tentativa para as curar.</t>
  </si>
  <si>
    <t>Embora</t>
  </si>
  <si>
    <t>algumas</t>
  </si>
  <si>
    <t>possam</t>
  </si>
  <si>
    <t>difíceis</t>
  </si>
  <si>
    <t>tentativa</t>
  </si>
  <si>
    <t>curar</t>
  </si>
  <si>
    <t># text = Podem argumentar que é mais difícil nos EUA — não obstante o nosso actual presidente — ser uma pessoa de cor.</t>
  </si>
  <si>
    <t>Podem</t>
  </si>
  <si>
    <t>argumentar</t>
  </si>
  <si>
    <t>difícil</t>
  </si>
  <si>
    <t>—</t>
  </si>
  <si>
    <t>obstante</t>
  </si>
  <si>
    <t>nosso</t>
  </si>
  <si>
    <t>actual</t>
  </si>
  <si>
    <t>presidente</t>
  </si>
  <si>
    <t>pessoa</t>
  </si>
  <si>
    <t># text = Contudo, não temos ninguém a tentar garantir que a próxima geração de filhos de afro-americanos e asiáticos saia com pele clara e cabelo loiro.</t>
  </si>
  <si>
    <t>Contudo</t>
  </si>
  <si>
    <t>ninguém</t>
  </si>
  <si>
    <t>garantir</t>
  </si>
  <si>
    <t>próxima</t>
  </si>
  <si>
    <t>geração</t>
  </si>
  <si>
    <t>afro-americanos</t>
  </si>
  <si>
    <t>asiáticos</t>
  </si>
  <si>
    <t>saia</t>
  </si>
  <si>
    <t>pele</t>
  </si>
  <si>
    <t>clara</t>
  </si>
  <si>
    <t>cabelo</t>
  </si>
  <si>
    <t>loiro</t>
  </si>
  <si>
    <t># text = Também há outras identidades que temos de aprender com os nossos pares.</t>
  </si>
  <si>
    <t>Também</t>
  </si>
  <si>
    <t>outras</t>
  </si>
  <si>
    <t>aprender</t>
  </si>
  <si>
    <t>nossos</t>
  </si>
  <si>
    <t># text = E eu chamo-lhes identidades horizontais, porque o grupo de pares é a experiência horizontal.</t>
  </si>
  <si>
    <t>chamo</t>
  </si>
  <si>
    <t>horizontais</t>
  </si>
  <si>
    <t>porque</t>
  </si>
  <si>
    <t>grupo</t>
  </si>
  <si>
    <t>experiência</t>
  </si>
  <si>
    <t>horizontal</t>
  </si>
  <si>
    <t># text = São identidades que são alheias aos nossos pais e que temos de descobrir quando começamos a vê-las nos pares.</t>
  </si>
  <si>
    <t>alheias</t>
  </si>
  <si>
    <t>começamos</t>
  </si>
  <si>
    <t>vê</t>
  </si>
  <si>
    <t># text = Essas identidades horizontais, as pessoas quase sempre tentaram curar.</t>
  </si>
  <si>
    <t>Essas</t>
  </si>
  <si>
    <t>quase</t>
  </si>
  <si>
    <t>sempre</t>
  </si>
  <si>
    <t>tentaram</t>
  </si>
  <si>
    <t># text = Eu queria olhar para o processo através do qual as pessoas que têm essas identidades chegam a um bom relacionamento com elas.</t>
  </si>
  <si>
    <t>Eu</t>
  </si>
  <si>
    <t>processo</t>
  </si>
  <si>
    <t>através</t>
  </si>
  <si>
    <t>qual</t>
  </si>
  <si>
    <t>chegam</t>
  </si>
  <si>
    <t>bom</t>
  </si>
  <si>
    <t>relacionamento</t>
  </si>
  <si>
    <t># text = Parecia-me que havia três níveis de aceitação que precisavam de acontecer.</t>
  </si>
  <si>
    <t>havia</t>
  </si>
  <si>
    <t>níveis</t>
  </si>
  <si>
    <t>aceitação</t>
  </si>
  <si>
    <t>precisavam</t>
  </si>
  <si>
    <t># text = Há a auto-aceitação, a aceitação familiar e a aceitação social.</t>
  </si>
  <si>
    <t>auto-aceitação</t>
  </si>
  <si>
    <t>familiar</t>
  </si>
  <si>
    <t>social</t>
  </si>
  <si>
    <t># text = E elas nem sempre coincidem.</t>
  </si>
  <si>
    <t>nem</t>
  </si>
  <si>
    <t>coincidem</t>
  </si>
  <si>
    <t># text = Muitas vezes, as pessoas que estão nessa situação são pessoas zangadas porque se sentem como se os pais não as amassem, quando o que realmente acontece é que os pais não as aceitam.</t>
  </si>
  <si>
    <t>Muitas</t>
  </si>
  <si>
    <t>vezes</t>
  </si>
  <si>
    <t>estão</t>
  </si>
  <si>
    <t>situação</t>
  </si>
  <si>
    <t>zangadas</t>
  </si>
  <si>
    <t>sentem</t>
  </si>
  <si>
    <t>amassem</t>
  </si>
  <si>
    <t>acontece</t>
  </si>
  <si>
    <t>aceitam</t>
  </si>
  <si>
    <t># text = O amor é algo que idealmente existe incondicionalmente em qualquer relação entre um pai e um filho.</t>
  </si>
  <si>
    <t>idealmente</t>
  </si>
  <si>
    <t>existe</t>
  </si>
  <si>
    <t>incondicionalmente</t>
  </si>
  <si>
    <t>relação</t>
  </si>
  <si>
    <t>entre</t>
  </si>
  <si>
    <t># text = Mas a aceitação é algo que leva tempo.</t>
  </si>
  <si>
    <t>leva</t>
  </si>
  <si>
    <t>tempo</t>
  </si>
  <si>
    <t># text = Leva sempre tempo.</t>
  </si>
  <si>
    <t>Leva</t>
  </si>
  <si>
    <t># text = Um dos anões que conheci foi um indivíduo chamado Clinton Brown.</t>
  </si>
  <si>
    <t>Um</t>
  </si>
  <si>
    <t>conheci</t>
  </si>
  <si>
    <t>foi</t>
  </si>
  <si>
    <t>indivíduo</t>
  </si>
  <si>
    <t>chamado</t>
  </si>
  <si>
    <t>Clinton</t>
  </si>
  <si>
    <t>Brown</t>
  </si>
  <si>
    <t># text = Quando ele nasceu, foi diagnosticado com nanismo diastrófico, uma doença muito incapacitante, e disseram aos pais que ele nunca andaria, nunca falaria, não teria nenhuma capacidade intelectual, e provavelmente nem os iria reconhecer.</t>
  </si>
  <si>
    <t>ele</t>
  </si>
  <si>
    <t>diagnosticado</t>
  </si>
  <si>
    <t>nanismo</t>
  </si>
  <si>
    <t>diastrófico</t>
  </si>
  <si>
    <t>muito</t>
  </si>
  <si>
    <t>incapacitante</t>
  </si>
  <si>
    <t>disseram</t>
  </si>
  <si>
    <t>nunca</t>
  </si>
  <si>
    <t>andaria</t>
  </si>
  <si>
    <t>falaria</t>
  </si>
  <si>
    <t>teria</t>
  </si>
  <si>
    <t>nenhuma</t>
  </si>
  <si>
    <t>capacidade</t>
  </si>
  <si>
    <t>intelectual</t>
  </si>
  <si>
    <t>iria</t>
  </si>
  <si>
    <t>reconhecer</t>
  </si>
  <si>
    <t># text = Sugeriram-lhes que o deixassem no hospital para ele poder morrer ali tranquilamente.</t>
  </si>
  <si>
    <t>Sugeriram</t>
  </si>
  <si>
    <t>deixassem</t>
  </si>
  <si>
    <t>hospital</t>
  </si>
  <si>
    <t>morrer</t>
  </si>
  <si>
    <t>ali</t>
  </si>
  <si>
    <t>tranquilamente</t>
  </si>
  <si>
    <t># text = A mãe disse que não o iria fazer e levou o filho para casa.</t>
  </si>
  <si>
    <t>levou</t>
  </si>
  <si>
    <t># text = Mesmo não tendo grande capacidade financeira ou educativa, a mãe encontrou o melhor médico do país para lidar com nanismo diastrófico, e ele veio a ser o médico de Clinton.</t>
  </si>
  <si>
    <t>tendo</t>
  </si>
  <si>
    <t>grande</t>
  </si>
  <si>
    <t>financeira</t>
  </si>
  <si>
    <t>educativa</t>
  </si>
  <si>
    <t>encontrou</t>
  </si>
  <si>
    <t>médico</t>
  </si>
  <si>
    <t>país</t>
  </si>
  <si>
    <t>lidar</t>
  </si>
  <si>
    <t>veio</t>
  </si>
  <si>
    <t># text = No decorrer da sua infância, Clinton submeteu-se a 30 importantes procedimentos cirúrgicos.</t>
  </si>
  <si>
    <t>infância</t>
  </si>
  <si>
    <t>submeteu</t>
  </si>
  <si>
    <t>procedimentos</t>
  </si>
  <si>
    <t>cirúrgicos</t>
  </si>
  <si>
    <t># text = Passou todo esse tempo preso no hospital enquanto esses procedimentos aconteciam, e, como resultado, ele pode agora andar.</t>
  </si>
  <si>
    <t>Passou</t>
  </si>
  <si>
    <t>todo</t>
  </si>
  <si>
    <t>esse</t>
  </si>
  <si>
    <t>preso</t>
  </si>
  <si>
    <t>enquanto</t>
  </si>
  <si>
    <t>aconteciam</t>
  </si>
  <si>
    <t>resultado</t>
  </si>
  <si>
    <t>pode</t>
  </si>
  <si>
    <t>andar</t>
  </si>
  <si>
    <t># text = Enquanto esteve no hospital, houve tutores a ajudá-lo com os trabalhos escolares.</t>
  </si>
  <si>
    <t>esteve</t>
  </si>
  <si>
    <t>houve</t>
  </si>
  <si>
    <t>tutores</t>
  </si>
  <si>
    <t>ajudá</t>
  </si>
  <si>
    <t>trabalhos</t>
  </si>
  <si>
    <t>escolares</t>
  </si>
  <si>
    <t># text = E ele trabalhou intensamente porque não havia mais nada para fazer.</t>
  </si>
  <si>
    <t>trabalhou</t>
  </si>
  <si>
    <t>intensamente</t>
  </si>
  <si>
    <t>nada</t>
  </si>
  <si>
    <t># text = Acabou alcançando um nível que nunca antes tinha sido atingido por um membro da sua família.</t>
  </si>
  <si>
    <t>Acabou</t>
  </si>
  <si>
    <t>alcançando</t>
  </si>
  <si>
    <t>nível</t>
  </si>
  <si>
    <t>sido</t>
  </si>
  <si>
    <t>atingido</t>
  </si>
  <si>
    <t>membro</t>
  </si>
  <si>
    <t># text = Na verdade, foi o primeiro na família a ir para a faculdade, onde viveu no campus e conduzia um carro especialmente equipado para acomodar o seu corpo especial.</t>
  </si>
  <si>
    <t>verdade</t>
  </si>
  <si>
    <t>primeiro</t>
  </si>
  <si>
    <t>ir</t>
  </si>
  <si>
    <t>viveu</t>
  </si>
  <si>
    <t>campus</t>
  </si>
  <si>
    <t>conduzia</t>
  </si>
  <si>
    <t>carro</t>
  </si>
  <si>
    <t>equipado</t>
  </si>
  <si>
    <t>acomodar</t>
  </si>
  <si>
    <t>seu</t>
  </si>
  <si>
    <t>corpo</t>
  </si>
  <si>
    <t>OBJ_9</t>
  </si>
  <si>
    <t>especial</t>
  </si>
  <si>
    <t># text = A mãe contou-me a história de quando um dia, ao voltar para casa – ele frequentava uma faculdade perto.</t>
  </si>
  <si>
    <t>contou</t>
  </si>
  <si>
    <t>história</t>
  </si>
  <si>
    <t>dia</t>
  </si>
  <si>
    <t>–</t>
  </si>
  <si>
    <t>frequentava</t>
  </si>
  <si>
    <t>perto</t>
  </si>
  <si>
    <t># text = "Eu vi o carro dele, que se consegue sempre reconhecer, "no estacionamento de um bar".</t>
  </si>
  <si>
    <t>vi</t>
  </si>
  <si>
    <t>consegue</t>
  </si>
  <si>
    <t>estacionamento</t>
  </si>
  <si>
    <t>bar</t>
  </si>
  <si>
    <t># text = "E pensei para comigo: "Eles têm 1,80 m de altura, ele tem 90 centímetros.</t>
  </si>
  <si>
    <t>mim</t>
  </si>
  <si>
    <t>Eles</t>
  </si>
  <si>
    <t>1,80</t>
  </si>
  <si>
    <t>m</t>
  </si>
  <si>
    <t>altura</t>
  </si>
  <si>
    <t>tem</t>
  </si>
  <si>
    <t>centímetros</t>
  </si>
  <si>
    <t># text = "Duas cervejas para eles é como quatro cervejas para ele.</t>
  </si>
  <si>
    <t>Duas</t>
  </si>
  <si>
    <t>cervejas</t>
  </si>
  <si>
    <t>quatro</t>
  </si>
  <si>
    <t># text = \"Eu sabia que não poderia lá ir e interrompê-lo, \"mas fui para casa e deixei-lhe oito mensagens no telemóvel.</t>
  </si>
  <si>
    <t>sabia</t>
  </si>
  <si>
    <t>interrompê</t>
  </si>
  <si>
    <t>deixei</t>
  </si>
  <si>
    <t>oito</t>
  </si>
  <si>
    <t>mensagens</t>
  </si>
  <si>
    <t>telemóvel</t>
  </si>
  <si>
    <t># text = \"E então, pensei... \"Se alguém me dissesse quando ele nasceu \"que a minha preocupação futura seria \"que ele ia beber e conduzir com os amigos de faculdade...\"</t>
  </si>
  <si>
    <t>então</t>
  </si>
  <si>
    <t>Se</t>
  </si>
  <si>
    <t>alguém</t>
  </si>
  <si>
    <t>dissesse</t>
  </si>
  <si>
    <t>preocupação</t>
  </si>
  <si>
    <t>futura</t>
  </si>
  <si>
    <t>seria</t>
  </si>
  <si>
    <t>ia</t>
  </si>
  <si>
    <t>beber</t>
  </si>
  <si>
    <t>conduzir</t>
  </si>
  <si>
    <t>amigos</t>
  </si>
  <si>
    <t># text = E eu perguntei-lhe: \"O que pensa ter feito que o ajudou a surgir \"como esta pessoa encantadora, talentosa, maravilhosa?\"</t>
  </si>
  <si>
    <t>perguntei</t>
  </si>
  <si>
    <t>pensa</t>
  </si>
  <si>
    <t>feito</t>
  </si>
  <si>
    <t>ajudou</t>
  </si>
  <si>
    <t>encantadora</t>
  </si>
  <si>
    <t>talentosa</t>
  </si>
  <si>
    <t>maravilhosa</t>
  </si>
  <si>
    <t># text = E ela respondeu:</t>
  </si>
  <si>
    <t>respondeu</t>
  </si>
  <si>
    <t># text = \"O que eu fiz?</t>
  </si>
  <si>
    <t>fiz</t>
  </si>
  <si>
    <t># text = Amei-o, foi tudo.</t>
  </si>
  <si>
    <t>Amei</t>
  </si>
  <si>
    <t>tudo</t>
  </si>
  <si>
    <t># text = \"Clinton sempre teve aquela luz nele.</t>
  </si>
  <si>
    <t>aquela</t>
  </si>
  <si>
    <t>luz</t>
  </si>
  <si>
    <t># text = "E eu e o pai dele tivemos a sorte de sermos os primeiros a vê-la." Vou citar outra revista dos anos 60.</t>
  </si>
  <si>
    <t>tivemos</t>
  </si>
  <si>
    <t>sorte</t>
  </si>
  <si>
    <t>sermos</t>
  </si>
  <si>
    <t>primeiros</t>
  </si>
  <si>
    <t>la</t>
  </si>
  <si>
    <t>Vou</t>
  </si>
  <si>
    <t>citar</t>
  </si>
  <si>
    <t>outra</t>
  </si>
  <si>
    <t>def-np.quant</t>
  </si>
  <si>
    <t># text = Esta é de 1968 — The Atlantic Monthly, voz da América liberal — escrita por um importante bioeticista, que escreveu:</t>
  </si>
  <si>
    <t>Esta</t>
  </si>
  <si>
    <t>1968</t>
  </si>
  <si>
    <t>Atlantic</t>
  </si>
  <si>
    <t>Monthly</t>
  </si>
  <si>
    <t>voz</t>
  </si>
  <si>
    <t>liberal</t>
  </si>
  <si>
    <t>escrita</t>
  </si>
  <si>
    <t>importante</t>
  </si>
  <si>
    <t>bioeticista</t>
  </si>
  <si>
    <t>escreveu</t>
  </si>
  <si>
    <t># text = "Não há nenhuma razão para se sentir culpado "por pôr de parte uma criança com síndrome de Down, "quer isso signifique escondê-la num sanatório "quer tenha um sentido mais responsável, letal.</t>
  </si>
  <si>
    <t>razão</t>
  </si>
  <si>
    <t>sentir</t>
  </si>
  <si>
    <t>culpado</t>
  </si>
  <si>
    <t>pôr</t>
  </si>
  <si>
    <t>síndrome</t>
  </si>
  <si>
    <t>Down</t>
  </si>
  <si>
    <t>quer</t>
  </si>
  <si>
    <t>signifique</t>
  </si>
  <si>
    <t>escondê</t>
  </si>
  <si>
    <t>sanatório</t>
  </si>
  <si>
    <t>tenha</t>
  </si>
  <si>
    <t>sentido</t>
  </si>
  <si>
    <t>responsável</t>
  </si>
  <si>
    <t>letal</t>
  </si>
  <si>
    <t># text = "É triste, sim — terrível.</t>
  </si>
  <si>
    <t>triste</t>
  </si>
  <si>
    <t>sim</t>
  </si>
  <si>
    <t>terrível</t>
  </si>
  <si>
    <t># text = Mas não carrega culpa.</t>
  </si>
  <si>
    <t>carrega</t>
  </si>
  <si>
    <t>culpa</t>
  </si>
  <si>
    <t># text = "A verdadeira culpa decorre apenas de uma ofensa contra uma pessoa, "e alguém com síndrome de Down não é uma pessoa." Muita tinta tem corrido, dado o enorme progresso que fizemos, no tratamento de pessoas homossexuais.</t>
  </si>
  <si>
    <t>verdadeira</t>
  </si>
  <si>
    <t>decorre</t>
  </si>
  <si>
    <t>apenas</t>
  </si>
  <si>
    <t>ofensa</t>
  </si>
  <si>
    <t>contra</t>
  </si>
  <si>
    <t>Muita</t>
  </si>
  <si>
    <t>tinta</t>
  </si>
  <si>
    <t>corrido</t>
  </si>
  <si>
    <t>dado</t>
  </si>
  <si>
    <t>enorme</t>
  </si>
  <si>
    <t>progresso</t>
  </si>
  <si>
    <t>fizemos</t>
  </si>
  <si>
    <t>homossexuais</t>
  </si>
  <si>
    <t># text = O facto de que a nossa atitude mudou está nos cabeçalhos diários.</t>
  </si>
  <si>
    <t>nossa</t>
  </si>
  <si>
    <t>atitude</t>
  </si>
  <si>
    <t>mudou</t>
  </si>
  <si>
    <t>cabeçalhos</t>
  </si>
  <si>
    <t>diários</t>
  </si>
  <si>
    <t># text = Mas esquecemo-nos de como costumávamos ver pessoas que tinham outras diferenças, como costumávamos ver pessoas que eram incapacitadas, o quão pouco umanas considerávamos que essas pessoas eram.</t>
  </si>
  <si>
    <t>esquecemo</t>
  </si>
  <si>
    <t>costumávamos</t>
  </si>
  <si>
    <t>tinham</t>
  </si>
  <si>
    <t>diferenças</t>
  </si>
  <si>
    <t>incapacitadas</t>
  </si>
  <si>
    <t>quão</t>
  </si>
  <si>
    <t>umanas</t>
  </si>
  <si>
    <t>considerávamos</t>
  </si>
  <si>
    <t># text = E a mudança que tem sido alcançada aí, que é quase igualmente radical, é uma mudança a que não prestamos muita atenção.</t>
  </si>
  <si>
    <t>mudança</t>
  </si>
  <si>
    <t>alcançada</t>
  </si>
  <si>
    <t>igualmente</t>
  </si>
  <si>
    <t>radical</t>
  </si>
  <si>
    <t>prestamos</t>
  </si>
  <si>
    <t>muita</t>
  </si>
  <si>
    <t>atenção</t>
  </si>
  <si>
    <t># text = Uns pais que entrevistei, Tom e Karen Robards, foram surpreendidos quando, jovens e bem-sucedidos nova-iorquinos, o seu primeiro filho foi diagnosticado com síndrome de Down.</t>
  </si>
  <si>
    <t>Uns</t>
  </si>
  <si>
    <t>entrevistei</t>
  </si>
  <si>
    <t>Tom</t>
  </si>
  <si>
    <t>Karen</t>
  </si>
  <si>
    <t>Robards</t>
  </si>
  <si>
    <t>foram</t>
  </si>
  <si>
    <t>surpreendidos</t>
  </si>
  <si>
    <t>jovens</t>
  </si>
  <si>
    <t>bem-sucedidos</t>
  </si>
  <si>
    <t>nova-iorquinos</t>
  </si>
  <si>
    <t># text = Eles acharam que as oportunidades educativas para ele não eram o que deveriam ser, e decidiram construir um pequeno centro — duas salas de aula a que deram início com alguns outros pais — para educar crianças com síndroma de Down.</t>
  </si>
  <si>
    <t>acharam</t>
  </si>
  <si>
    <t>oportunidades</t>
  </si>
  <si>
    <t>educativas</t>
  </si>
  <si>
    <t>deveriam</t>
  </si>
  <si>
    <t>decidiram</t>
  </si>
  <si>
    <t>centro</t>
  </si>
  <si>
    <t>duas</t>
  </si>
  <si>
    <t>salas</t>
  </si>
  <si>
    <t>aula</t>
  </si>
  <si>
    <t>deram</t>
  </si>
  <si>
    <t>início</t>
  </si>
  <si>
    <t>alguns</t>
  </si>
  <si>
    <t>other_9</t>
  </si>
  <si>
    <t>educar</t>
  </si>
  <si>
    <t>OBJ_11</t>
  </si>
  <si>
    <t>síndroma</t>
  </si>
  <si>
    <t>other_11</t>
  </si>
  <si>
    <t>other_12</t>
  </si>
  <si>
    <t># text = Passados anos, este centro transformou-se em algo chamado o Centro de Cooke, onde há agora milhares e milhares de crianças com problemas cognitivos que estão a ser ensinadas.</t>
  </si>
  <si>
    <t>Passados</t>
  </si>
  <si>
    <t>este</t>
  </si>
  <si>
    <t>transformou</t>
  </si>
  <si>
    <t>Centro</t>
  </si>
  <si>
    <t>Cooke</t>
  </si>
  <si>
    <t>milhares</t>
  </si>
  <si>
    <t>problemas</t>
  </si>
  <si>
    <t>cognitivos</t>
  </si>
  <si>
    <t>SBJ_9</t>
  </si>
  <si>
    <t>ensinadas</t>
  </si>
  <si>
    <t># text = Desde a altura do artigo na \"Atlantic Monthly\", a esperança de vida para as pessoas com síndrome de Down triplicou.</t>
  </si>
  <si>
    <t>Desde</t>
  </si>
  <si>
    <t>esperança</t>
  </si>
  <si>
    <t>triplicou</t>
  </si>
  <si>
    <t># text = Há pessoas com síndrome de Down que são actores, são escritores, outros que conseguem viver de forma independente na idade adulta.</t>
  </si>
  <si>
    <t>actores</t>
  </si>
  <si>
    <t>escritores</t>
  </si>
  <si>
    <t>independente</t>
  </si>
  <si>
    <t>idade</t>
  </si>
  <si>
    <t>adulta</t>
  </si>
  <si>
    <t># text = Os Robards tiveram muito a ver com isso.</t>
  </si>
  <si>
    <t>Os</t>
  </si>
  <si>
    <t>tiveram</t>
  </si>
  <si>
    <t># text = E eu perguntei-lhes: "Arrependem-se?</t>
  </si>
  <si>
    <t>&amp;quot;Arrependem</t>
  </si>
  <si>
    <t># text = "Desejavam que o vosso filho não tivesse síndrome de Down?</t>
  </si>
  <si>
    <t>Desejavam</t>
  </si>
  <si>
    <t>vosso</t>
  </si>
  <si>
    <t>tivesse</t>
  </si>
  <si>
    <t># text = "Gostariam de nunca ter ouvido falar dela?" Curiosamente, o pai respondeu:</t>
  </si>
  <si>
    <t>&amp;quot;Gostariam</t>
  </si>
  <si>
    <t>ouvido</t>
  </si>
  <si>
    <t>falar</t>
  </si>
  <si>
    <t>Curiosamente</t>
  </si>
  <si>
    <t># text = "Bem, pelo David, o nosso filho, arrependo-me "porque para o David é um modo difícil de estar no mundo, "e eu gostaria de dar ao David uma vida mais fácil.</t>
  </si>
  <si>
    <t>Bem</t>
  </si>
  <si>
    <t>David</t>
  </si>
  <si>
    <t>arrependo</t>
  </si>
  <si>
    <t>modo</t>
  </si>
  <si>
    <t>gostaria</t>
  </si>
  <si>
    <t>dar</t>
  </si>
  <si>
    <t>fácil</t>
  </si>
  <si>
    <t># text = \"Mas acho que, se perdêssemos todas as pessoas com síndrome de Down, isso seria uma perda catastrófica.\" E Karen Robards disse-me: \"Eu concordo com o Tom.</t>
  </si>
  <si>
    <t>acho</t>
  </si>
  <si>
    <t>perdêssemos</t>
  </si>
  <si>
    <t>todas</t>
  </si>
  <si>
    <t>perda</t>
  </si>
  <si>
    <t>catastrófica</t>
  </si>
  <si>
    <t>concordo</t>
  </si>
  <si>
    <t># text = \"Pelo David, curá-lo-ia num instante para lhe dar uma vida mais fácil.</t>
  </si>
  <si>
    <t>Por</t>
  </si>
  <si>
    <t>instante</t>
  </si>
  <si>
    <t># text = \"Mas falando por mim — há 23 anos, quando ele nasceu, eu não acreditava \"que poderia chegar a este ponto.</t>
  </si>
  <si>
    <t>falando</t>
  </si>
  <si>
    <t>acreditava</t>
  </si>
  <si>
    <t>ponto</t>
  </si>
  <si>
    <t># text = \"Falando por mim, isto tornou-me tão melhor e tão mais gentil \"e deu tão mais sentido a toda a minha vida \"que, falando por mim, eu não desistiria dele \"por nada neste mundo.\" Vivemos num momento em que a aceitação social para estas e muitas outras condições está a aumentar continuamente.</t>
  </si>
  <si>
    <t>Falando</t>
  </si>
  <si>
    <t>gentil</t>
  </si>
  <si>
    <t>deu</t>
  </si>
  <si>
    <t>toda</t>
  </si>
  <si>
    <t>desistiria</t>
  </si>
  <si>
    <t>Vivemos</t>
  </si>
  <si>
    <t>momento</t>
  </si>
  <si>
    <t>muitas</t>
  </si>
  <si>
    <t>condições</t>
  </si>
  <si>
    <t>aumentar</t>
  </si>
  <si>
    <t>continuamente</t>
  </si>
  <si>
    <t># text = No entanto, também vivemos num momento em que a nossa capacidade para eliminar essas condições chegou a um nível nunca antes imaginado.</t>
  </si>
  <si>
    <t>entanto</t>
  </si>
  <si>
    <t>também</t>
  </si>
  <si>
    <t>vivemos</t>
  </si>
  <si>
    <t>eliminar</t>
  </si>
  <si>
    <t>chegou</t>
  </si>
  <si>
    <t>imaginado</t>
  </si>
  <si>
    <t># text = Actualmente, a maioria dos bebés que nascem surdos nos EUA irá receber implantes cocleares, que são colocados no cérebro e ligados a um receptor, que lhes permite adquirir um fac-símile da audição e usar o discurso oral.</t>
  </si>
  <si>
    <t>Actualmente</t>
  </si>
  <si>
    <t>bebés</t>
  </si>
  <si>
    <t>nascem</t>
  </si>
  <si>
    <t>irá</t>
  </si>
  <si>
    <t>implantes</t>
  </si>
  <si>
    <t>cocleares</t>
  </si>
  <si>
    <t>colocados</t>
  </si>
  <si>
    <t>cérebro</t>
  </si>
  <si>
    <t>ligados</t>
  </si>
  <si>
    <t>receptor</t>
  </si>
  <si>
    <t>permite</t>
  </si>
  <si>
    <t>adquirir</t>
  </si>
  <si>
    <t>fac-símile</t>
  </si>
  <si>
    <t>usar</t>
  </si>
  <si>
    <t>discurso</t>
  </si>
  <si>
    <t>oral</t>
  </si>
  <si>
    <t># text = Um composto que tem sido testado em ratinhos — o BMN-111 — é útil para impedir a ação do gene da acondroplasia.</t>
  </si>
  <si>
    <t>composto</t>
  </si>
  <si>
    <t>testado</t>
  </si>
  <si>
    <t>ratinhos</t>
  </si>
  <si>
    <t>BMN-111</t>
  </si>
  <si>
    <t>útil</t>
  </si>
  <si>
    <t>impedir</t>
  </si>
  <si>
    <t>ação</t>
  </si>
  <si>
    <t>gene</t>
  </si>
  <si>
    <t>acondroplasia</t>
  </si>
  <si>
    <t># text = A acondroplasia é a forma mais comum de nanismo e os ratinhos que receberam essa substância e que têm o gene da acondroplasia crescem até ao tamanho normal.</t>
  </si>
  <si>
    <t>receberam</t>
  </si>
  <si>
    <t>substância</t>
  </si>
  <si>
    <t>crescem</t>
  </si>
  <si>
    <t>tamanho</t>
  </si>
  <si>
    <t># text = Os testes em seres humanos estão iminentes.</t>
  </si>
  <si>
    <t>testes</t>
  </si>
  <si>
    <t>seres</t>
  </si>
  <si>
    <t>humanos</t>
  </si>
  <si>
    <t>iminentes</t>
  </si>
  <si>
    <t># text = Há análises ao sangue que estão a fazer progressos a detectar a síndrome de Down na gravidez de uma forma mais clara e precoce que nunca, tornando-se mais fácil para as pessoas eliminar essas gravidezes ou interrompê-las.</t>
  </si>
  <si>
    <t>análises</t>
  </si>
  <si>
    <t>sangue</t>
  </si>
  <si>
    <t>progressos</t>
  </si>
  <si>
    <t>detectar</t>
  </si>
  <si>
    <t>gravidez</t>
  </si>
  <si>
    <t>precoce</t>
  </si>
  <si>
    <t>tornando</t>
  </si>
  <si>
    <t>gravidezes</t>
  </si>
  <si>
    <t># text = Assim, temos o progresso social e o progresso médico.</t>
  </si>
  <si>
    <t>Assim</t>
  </si>
  <si>
    <t># text = E eu acredito em ambos.</t>
  </si>
  <si>
    <t>acredito</t>
  </si>
  <si>
    <t>ambos</t>
  </si>
  <si>
    <t>pron</t>
  </si>
  <si>
    <t># text = Creio que o progresso social é fantástico e significativo e maravilhoso, e penso o mesmo sobre o progresso médico.</t>
  </si>
  <si>
    <t>Creio</t>
  </si>
  <si>
    <t>fantástico</t>
  </si>
  <si>
    <t>significativo</t>
  </si>
  <si>
    <t>maravilhoso</t>
  </si>
  <si>
    <t>penso</t>
  </si>
  <si>
    <t># text = Mas acho que é uma tragédia quando um deles não vê o outro.</t>
  </si>
  <si>
    <t>tragédia</t>
  </si>
  <si>
    <t># text = E quando vejo a maneira como estão a interagir em condições como as três que acabei de descrever, às vezes penso que é como aqueles momentos na ópera quando o herói percebe que ama a heroína no exacto momento em que ela está prestes a expirar num divã.</t>
  </si>
  <si>
    <t>vejo</t>
  </si>
  <si>
    <t>maneira</t>
  </si>
  <si>
    <t>interagir</t>
  </si>
  <si>
    <t>acabei</t>
  </si>
  <si>
    <t>descrever</t>
  </si>
  <si>
    <t>aqueles</t>
  </si>
  <si>
    <t>momentos</t>
  </si>
  <si>
    <t>ópera</t>
  </si>
  <si>
    <t>herói</t>
  </si>
  <si>
    <t>SBJ_11</t>
  </si>
  <si>
    <t>percebe</t>
  </si>
  <si>
    <t>ama</t>
  </si>
  <si>
    <t>heroína</t>
  </si>
  <si>
    <t>OBJ_12</t>
  </si>
  <si>
    <t>exacto</t>
  </si>
  <si>
    <t>SBJ_14</t>
  </si>
  <si>
    <t>prestes</t>
  </si>
  <si>
    <t>expirar</t>
  </si>
  <si>
    <t>divã</t>
  </si>
  <si>
    <t>other_15</t>
  </si>
  <si>
    <t># text = Temos de pensar em como nos sentimos sobre curas em geral.</t>
  </si>
  <si>
    <t>Temos</t>
  </si>
  <si>
    <t>sentimos</t>
  </si>
  <si>
    <t>curas</t>
  </si>
  <si>
    <t>geral</t>
  </si>
  <si>
    <t># text = Muitas vezes, a questão da paternidade é: o que é que aceitamos nos nossos filhos e o que é que queremos curar neles?</t>
  </si>
  <si>
    <t>paternidade</t>
  </si>
  <si>
    <t>pron.pint</t>
  </si>
  <si>
    <t>aceitamos</t>
  </si>
  <si>
    <t>queremos</t>
  </si>
  <si>
    <t># text = Jim Sinclair, uma proeminente activista pelo autismo, disse:</t>
  </si>
  <si>
    <t>Jim</t>
  </si>
  <si>
    <t>Sinclair</t>
  </si>
  <si>
    <t>proeminente</t>
  </si>
  <si>
    <t>activista</t>
  </si>
  <si>
    <t>autismo</t>
  </si>
  <si>
    <t># text = \"Quando os pais dizem: \" 'Eu queria que o meu filho não fosse autista', \"o que eles estão a dizer é:</t>
  </si>
  <si>
    <t>dizem</t>
  </si>
  <si>
    <t>fosse</t>
  </si>
  <si>
    <t>autista'</t>
  </si>
  <si>
    <t># text = " 'Eu queria que a criança que tenho não existisse " 'e que eu tivesse um filho diferente, não-autista, em vez deste.'</t>
  </si>
  <si>
    <t>tenho</t>
  </si>
  <si>
    <t>existisse</t>
  </si>
  <si>
    <t>'e</t>
  </si>
  <si>
    <t>não-autista</t>
  </si>
  <si>
    <t>vez</t>
  </si>
  <si>
    <t>.'</t>
  </si>
  <si>
    <t># text = "Leiam novamente.</t>
  </si>
  <si>
    <t>Leiam</t>
  </si>
  <si>
    <t># text = É isto que entendemos quando vocês choram pela nossa existência.</t>
  </si>
  <si>
    <t>entendemos</t>
  </si>
  <si>
    <t>vocês</t>
  </si>
  <si>
    <t>choram</t>
  </si>
  <si>
    <t>existência</t>
  </si>
  <si>
    <t># text = \"É isto que ouvimos quando rezam por uma cura \"— que o vosso desejo mais carinhoso para nós \"é que um dia deixemos de existir \"e que, por trás das nossas caras, apareçam estranhos para vocês amarem.\"</t>
  </si>
  <si>
    <t>ouvimos</t>
  </si>
  <si>
    <t>rezam</t>
  </si>
  <si>
    <t>cura</t>
  </si>
  <si>
    <t>desejo</t>
  </si>
  <si>
    <t>carinhoso</t>
  </si>
  <si>
    <t>deixemos</t>
  </si>
  <si>
    <t>existir</t>
  </si>
  <si>
    <t>trás</t>
  </si>
  <si>
    <t>nossas</t>
  </si>
  <si>
    <t>caras</t>
  </si>
  <si>
    <t>apareçam</t>
  </si>
  <si>
    <t>estranhos</t>
  </si>
  <si>
    <t>amarem</t>
  </si>
  <si>
    <t># text = É um ponto de vista muito extremo mas aponta para a realidade de que as pessoas se envolvem com a vida que têm e não querem ser curadas ou alteradas ou eliminadas.</t>
  </si>
  <si>
    <t>vista</t>
  </si>
  <si>
    <t>extremo</t>
  </si>
  <si>
    <t>aponta</t>
  </si>
  <si>
    <t>envolvem</t>
  </si>
  <si>
    <t>querem</t>
  </si>
  <si>
    <t>curadas</t>
  </si>
  <si>
    <t>alteradas</t>
  </si>
  <si>
    <t>eliminadas</t>
  </si>
  <si>
    <t># text = Querem ser quem quer que seja que vieram para ser.</t>
  </si>
  <si>
    <t>Querem</t>
  </si>
  <si>
    <t>quem</t>
  </si>
  <si>
    <t>seja</t>
  </si>
  <si>
    <t>vieram</t>
  </si>
  <si>
    <t># text = Uma das famílias que entrevistei para este projecto foi a família de Dylan Klebold, um dos autores do massacre de Columbine.</t>
  </si>
  <si>
    <t>Uma</t>
  </si>
  <si>
    <t>famílias</t>
  </si>
  <si>
    <t>projecto</t>
  </si>
  <si>
    <t>Dylan</t>
  </si>
  <si>
    <t>Klebold</t>
  </si>
  <si>
    <t>autores</t>
  </si>
  <si>
    <t>massacre</t>
  </si>
  <si>
    <t>Columbine</t>
  </si>
  <si>
    <t># text = Demorou muito tempo a convencê-los a falar comigo, e, quando concordaram, estavam tão cheios da sua história que não conseguiam parar de contá-la.</t>
  </si>
  <si>
    <t>Demorou</t>
  </si>
  <si>
    <t>convencê</t>
  </si>
  <si>
    <t>los</t>
  </si>
  <si>
    <t>concordaram</t>
  </si>
  <si>
    <t>cheios</t>
  </si>
  <si>
    <t>conseguiam</t>
  </si>
  <si>
    <t>parar</t>
  </si>
  <si>
    <t>contá</t>
  </si>
  <si>
    <t># text = No primeiro fim-de-semana que passei com eles — o primeiro de muitos — gravei mais de 20 horas de conversa.</t>
  </si>
  <si>
    <t>fim-de-semana</t>
  </si>
  <si>
    <t>passei</t>
  </si>
  <si>
    <t>muitos</t>
  </si>
  <si>
    <t>gravei</t>
  </si>
  <si>
    <t>horas</t>
  </si>
  <si>
    <t>conversa</t>
  </si>
  <si>
    <t># text = Na noite de domingo estávamos todos exaustos.</t>
  </si>
  <si>
    <t>noite</t>
  </si>
  <si>
    <t>domingo</t>
  </si>
  <si>
    <t>estávamos</t>
  </si>
  <si>
    <t>todos</t>
  </si>
  <si>
    <t>exaustos</t>
  </si>
  <si>
    <t># text = Estávamos sentados na cozinha.</t>
  </si>
  <si>
    <t>Estávamos</t>
  </si>
  <si>
    <t>sentados</t>
  </si>
  <si>
    <t>cozinha</t>
  </si>
  <si>
    <t># text = Sue Klebold estava a preparar o jantar.</t>
  </si>
  <si>
    <t>Sue</t>
  </si>
  <si>
    <t>preparar</t>
  </si>
  <si>
    <t>jantar</t>
  </si>
  <si>
    <t># text = E eu perguntei: \"Se o Dylan estivesse aqui agora, \"tem alguma ideia do que gostariam de lhe perguntar?\" E o pai disse:</t>
  </si>
  <si>
    <t>estivesse</t>
  </si>
  <si>
    <t>alguma</t>
  </si>
  <si>
    <t>gostariam</t>
  </si>
  <si>
    <t># text = \"Claro que sim.</t>
  </si>
  <si>
    <t>Claro</t>
  </si>
  <si>
    <t># text = "Gostaria de lhe perguntar que diabo pensava ele estar a fazer."</t>
  </si>
  <si>
    <t>Gostaria</t>
  </si>
  <si>
    <t>diabo</t>
  </si>
  <si>
    <t># text = Sue olhou para o chão e pensou durante um minuto.</t>
  </si>
  <si>
    <t>olhou</t>
  </si>
  <si>
    <t>chão</t>
  </si>
  <si>
    <t>pensou</t>
  </si>
  <si>
    <t>durante</t>
  </si>
  <si>
    <t>minuto</t>
  </si>
  <si>
    <t># text = Então olhou para cima e disse:</t>
  </si>
  <si>
    <t>cima</t>
  </si>
  <si>
    <t># text = \"Pedir-lhe-ia que me perdoasse por ser a sua mãe \"e nunca saber o que estava a acontecer dentro da sua cabeça.\" Quando eu jantei com ela uns anos mais tarde — um de muitos jantares que tivemos juntos — ela disse:</t>
  </si>
  <si>
    <t>Pediria</t>
  </si>
  <si>
    <t>perdoasse</t>
  </si>
  <si>
    <t>dentro</t>
  </si>
  <si>
    <t>cabeça</t>
  </si>
  <si>
    <t>jantei</t>
  </si>
  <si>
    <t>jantares</t>
  </si>
  <si>
    <t>juntos</t>
  </si>
  <si>
    <t># text = "Sabes, assim que aquilo aconteceu, "eu costumava desejar nunca ter casado, nunca ter tido filhos.</t>
  </si>
  <si>
    <t>assim</t>
  </si>
  <si>
    <t>aconteceu</t>
  </si>
  <si>
    <t>desejar</t>
  </si>
  <si>
    <t>casado</t>
  </si>
  <si>
    <t>tido</t>
  </si>
  <si>
    <t># text = \"Se eu não tivesse ido para o estado de Ohio \"e não me tivesse cruzado com Tom, \"esta criança não teria existido, esta coisa terrível não teria acontecido.</t>
  </si>
  <si>
    <t>ido</t>
  </si>
  <si>
    <t>estado</t>
  </si>
  <si>
    <t>Ohio</t>
  </si>
  <si>
    <t>cruzado</t>
  </si>
  <si>
    <t>existido</t>
  </si>
  <si>
    <t>coisa</t>
  </si>
  <si>
    <t>acontecido</t>
  </si>
  <si>
    <t># text = \"Mas tenho vindo a sentir que amo tanto os filhos que tive \"que não quero imaginar uma vida sem eles.</t>
  </si>
  <si>
    <t>vindo</t>
  </si>
  <si>
    <t>amo</t>
  </si>
  <si>
    <t>tanto</t>
  </si>
  <si>
    <t>tive</t>
  </si>
  <si>
    <t>imaginar</t>
  </si>
  <si>
    <t>OBJ_7</t>
  </si>
  <si>
    <t>sem</t>
  </si>
  <si>
    <t># text = \"Reconheço a dor que causaram aos outros, para a qual não pode haver nenhum perdão, \"mas para a dor que eles me causaram, há perdão\".</t>
  </si>
  <si>
    <t>Reconheço</t>
  </si>
  <si>
    <t>dor</t>
  </si>
  <si>
    <t>causaram</t>
  </si>
  <si>
    <t>nenhum</t>
  </si>
  <si>
    <t>perdão</t>
  </si>
  <si>
    <t># text = \"Por isso, enquanto reconheço que teria sido melhor para o mundo \"que Dylan nunca tivesse nascido, \"concluí que isso não teria sido o melhor para mim.\" Pensei como era surpreendente que todas estas famílias tivessem todos estes filhos com todos estes problemas, problemas que eles, na sua maior parte, teriam feito tudo para evitar, e que todos tenham encontrado tanto significado naquela experiência de paternidade.</t>
  </si>
  <si>
    <t>reconheço</t>
  </si>
  <si>
    <t>nascido</t>
  </si>
  <si>
    <t>concluí</t>
  </si>
  <si>
    <t>mim.</t>
  </si>
  <si>
    <t>Pensei</t>
  </si>
  <si>
    <t>surpreendente</t>
  </si>
  <si>
    <t>tivessem</t>
  </si>
  <si>
    <t>estes</t>
  </si>
  <si>
    <t>maior</t>
  </si>
  <si>
    <t>teriam</t>
  </si>
  <si>
    <t>evitar</t>
  </si>
  <si>
    <t>OBJ_10</t>
  </si>
  <si>
    <t>SBJ_10</t>
  </si>
  <si>
    <t>tenham</t>
  </si>
  <si>
    <t>encontrado</t>
  </si>
  <si>
    <t>significado</t>
  </si>
  <si>
    <t># text = Depois pensei que todos nós, que temos filhos, amamos os filhos que temos, com os seus defeitos.</t>
  </si>
  <si>
    <t>amamos</t>
  </si>
  <si>
    <t>defeitos</t>
  </si>
  <si>
    <t># text = Se algum anjo glorioso de repente descesse pelo tecto da minha sala de estar e se oferecesse para levar as crianças que tenho e dar-me outras, crianças melhores — mais bem-educadas, mais engraçadas, mais agradáveis, mais inteligentes — eu iria agarrar-me às crianças que tenho e rezar para impedir tal espectáculo atroz.</t>
  </si>
  <si>
    <t>anjo</t>
  </si>
  <si>
    <t>glorioso</t>
  </si>
  <si>
    <t>descesse</t>
  </si>
  <si>
    <t>tecto</t>
  </si>
  <si>
    <t>sala</t>
  </si>
  <si>
    <t>oferecesse</t>
  </si>
  <si>
    <t>melhores</t>
  </si>
  <si>
    <t>bem-educadas</t>
  </si>
  <si>
    <t>engraçadas</t>
  </si>
  <si>
    <t>agradáveis</t>
  </si>
  <si>
    <t>inteligentes</t>
  </si>
  <si>
    <t>agarrar</t>
  </si>
  <si>
    <t>rezar</t>
  </si>
  <si>
    <t>espectáculo</t>
  </si>
  <si>
    <t>atroz</t>
  </si>
  <si>
    <t># text = No fundo, sinto que, da mesma maneira que testamos um pijama à prova de fogo numa fogueira para garantir que não pegará fogo quando o nosso filho se aproximar muito do fogão aceso, também estas histórias de famílias a gerir estas diferenças extremas se reflectem na experiência universal da parentalidade, que é sempre — às vezes olhamos para os nossos filhos e pensamos: \"De onde vieste?\" Acontece que, enquanto cada uma dessas diferenças individuais for isolada — há apenas umas quantas famílias a lidar com a esquizofrenia, umas quantas famílias de crianças que são transsexuais, umas quantas famílias de prodígios, — que enfrentam desafios semelhantes em muitos aspectos — há algumas famílias em cada uma destas categorias.</t>
  </si>
  <si>
    <t>sinto</t>
  </si>
  <si>
    <t>mesma</t>
  </si>
  <si>
    <t>testamos</t>
  </si>
  <si>
    <t>pijama</t>
  </si>
  <si>
    <t>fogo</t>
  </si>
  <si>
    <t>fogueira</t>
  </si>
  <si>
    <t>pegará</t>
  </si>
  <si>
    <t>aproximar</t>
  </si>
  <si>
    <t>fogão</t>
  </si>
  <si>
    <t>aceso</t>
  </si>
  <si>
    <t>histórias</t>
  </si>
  <si>
    <t>gerir</t>
  </si>
  <si>
    <t>extremas</t>
  </si>
  <si>
    <t>reflectem</t>
  </si>
  <si>
    <t>universal</t>
  </si>
  <si>
    <t>parentalidade</t>
  </si>
  <si>
    <t>olhamos</t>
  </si>
  <si>
    <t>other_14</t>
  </si>
  <si>
    <t>pensamos</t>
  </si>
  <si>
    <t>vieste</t>
  </si>
  <si>
    <t>Acontece</t>
  </si>
  <si>
    <t>individuais</t>
  </si>
  <si>
    <t>for</t>
  </si>
  <si>
    <t>isolada</t>
  </si>
  <si>
    <t>umas</t>
  </si>
  <si>
    <t>quantas</t>
  </si>
  <si>
    <t>esquizofrenia</t>
  </si>
  <si>
    <t>transsexuais</t>
  </si>
  <si>
    <t>prodígios</t>
  </si>
  <si>
    <t>enfrentam</t>
  </si>
  <si>
    <t>desafios</t>
  </si>
  <si>
    <t>semelhantes</t>
  </si>
  <si>
    <t>aspectos</t>
  </si>
  <si>
    <t>categorias</t>
  </si>
  <si>
    <t># text = Mas se começarmos a pensar que a experiência de lidar com a diferença dentro da própria família é aquilo com que outras pessoas estão a lidar, então descobrem que é um fenómeno quase universal.</t>
  </si>
  <si>
    <t>começarmos</t>
  </si>
  <si>
    <t>diferença</t>
  </si>
  <si>
    <t>própria</t>
  </si>
  <si>
    <t>fenómeno</t>
  </si>
  <si>
    <t># text = Ironicamente, verifica-se que são as nossas diferenças e como lidamos com a diferença que nos unem.</t>
  </si>
  <si>
    <t>Ironicamente</t>
  </si>
  <si>
    <t>verifica</t>
  </si>
  <si>
    <t>lidamos</t>
  </si>
  <si>
    <t>unem</t>
  </si>
  <si>
    <t># text = Eu decidi ter filhos enquanto estava a trabalhar neste projecto.</t>
  </si>
  <si>
    <t>decidi</t>
  </si>
  <si>
    <t># text = Muitas pessoas ficavam surpreendidas e perguntavam:</t>
  </si>
  <si>
    <t>ficavam</t>
  </si>
  <si>
    <t>surpreendidas</t>
  </si>
  <si>
    <t>perguntavam</t>
  </si>
  <si>
    <t># text = \"Mas como é que podes decidir ter filhos \"enquanto estudas tudo o que pode dar errado?\"</t>
  </si>
  <si>
    <t>podes</t>
  </si>
  <si>
    <t>estudas</t>
  </si>
  <si>
    <t>errado</t>
  </si>
  <si>
    <t># text = E eu respondi: \"Eu não estou a estudar tudo o que pode dar errado.</t>
  </si>
  <si>
    <t>respondi</t>
  </si>
  <si>
    <t>estudar</t>
  </si>
  <si>
    <t># text = "O que eu estou a estudar é quanto amor pode existir, "mesmo quando tudo parece estar a correr mal." Pensei muito na mãe de uma criança deficiente que eu tinha visto, uma criança com uma deficiência grave, que morreu por negligência médica.</t>
  </si>
  <si>
    <t>quanto</t>
  </si>
  <si>
    <t>correr</t>
  </si>
  <si>
    <t>mal</t>
  </si>
  <si>
    <t>deficiente</t>
  </si>
  <si>
    <t>visto</t>
  </si>
  <si>
    <t>deficiência</t>
  </si>
  <si>
    <t>grave</t>
  </si>
  <si>
    <t>morreu</t>
  </si>
  <si>
    <t>negligência</t>
  </si>
  <si>
    <t>médica</t>
  </si>
  <si>
    <t># text = Quando as suas cinzas foram enterradas, a mãe disse:</t>
  </si>
  <si>
    <t>suas</t>
  </si>
  <si>
    <t>cinzas</t>
  </si>
  <si>
    <t>enterradas</t>
  </si>
  <si>
    <t># text = "Rezo aqui por perdão por ter sido roubada duas vezes: "roubaram-me a criança que queria e depois roubaram-me o filho que amava."</t>
  </si>
  <si>
    <t>Rezo</t>
  </si>
  <si>
    <t>roubada</t>
  </si>
  <si>
    <t>roubaram</t>
  </si>
  <si>
    <t>depois</t>
  </si>
  <si>
    <t>amava</t>
  </si>
  <si>
    <t># text = E eu percebi, então, que era possível qualquer pessoa amar qualquer criança se tivesse verdadeira vontade de fazê-lo.</t>
  </si>
  <si>
    <t>percebi</t>
  </si>
  <si>
    <t>possível</t>
  </si>
  <si>
    <t>vontade</t>
  </si>
  <si>
    <t>fazê</t>
  </si>
  <si>
    <t># text = O meu marido é o pai biológico de dois filhos com algumas amigas lésbicas em Minneapolis.</t>
  </si>
  <si>
    <t>biológico</t>
  </si>
  <si>
    <t>amigas</t>
  </si>
  <si>
    <t>lésbicas</t>
  </si>
  <si>
    <t>Minneapolis</t>
  </si>
  <si>
    <t># text = Eu tinha um amiga chegada da faculdade que tinha passado por um divórcio e queria ter filhos.</t>
  </si>
  <si>
    <t>chegada</t>
  </si>
  <si>
    <t>divórcio</t>
  </si>
  <si>
    <t># text = E assim, ela e eu temos uma filha, e mãe e filha vivem no Texas.</t>
  </si>
  <si>
    <t>vivem</t>
  </si>
  <si>
    <t>Texas</t>
  </si>
  <si>
    <t># text = E o meu marido e eu temos um filho que mora connosco o tempo todo, do qual eu sou o pai biológico, e a nossa substituta para a gravidez foi a Laura, a mãe lésbica de Oliver e Lucy em Minneapolis.</t>
  </si>
  <si>
    <t>mora</t>
  </si>
  <si>
    <t>con</t>
  </si>
  <si>
    <t>nosco</t>
  </si>
  <si>
    <t>substituta</t>
  </si>
  <si>
    <t>Laura</t>
  </si>
  <si>
    <t>lésbica</t>
  </si>
  <si>
    <t>Oliver</t>
  </si>
  <si>
    <t>Lucy</t>
  </si>
  <si>
    <t># text = Assim, abreviando, são cinco pais de quatro filhos de três Estados.</t>
  </si>
  <si>
    <t>abreviando</t>
  </si>
  <si>
    <t>cinco</t>
  </si>
  <si>
    <t>Estados</t>
  </si>
  <si>
    <t># text = Há pessoas que pensam que a existência da minha família de certo modo prejudica, enfraquece ou danifica a sua família.</t>
  </si>
  <si>
    <t>pensam</t>
  </si>
  <si>
    <t>certo</t>
  </si>
  <si>
    <t>prejudica</t>
  </si>
  <si>
    <t>enfraquece</t>
  </si>
  <si>
    <t>danifica</t>
  </si>
  <si>
    <t># text = E há pessoas que pensam que famílias como a minha não deviam ser autorizadas a existir.</t>
  </si>
  <si>
    <t>deviam</t>
  </si>
  <si>
    <t>autorizadas</t>
  </si>
  <si>
    <t># text = Eu não aceito modelos subtractivos de amor, apenas modelos aditivos.</t>
  </si>
  <si>
    <t>aceito</t>
  </si>
  <si>
    <t>modelos</t>
  </si>
  <si>
    <t>subtractivos</t>
  </si>
  <si>
    <t>aditivos</t>
  </si>
  <si>
    <t># text = E acredito que tal como precisamos de diversidade de espécies para garantir que o planeta possa continuar a existir, também precisamos desta diversidade de afecto e diversidade de famílias para reforçar a ecosfera da bondade.</t>
  </si>
  <si>
    <t>precisamos</t>
  </si>
  <si>
    <t>diversidade</t>
  </si>
  <si>
    <t>espécies</t>
  </si>
  <si>
    <t>planeta</t>
  </si>
  <si>
    <t>possa</t>
  </si>
  <si>
    <t>continuar</t>
  </si>
  <si>
    <t>afecto</t>
  </si>
  <si>
    <t>reforçar</t>
  </si>
  <si>
    <t>ecosfera</t>
  </si>
  <si>
    <t>bondade</t>
  </si>
  <si>
    <t># text = No dia a seguir ao nascimento do nosso filho, a pediatra entrou no quarto de hospital e disse que estava preocupada.</t>
  </si>
  <si>
    <t>seguir</t>
  </si>
  <si>
    <t>nascimento</t>
  </si>
  <si>
    <t>pediatra</t>
  </si>
  <si>
    <t>entrou</t>
  </si>
  <si>
    <t>quarto</t>
  </si>
  <si>
    <t>preocupada</t>
  </si>
  <si>
    <t># text = Ele não estava a esticar as pernas adequadamente.</t>
  </si>
  <si>
    <t>Ele</t>
  </si>
  <si>
    <t>esticar</t>
  </si>
  <si>
    <t>pernas</t>
  </si>
  <si>
    <t>adequadamente</t>
  </si>
  <si>
    <t># text = Ela disse que podia significar que tinha danos cerebrais.</t>
  </si>
  <si>
    <t>podia</t>
  </si>
  <si>
    <t>significar</t>
  </si>
  <si>
    <t>danos</t>
  </si>
  <si>
    <t>cerebrais</t>
  </si>
  <si>
    <t># text = Na medida em que ele as estendia, fazia-o de forma assimétrica, o que a levou a pensar que poderia haver em acção um tumor de algum tipo.</t>
  </si>
  <si>
    <t>medida</t>
  </si>
  <si>
    <t>estendia</t>
  </si>
  <si>
    <t>fazia</t>
  </si>
  <si>
    <t>assimétrica</t>
  </si>
  <si>
    <t>acção</t>
  </si>
  <si>
    <t>tumor</t>
  </si>
  <si>
    <t># text = E ele tinha uma cabeça muito grande, que ela pensou poder indicar hidrocefalia.</t>
  </si>
  <si>
    <t>indicar</t>
  </si>
  <si>
    <t>hidrocefalia</t>
  </si>
  <si>
    <t># text = Enquanto ela me dizia estas coisas, senti o centro do meu ser a derramar-se no chão.</t>
  </si>
  <si>
    <t>senti</t>
  </si>
  <si>
    <t>derramar</t>
  </si>
  <si>
    <t># text = Pensei que tinha trabalhado durante tantos anos num livro sobre o significado que as pessoas tinham encontrado na experiência de ser pais de crianças que são deficientes, e eu não queria juntar-me a esse grupo.</t>
  </si>
  <si>
    <t>trabalhado</t>
  </si>
  <si>
    <t>tantos</t>
  </si>
  <si>
    <t>livro</t>
  </si>
  <si>
    <t>deficientes</t>
  </si>
  <si>
    <t>juntar</t>
  </si>
  <si>
    <t># text = Porque o que estava a encarar era uma ideia de doença.</t>
  </si>
  <si>
    <t>Porque</t>
  </si>
  <si>
    <t>encarar</t>
  </si>
  <si>
    <t># text = E como todos os pais desde os primórdios dos tempos, queria proteger o meu filho da doença.</t>
  </si>
  <si>
    <t>desde</t>
  </si>
  <si>
    <t>primórdios</t>
  </si>
  <si>
    <t>tempos</t>
  </si>
  <si>
    <t>proteger</t>
  </si>
  <si>
    <t># text = E também me queria proteger da doença.</t>
  </si>
  <si>
    <t># text = Mesmo assim, devido ao trabalho que tinha realizado, eu sabia que se ele tivesse qualquer das coisas que estávamos prestes a testar, essas seriam, em última análise, a sua identidade, e, se fossem a sua identidade, tornam-se-iam na minha identidade, e que essa doença iria tomar uma forma muito diferente enquanto se desenrolasse.</t>
  </si>
  <si>
    <t>devido</t>
  </si>
  <si>
    <t>trabalho</t>
  </si>
  <si>
    <t>realizado</t>
  </si>
  <si>
    <t>testar</t>
  </si>
  <si>
    <t>seriam</t>
  </si>
  <si>
    <t>última</t>
  </si>
  <si>
    <t>análise</t>
  </si>
  <si>
    <t>fossem</t>
  </si>
  <si>
    <t>tornam</t>
  </si>
  <si>
    <t>se-</t>
  </si>
  <si>
    <t>iam</t>
  </si>
  <si>
    <t>tomar</t>
  </si>
  <si>
    <t>desenrolasse</t>
  </si>
  <si>
    <t># text = Sujeitámo-lo a uma ressonância magnética, depois a uma TAC, agarrámos no bebé recém-nascido e fizeram-lhe uma colheita de sangue.</t>
  </si>
  <si>
    <t>Sujeitámo</t>
  </si>
  <si>
    <t>ressonância</t>
  </si>
  <si>
    <t>magnética</t>
  </si>
  <si>
    <t>TAC</t>
  </si>
  <si>
    <t>agarrámos</t>
  </si>
  <si>
    <t>bebé</t>
  </si>
  <si>
    <t>recém-nascido</t>
  </si>
  <si>
    <t>fizeram</t>
  </si>
  <si>
    <t>colheita</t>
  </si>
  <si>
    <t># text = Sentíamo-nos impotentes.</t>
  </si>
  <si>
    <t>Sentíamo</t>
  </si>
  <si>
    <t>impotentes</t>
  </si>
  <si>
    <t># text = Ao fim de cinco horas de espera, disseram-nos que o cérebro era totalmente normal e que ele estava já estava a estender as pernas correctamente.</t>
  </si>
  <si>
    <t>fim</t>
  </si>
  <si>
    <t>espera</t>
  </si>
  <si>
    <t>totalmente</t>
  </si>
  <si>
    <t>já</t>
  </si>
  <si>
    <t>estender</t>
  </si>
  <si>
    <t>correctamente</t>
  </si>
  <si>
    <t># text = Quando eu perguntei à pediatra o que tinha acontecido, ela disse que provavelmente, de manhã, ele tinha tido uma cãibra.</t>
  </si>
  <si>
    <t>manhã</t>
  </si>
  <si>
    <t>cãibra</t>
  </si>
  <si>
    <t># text = Mas eu pensei... em como a minha mãe estava certa.</t>
  </si>
  <si>
    <t># text = Pensei que o amor que temos pelos nossos filhos é diferente de qualquer outro sentimento do mundo, e, até termos filhos, não sabemos como é esse sentimento.</t>
  </si>
  <si>
    <t># text = Acho que as crianças me apanharam no momento em que associei a paternidade à perda.</t>
  </si>
  <si>
    <t>Acho</t>
  </si>
  <si>
    <t>apanharam</t>
  </si>
  <si>
    <t>associei</t>
  </si>
  <si>
    <t># text = Mas não tenho a certeza de que me teria apercebido disso se não tivesse estado tão envolvido neste meu projecto de investigação.</t>
  </si>
  <si>
    <t>certeza</t>
  </si>
  <si>
    <t>apercebido</t>
  </si>
  <si>
    <t>envolvido</t>
  </si>
  <si>
    <t>investigação</t>
  </si>
  <si>
    <t># text = Eu tinha encontrado tanto amor estranho e caí muito naturalmente nos seus encantadores padrões.</t>
  </si>
  <si>
    <t>estranho</t>
  </si>
  <si>
    <t>caí</t>
  </si>
  <si>
    <t>naturalmente</t>
  </si>
  <si>
    <t>encantadores</t>
  </si>
  <si>
    <t>padrões</t>
  </si>
  <si>
    <t># text = E vi como o esplendor pode iluminar até mesmo as vulnerabilidades mais abjectas.</t>
  </si>
  <si>
    <t>esplendor</t>
  </si>
  <si>
    <t>iluminar</t>
  </si>
  <si>
    <t>vulnerabilidades</t>
  </si>
  <si>
    <t>abjectas</t>
  </si>
  <si>
    <t># text = Durante estes 10 anos, eu tinha testemunhado e aprendido a assustadora alegria da responsabilidade insuportável, e tinha visto como ela vence tudo o resto.</t>
  </si>
  <si>
    <t>Durante</t>
  </si>
  <si>
    <t>testemunhado</t>
  </si>
  <si>
    <t>aprendido</t>
  </si>
  <si>
    <t>assustadora</t>
  </si>
  <si>
    <t>alegria</t>
  </si>
  <si>
    <t>responsabilidade</t>
  </si>
  <si>
    <t>insuportável</t>
  </si>
  <si>
    <t>vence</t>
  </si>
  <si>
    <t>resto</t>
  </si>
  <si>
    <t># text = Embora, por vezes, eu tenha pensado que os pais que eu estava a entrevistar eram tolos, escravizando-se para uma jornada de vida com os seus filhos ingratos e tentando criar identidade a partir da miséria, percebi naquele dia que a minha pesquisa me tinha construído uma prancha e que eu estava pronto para me juntar a eles no seu navio.</t>
  </si>
  <si>
    <t>pensado</t>
  </si>
  <si>
    <t>entrevistar</t>
  </si>
  <si>
    <t>tolos</t>
  </si>
  <si>
    <t>escravizando</t>
  </si>
  <si>
    <t>jornada</t>
  </si>
  <si>
    <t>ingratos</t>
  </si>
  <si>
    <t>tentando</t>
  </si>
  <si>
    <t>criar</t>
  </si>
  <si>
    <t>partir</t>
  </si>
  <si>
    <t>miséria</t>
  </si>
  <si>
    <t>aquele</t>
  </si>
  <si>
    <t>pesquisa</t>
  </si>
  <si>
    <t>construído</t>
  </si>
  <si>
    <t>prancha</t>
  </si>
  <si>
    <t>pronto</t>
  </si>
  <si>
    <t>navio</t>
  </si>
  <si>
    <t># text = Obrigado.</t>
  </si>
  <si>
    <t>Obrigado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</si>
</sst>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78"/>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16</v>
      </c>
      <c r="C3" s="6" t="s">
        <v>12</v>
      </c>
      <c r="D3" s="7" t="s">
        <v>17</v>
      </c>
      <c r="E3" s="8" t="s">
        <v>18</v>
      </c>
      <c r="F3" s="6" t="s">
        <v>19</v>
      </c>
      <c r="G3" s="9">
        <f>IF(A3=1,"_",IF(C3="_","???",C3))</f>
        <v/>
      </c>
      <c r="H3" s="10" t="s">
        <v>12</v>
      </c>
      <c r="I3" s="11" t="s">
        <v>12</v>
      </c>
      <c r="J3" s="12"/>
    </row>
    <row r="4" spans="1:10" ht="60" customHeight="1">
      <c r="A4" s="6" t="s">
        <v>20</v>
      </c>
      <c r="B4" s="6" t="s">
        <v>11</v>
      </c>
      <c r="C4" s="6" t="s">
        <v>12</v>
      </c>
      <c r="D4" s="7" t="s">
        <v>21</v>
      </c>
      <c r="E4" s="8" t="s">
        <v>22</v>
      </c>
      <c r="F4" s="6" t="s">
        <v>23</v>
      </c>
      <c r="G4" s="9">
        <f>IF(A4=1,"_",IF(C4="_","???",C4))</f>
        <v/>
      </c>
      <c r="H4" s="10" t="s">
        <v>12</v>
      </c>
      <c r="I4" s="11" t="s">
        <v>12</v>
      </c>
      <c r="J4" s="12"/>
    </row>
    <row r="5" spans="1:10" ht="60" customHeight="1">
      <c r="A5" s="6" t="s">
        <v>24</v>
      </c>
      <c r="B5" s="6" t="s">
        <v>25</v>
      </c>
      <c r="C5" s="6" t="s">
        <v>12</v>
      </c>
      <c r="D5" s="7" t="s">
        <v>26</v>
      </c>
      <c r="E5" s="8" t="s">
        <v>27</v>
      </c>
      <c r="F5" s="6" t="s">
        <v>28</v>
      </c>
      <c r="G5" s="9">
        <f>IF(A5=1,"_",IF(C5="_","???",C5))</f>
        <v/>
      </c>
      <c r="H5" s="10" t="s">
        <v>12</v>
      </c>
      <c r="I5" s="11" t="s">
        <v>12</v>
      </c>
      <c r="J5" s="12"/>
    </row>
    <row r="6" spans="1:10" ht="60" customHeight="1">
      <c r="A6" s="6" t="s">
        <v>29</v>
      </c>
      <c r="B6" s="6" t="s">
        <v>16</v>
      </c>
      <c r="C6" s="6" t="s">
        <v>30</v>
      </c>
      <c r="D6" s="7" t="s">
        <v>31</v>
      </c>
      <c r="E6" s="8" t="s">
        <v>32</v>
      </c>
      <c r="F6" s="6" t="s">
        <v>33</v>
      </c>
      <c r="G6" s="9">
        <f>IF(A6=1,"_",IF(C6="_","???",C6))</f>
        <v/>
      </c>
      <c r="H6" s="10" t="s">
        <v>12</v>
      </c>
      <c r="I6" s="11" t="s">
        <v>12</v>
      </c>
      <c r="J6" s="12"/>
    </row>
    <row r="7" spans="1:10" ht="60" customHeight="1">
      <c r="A7" s="6" t="s">
        <v>25</v>
      </c>
      <c r="B7" s="6" t="s">
        <v>25</v>
      </c>
      <c r="C7" s="6" t="s">
        <v>12</v>
      </c>
      <c r="D7" s="7" t="s">
        <v>34</v>
      </c>
      <c r="E7" s="8" t="s">
        <v>35</v>
      </c>
      <c r="F7" s="6" t="s">
        <v>36</v>
      </c>
      <c r="G7" s="9">
        <f>IF(A7=1,"_",IF(C7="_","???",C7))</f>
        <v/>
      </c>
      <c r="H7" s="10" t="s">
        <v>12</v>
      </c>
      <c r="I7" s="11" t="s">
        <v>12</v>
      </c>
      <c r="J7" s="12"/>
    </row>
    <row r="8" spans="1:10" ht="60" customHeight="1">
      <c r="A8" s="6" t="s">
        <v>37</v>
      </c>
      <c r="B8" s="6" t="s">
        <v>38</v>
      </c>
      <c r="C8" s="6" t="s">
        <v>12</v>
      </c>
      <c r="D8" s="7" t="s">
        <v>39</v>
      </c>
      <c r="E8" s="8" t="s">
        <v>40</v>
      </c>
      <c r="F8" s="6" t="s">
        <v>41</v>
      </c>
      <c r="G8" s="9">
        <f>IF(A8=1,"_",IF(C8="_","???",C8))</f>
        <v/>
      </c>
      <c r="H8" s="10" t="s">
        <v>12</v>
      </c>
      <c r="I8" s="11" t="s">
        <v>12</v>
      </c>
      <c r="J8" s="12"/>
    </row>
    <row r="9" spans="1:10" ht="60" customHeight="1">
      <c r="A9" s="6" t="s">
        <v>42</v>
      </c>
      <c r="B9" s="6" t="s">
        <v>42</v>
      </c>
      <c r="C9" s="6" t="s">
        <v>12</v>
      </c>
      <c r="D9" s="7" t="s">
        <v>43</v>
      </c>
      <c r="E9" s="8" t="s">
        <v>44</v>
      </c>
      <c r="F9" s="6" t="s">
        <v>45</v>
      </c>
      <c r="G9" s="9">
        <f>IF(A9=1,"_",IF(C9="_","???",C9))</f>
        <v/>
      </c>
      <c r="H9" s="10" t="s">
        <v>12</v>
      </c>
      <c r="I9" s="11" t="s">
        <v>12</v>
      </c>
      <c r="J9" s="12"/>
    </row>
    <row r="10" spans="1:10" ht="60" customHeight="1">
      <c r="A10" s="6" t="s">
        <v>11</v>
      </c>
      <c r="B10" s="6" t="s">
        <v>29</v>
      </c>
      <c r="C10" s="6" t="s">
        <v>12</v>
      </c>
      <c r="D10" s="7" t="s">
        <v>46</v>
      </c>
      <c r="E10" s="8" t="s">
        <v>47</v>
      </c>
      <c r="F10" s="6" t="s">
        <v>48</v>
      </c>
      <c r="G10" s="9">
        <f>IF(A10=1,"_",IF(C10="_","???",C10))</f>
        <v/>
      </c>
      <c r="H10" s="10" t="s">
        <v>12</v>
      </c>
      <c r="I10" s="11" t="s">
        <v>12</v>
      </c>
      <c r="J10" s="12"/>
    </row>
    <row r="11" spans="1:10" ht="60" customHeight="1">
      <c r="A11" s="6" t="s">
        <v>49</v>
      </c>
      <c r="B11" s="6" t="s">
        <v>24</v>
      </c>
      <c r="C11" s="6" t="s">
        <v>12</v>
      </c>
      <c r="D11" s="7" t="s">
        <v>50</v>
      </c>
      <c r="E11" s="8" t="s">
        <v>51</v>
      </c>
      <c r="F11" s="6" t="s">
        <v>52</v>
      </c>
      <c r="G11" s="9">
        <f>IF(A11=1,"_",IF(C11="_","???",C11))</f>
        <v/>
      </c>
      <c r="H11" s="10" t="s">
        <v>12</v>
      </c>
      <c r="I11" s="11" t="s">
        <v>12</v>
      </c>
      <c r="J11" s="12"/>
    </row>
    <row r="12" spans="1:10" ht="60" customHeight="1">
      <c r="A12" s="6" t="s">
        <v>53</v>
      </c>
      <c r="B12" s="6" t="s">
        <v>20</v>
      </c>
      <c r="C12" s="6" t="s">
        <v>12</v>
      </c>
      <c r="D12" s="7" t="s">
        <v>54</v>
      </c>
      <c r="E12" s="8" t="s">
        <v>55</v>
      </c>
      <c r="F12" s="6" t="s">
        <v>56</v>
      </c>
      <c r="G12" s="9">
        <f>IF(A12=1,"_",IF(C12="_","???",C12))</f>
        <v/>
      </c>
      <c r="H12" s="10" t="s">
        <v>12</v>
      </c>
      <c r="I12" s="11" t="s">
        <v>12</v>
      </c>
      <c r="J12" s="12"/>
    </row>
    <row r="13" spans="1:10" ht="60" customHeight="1">
      <c r="A13" s="6" t="s">
        <v>57</v>
      </c>
      <c r="B13" s="6" t="s">
        <v>16</v>
      </c>
      <c r="C13" s="6" t="s">
        <v>12</v>
      </c>
      <c r="D13" s="7" t="s">
        <v>58</v>
      </c>
      <c r="E13" s="8" t="s">
        <v>59</v>
      </c>
      <c r="F13" s="6" t="s">
        <v>60</v>
      </c>
      <c r="G13" s="9">
        <f>IF(A13=1,"_",IF(C13="_","???",C13))</f>
        <v/>
      </c>
      <c r="H13" s="10" t="s">
        <v>12</v>
      </c>
      <c r="I13" s="11" t="s">
        <v>12</v>
      </c>
      <c r="J13" s="12"/>
    </row>
    <row r="14" spans="1:10" ht="60" customHeight="1">
      <c r="A14" s="6" t="s">
        <v>61</v>
      </c>
      <c r="B14" s="6" t="s">
        <v>38</v>
      </c>
      <c r="C14" s="6" t="s">
        <v>12</v>
      </c>
      <c r="D14" s="7" t="s">
        <v>62</v>
      </c>
      <c r="E14" s="8" t="s">
        <v>63</v>
      </c>
      <c r="F14" s="6" t="s">
        <v>64</v>
      </c>
      <c r="G14" s="9">
        <f>IF(A14=1,"_",IF(C14="_","???",C14))</f>
        <v/>
      </c>
      <c r="H14" s="10" t="s">
        <v>12</v>
      </c>
      <c r="I14" s="11" t="s">
        <v>12</v>
      </c>
      <c r="J14" s="12"/>
    </row>
    <row r="15" spans="1:10" ht="60" customHeight="1">
      <c r="A15" s="6" t="s">
        <v>65</v>
      </c>
      <c r="B15" s="6" t="s">
        <v>37</v>
      </c>
      <c r="C15" s="6" t="s">
        <v>30</v>
      </c>
      <c r="D15" s="7" t="s">
        <v>66</v>
      </c>
      <c r="E15" s="8" t="s">
        <v>67</v>
      </c>
      <c r="F15" s="6" t="s">
        <v>68</v>
      </c>
      <c r="G15" s="9">
        <f>IF(A15=1,"_",IF(C15="_","???",C15))</f>
        <v/>
      </c>
      <c r="H15" s="10" t="s">
        <v>12</v>
      </c>
      <c r="I15" s="11" t="s">
        <v>12</v>
      </c>
      <c r="J15" s="12"/>
    </row>
    <row r="16" spans="1:10" ht="60" customHeight="1">
      <c r="A16" s="6" t="s">
        <v>69</v>
      </c>
      <c r="B16" s="6" t="s">
        <v>70</v>
      </c>
      <c r="C16" s="6" t="s">
        <v>12</v>
      </c>
      <c r="D16" s="7" t="s">
        <v>71</v>
      </c>
      <c r="E16" s="8" t="s">
        <v>72</v>
      </c>
      <c r="F16" s="6" t="s">
        <v>73</v>
      </c>
      <c r="G16" s="9">
        <f>IF(A16=1,"_",IF(C16="_","???",C16))</f>
        <v/>
      </c>
      <c r="H16" s="10" t="s">
        <v>12</v>
      </c>
      <c r="I16" s="11" t="s">
        <v>12</v>
      </c>
      <c r="J16" s="12"/>
    </row>
    <row r="17" spans="1:10" ht="60" customHeight="1">
      <c r="A17" s="6" t="s">
        <v>74</v>
      </c>
      <c r="B17" s="6" t="s">
        <v>24</v>
      </c>
      <c r="C17" s="6" t="s">
        <v>12</v>
      </c>
      <c r="D17" s="7" t="s">
        <v>75</v>
      </c>
      <c r="E17" s="8" t="s">
        <v>76</v>
      </c>
      <c r="F17" s="6" t="s">
        <v>77</v>
      </c>
      <c r="G17" s="9">
        <f>IF(A17=1,"_",IF(C17="_","???",C17))</f>
        <v/>
      </c>
      <c r="H17" s="10" t="s">
        <v>12</v>
      </c>
      <c r="I17" s="11" t="s">
        <v>12</v>
      </c>
      <c r="J17" s="12"/>
    </row>
    <row r="18" spans="1:10" ht="60" customHeight="1">
      <c r="A18" s="6" t="s">
        <v>78</v>
      </c>
      <c r="B18" s="6" t="s">
        <v>61</v>
      </c>
      <c r="C18" s="6" t="s">
        <v>12</v>
      </c>
      <c r="D18" s="7" t="s">
        <v>79</v>
      </c>
      <c r="E18" s="8" t="s">
        <v>80</v>
      </c>
      <c r="F18" s="6" t="s">
        <v>81</v>
      </c>
      <c r="G18" s="9">
        <f>IF(A18=1,"_",IF(C18="_","???",C18))</f>
        <v/>
      </c>
      <c r="H18" s="10" t="s">
        <v>12</v>
      </c>
      <c r="I18" s="11" t="s">
        <v>12</v>
      </c>
      <c r="J18" s="12"/>
    </row>
    <row r="19" spans="1:10" ht="60" customHeight="1">
      <c r="A19" s="6" t="s">
        <v>82</v>
      </c>
      <c r="B19" s="6" t="s">
        <v>20</v>
      </c>
      <c r="C19" s="6" t="s">
        <v>12</v>
      </c>
      <c r="D19" s="7" t="s">
        <v>83</v>
      </c>
      <c r="E19" s="8" t="s">
        <v>84</v>
      </c>
      <c r="F19" s="6" t="s">
        <v>85</v>
      </c>
      <c r="G19" s="9">
        <f>IF(A19=1,"_",IF(C19="_","???",C19))</f>
        <v/>
      </c>
      <c r="H19" s="10" t="s">
        <v>12</v>
      </c>
      <c r="I19" s="11" t="s">
        <v>12</v>
      </c>
      <c r="J19" s="12"/>
    </row>
    <row r="20" spans="1:10" ht="60" customHeight="1">
      <c r="A20" s="6" t="s">
        <v>86</v>
      </c>
      <c r="B20" s="6" t="s">
        <v>20</v>
      </c>
      <c r="C20" s="6" t="s">
        <v>12</v>
      </c>
      <c r="D20" s="7" t="s">
        <v>87</v>
      </c>
      <c r="E20" s="8" t="s">
        <v>88</v>
      </c>
      <c r="F20" s="6" t="s">
        <v>89</v>
      </c>
      <c r="G20" s="9">
        <f>IF(A20=1,"_",IF(C20="_","???",C20))</f>
        <v/>
      </c>
      <c r="H20" s="10" t="s">
        <v>12</v>
      </c>
      <c r="I20" s="11" t="s">
        <v>12</v>
      </c>
      <c r="J20" s="12"/>
    </row>
    <row r="21" spans="1:10" ht="60" customHeight="1">
      <c r="A21" s="6" t="s">
        <v>90</v>
      </c>
      <c r="B21" s="6" t="s">
        <v>61</v>
      </c>
      <c r="C21" s="6" t="s">
        <v>12</v>
      </c>
      <c r="D21" s="7" t="s">
        <v>91</v>
      </c>
      <c r="E21" s="8" t="s">
        <v>92</v>
      </c>
      <c r="F21" s="6" t="s">
        <v>93</v>
      </c>
      <c r="G21" s="9">
        <f>IF(A21=1,"_",IF(C21="_","???",C21))</f>
        <v/>
      </c>
      <c r="H21" s="10" t="s">
        <v>12</v>
      </c>
      <c r="I21" s="11" t="s">
        <v>12</v>
      </c>
      <c r="J21" s="12"/>
    </row>
    <row r="22" spans="1:10" ht="60" customHeight="1">
      <c r="A22" s="6" t="s">
        <v>94</v>
      </c>
      <c r="B22" s="6" t="s">
        <v>10</v>
      </c>
      <c r="C22" s="6" t="s">
        <v>12</v>
      </c>
      <c r="D22" s="7" t="s">
        <v>95</v>
      </c>
      <c r="E22" s="8" t="s">
        <v>96</v>
      </c>
      <c r="F22" s="6" t="s">
        <v>97</v>
      </c>
      <c r="G22" s="9">
        <f>IF(A22=1,"_",IF(C22="_","???",C22))</f>
        <v/>
      </c>
      <c r="H22" s="10" t="s">
        <v>12</v>
      </c>
      <c r="I22" s="11" t="s">
        <v>12</v>
      </c>
      <c r="J22" s="12"/>
    </row>
    <row r="23" spans="1:10" ht="60" customHeight="1">
      <c r="A23" s="6" t="s">
        <v>98</v>
      </c>
      <c r="B23" s="6" t="s">
        <v>16</v>
      </c>
      <c r="C23" s="6" t="s">
        <v>12</v>
      </c>
      <c r="D23" s="7" t="s">
        <v>71</v>
      </c>
      <c r="E23" s="8" t="s">
        <v>99</v>
      </c>
      <c r="F23" s="6" t="s">
        <v>100</v>
      </c>
      <c r="G23" s="9">
        <f>IF(A23=1,"_",IF(C23="_","???",C23))</f>
        <v/>
      </c>
      <c r="H23" s="10" t="s">
        <v>12</v>
      </c>
      <c r="I23" s="11" t="s">
        <v>12</v>
      </c>
      <c r="J23" s="12"/>
    </row>
    <row r="24" spans="1:10" ht="60" customHeight="1">
      <c r="A24" s="6" t="s">
        <v>101</v>
      </c>
      <c r="B24" s="6" t="s">
        <v>24</v>
      </c>
      <c r="C24" s="6" t="s">
        <v>12</v>
      </c>
      <c r="D24" s="7" t="s">
        <v>102</v>
      </c>
      <c r="E24" s="8" t="s">
        <v>103</v>
      </c>
      <c r="F24" s="6" t="s">
        <v>104</v>
      </c>
      <c r="G24" s="9">
        <f>IF(A24=1,"_",IF(C24="_","???",C24))</f>
        <v/>
      </c>
      <c r="H24" s="10" t="s">
        <v>12</v>
      </c>
      <c r="I24" s="11" t="s">
        <v>12</v>
      </c>
      <c r="J24" s="12"/>
    </row>
    <row r="25" spans="1:10" ht="60" customHeight="1">
      <c r="A25" s="6" t="s">
        <v>105</v>
      </c>
      <c r="B25" s="6" t="s">
        <v>70</v>
      </c>
      <c r="C25" s="6" t="s">
        <v>12</v>
      </c>
      <c r="D25" s="7" t="s">
        <v>106</v>
      </c>
      <c r="E25" s="8" t="s">
        <v>107</v>
      </c>
      <c r="F25" s="6" t="s">
        <v>108</v>
      </c>
      <c r="G25" s="9">
        <f>IF(A25=1,"_",IF(C25="_","???",C25))</f>
        <v/>
      </c>
      <c r="H25" s="10" t="s">
        <v>12</v>
      </c>
      <c r="I25" s="11" t="s">
        <v>12</v>
      </c>
      <c r="J25" s="12"/>
    </row>
    <row r="26" spans="1:10" ht="60" customHeight="1">
      <c r="A26" s="6" t="s">
        <v>109</v>
      </c>
      <c r="B26" s="6" t="s">
        <v>10</v>
      </c>
      <c r="C26" s="6" t="s">
        <v>12</v>
      </c>
      <c r="D26" s="7" t="s">
        <v>110</v>
      </c>
      <c r="E26" s="8" t="s">
        <v>111</v>
      </c>
      <c r="F26" s="6" t="s">
        <v>112</v>
      </c>
      <c r="G26" s="9">
        <f>IF(A26=1,"_",IF(C26="_","???",C26))</f>
        <v/>
      </c>
      <c r="H26" s="10" t="s">
        <v>12</v>
      </c>
      <c r="I26" s="11" t="s">
        <v>12</v>
      </c>
      <c r="J26" s="12"/>
    </row>
    <row r="27" spans="1:10" ht="60" customHeight="1">
      <c r="A27" s="6" t="s">
        <v>113</v>
      </c>
      <c r="B27" s="6" t="s">
        <v>10</v>
      </c>
      <c r="C27" s="6" t="s">
        <v>12</v>
      </c>
      <c r="D27" s="7" t="s">
        <v>114</v>
      </c>
      <c r="E27" s="8" t="s">
        <v>115</v>
      </c>
      <c r="F27" s="6" t="s">
        <v>116</v>
      </c>
      <c r="G27" s="9">
        <f>IF(A27=1,"_",IF(C27="_","???",C27))</f>
        <v/>
      </c>
      <c r="H27" s="10" t="s">
        <v>12</v>
      </c>
      <c r="I27" s="11" t="s">
        <v>12</v>
      </c>
      <c r="J27" s="12"/>
    </row>
    <row r="28" spans="1:10" ht="60" customHeight="1">
      <c r="A28" s="6" t="s">
        <v>117</v>
      </c>
      <c r="B28" s="6" t="s">
        <v>20</v>
      </c>
      <c r="C28" s="6" t="s">
        <v>30</v>
      </c>
      <c r="D28" s="7" t="s">
        <v>118</v>
      </c>
      <c r="E28" s="8" t="s">
        <v>119</v>
      </c>
      <c r="F28" s="6" t="s">
        <v>120</v>
      </c>
      <c r="G28" s="9">
        <f>IF(A28=1,"_",IF(C28="_","???",C28))</f>
        <v/>
      </c>
      <c r="H28" s="10" t="s">
        <v>12</v>
      </c>
      <c r="I28" s="11" t="s">
        <v>12</v>
      </c>
      <c r="J28" s="12"/>
    </row>
    <row r="29" spans="1:10" ht="60" customHeight="1">
      <c r="A29" s="6" t="s">
        <v>121</v>
      </c>
      <c r="B29" s="6" t="s">
        <v>57</v>
      </c>
      <c r="C29" s="6" t="s">
        <v>12</v>
      </c>
      <c r="D29" s="7" t="s">
        <v>122</v>
      </c>
      <c r="E29" s="8" t="s">
        <v>123</v>
      </c>
      <c r="F29" s="6" t="s">
        <v>124</v>
      </c>
      <c r="G29" s="9">
        <f>IF(A29=1,"_",IF(C29="_","???",C29))</f>
        <v/>
      </c>
      <c r="H29" s="10" t="s">
        <v>12</v>
      </c>
      <c r="I29" s="11" t="s">
        <v>12</v>
      </c>
      <c r="J29" s="12"/>
    </row>
    <row r="30" spans="1:10" ht="60" customHeight="1">
      <c r="A30" s="6" t="s">
        <v>125</v>
      </c>
      <c r="B30" s="6" t="s">
        <v>61</v>
      </c>
      <c r="C30" s="6" t="s">
        <v>12</v>
      </c>
      <c r="D30" s="7" t="s">
        <v>126</v>
      </c>
      <c r="E30" s="8" t="s">
        <v>127</v>
      </c>
      <c r="F30" s="6" t="s">
        <v>128</v>
      </c>
      <c r="G30" s="9">
        <f>IF(A30=1,"_",IF(C30="_","???",C30))</f>
        <v/>
      </c>
      <c r="H30" s="10" t="s">
        <v>12</v>
      </c>
      <c r="I30" s="11" t="s">
        <v>12</v>
      </c>
      <c r="J30" s="12"/>
    </row>
    <row r="31" spans="1:10" ht="60" customHeight="1">
      <c r="A31" s="6" t="s">
        <v>129</v>
      </c>
      <c r="B31" s="6" t="s">
        <v>37</v>
      </c>
      <c r="C31" s="6" t="s">
        <v>12</v>
      </c>
      <c r="D31" s="7" t="s">
        <v>87</v>
      </c>
      <c r="E31" s="8" t="s">
        <v>130</v>
      </c>
      <c r="F31" s="6" t="s">
        <v>131</v>
      </c>
      <c r="G31" s="9">
        <f>IF(A31=1,"_",IF(C31="_","???",C31))</f>
        <v/>
      </c>
      <c r="H31" s="10" t="s">
        <v>12</v>
      </c>
      <c r="I31" s="11" t="s">
        <v>12</v>
      </c>
      <c r="J31" s="12"/>
    </row>
    <row r="32" spans="1:10" ht="60" customHeight="1">
      <c r="A32" s="6" t="s">
        <v>132</v>
      </c>
      <c r="B32" s="6" t="s">
        <v>37</v>
      </c>
      <c r="C32" s="6" t="s">
        <v>12</v>
      </c>
      <c r="D32" s="7" t="s">
        <v>133</v>
      </c>
      <c r="E32" s="8" t="s">
        <v>134</v>
      </c>
      <c r="F32" s="6" t="s">
        <v>135</v>
      </c>
      <c r="G32" s="9">
        <f>IF(A32=1,"_",IF(C32="_","???",C32))</f>
        <v/>
      </c>
      <c r="H32" s="10" t="s">
        <v>12</v>
      </c>
      <c r="I32" s="11" t="s">
        <v>12</v>
      </c>
      <c r="J32" s="12"/>
    </row>
    <row r="33" spans="1:10" ht="60" customHeight="1">
      <c r="A33" s="6" t="s">
        <v>136</v>
      </c>
      <c r="B33" s="6" t="s">
        <v>42</v>
      </c>
      <c r="C33" s="6" t="s">
        <v>12</v>
      </c>
      <c r="D33" s="7" t="s">
        <v>137</v>
      </c>
      <c r="E33" s="8" t="s">
        <v>138</v>
      </c>
      <c r="F33" s="6" t="s">
        <v>139</v>
      </c>
      <c r="G33" s="9">
        <f>IF(A33=1,"_",IF(C33="_","???",C33))</f>
        <v/>
      </c>
      <c r="H33" s="10" t="s">
        <v>12</v>
      </c>
      <c r="I33" s="11" t="s">
        <v>12</v>
      </c>
      <c r="J33" s="12"/>
    </row>
    <row r="34" spans="1:10" ht="60" customHeight="1">
      <c r="A34" s="6" t="s">
        <v>140</v>
      </c>
      <c r="B34" s="6" t="s">
        <v>16</v>
      </c>
      <c r="C34" s="6" t="s">
        <v>12</v>
      </c>
      <c r="D34" s="7" t="s">
        <v>126</v>
      </c>
      <c r="E34" s="8" t="s">
        <v>141</v>
      </c>
      <c r="F34" s="6" t="s">
        <v>142</v>
      </c>
      <c r="G34" s="9">
        <f>IF(A34=1,"_",IF(C34="_","???",C34))</f>
        <v/>
      </c>
      <c r="H34" s="10" t="s">
        <v>12</v>
      </c>
      <c r="I34" s="11" t="s">
        <v>12</v>
      </c>
      <c r="J34" s="12"/>
    </row>
    <row r="35" spans="1:10" ht="60" customHeight="1">
      <c r="A35" s="6" t="s">
        <v>143</v>
      </c>
      <c r="B35" s="6" t="s">
        <v>10</v>
      </c>
      <c r="C35" s="6" t="s">
        <v>12</v>
      </c>
      <c r="D35" s="7" t="s">
        <v>144</v>
      </c>
      <c r="E35" s="8" t="s">
        <v>145</v>
      </c>
      <c r="F35" s="6" t="s">
        <v>146</v>
      </c>
      <c r="G35" s="9">
        <f>IF(A35=1,"_",IF(C35="_","???",C35))</f>
        <v/>
      </c>
      <c r="H35" s="10" t="s">
        <v>12</v>
      </c>
      <c r="I35" s="11" t="s">
        <v>12</v>
      </c>
      <c r="J35" s="12"/>
    </row>
    <row r="36" spans="1:10" ht="60" customHeight="1">
      <c r="A36" s="6" t="s">
        <v>147</v>
      </c>
      <c r="B36" s="6" t="s">
        <v>20</v>
      </c>
      <c r="C36" s="6" t="s">
        <v>12</v>
      </c>
      <c r="D36" s="7" t="s">
        <v>148</v>
      </c>
      <c r="E36" s="8" t="s">
        <v>149</v>
      </c>
      <c r="F36" s="6" t="s">
        <v>150</v>
      </c>
      <c r="G36" s="9">
        <f>IF(A36=1,"_",IF(C36="_","???",C36))</f>
        <v/>
      </c>
      <c r="H36" s="10" t="s">
        <v>12</v>
      </c>
      <c r="I36" s="11" t="s">
        <v>12</v>
      </c>
      <c r="J36" s="12"/>
    </row>
    <row r="37" spans="1:10" ht="60" customHeight="1">
      <c r="A37" s="6" t="s">
        <v>151</v>
      </c>
      <c r="B37" s="6" t="s">
        <v>16</v>
      </c>
      <c r="C37" s="6" t="s">
        <v>12</v>
      </c>
      <c r="D37" s="7" t="s">
        <v>144</v>
      </c>
      <c r="E37" s="8" t="s">
        <v>152</v>
      </c>
      <c r="F37" s="6" t="s">
        <v>153</v>
      </c>
      <c r="G37" s="9">
        <f>IF(A37=1,"_",IF(C37="_","???",C37))</f>
        <v/>
      </c>
      <c r="H37" s="10" t="s">
        <v>12</v>
      </c>
      <c r="I37" s="11" t="s">
        <v>12</v>
      </c>
      <c r="J37" s="12"/>
    </row>
    <row r="38" spans="1:10" ht="60" customHeight="1">
      <c r="A38" s="6" t="s">
        <v>154</v>
      </c>
      <c r="B38" s="6" t="s">
        <v>70</v>
      </c>
      <c r="C38" s="6" t="s">
        <v>12</v>
      </c>
      <c r="D38" s="7" t="s">
        <v>71</v>
      </c>
      <c r="E38" s="8" t="s">
        <v>155</v>
      </c>
      <c r="F38" s="6" t="s">
        <v>156</v>
      </c>
      <c r="G38" s="9">
        <f>IF(A38=1,"_",IF(C38="_","???",C38))</f>
        <v/>
      </c>
      <c r="H38" s="10" t="s">
        <v>12</v>
      </c>
      <c r="I38" s="11" t="s">
        <v>12</v>
      </c>
      <c r="J38" s="12"/>
    </row>
    <row r="39" spans="1:10" ht="60" customHeight="1">
      <c r="A39" s="6" t="s">
        <v>157</v>
      </c>
      <c r="B39" s="6" t="s">
        <v>24</v>
      </c>
      <c r="C39" s="6" t="s">
        <v>12</v>
      </c>
      <c r="D39" s="7" t="s">
        <v>158</v>
      </c>
      <c r="E39" s="8" t="s">
        <v>159</v>
      </c>
      <c r="F39" s="6" t="s">
        <v>160</v>
      </c>
      <c r="G39" s="9">
        <f>IF(A39=1,"_",IF(C39="_","???",C39))</f>
        <v/>
      </c>
      <c r="H39" s="10" t="s">
        <v>12</v>
      </c>
      <c r="I39" s="11" t="s">
        <v>12</v>
      </c>
      <c r="J39" s="12"/>
    </row>
    <row r="40" spans="1:10" ht="60" customHeight="1">
      <c r="A40" s="6" t="s">
        <v>161</v>
      </c>
      <c r="B40" s="6" t="s">
        <v>37</v>
      </c>
      <c r="C40" s="6" t="s">
        <v>12</v>
      </c>
      <c r="D40" s="7" t="s">
        <v>162</v>
      </c>
      <c r="E40" s="8" t="s">
        <v>163</v>
      </c>
      <c r="F40" s="6" t="s">
        <v>164</v>
      </c>
      <c r="G40" s="9">
        <f>IF(A40=1,"_",IF(C40="_","???",C40))</f>
        <v/>
      </c>
      <c r="H40" s="10" t="s">
        <v>12</v>
      </c>
      <c r="I40" s="11" t="s">
        <v>12</v>
      </c>
      <c r="J40" s="12"/>
    </row>
    <row r="41" spans="1:10" ht="60" customHeight="1">
      <c r="A41" s="6" t="s">
        <v>165</v>
      </c>
      <c r="B41" s="6" t="s">
        <v>38</v>
      </c>
      <c r="C41" s="6" t="s">
        <v>12</v>
      </c>
      <c r="D41" s="7" t="s">
        <v>166</v>
      </c>
      <c r="E41" s="8" t="s">
        <v>167</v>
      </c>
      <c r="F41" s="6" t="s">
        <v>168</v>
      </c>
      <c r="G41" s="9">
        <f>IF(A41=1,"_",IF(C41="_","???",C41))</f>
        <v/>
      </c>
      <c r="H41" s="10" t="s">
        <v>12</v>
      </c>
      <c r="I41" s="11" t="s">
        <v>12</v>
      </c>
      <c r="J41" s="12"/>
    </row>
    <row r="42" spans="1:10" ht="60" customHeight="1">
      <c r="A42" s="6" t="s">
        <v>169</v>
      </c>
      <c r="B42" s="6" t="s">
        <v>16</v>
      </c>
      <c r="C42" s="6" t="s">
        <v>12</v>
      </c>
      <c r="D42" s="7" t="s">
        <v>170</v>
      </c>
      <c r="E42" s="8" t="s">
        <v>171</v>
      </c>
      <c r="F42" s="6" t="s">
        <v>172</v>
      </c>
      <c r="G42" s="9">
        <f>IF(A42=1,"_",IF(C42="_","???",C42))</f>
        <v/>
      </c>
      <c r="H42" s="10" t="s">
        <v>12</v>
      </c>
      <c r="I42" s="11" t="s">
        <v>12</v>
      </c>
      <c r="J42" s="12"/>
    </row>
    <row r="43" spans="1:10" ht="60" customHeight="1">
      <c r="A43" s="6" t="s">
        <v>173</v>
      </c>
      <c r="B43" s="6" t="s">
        <v>20</v>
      </c>
      <c r="C43" s="6" t="s">
        <v>12</v>
      </c>
      <c r="D43" s="7" t="s">
        <v>126</v>
      </c>
      <c r="E43" s="8" t="s">
        <v>174</v>
      </c>
      <c r="F43" s="6" t="s">
        <v>175</v>
      </c>
      <c r="G43" s="9">
        <f>IF(A43=1,"_",IF(C43="_","???",C43))</f>
        <v/>
      </c>
      <c r="H43" s="10" t="s">
        <v>12</v>
      </c>
      <c r="I43" s="11" t="s">
        <v>12</v>
      </c>
      <c r="J43" s="12"/>
    </row>
    <row r="44" spans="1:10" ht="60" customHeight="1">
      <c r="A44" s="6" t="s">
        <v>176</v>
      </c>
      <c r="B44" s="6" t="s">
        <v>20</v>
      </c>
      <c r="C44" s="6" t="s">
        <v>12</v>
      </c>
      <c r="D44" s="7" t="s">
        <v>71</v>
      </c>
      <c r="E44" s="8" t="s">
        <v>177</v>
      </c>
      <c r="F44" s="6" t="s">
        <v>178</v>
      </c>
      <c r="G44" s="9">
        <f>IF(A44=1,"_",IF(C44="_","???",C44))</f>
        <v/>
      </c>
      <c r="H44" s="10" t="s">
        <v>12</v>
      </c>
      <c r="I44" s="11" t="s">
        <v>12</v>
      </c>
      <c r="J44" s="12"/>
    </row>
    <row r="45" spans="1:10" ht="60" customHeight="1">
      <c r="A45" s="6" t="s">
        <v>179</v>
      </c>
      <c r="B45" s="6" t="s">
        <v>16</v>
      </c>
      <c r="C45" s="6" t="s">
        <v>12</v>
      </c>
      <c r="D45" s="7" t="s">
        <v>180</v>
      </c>
      <c r="E45" s="8" t="s">
        <v>181</v>
      </c>
      <c r="F45" s="6" t="s">
        <v>182</v>
      </c>
      <c r="G45" s="9">
        <f>IF(A45=1,"_",IF(C45="_","???",C45))</f>
        <v/>
      </c>
      <c r="H45" s="10" t="s">
        <v>12</v>
      </c>
      <c r="I45" s="11" t="s">
        <v>12</v>
      </c>
      <c r="J45" s="12"/>
    </row>
    <row r="46" spans="1:10" ht="60" customHeight="1">
      <c r="A46" s="6" t="s">
        <v>183</v>
      </c>
      <c r="B46" s="6" t="s">
        <v>10</v>
      </c>
      <c r="C46" s="6" t="s">
        <v>12</v>
      </c>
      <c r="D46" s="7" t="s">
        <v>184</v>
      </c>
      <c r="E46" s="8" t="s">
        <v>185</v>
      </c>
      <c r="F46" s="6" t="s">
        <v>186</v>
      </c>
      <c r="G46" s="9">
        <f>IF(A46=1,"_",IF(C46="_","???",C46))</f>
        <v/>
      </c>
      <c r="H46" s="10" t="s">
        <v>12</v>
      </c>
      <c r="I46" s="11" t="s">
        <v>12</v>
      </c>
      <c r="J46" s="12"/>
    </row>
    <row r="47" spans="1:10" ht="60" customHeight="1">
      <c r="A47" s="6" t="s">
        <v>187</v>
      </c>
      <c r="B47" s="6" t="s">
        <v>10</v>
      </c>
      <c r="C47" s="6" t="s">
        <v>12</v>
      </c>
      <c r="D47" s="7" t="s">
        <v>188</v>
      </c>
      <c r="E47" s="8" t="s">
        <v>189</v>
      </c>
      <c r="F47" s="6" t="s">
        <v>190</v>
      </c>
      <c r="G47" s="9">
        <f>IF(A47=1,"_",IF(C47="_","???",C47))</f>
        <v/>
      </c>
      <c r="H47" s="10" t="s">
        <v>12</v>
      </c>
      <c r="I47" s="11" t="s">
        <v>12</v>
      </c>
      <c r="J47" s="12"/>
    </row>
    <row r="48" spans="1:10" ht="60" customHeight="1">
      <c r="A48" s="6" t="s">
        <v>191</v>
      </c>
      <c r="B48" s="6" t="s">
        <v>10</v>
      </c>
      <c r="C48" s="6" t="s">
        <v>12</v>
      </c>
      <c r="D48" s="7" t="s">
        <v>188</v>
      </c>
      <c r="E48" s="8" t="s">
        <v>192</v>
      </c>
      <c r="F48" s="6" t="s">
        <v>193</v>
      </c>
      <c r="G48" s="9">
        <f>IF(A48=1,"_",IF(C48="_","???",C48))</f>
        <v/>
      </c>
      <c r="H48" s="10" t="s">
        <v>12</v>
      </c>
      <c r="I48" s="11" t="s">
        <v>12</v>
      </c>
      <c r="J48" s="12"/>
    </row>
    <row r="49" spans="1:10" ht="60" customHeight="1">
      <c r="A49" s="6" t="s">
        <v>194</v>
      </c>
      <c r="B49" s="6" t="s">
        <v>42</v>
      </c>
      <c r="C49" s="6" t="s">
        <v>12</v>
      </c>
      <c r="D49" s="7" t="s">
        <v>184</v>
      </c>
      <c r="E49" s="8" t="s">
        <v>195</v>
      </c>
      <c r="F49" s="6" t="s">
        <v>196</v>
      </c>
      <c r="G49" s="9">
        <f>IF(A49=1,"_",IF(C49="_","???",C49))</f>
        <v/>
      </c>
      <c r="H49" s="10" t="s">
        <v>12</v>
      </c>
      <c r="I49" s="11" t="s">
        <v>12</v>
      </c>
      <c r="J49" s="12"/>
    </row>
    <row r="50" spans="1:10" ht="60" customHeight="1">
      <c r="A50" s="6" t="s">
        <v>197</v>
      </c>
      <c r="B50" s="6" t="s">
        <v>10</v>
      </c>
      <c r="C50" s="6" t="s">
        <v>12</v>
      </c>
      <c r="D50" s="7" t="s">
        <v>198</v>
      </c>
      <c r="E50" s="8" t="s">
        <v>199</v>
      </c>
      <c r="F50" s="6" t="s">
        <v>200</v>
      </c>
      <c r="G50" s="9">
        <f>IF(A50=1,"_",IF(C50="_","???",C50))</f>
        <v/>
      </c>
      <c r="H50" s="10" t="s">
        <v>12</v>
      </c>
      <c r="I50" s="11" t="s">
        <v>12</v>
      </c>
      <c r="J50" s="12"/>
    </row>
    <row r="51" spans="1:10" ht="60" customHeight="1">
      <c r="A51" s="6" t="s">
        <v>201</v>
      </c>
      <c r="B51" s="6" t="s">
        <v>70</v>
      </c>
      <c r="C51" s="6" t="s">
        <v>12</v>
      </c>
      <c r="D51" s="7" t="s">
        <v>202</v>
      </c>
      <c r="E51" s="8" t="s">
        <v>203</v>
      </c>
      <c r="F51" s="6" t="s">
        <v>204</v>
      </c>
      <c r="G51" s="9">
        <f>IF(A51=1,"_",IF(C51="_","???",C51))</f>
        <v/>
      </c>
      <c r="H51" s="10" t="s">
        <v>12</v>
      </c>
      <c r="I51" s="11" t="s">
        <v>12</v>
      </c>
      <c r="J51" s="12"/>
    </row>
    <row r="52" spans="1:10" ht="60" customHeight="1">
      <c r="A52" s="6" t="s">
        <v>205</v>
      </c>
      <c r="B52" s="6" t="s">
        <v>16</v>
      </c>
      <c r="C52" s="6" t="s">
        <v>12</v>
      </c>
      <c r="D52" s="7" t="s">
        <v>184</v>
      </c>
      <c r="E52" s="8" t="s">
        <v>206</v>
      </c>
      <c r="F52" s="6" t="s">
        <v>207</v>
      </c>
      <c r="G52" s="9">
        <f>IF(A52=1,"_",IF(C52="_","???",C52))</f>
        <v/>
      </c>
      <c r="H52" s="10" t="s">
        <v>12</v>
      </c>
      <c r="I52" s="11" t="s">
        <v>12</v>
      </c>
      <c r="J52" s="12"/>
    </row>
    <row r="53" spans="1:10" ht="60" customHeight="1">
      <c r="A53" s="6" t="s">
        <v>208</v>
      </c>
      <c r="B53" s="6" t="s">
        <v>20</v>
      </c>
      <c r="C53" s="6" t="s">
        <v>12</v>
      </c>
      <c r="D53" s="7" t="s">
        <v>209</v>
      </c>
      <c r="E53" s="8" t="s">
        <v>210</v>
      </c>
      <c r="F53" s="6" t="s">
        <v>211</v>
      </c>
      <c r="G53" s="9">
        <f>IF(A53=1,"_",IF(C53="_","???",C53))</f>
        <v/>
      </c>
      <c r="H53" s="10" t="s">
        <v>12</v>
      </c>
      <c r="I53" s="11" t="s">
        <v>12</v>
      </c>
      <c r="J53" s="12"/>
    </row>
    <row r="54" spans="1:10" ht="60" customHeight="1">
      <c r="A54" s="6" t="s">
        <v>212</v>
      </c>
      <c r="B54" s="6" t="s">
        <v>10</v>
      </c>
      <c r="C54" s="6" t="s">
        <v>12</v>
      </c>
      <c r="D54" s="7" t="s">
        <v>213</v>
      </c>
      <c r="E54" s="8" t="s">
        <v>214</v>
      </c>
      <c r="F54" s="6" t="s">
        <v>215</v>
      </c>
      <c r="G54" s="9">
        <f>IF(A54=1,"_",IF(C54="_","???",C54))</f>
        <v/>
      </c>
      <c r="H54" s="10" t="s">
        <v>12</v>
      </c>
      <c r="I54" s="11" t="s">
        <v>12</v>
      </c>
      <c r="J54" s="12"/>
    </row>
    <row r="55" spans="1:10" ht="60" customHeight="1">
      <c r="A55" s="6" t="s">
        <v>216</v>
      </c>
      <c r="B55" s="6" t="s">
        <v>38</v>
      </c>
      <c r="C55" s="6" t="s">
        <v>12</v>
      </c>
      <c r="D55" s="7" t="s">
        <v>217</v>
      </c>
      <c r="E55" s="8" t="s">
        <v>218</v>
      </c>
      <c r="F55" s="6" t="s">
        <v>219</v>
      </c>
      <c r="G55" s="9">
        <f>IF(A55=1,"_",IF(C55="_","???",C55))</f>
        <v/>
      </c>
      <c r="H55" s="10" t="s">
        <v>12</v>
      </c>
      <c r="I55" s="11" t="s">
        <v>12</v>
      </c>
      <c r="J55" s="12"/>
    </row>
    <row r="56" spans="1:10" ht="60" customHeight="1">
      <c r="A56" s="6" t="s">
        <v>220</v>
      </c>
      <c r="B56" s="6" t="s">
        <v>16</v>
      </c>
      <c r="C56" s="6" t="s">
        <v>12</v>
      </c>
      <c r="D56" s="7" t="s">
        <v>87</v>
      </c>
      <c r="E56" s="8" t="s">
        <v>221</v>
      </c>
      <c r="F56" s="6" t="s">
        <v>222</v>
      </c>
      <c r="G56" s="9">
        <f>IF(A56=1,"_",IF(C56="_","???",C56))</f>
        <v/>
      </c>
      <c r="H56" s="10" t="s">
        <v>12</v>
      </c>
      <c r="I56" s="11" t="s">
        <v>12</v>
      </c>
      <c r="J56" s="12"/>
    </row>
    <row r="57" spans="1:10" ht="60" customHeight="1">
      <c r="A57" s="6" t="s">
        <v>223</v>
      </c>
      <c r="B57" s="6" t="s">
        <v>10</v>
      </c>
      <c r="C57" s="6" t="s">
        <v>12</v>
      </c>
      <c r="D57" s="7" t="s">
        <v>184</v>
      </c>
      <c r="E57" s="8" t="s">
        <v>224</v>
      </c>
      <c r="F57" s="6" t="s">
        <v>225</v>
      </c>
      <c r="G57" s="9">
        <f>IF(A57=1,"_",IF(C57="_","???",C57))</f>
        <v/>
      </c>
      <c r="H57" s="10" t="s">
        <v>12</v>
      </c>
      <c r="I57" s="11" t="s">
        <v>12</v>
      </c>
      <c r="J57" s="12"/>
    </row>
    <row r="58" spans="1:10" ht="60" customHeight="1">
      <c r="A58" s="6" t="s">
        <v>226</v>
      </c>
      <c r="B58" s="6" t="s">
        <v>24</v>
      </c>
      <c r="C58" s="6" t="s">
        <v>12</v>
      </c>
      <c r="D58" s="7" t="s">
        <v>227</v>
      </c>
      <c r="E58" s="8" t="s">
        <v>228</v>
      </c>
      <c r="F58" s="6" t="s">
        <v>229</v>
      </c>
      <c r="G58" s="9">
        <f>IF(A58=1,"_",IF(C58="_","???",C58))</f>
        <v/>
      </c>
      <c r="H58" s="10" t="s">
        <v>12</v>
      </c>
      <c r="I58" s="11" t="s">
        <v>12</v>
      </c>
      <c r="J58" s="12"/>
    </row>
    <row r="59" spans="1:10" ht="60" customHeight="1">
      <c r="A59" s="6" t="s">
        <v>230</v>
      </c>
      <c r="B59" s="6" t="s">
        <v>11</v>
      </c>
      <c r="C59" s="6" t="s">
        <v>12</v>
      </c>
      <c r="D59" s="7" t="s">
        <v>231</v>
      </c>
      <c r="E59" s="8" t="s">
        <v>232</v>
      </c>
      <c r="F59" s="6" t="s">
        <v>233</v>
      </c>
      <c r="G59" s="9">
        <f>IF(A59=1,"_",IF(C59="_","???",C59))</f>
        <v/>
      </c>
      <c r="H59" s="10" t="s">
        <v>12</v>
      </c>
      <c r="I59" s="11" t="s">
        <v>12</v>
      </c>
      <c r="J59" s="12"/>
    </row>
    <row r="60" spans="1:10" ht="60" customHeight="1">
      <c r="A60" s="6" t="s">
        <v>234</v>
      </c>
      <c r="B60" s="6" t="s">
        <v>20</v>
      </c>
      <c r="C60" s="6" t="s">
        <v>12</v>
      </c>
      <c r="D60" s="7" t="s">
        <v>235</v>
      </c>
      <c r="E60" s="8" t="s">
        <v>236</v>
      </c>
      <c r="F60" s="6" t="s">
        <v>237</v>
      </c>
      <c r="G60" s="9">
        <f>IF(A60=1,"_",IF(C60="_","???",C60))</f>
        <v/>
      </c>
      <c r="H60" s="10" t="s">
        <v>12</v>
      </c>
      <c r="I60" s="11" t="s">
        <v>12</v>
      </c>
      <c r="J60" s="12"/>
    </row>
    <row r="61" spans="1:10" ht="60" customHeight="1">
      <c r="A61" s="6" t="s">
        <v>238</v>
      </c>
      <c r="B61" s="6" t="s">
        <v>70</v>
      </c>
      <c r="C61" s="6" t="s">
        <v>12</v>
      </c>
      <c r="D61" s="7" t="s">
        <v>235</v>
      </c>
      <c r="E61" s="8" t="s">
        <v>239</v>
      </c>
      <c r="F61" s="6" t="s">
        <v>240</v>
      </c>
      <c r="G61" s="9">
        <f>IF(A61=1,"_",IF(C61="_","???",C61))</f>
        <v/>
      </c>
      <c r="H61" s="10" t="s">
        <v>12</v>
      </c>
      <c r="I61" s="11" t="s">
        <v>12</v>
      </c>
      <c r="J61" s="12"/>
    </row>
    <row r="62" spans="1:10" ht="60" customHeight="1">
      <c r="A62" s="6" t="s">
        <v>241</v>
      </c>
      <c r="B62" s="6" t="s">
        <v>10</v>
      </c>
      <c r="C62" s="6" t="s">
        <v>12</v>
      </c>
      <c r="D62" s="7" t="s">
        <v>242</v>
      </c>
      <c r="E62" s="8" t="s">
        <v>243</v>
      </c>
      <c r="F62" s="6" t="s">
        <v>244</v>
      </c>
      <c r="G62" s="9">
        <f>IF(A62=1,"_",IF(C62="_","???",C62))</f>
        <v/>
      </c>
      <c r="H62" s="10" t="s">
        <v>12</v>
      </c>
      <c r="I62" s="11" t="s">
        <v>12</v>
      </c>
      <c r="J62" s="12"/>
    </row>
    <row r="63" spans="1:10" ht="60" customHeight="1">
      <c r="A63" s="6" t="s">
        <v>245</v>
      </c>
      <c r="B63" s="6" t="s">
        <v>25</v>
      </c>
      <c r="C63" s="6" t="s">
        <v>12</v>
      </c>
      <c r="D63" s="7" t="s">
        <v>246</v>
      </c>
      <c r="E63" s="8" t="s">
        <v>247</v>
      </c>
      <c r="F63" s="6" t="s">
        <v>248</v>
      </c>
      <c r="G63" s="9">
        <f>IF(A63=1,"_",IF(C63="_","???",C63))</f>
        <v/>
      </c>
      <c r="H63" s="10" t="s">
        <v>12</v>
      </c>
      <c r="I63" s="11" t="s">
        <v>12</v>
      </c>
      <c r="J63" s="12"/>
    </row>
    <row r="64" spans="1:10" ht="60" customHeight="1">
      <c r="A64" s="6" t="s">
        <v>249</v>
      </c>
      <c r="B64" s="6" t="s">
        <v>29</v>
      </c>
      <c r="C64" s="6" t="s">
        <v>12</v>
      </c>
      <c r="D64" s="7" t="s">
        <v>250</v>
      </c>
      <c r="E64" s="8" t="s">
        <v>251</v>
      </c>
      <c r="F64" s="6" t="s">
        <v>252</v>
      </c>
      <c r="G64" s="9">
        <f>IF(A64=1,"_",IF(C64="_","???",C64))</f>
        <v/>
      </c>
      <c r="H64" s="10" t="s">
        <v>12</v>
      </c>
      <c r="I64" s="11" t="s">
        <v>12</v>
      </c>
      <c r="J64" s="12"/>
    </row>
    <row r="65" spans="1:10" ht="60" customHeight="1">
      <c r="A65" s="6" t="s">
        <v>253</v>
      </c>
      <c r="B65" s="6" t="s">
        <v>20</v>
      </c>
      <c r="C65" s="6" t="s">
        <v>12</v>
      </c>
      <c r="D65" s="7" t="s">
        <v>254</v>
      </c>
      <c r="E65" s="8" t="s">
        <v>255</v>
      </c>
      <c r="F65" s="6" t="s">
        <v>256</v>
      </c>
      <c r="G65" s="9">
        <f>IF(A65=1,"_",IF(C65="_","???",C65))</f>
        <v/>
      </c>
      <c r="H65" s="10" t="s">
        <v>12</v>
      </c>
      <c r="I65" s="11" t="s">
        <v>12</v>
      </c>
      <c r="J65" s="12"/>
    </row>
    <row r="66" spans="1:10" ht="60" customHeight="1">
      <c r="A66" s="6" t="s">
        <v>257</v>
      </c>
      <c r="B66" s="6" t="s">
        <v>49</v>
      </c>
      <c r="C66" s="6" t="s">
        <v>12</v>
      </c>
      <c r="D66" s="7" t="s">
        <v>258</v>
      </c>
      <c r="E66" s="8" t="s">
        <v>259</v>
      </c>
      <c r="F66" s="6" t="s">
        <v>260</v>
      </c>
      <c r="G66" s="9">
        <f>IF(A66=1,"_",IF(C66="_","???",C66))</f>
        <v/>
      </c>
      <c r="H66" s="10" t="s">
        <v>12</v>
      </c>
      <c r="I66" s="11" t="s">
        <v>12</v>
      </c>
      <c r="J66" s="12"/>
    </row>
    <row r="67" spans="1:10" ht="60" customHeight="1">
      <c r="A67" s="6" t="s">
        <v>261</v>
      </c>
      <c r="B67" s="6" t="s">
        <v>10</v>
      </c>
      <c r="C67" s="6" t="s">
        <v>12</v>
      </c>
      <c r="D67" s="7" t="s">
        <v>262</v>
      </c>
      <c r="E67" s="8" t="s">
        <v>263</v>
      </c>
      <c r="F67" s="6" t="s">
        <v>264</v>
      </c>
      <c r="G67" s="9">
        <f>IF(A67=1,"_",IF(C67="_","???",C67))</f>
        <v/>
      </c>
      <c r="H67" s="10" t="s">
        <v>12</v>
      </c>
      <c r="I67" s="11" t="s">
        <v>12</v>
      </c>
      <c r="J67" s="12"/>
    </row>
    <row r="68" spans="1:10" ht="60" customHeight="1">
      <c r="A68" s="6" t="s">
        <v>265</v>
      </c>
      <c r="B68" s="6" t="s">
        <v>25</v>
      </c>
      <c r="C68" s="6" t="s">
        <v>12</v>
      </c>
      <c r="D68" s="7" t="s">
        <v>184</v>
      </c>
      <c r="E68" s="8" t="s">
        <v>266</v>
      </c>
      <c r="F68" s="6" t="s">
        <v>267</v>
      </c>
      <c r="G68" s="9">
        <f>IF(A68=1,"_",IF(C68="_","???",C68))</f>
        <v/>
      </c>
      <c r="H68" s="10" t="s">
        <v>12</v>
      </c>
      <c r="I68" s="11" t="s">
        <v>12</v>
      </c>
      <c r="J68" s="12"/>
    </row>
    <row r="69" spans="1:10" ht="60" customHeight="1">
      <c r="A69" s="6" t="s">
        <v>268</v>
      </c>
      <c r="B69" s="6" t="s">
        <v>20</v>
      </c>
      <c r="C69" s="6" t="s">
        <v>12</v>
      </c>
      <c r="D69" s="7" t="s">
        <v>269</v>
      </c>
      <c r="E69" s="8" t="s">
        <v>270</v>
      </c>
      <c r="F69" s="6" t="s">
        <v>271</v>
      </c>
      <c r="G69" s="9">
        <f>IF(A69=1,"_",IF(C69="_","???",C69))</f>
        <v/>
      </c>
      <c r="H69" s="10" t="s">
        <v>12</v>
      </c>
      <c r="I69" s="11" t="s">
        <v>12</v>
      </c>
      <c r="J69" s="12"/>
    </row>
    <row r="70" spans="1:10" ht="60" customHeight="1">
      <c r="A70" s="6" t="s">
        <v>272</v>
      </c>
      <c r="B70" s="6" t="s">
        <v>10</v>
      </c>
      <c r="C70" s="6" t="s">
        <v>12</v>
      </c>
      <c r="D70" s="7" t="s">
        <v>273</v>
      </c>
      <c r="E70" s="8" t="s">
        <v>274</v>
      </c>
      <c r="F70" s="6" t="s">
        <v>275</v>
      </c>
      <c r="G70" s="9">
        <f>IF(A70=1,"_",IF(C70="_","???",C70))</f>
        <v/>
      </c>
      <c r="H70" s="10" t="s">
        <v>12</v>
      </c>
      <c r="I70" s="11" t="s">
        <v>12</v>
      </c>
      <c r="J70" s="12"/>
    </row>
    <row r="71" spans="1:10" ht="60" customHeight="1">
      <c r="A71" s="6" t="s">
        <v>276</v>
      </c>
      <c r="B71" s="6" t="s">
        <v>20</v>
      </c>
      <c r="C71" s="6" t="s">
        <v>12</v>
      </c>
      <c r="D71" s="7" t="s">
        <v>277</v>
      </c>
      <c r="E71" s="8" t="s">
        <v>278</v>
      </c>
      <c r="F71" s="6" t="s">
        <v>279</v>
      </c>
      <c r="G71" s="9">
        <f>IF(A71=1,"_",IF(C71="_","???",C71))</f>
        <v/>
      </c>
      <c r="H71" s="10" t="s">
        <v>12</v>
      </c>
      <c r="I71" s="11" t="s">
        <v>12</v>
      </c>
      <c r="J71" s="12"/>
    </row>
    <row r="72" spans="1:10" ht="60" customHeight="1">
      <c r="A72" s="6" t="s">
        <v>280</v>
      </c>
      <c r="B72" s="6" t="s">
        <v>20</v>
      </c>
      <c r="C72" s="6" t="s">
        <v>12</v>
      </c>
      <c r="D72" s="7" t="s">
        <v>118</v>
      </c>
      <c r="E72" s="8" t="s">
        <v>281</v>
      </c>
      <c r="F72" s="6" t="s">
        <v>282</v>
      </c>
      <c r="G72" s="9">
        <f>IF(A72=1,"_",IF(C72="_","???",C72))</f>
        <v/>
      </c>
      <c r="H72" s="10" t="s">
        <v>12</v>
      </c>
      <c r="I72" s="11" t="s">
        <v>12</v>
      </c>
      <c r="J72" s="12"/>
    </row>
    <row r="73" spans="1:10" ht="60" customHeight="1">
      <c r="A73" s="6" t="s">
        <v>283</v>
      </c>
      <c r="B73" s="6" t="s">
        <v>20</v>
      </c>
      <c r="C73" s="6" t="s">
        <v>12</v>
      </c>
      <c r="D73" s="7" t="s">
        <v>71</v>
      </c>
      <c r="E73" s="8" t="s">
        <v>284</v>
      </c>
      <c r="F73" s="6" t="s">
        <v>285</v>
      </c>
      <c r="G73" s="9">
        <f>IF(A73=1,"_",IF(C73="_","???",C73))</f>
        <v/>
      </c>
      <c r="H73" s="10" t="s">
        <v>12</v>
      </c>
      <c r="I73" s="11" t="s">
        <v>12</v>
      </c>
      <c r="J73" s="12"/>
    </row>
    <row r="74" spans="1:10" ht="60" customHeight="1">
      <c r="A74" s="6" t="s">
        <v>286</v>
      </c>
      <c r="B74" s="6" t="s">
        <v>29</v>
      </c>
      <c r="C74" s="6" t="s">
        <v>287</v>
      </c>
      <c r="D74" s="7" t="s">
        <v>288</v>
      </c>
      <c r="E74" s="8" t="s">
        <v>289</v>
      </c>
      <c r="F74" s="6" t="s">
        <v>290</v>
      </c>
      <c r="G74" s="9">
        <f>IF(A74=1,"_",IF(C74="_","???",C74))</f>
        <v/>
      </c>
      <c r="H74" s="10" t="s">
        <v>12</v>
      </c>
      <c r="I74" s="11" t="s">
        <v>12</v>
      </c>
      <c r="J74" s="12"/>
    </row>
    <row r="75" spans="1:10" ht="60" customHeight="1">
      <c r="A75" s="6" t="s">
        <v>291</v>
      </c>
      <c r="B75" s="6" t="s">
        <v>20</v>
      </c>
      <c r="C75" s="6" t="s">
        <v>12</v>
      </c>
      <c r="D75" s="7" t="s">
        <v>66</v>
      </c>
      <c r="E75" s="8" t="s">
        <v>292</v>
      </c>
      <c r="F75" s="6" t="s">
        <v>293</v>
      </c>
      <c r="G75" s="9">
        <f>IF(A75=1,"_",IF(C75="_","???",C75))</f>
        <v/>
      </c>
      <c r="H75" s="10" t="s">
        <v>12</v>
      </c>
      <c r="I75" s="11" t="s">
        <v>12</v>
      </c>
      <c r="J75" s="12"/>
    </row>
    <row r="76" spans="1:10" ht="60" customHeight="1">
      <c r="A76" s="6" t="s">
        <v>294</v>
      </c>
      <c r="B76" s="6" t="s">
        <v>24</v>
      </c>
      <c r="C76" s="6" t="s">
        <v>12</v>
      </c>
      <c r="D76" s="7" t="s">
        <v>71</v>
      </c>
      <c r="E76" s="8" t="s">
        <v>295</v>
      </c>
      <c r="F76" s="6" t="s">
        <v>296</v>
      </c>
      <c r="G76" s="9">
        <f>IF(A76=1,"_",IF(C76="_","???",C76))</f>
        <v/>
      </c>
      <c r="H76" s="10" t="s">
        <v>12</v>
      </c>
      <c r="I76" s="11" t="s">
        <v>12</v>
      </c>
      <c r="J76" s="12"/>
    </row>
    <row r="77" spans="1:10" ht="60" customHeight="1">
      <c r="A77" s="6" t="s">
        <v>297</v>
      </c>
      <c r="B77" s="6" t="s">
        <v>20</v>
      </c>
      <c r="C77" s="6" t="s">
        <v>12</v>
      </c>
      <c r="D77" s="7" t="s">
        <v>298</v>
      </c>
      <c r="E77" s="8" t="s">
        <v>299</v>
      </c>
      <c r="F77" s="6" t="s">
        <v>300</v>
      </c>
      <c r="G77" s="9">
        <f>IF(A77=1,"_",IF(C77="_","???",C77))</f>
        <v/>
      </c>
      <c r="H77" s="10" t="s">
        <v>12</v>
      </c>
      <c r="I77" s="11" t="s">
        <v>12</v>
      </c>
      <c r="J77" s="12"/>
    </row>
    <row r="78" spans="1:10" ht="60" customHeight="1">
      <c r="A78" s="6" t="s">
        <v>301</v>
      </c>
      <c r="B78" s="6" t="s">
        <v>20</v>
      </c>
      <c r="C78" s="6" t="s">
        <v>12</v>
      </c>
      <c r="D78" s="7" t="s">
        <v>302</v>
      </c>
      <c r="E78" s="8" t="s">
        <v>303</v>
      </c>
      <c r="F78" s="6" t="s">
        <v>304</v>
      </c>
      <c r="G78" s="9">
        <f>IF(A78=1,"_",IF(C78="_","???",C78))</f>
        <v/>
      </c>
      <c r="H78" s="10" t="s">
        <v>12</v>
      </c>
      <c r="I78" s="11" t="s">
        <v>12</v>
      </c>
      <c r="J78" s="12"/>
    </row>
    <row r="79" spans="1:10" ht="60" customHeight="1">
      <c r="A79" s="6" t="s">
        <v>305</v>
      </c>
      <c r="B79" s="6" t="s">
        <v>16</v>
      </c>
      <c r="C79" s="6" t="s">
        <v>12</v>
      </c>
      <c r="D79" s="7" t="s">
        <v>306</v>
      </c>
      <c r="E79" s="8" t="s">
        <v>307</v>
      </c>
      <c r="F79" s="6" t="s">
        <v>308</v>
      </c>
      <c r="G79" s="9">
        <f>IF(A79=1,"_",IF(C79="_","???",C79))</f>
        <v/>
      </c>
      <c r="H79" s="10" t="s">
        <v>12</v>
      </c>
      <c r="I79" s="11" t="s">
        <v>12</v>
      </c>
      <c r="J79" s="12"/>
    </row>
    <row r="80" spans="1:10" ht="60" customHeight="1">
      <c r="A80" s="6" t="s">
        <v>309</v>
      </c>
      <c r="B80" s="6" t="s">
        <v>70</v>
      </c>
      <c r="C80" s="6" t="s">
        <v>12</v>
      </c>
      <c r="D80" s="7" t="s">
        <v>202</v>
      </c>
      <c r="E80" s="8" t="s">
        <v>310</v>
      </c>
      <c r="F80" s="6" t="s">
        <v>311</v>
      </c>
      <c r="G80" s="9">
        <f>IF(A80=1,"_",IF(C80="_","???",C80))</f>
        <v/>
      </c>
      <c r="H80" s="10" t="s">
        <v>12</v>
      </c>
      <c r="I80" s="11" t="s">
        <v>12</v>
      </c>
      <c r="J80" s="12"/>
    </row>
    <row r="81" spans="1:10" ht="60" customHeight="1">
      <c r="A81" s="6" t="s">
        <v>312</v>
      </c>
      <c r="B81" s="6" t="s">
        <v>38</v>
      </c>
      <c r="C81" s="6" t="s">
        <v>12</v>
      </c>
      <c r="D81" s="7" t="s">
        <v>202</v>
      </c>
      <c r="E81" s="8" t="s">
        <v>313</v>
      </c>
      <c r="F81" s="6" t="s">
        <v>314</v>
      </c>
      <c r="G81" s="9">
        <f>IF(A81=1,"_",IF(C81="_","???",C81))</f>
        <v/>
      </c>
      <c r="H81" s="10" t="s">
        <v>12</v>
      </c>
      <c r="I81" s="11" t="s">
        <v>12</v>
      </c>
      <c r="J81" s="12"/>
    </row>
    <row r="82" spans="1:10" ht="60" customHeight="1">
      <c r="A82" s="6" t="s">
        <v>315</v>
      </c>
      <c r="B82" s="6" t="s">
        <v>16</v>
      </c>
      <c r="C82" s="6" t="s">
        <v>12</v>
      </c>
      <c r="D82" s="7" t="s">
        <v>316</v>
      </c>
      <c r="E82" s="8" t="s">
        <v>317</v>
      </c>
      <c r="F82" s="6" t="s">
        <v>318</v>
      </c>
      <c r="G82" s="9">
        <f>IF(A82=1,"_",IF(C82="_","???",C82))</f>
        <v/>
      </c>
      <c r="H82" s="10" t="s">
        <v>12</v>
      </c>
      <c r="I82" s="11" t="s">
        <v>12</v>
      </c>
      <c r="J82" s="12"/>
    </row>
    <row r="83" spans="1:10" ht="60" customHeight="1">
      <c r="A83" s="6" t="s">
        <v>319</v>
      </c>
      <c r="B83" s="6" t="s">
        <v>90</v>
      </c>
      <c r="C83" s="6" t="s">
        <v>12</v>
      </c>
      <c r="D83" s="7" t="s">
        <v>87</v>
      </c>
      <c r="E83" s="8" t="s">
        <v>320</v>
      </c>
      <c r="F83" s="6" t="s">
        <v>321</v>
      </c>
      <c r="G83" s="9">
        <f>IF(A83=1,"_",IF(C83="_","???",C83))</f>
        <v/>
      </c>
      <c r="H83" s="10" t="s">
        <v>12</v>
      </c>
      <c r="I83" s="11" t="s">
        <v>12</v>
      </c>
      <c r="J83" s="12"/>
    </row>
    <row r="84" spans="1:10" ht="60" customHeight="1">
      <c r="A84" s="6" t="s">
        <v>322</v>
      </c>
      <c r="B84" s="6" t="s">
        <v>16</v>
      </c>
      <c r="C84" s="6" t="s">
        <v>12</v>
      </c>
      <c r="D84" s="7" t="s">
        <v>323</v>
      </c>
      <c r="E84" s="8" t="s">
        <v>324</v>
      </c>
      <c r="F84" s="6" t="s">
        <v>325</v>
      </c>
      <c r="G84" s="9">
        <f>IF(A84=1,"_",IF(C84="_","???",C84))</f>
        <v/>
      </c>
      <c r="H84" s="10" t="s">
        <v>12</v>
      </c>
      <c r="I84" s="11" t="s">
        <v>12</v>
      </c>
      <c r="J84" s="12"/>
    </row>
    <row r="85" spans="1:10" ht="60" customHeight="1">
      <c r="A85" s="6" t="s">
        <v>326</v>
      </c>
      <c r="B85" s="6" t="s">
        <v>20</v>
      </c>
      <c r="C85" s="6" t="s">
        <v>12</v>
      </c>
      <c r="D85" s="7" t="s">
        <v>327</v>
      </c>
      <c r="E85" s="8" t="s">
        <v>328</v>
      </c>
      <c r="F85" s="6" t="s">
        <v>329</v>
      </c>
      <c r="G85" s="9">
        <f>IF(A85=1,"_",IF(C85="_","???",C85))</f>
        <v/>
      </c>
      <c r="H85" s="10" t="s">
        <v>12</v>
      </c>
      <c r="I85" s="11" t="s">
        <v>12</v>
      </c>
      <c r="J85" s="12"/>
    </row>
    <row r="86" spans="1:10" ht="60" customHeight="1">
      <c r="A86" s="6" t="s">
        <v>330</v>
      </c>
      <c r="B86" s="6" t="s">
        <v>24</v>
      </c>
      <c r="C86" s="6" t="s">
        <v>12</v>
      </c>
      <c r="D86" s="7" t="s">
        <v>331</v>
      </c>
      <c r="E86" s="8" t="s">
        <v>332</v>
      </c>
      <c r="F86" s="6" t="s">
        <v>333</v>
      </c>
      <c r="G86" s="9">
        <f>IF(A86=1,"_",IF(C86="_","???",C86))</f>
        <v/>
      </c>
      <c r="H86" s="10" t="s">
        <v>12</v>
      </c>
      <c r="I86" s="11" t="s">
        <v>12</v>
      </c>
      <c r="J86" s="12"/>
    </row>
    <row r="87" spans="1:10" ht="60" customHeight="1">
      <c r="A87" s="6" t="s">
        <v>334</v>
      </c>
      <c r="B87" s="6" t="s">
        <v>38</v>
      </c>
      <c r="C87" s="6" t="s">
        <v>12</v>
      </c>
      <c r="D87" s="7" t="s">
        <v>335</v>
      </c>
      <c r="E87" s="8" t="s">
        <v>336</v>
      </c>
      <c r="F87" s="6" t="s">
        <v>337</v>
      </c>
      <c r="G87" s="9">
        <f>IF(A87=1,"_",IF(C87="_","???",C87))</f>
        <v/>
      </c>
      <c r="H87" s="10" t="s">
        <v>12</v>
      </c>
      <c r="I87" s="11" t="s">
        <v>12</v>
      </c>
      <c r="J87" s="12"/>
    </row>
    <row r="88" spans="1:10" ht="60" customHeight="1">
      <c r="A88" s="6" t="s">
        <v>338</v>
      </c>
      <c r="B88" s="6" t="s">
        <v>16</v>
      </c>
      <c r="C88" s="6" t="s">
        <v>12</v>
      </c>
      <c r="D88" s="7" t="s">
        <v>339</v>
      </c>
      <c r="E88" s="8" t="s">
        <v>340</v>
      </c>
      <c r="F88" s="6" t="s">
        <v>341</v>
      </c>
      <c r="G88" s="9">
        <f>IF(A88=1,"_",IF(C88="_","???",C88))</f>
        <v/>
      </c>
      <c r="H88" s="10" t="s">
        <v>12</v>
      </c>
      <c r="I88" s="11" t="s">
        <v>12</v>
      </c>
      <c r="J88" s="12"/>
    </row>
    <row r="89" spans="1:10" ht="60" customHeight="1">
      <c r="A89" s="6" t="s">
        <v>342</v>
      </c>
      <c r="B89" s="6" t="s">
        <v>65</v>
      </c>
      <c r="C89" s="6" t="s">
        <v>12</v>
      </c>
      <c r="D89" s="7" t="s">
        <v>343</v>
      </c>
      <c r="E89" s="8" t="s">
        <v>344</v>
      </c>
      <c r="F89" s="6" t="s">
        <v>345</v>
      </c>
      <c r="G89" s="9">
        <f>IF(A89=1,"_",IF(C89="_","???",C89))</f>
        <v/>
      </c>
      <c r="H89" s="10" t="s">
        <v>12</v>
      </c>
      <c r="I89" s="11" t="s">
        <v>12</v>
      </c>
      <c r="J89" s="12"/>
    </row>
    <row r="90" spans="1:10" ht="60" customHeight="1">
      <c r="A90" s="6" t="s">
        <v>346</v>
      </c>
      <c r="B90" s="6" t="s">
        <v>49</v>
      </c>
      <c r="C90" s="6" t="s">
        <v>12</v>
      </c>
      <c r="D90" s="7" t="s">
        <v>347</v>
      </c>
      <c r="E90" s="8" t="s">
        <v>348</v>
      </c>
      <c r="F90" s="6" t="s">
        <v>349</v>
      </c>
      <c r="G90" s="9">
        <f>IF(A90=1,"_",IF(C90="_","???",C90))</f>
        <v/>
      </c>
      <c r="H90" s="10" t="s">
        <v>12</v>
      </c>
      <c r="I90" s="11" t="s">
        <v>12</v>
      </c>
      <c r="J90" s="12"/>
    </row>
    <row r="91" spans="1:10" ht="60" customHeight="1">
      <c r="A91" s="6" t="s">
        <v>350</v>
      </c>
      <c r="B91" s="6" t="s">
        <v>16</v>
      </c>
      <c r="C91" s="6" t="s">
        <v>12</v>
      </c>
      <c r="D91" s="7" t="s">
        <v>351</v>
      </c>
      <c r="E91" s="8" t="s">
        <v>352</v>
      </c>
      <c r="F91" s="6" t="s">
        <v>353</v>
      </c>
      <c r="G91" s="9">
        <f>IF(A91=1,"_",IF(C91="_","???",C91))</f>
        <v/>
      </c>
      <c r="H91" s="10" t="s">
        <v>12</v>
      </c>
      <c r="I91" s="11" t="s">
        <v>12</v>
      </c>
      <c r="J91" s="12"/>
    </row>
    <row r="92" spans="1:10" ht="60" customHeight="1">
      <c r="A92" s="6" t="s">
        <v>354</v>
      </c>
      <c r="B92" s="6" t="s">
        <v>29</v>
      </c>
      <c r="C92" s="6" t="s">
        <v>12</v>
      </c>
      <c r="D92" s="7" t="s">
        <v>355</v>
      </c>
      <c r="E92" s="8" t="s">
        <v>356</v>
      </c>
      <c r="F92" s="6" t="s">
        <v>357</v>
      </c>
      <c r="G92" s="9">
        <f>IF(A92=1,"_",IF(C92="_","???",C92))</f>
        <v/>
      </c>
      <c r="H92" s="10" t="s">
        <v>12</v>
      </c>
      <c r="I92" s="11" t="s">
        <v>12</v>
      </c>
      <c r="J92" s="12"/>
    </row>
    <row r="93" spans="1:10" ht="60" customHeight="1">
      <c r="A93" s="6" t="s">
        <v>358</v>
      </c>
      <c r="B93" s="6" t="s">
        <v>98</v>
      </c>
      <c r="C93" s="6" t="s">
        <v>12</v>
      </c>
      <c r="D93" s="7" t="s">
        <v>359</v>
      </c>
      <c r="E93" s="8" t="s">
        <v>360</v>
      </c>
      <c r="F93" s="6" t="s">
        <v>361</v>
      </c>
      <c r="G93" s="9">
        <f>IF(A93=1,"_",IF(C93="_","???",C93))</f>
        <v/>
      </c>
      <c r="H93" s="10" t="s">
        <v>12</v>
      </c>
      <c r="I93" s="11" t="s">
        <v>12</v>
      </c>
      <c r="J93" s="12"/>
    </row>
    <row r="94" spans="1:10" ht="60" customHeight="1">
      <c r="A94" s="6" t="s">
        <v>362</v>
      </c>
      <c r="B94" s="6" t="s">
        <v>10</v>
      </c>
      <c r="C94" s="6" t="s">
        <v>12</v>
      </c>
      <c r="D94" s="7" t="s">
        <v>184</v>
      </c>
      <c r="E94" s="8" t="s">
        <v>363</v>
      </c>
      <c r="F94" s="6" t="s">
        <v>364</v>
      </c>
      <c r="G94" s="9">
        <f>IF(A94=1,"_",IF(C94="_","???",C94))</f>
        <v/>
      </c>
      <c r="H94" s="10" t="s">
        <v>12</v>
      </c>
      <c r="I94" s="11" t="s">
        <v>12</v>
      </c>
      <c r="J94" s="12"/>
    </row>
    <row r="95" spans="1:10" ht="60" customHeight="1">
      <c r="A95" s="6" t="s">
        <v>365</v>
      </c>
      <c r="B95" s="6" t="s">
        <v>20</v>
      </c>
      <c r="C95" s="6" t="s">
        <v>12</v>
      </c>
      <c r="D95" s="7" t="s">
        <v>202</v>
      </c>
      <c r="E95" s="8" t="s">
        <v>366</v>
      </c>
      <c r="F95" s="6" t="s">
        <v>367</v>
      </c>
      <c r="G95" s="9">
        <f>IF(A95=1,"_",IF(C95="_","???",C95))</f>
        <v/>
      </c>
      <c r="H95" s="10" t="s">
        <v>12</v>
      </c>
      <c r="I95" s="11" t="s">
        <v>12</v>
      </c>
      <c r="J95" s="12"/>
    </row>
    <row r="96" spans="1:10" ht="60" customHeight="1">
      <c r="A96" s="6" t="s">
        <v>368</v>
      </c>
      <c r="B96" s="6" t="s">
        <v>20</v>
      </c>
      <c r="C96" s="6" t="s">
        <v>12</v>
      </c>
      <c r="D96" s="7" t="s">
        <v>298</v>
      </c>
      <c r="E96" s="8" t="s">
        <v>369</v>
      </c>
      <c r="F96" s="6" t="s">
        <v>370</v>
      </c>
      <c r="G96" s="9">
        <f>IF(A96=1,"_",IF(C96="_","???",C96))</f>
        <v/>
      </c>
      <c r="H96" s="10" t="s">
        <v>12</v>
      </c>
      <c r="I96" s="11" t="s">
        <v>12</v>
      </c>
      <c r="J96" s="12"/>
    </row>
    <row r="97" spans="1:10" ht="60" customHeight="1">
      <c r="A97" s="6" t="s">
        <v>371</v>
      </c>
      <c r="B97" s="6" t="s">
        <v>16</v>
      </c>
      <c r="C97" s="6" t="s">
        <v>12</v>
      </c>
      <c r="D97" s="7" t="s">
        <v>372</v>
      </c>
      <c r="E97" s="8" t="s">
        <v>373</v>
      </c>
      <c r="F97" s="6" t="s">
        <v>374</v>
      </c>
      <c r="G97" s="9">
        <f>IF(A97=1,"_",IF(C97="_","???",C97))</f>
        <v/>
      </c>
      <c r="H97" s="10" t="s">
        <v>12</v>
      </c>
      <c r="I97" s="11" t="s">
        <v>12</v>
      </c>
      <c r="J97" s="12"/>
    </row>
    <row r="98" spans="1:10" ht="60" customHeight="1">
      <c r="A98" s="6" t="s">
        <v>375</v>
      </c>
      <c r="B98" s="6" t="s">
        <v>61</v>
      </c>
      <c r="C98" s="6" t="s">
        <v>12</v>
      </c>
      <c r="D98" s="7" t="s">
        <v>302</v>
      </c>
      <c r="E98" s="8" t="s">
        <v>376</v>
      </c>
      <c r="F98" s="6" t="s">
        <v>377</v>
      </c>
      <c r="G98" s="9">
        <f>IF(A98=1,"_",IF(C98="_","???",C98))</f>
        <v/>
      </c>
      <c r="H98" s="10" t="s">
        <v>12</v>
      </c>
      <c r="I98" s="11" t="s">
        <v>12</v>
      </c>
      <c r="J98" s="12"/>
    </row>
    <row r="99" spans="1:10" ht="60" customHeight="1">
      <c r="A99" s="6" t="s">
        <v>378</v>
      </c>
      <c r="B99" s="6" t="s">
        <v>42</v>
      </c>
      <c r="C99" s="6" t="s">
        <v>12</v>
      </c>
      <c r="D99" s="7" t="s">
        <v>379</v>
      </c>
      <c r="E99" s="8" t="s">
        <v>380</v>
      </c>
      <c r="F99" s="6" t="s">
        <v>381</v>
      </c>
      <c r="G99" s="9">
        <f>IF(A99=1,"_",IF(C99="_","???",C99))</f>
        <v/>
      </c>
      <c r="H99" s="10" t="s">
        <v>12</v>
      </c>
      <c r="I99" s="11" t="s">
        <v>12</v>
      </c>
      <c r="J99" s="12"/>
    </row>
    <row r="100" spans="1:10" ht="60" customHeight="1">
      <c r="A100" s="6" t="s">
        <v>382</v>
      </c>
      <c r="B100" s="6" t="s">
        <v>20</v>
      </c>
      <c r="C100" s="6" t="s">
        <v>12</v>
      </c>
      <c r="D100" s="7" t="s">
        <v>351</v>
      </c>
      <c r="E100" s="8" t="s">
        <v>383</v>
      </c>
      <c r="F100" s="6" t="s">
        <v>384</v>
      </c>
      <c r="G100" s="9">
        <f>IF(A100=1,"_",IF(C100="_","???",C100))</f>
        <v/>
      </c>
      <c r="H100" s="10" t="s">
        <v>12</v>
      </c>
      <c r="I100" s="11" t="s">
        <v>12</v>
      </c>
      <c r="J100" s="12"/>
    </row>
    <row r="101" spans="1:10" ht="60" customHeight="1">
      <c r="A101" s="6" t="s">
        <v>385</v>
      </c>
      <c r="B101" s="6" t="s">
        <v>29</v>
      </c>
      <c r="C101" s="6" t="s">
        <v>12</v>
      </c>
      <c r="D101" s="7" t="s">
        <v>386</v>
      </c>
      <c r="E101" s="8" t="s">
        <v>387</v>
      </c>
      <c r="F101" s="6" t="s">
        <v>388</v>
      </c>
      <c r="G101" s="9">
        <f>IF(A101=1,"_",IF(C101="_","???",C101))</f>
        <v/>
      </c>
      <c r="H101" s="10" t="s">
        <v>12</v>
      </c>
      <c r="I101" s="11" t="s">
        <v>12</v>
      </c>
      <c r="J101" s="12"/>
    </row>
    <row r="102" spans="1:10" ht="60" customHeight="1">
      <c r="A102" s="6" t="s">
        <v>389</v>
      </c>
      <c r="B102" s="6" t="s">
        <v>20</v>
      </c>
      <c r="C102" s="6" t="s">
        <v>12</v>
      </c>
      <c r="D102" s="7" t="s">
        <v>390</v>
      </c>
      <c r="E102" s="8" t="s">
        <v>391</v>
      </c>
      <c r="F102" s="6" t="s">
        <v>392</v>
      </c>
      <c r="G102" s="9">
        <f>IF(A102=1,"_",IF(C102="_","???",C102))</f>
        <v/>
      </c>
      <c r="H102" s="10" t="s">
        <v>12</v>
      </c>
      <c r="I102" s="11" t="s">
        <v>12</v>
      </c>
      <c r="J102" s="12"/>
    </row>
    <row r="103" spans="1:10" ht="60" customHeight="1">
      <c r="A103" s="6" t="s">
        <v>393</v>
      </c>
      <c r="B103" s="6" t="s">
        <v>25</v>
      </c>
      <c r="C103" s="6" t="s">
        <v>12</v>
      </c>
      <c r="D103" s="7" t="s">
        <v>34</v>
      </c>
      <c r="E103" s="8" t="s">
        <v>394</v>
      </c>
      <c r="F103" s="6" t="s">
        <v>395</v>
      </c>
      <c r="G103" s="9">
        <f>IF(A103=1,"_",IF(C103="_","???",C103))</f>
        <v/>
      </c>
      <c r="H103" s="10" t="s">
        <v>12</v>
      </c>
      <c r="I103" s="11" t="s">
        <v>12</v>
      </c>
      <c r="J103" s="12"/>
    </row>
    <row r="104" spans="1:10" ht="60" customHeight="1">
      <c r="A104" s="6" t="s">
        <v>396</v>
      </c>
      <c r="B104" s="6" t="s">
        <v>61</v>
      </c>
      <c r="C104" s="6" t="s">
        <v>12</v>
      </c>
      <c r="D104" s="7" t="s">
        <v>397</v>
      </c>
      <c r="E104" s="8" t="s">
        <v>398</v>
      </c>
      <c r="F104" s="6" t="s">
        <v>399</v>
      </c>
      <c r="G104" s="9">
        <f>IF(A104=1,"_",IF(C104="_","???",C104))</f>
        <v/>
      </c>
      <c r="H104" s="10" t="s">
        <v>12</v>
      </c>
      <c r="I104" s="11" t="s">
        <v>12</v>
      </c>
      <c r="J104" s="12"/>
    </row>
    <row r="105" spans="1:10" ht="60" customHeight="1">
      <c r="A105" s="6" t="s">
        <v>400</v>
      </c>
      <c r="B105" s="6" t="s">
        <v>53</v>
      </c>
      <c r="C105" s="6" t="s">
        <v>12</v>
      </c>
      <c r="D105" s="7" t="s">
        <v>401</v>
      </c>
      <c r="E105" s="8" t="s">
        <v>402</v>
      </c>
      <c r="F105" s="6" t="s">
        <v>403</v>
      </c>
      <c r="G105" s="9">
        <f>IF(A105=1,"_",IF(C105="_","???",C105))</f>
        <v/>
      </c>
      <c r="H105" s="10" t="s">
        <v>12</v>
      </c>
      <c r="I105" s="11" t="s">
        <v>12</v>
      </c>
      <c r="J105" s="12"/>
    </row>
    <row r="106" spans="1:10" ht="60" customHeight="1">
      <c r="A106" s="6" t="s">
        <v>404</v>
      </c>
      <c r="B106" s="6" t="s">
        <v>98</v>
      </c>
      <c r="C106" s="6" t="s">
        <v>30</v>
      </c>
      <c r="D106" s="7" t="s">
        <v>405</v>
      </c>
      <c r="E106" s="8" t="s">
        <v>406</v>
      </c>
      <c r="F106" s="6" t="s">
        <v>407</v>
      </c>
      <c r="G106" s="9">
        <f>IF(A106=1,"_",IF(C106="_","???",C106))</f>
        <v/>
      </c>
      <c r="H106" s="10" t="s">
        <v>12</v>
      </c>
      <c r="I106" s="11" t="s">
        <v>12</v>
      </c>
      <c r="J106" s="12"/>
    </row>
    <row r="107" spans="1:10" ht="60" customHeight="1">
      <c r="A107" s="6" t="s">
        <v>408</v>
      </c>
      <c r="B107" s="6" t="s">
        <v>29</v>
      </c>
      <c r="C107" s="6" t="s">
        <v>12</v>
      </c>
      <c r="D107" s="7" t="s">
        <v>409</v>
      </c>
      <c r="E107" s="8" t="s">
        <v>410</v>
      </c>
      <c r="F107" s="6" t="s">
        <v>411</v>
      </c>
      <c r="G107" s="9">
        <f>IF(A107=1,"_",IF(C107="_","???",C107))</f>
        <v/>
      </c>
      <c r="H107" s="10" t="s">
        <v>12</v>
      </c>
      <c r="I107" s="11" t="s">
        <v>12</v>
      </c>
      <c r="J107" s="12"/>
    </row>
    <row r="108" spans="1:10" ht="60" customHeight="1">
      <c r="A108" s="6" t="s">
        <v>412</v>
      </c>
      <c r="B108" s="6" t="s">
        <v>10</v>
      </c>
      <c r="C108" s="6" t="s">
        <v>12</v>
      </c>
      <c r="D108" s="7" t="s">
        <v>184</v>
      </c>
      <c r="E108" s="8" t="s">
        <v>413</v>
      </c>
      <c r="F108" s="6" t="s">
        <v>414</v>
      </c>
      <c r="G108" s="9">
        <f>IF(A108=1,"_",IF(C108="_","???",C108))</f>
        <v/>
      </c>
      <c r="H108" s="10" t="s">
        <v>12</v>
      </c>
      <c r="I108" s="11" t="s">
        <v>12</v>
      </c>
      <c r="J108" s="12"/>
    </row>
    <row r="109" spans="1:10" ht="60" customHeight="1">
      <c r="A109" s="6" t="s">
        <v>415</v>
      </c>
      <c r="B109" s="6" t="s">
        <v>20</v>
      </c>
      <c r="C109" s="6" t="s">
        <v>12</v>
      </c>
      <c r="D109" s="7" t="s">
        <v>202</v>
      </c>
      <c r="E109" s="8" t="s">
        <v>416</v>
      </c>
      <c r="F109" s="6" t="s">
        <v>417</v>
      </c>
      <c r="G109" s="9">
        <f>IF(A109=1,"_",IF(C109="_","???",C109))</f>
        <v/>
      </c>
      <c r="H109" s="10" t="s">
        <v>12</v>
      </c>
      <c r="I109" s="11" t="s">
        <v>12</v>
      </c>
      <c r="J109" s="12"/>
    </row>
    <row r="110" spans="1:10" ht="60" customHeight="1">
      <c r="A110" s="6" t="s">
        <v>418</v>
      </c>
      <c r="B110" s="6" t="s">
        <v>20</v>
      </c>
      <c r="C110" s="6" t="s">
        <v>12</v>
      </c>
      <c r="D110" s="7" t="s">
        <v>419</v>
      </c>
      <c r="E110" s="8" t="s">
        <v>420</v>
      </c>
      <c r="F110" s="6" t="s">
        <v>421</v>
      </c>
      <c r="G110" s="9">
        <f>IF(A110=1,"_",IF(C110="_","???",C110))</f>
        <v/>
      </c>
      <c r="H110" s="10" t="s">
        <v>12</v>
      </c>
      <c r="I110" s="11" t="s">
        <v>12</v>
      </c>
      <c r="J110" s="12"/>
    </row>
    <row r="111" spans="1:10" ht="60" customHeight="1">
      <c r="A111" s="6" t="s">
        <v>422</v>
      </c>
      <c r="B111" s="6" t="s">
        <v>10</v>
      </c>
      <c r="C111" s="6" t="s">
        <v>12</v>
      </c>
      <c r="D111" s="7" t="s">
        <v>423</v>
      </c>
      <c r="E111" s="8" t="s">
        <v>424</v>
      </c>
      <c r="F111" s="6" t="s">
        <v>425</v>
      </c>
      <c r="G111" s="9">
        <f>IF(A111=1,"_",IF(C111="_","???",C111))</f>
        <v/>
      </c>
      <c r="H111" s="10" t="s">
        <v>12</v>
      </c>
      <c r="I111" s="11" t="s">
        <v>12</v>
      </c>
      <c r="J111" s="12"/>
    </row>
    <row r="112" spans="1:10" ht="60" customHeight="1">
      <c r="A112" s="6" t="s">
        <v>426</v>
      </c>
      <c r="B112" s="6" t="s">
        <v>16</v>
      </c>
      <c r="C112" s="6" t="s">
        <v>12</v>
      </c>
      <c r="D112" s="7" t="s">
        <v>351</v>
      </c>
      <c r="E112" s="8" t="s">
        <v>427</v>
      </c>
      <c r="F112" s="6" t="s">
        <v>428</v>
      </c>
      <c r="G112" s="9">
        <f>IF(A112=1,"_",IF(C112="_","???",C112))</f>
        <v/>
      </c>
      <c r="H112" s="10" t="s">
        <v>12</v>
      </c>
      <c r="I112" s="11" t="s">
        <v>12</v>
      </c>
      <c r="J112" s="12"/>
    </row>
    <row r="113" spans="1:10" ht="60" customHeight="1">
      <c r="A113" s="6" t="s">
        <v>429</v>
      </c>
      <c r="B113" s="6" t="s">
        <v>16</v>
      </c>
      <c r="C113" s="6" t="s">
        <v>12</v>
      </c>
      <c r="D113" s="7" t="s">
        <v>430</v>
      </c>
      <c r="E113" s="8" t="s">
        <v>431</v>
      </c>
      <c r="F113" s="6" t="s">
        <v>432</v>
      </c>
      <c r="G113" s="9">
        <f>IF(A113=1,"_",IF(C113="_","???",C113))</f>
        <v/>
      </c>
      <c r="H113" s="10" t="s">
        <v>12</v>
      </c>
      <c r="I113" s="11" t="s">
        <v>12</v>
      </c>
      <c r="J113" s="12"/>
    </row>
    <row r="114" spans="1:10" ht="60" customHeight="1">
      <c r="A114" s="6" t="s">
        <v>433</v>
      </c>
      <c r="B114" s="6" t="s">
        <v>10</v>
      </c>
      <c r="C114" s="6" t="s">
        <v>12</v>
      </c>
      <c r="D114" s="7" t="s">
        <v>202</v>
      </c>
      <c r="E114" s="8" t="s">
        <v>434</v>
      </c>
      <c r="F114" s="6" t="s">
        <v>435</v>
      </c>
      <c r="G114" s="9">
        <f>IF(A114=1,"_",IF(C114="_","???",C114))</f>
        <v/>
      </c>
      <c r="H114" s="10" t="s">
        <v>12</v>
      </c>
      <c r="I114" s="11" t="s">
        <v>12</v>
      </c>
      <c r="J114" s="12"/>
    </row>
    <row r="115" spans="1:10" ht="60" customHeight="1">
      <c r="A115" s="6" t="s">
        <v>436</v>
      </c>
      <c r="B115" s="6" t="s">
        <v>38</v>
      </c>
      <c r="C115" s="6" t="s">
        <v>12</v>
      </c>
      <c r="D115" s="7" t="s">
        <v>437</v>
      </c>
      <c r="E115" s="8" t="s">
        <v>438</v>
      </c>
      <c r="F115" s="6" t="s">
        <v>439</v>
      </c>
      <c r="G115" s="9">
        <f>IF(A115=1,"_",IF(C115="_","???",C115))</f>
        <v/>
      </c>
      <c r="H115" s="10" t="s">
        <v>12</v>
      </c>
      <c r="I115" s="11" t="s">
        <v>12</v>
      </c>
      <c r="J115" s="12"/>
    </row>
    <row r="116" spans="1:10" ht="60" customHeight="1">
      <c r="A116" s="6" t="s">
        <v>440</v>
      </c>
      <c r="B116" s="6" t="s">
        <v>11</v>
      </c>
      <c r="C116" s="6" t="s">
        <v>12</v>
      </c>
      <c r="D116" s="7" t="s">
        <v>254</v>
      </c>
      <c r="E116" s="8" t="s">
        <v>441</v>
      </c>
      <c r="F116" s="6" t="s">
        <v>442</v>
      </c>
      <c r="G116" s="9">
        <f>IF(A116=1,"_",IF(C116="_","???",C116))</f>
        <v/>
      </c>
      <c r="H116" s="10" t="s">
        <v>12</v>
      </c>
      <c r="I116" s="11" t="s">
        <v>12</v>
      </c>
      <c r="J116" s="12"/>
    </row>
    <row r="117" spans="1:10" ht="60" customHeight="1">
      <c r="A117" s="6" t="s">
        <v>443</v>
      </c>
      <c r="B117" s="6" t="s">
        <v>24</v>
      </c>
      <c r="C117" s="6" t="s">
        <v>12</v>
      </c>
      <c r="D117" s="7" t="s">
        <v>444</v>
      </c>
      <c r="E117" s="8" t="s">
        <v>445</v>
      </c>
      <c r="F117" s="6" t="s">
        <v>446</v>
      </c>
      <c r="G117" s="9">
        <f>IF(A117=1,"_",IF(C117="_","???",C117))</f>
        <v/>
      </c>
      <c r="H117" s="10" t="s">
        <v>12</v>
      </c>
      <c r="I117" s="11" t="s">
        <v>12</v>
      </c>
      <c r="J117" s="12"/>
    </row>
    <row r="118" spans="1:10" ht="60" customHeight="1">
      <c r="A118" s="6" t="s">
        <v>447</v>
      </c>
      <c r="B118" s="6" t="s">
        <v>70</v>
      </c>
      <c r="C118" s="6" t="s">
        <v>12</v>
      </c>
      <c r="D118" s="7" t="s">
        <v>87</v>
      </c>
      <c r="E118" s="8" t="s">
        <v>448</v>
      </c>
      <c r="F118" s="6" t="s">
        <v>449</v>
      </c>
      <c r="G118" s="9">
        <f>IF(A118=1,"_",IF(C118="_","???",C118))</f>
        <v/>
      </c>
      <c r="H118" s="10" t="s">
        <v>12</v>
      </c>
      <c r="I118" s="11" t="s">
        <v>12</v>
      </c>
      <c r="J118" s="12"/>
    </row>
    <row r="119" spans="1:10" ht="60" customHeight="1">
      <c r="A119" s="6" t="s">
        <v>450</v>
      </c>
      <c r="B119" s="6" t="s">
        <v>16</v>
      </c>
      <c r="C119" s="6" t="s">
        <v>12</v>
      </c>
      <c r="D119" s="7" t="s">
        <v>451</v>
      </c>
      <c r="E119" s="8" t="s">
        <v>452</v>
      </c>
      <c r="F119" s="6" t="s">
        <v>453</v>
      </c>
      <c r="G119" s="9">
        <f>IF(A119=1,"_",IF(C119="_","???",C119))</f>
        <v/>
      </c>
      <c r="H119" s="10" t="s">
        <v>12</v>
      </c>
      <c r="I119" s="11" t="s">
        <v>12</v>
      </c>
      <c r="J119" s="12"/>
    </row>
    <row r="120" spans="1:10" ht="60" customHeight="1">
      <c r="A120" s="6" t="s">
        <v>454</v>
      </c>
      <c r="B120" s="6" t="s">
        <v>10</v>
      </c>
      <c r="C120" s="6" t="s">
        <v>12</v>
      </c>
      <c r="D120" s="7" t="s">
        <v>455</v>
      </c>
      <c r="E120" s="8" t="s">
        <v>456</v>
      </c>
      <c r="F120" s="6" t="s">
        <v>457</v>
      </c>
      <c r="G120" s="9">
        <f>IF(A120=1,"_",IF(C120="_","???",C120))</f>
        <v/>
      </c>
      <c r="H120" s="10" t="s">
        <v>12</v>
      </c>
      <c r="I120" s="11" t="s">
        <v>12</v>
      </c>
      <c r="J120" s="12"/>
    </row>
    <row r="121" spans="1:10" ht="60" customHeight="1">
      <c r="A121" s="6" t="s">
        <v>458</v>
      </c>
      <c r="B121" s="6" t="s">
        <v>16</v>
      </c>
      <c r="C121" s="6" t="s">
        <v>12</v>
      </c>
      <c r="D121" s="7" t="s">
        <v>455</v>
      </c>
      <c r="E121" s="8" t="s">
        <v>459</v>
      </c>
      <c r="F121" s="6" t="s">
        <v>460</v>
      </c>
      <c r="G121" s="9">
        <f>IF(A121=1,"_",IF(C121="_","???",C121))</f>
        <v/>
      </c>
      <c r="H121" s="10" t="s">
        <v>12</v>
      </c>
      <c r="I121" s="11" t="s">
        <v>12</v>
      </c>
      <c r="J121" s="12"/>
    </row>
    <row r="122" spans="1:10" ht="60" customHeight="1">
      <c r="A122" s="6" t="s">
        <v>461</v>
      </c>
      <c r="B122" s="6" t="s">
        <v>10</v>
      </c>
      <c r="C122" s="6" t="s">
        <v>12</v>
      </c>
      <c r="D122" s="7" t="s">
        <v>462</v>
      </c>
      <c r="E122" s="8" t="s">
        <v>463</v>
      </c>
      <c r="F122" s="6" t="s">
        <v>464</v>
      </c>
      <c r="G122" s="9">
        <f>IF(A122=1,"_",IF(C122="_","???",C122))</f>
        <v/>
      </c>
      <c r="H122" s="10" t="s">
        <v>12</v>
      </c>
      <c r="I122" s="11" t="s">
        <v>12</v>
      </c>
      <c r="J122" s="12"/>
    </row>
    <row r="123" spans="1:10" ht="60" customHeight="1">
      <c r="A123" s="6" t="s">
        <v>465</v>
      </c>
      <c r="B123" s="6" t="s">
        <v>10</v>
      </c>
      <c r="C123" s="6" t="s">
        <v>466</v>
      </c>
      <c r="D123" s="7" t="s">
        <v>87</v>
      </c>
      <c r="E123" s="8" t="s">
        <v>467</v>
      </c>
      <c r="F123" s="6" t="s">
        <v>468</v>
      </c>
      <c r="G123" s="9">
        <f>IF(A123=1,"_",IF(C123="_","???",C123))</f>
        <v/>
      </c>
      <c r="H123" s="10" t="s">
        <v>12</v>
      </c>
      <c r="I123" s="11" t="s">
        <v>12</v>
      </c>
      <c r="J123" s="12"/>
    </row>
    <row r="124" spans="1:10" ht="60" customHeight="1">
      <c r="A124" s="6" t="s">
        <v>469</v>
      </c>
      <c r="B124" s="6" t="s">
        <v>42</v>
      </c>
      <c r="C124" s="6" t="s">
        <v>12</v>
      </c>
      <c r="D124" s="7" t="s">
        <v>470</v>
      </c>
      <c r="E124" s="8" t="s">
        <v>471</v>
      </c>
      <c r="F124" s="6" t="s">
        <v>472</v>
      </c>
      <c r="G124" s="9">
        <f>IF(A124=1,"_",IF(C124="_","???",C124))</f>
        <v/>
      </c>
      <c r="H124" s="10" t="s">
        <v>12</v>
      </c>
      <c r="I124" s="11" t="s">
        <v>12</v>
      </c>
      <c r="J124" s="12"/>
    </row>
    <row r="125" spans="1:10" ht="60" customHeight="1">
      <c r="A125" s="6" t="s">
        <v>473</v>
      </c>
      <c r="B125" s="6" t="s">
        <v>10</v>
      </c>
      <c r="C125" s="6" t="s">
        <v>12</v>
      </c>
      <c r="D125" s="7" t="s">
        <v>474</v>
      </c>
      <c r="E125" s="8" t="s">
        <v>475</v>
      </c>
      <c r="F125" s="6" t="s">
        <v>476</v>
      </c>
      <c r="G125" s="9">
        <f>IF(A125=1,"_",IF(C125="_","???",C125))</f>
        <v/>
      </c>
      <c r="H125" s="10" t="s">
        <v>12</v>
      </c>
      <c r="I125" s="11" t="s">
        <v>12</v>
      </c>
      <c r="J125" s="12"/>
    </row>
    <row r="126" spans="1:10" ht="60" customHeight="1">
      <c r="A126" s="6" t="s">
        <v>477</v>
      </c>
      <c r="B126" s="6" t="s">
        <v>10</v>
      </c>
      <c r="C126" s="6" t="s">
        <v>12</v>
      </c>
      <c r="D126" s="7" t="s">
        <v>478</v>
      </c>
      <c r="E126" s="8" t="s">
        <v>479</v>
      </c>
      <c r="F126" s="6" t="s">
        <v>480</v>
      </c>
      <c r="G126" s="9">
        <f>IF(A126=1,"_",IF(C126="_","???",C126))</f>
        <v/>
      </c>
      <c r="H126" s="10" t="s">
        <v>12</v>
      </c>
      <c r="I126" s="11" t="s">
        <v>12</v>
      </c>
      <c r="J126" s="12"/>
    </row>
    <row r="127" spans="1:10" ht="60" customHeight="1">
      <c r="A127" s="6" t="s">
        <v>481</v>
      </c>
      <c r="B127" s="6" t="s">
        <v>20</v>
      </c>
      <c r="C127" s="6" t="s">
        <v>12</v>
      </c>
      <c r="D127" s="7" t="s">
        <v>126</v>
      </c>
      <c r="E127" s="8" t="s">
        <v>482</v>
      </c>
      <c r="F127" s="6" t="s">
        <v>483</v>
      </c>
      <c r="G127" s="9">
        <f>IF(A127=1,"_",IF(C127="_","???",C127))</f>
        <v/>
      </c>
      <c r="H127" s="10" t="s">
        <v>12</v>
      </c>
      <c r="I127" s="11" t="s">
        <v>12</v>
      </c>
      <c r="J127" s="12"/>
    </row>
    <row r="128" spans="1:10" ht="60" customHeight="1">
      <c r="A128" s="6" t="s">
        <v>484</v>
      </c>
      <c r="B128" s="6" t="s">
        <v>109</v>
      </c>
      <c r="C128" s="6" t="s">
        <v>12</v>
      </c>
      <c r="D128" s="7" t="s">
        <v>485</v>
      </c>
      <c r="E128" s="8" t="s">
        <v>486</v>
      </c>
      <c r="F128" s="6" t="s">
        <v>487</v>
      </c>
      <c r="G128" s="9">
        <f>IF(A128=1,"_",IF(C128="_","???",C128))</f>
        <v/>
      </c>
      <c r="H128" s="10" t="s">
        <v>12</v>
      </c>
      <c r="I128" s="11" t="s">
        <v>12</v>
      </c>
      <c r="J128" s="12"/>
    </row>
    <row r="129" spans="1:10" ht="60" customHeight="1">
      <c r="A129" s="6" t="s">
        <v>488</v>
      </c>
      <c r="B129" s="6" t="s">
        <v>16</v>
      </c>
      <c r="C129" s="6" t="s">
        <v>12</v>
      </c>
      <c r="D129" s="7" t="s">
        <v>489</v>
      </c>
      <c r="E129" s="8" t="s">
        <v>490</v>
      </c>
      <c r="F129" s="6" t="s">
        <v>491</v>
      </c>
      <c r="G129" s="9">
        <f>IF(A129=1,"_",IF(C129="_","???",C129))</f>
        <v/>
      </c>
      <c r="H129" s="10" t="s">
        <v>12</v>
      </c>
      <c r="I129" s="11" t="s">
        <v>12</v>
      </c>
      <c r="J129" s="12"/>
    </row>
    <row r="130" spans="1:10" ht="60" customHeight="1">
      <c r="A130" s="6" t="s">
        <v>492</v>
      </c>
      <c r="B130" s="6" t="s">
        <v>16</v>
      </c>
      <c r="C130" s="6" t="s">
        <v>12</v>
      </c>
      <c r="D130" s="7" t="s">
        <v>493</v>
      </c>
      <c r="E130" s="8" t="s">
        <v>494</v>
      </c>
      <c r="F130" s="6" t="s">
        <v>495</v>
      </c>
      <c r="G130" s="9">
        <f>IF(A130=1,"_",IF(C130="_","???",C130))</f>
        <v/>
      </c>
      <c r="H130" s="10" t="s">
        <v>12</v>
      </c>
      <c r="I130" s="11" t="s">
        <v>12</v>
      </c>
      <c r="J130" s="12"/>
    </row>
    <row r="131" spans="1:10" ht="60" customHeight="1">
      <c r="A131" s="6" t="s">
        <v>496</v>
      </c>
      <c r="B131" s="6" t="s">
        <v>16</v>
      </c>
      <c r="C131" s="6" t="s">
        <v>12</v>
      </c>
      <c r="D131" s="7" t="s">
        <v>497</v>
      </c>
      <c r="E131" s="8" t="s">
        <v>498</v>
      </c>
      <c r="F131" s="6" t="s">
        <v>499</v>
      </c>
      <c r="G131" s="9">
        <f>IF(A131=1,"_",IF(C131="_","???",C131))</f>
        <v/>
      </c>
      <c r="H131" s="10" t="s">
        <v>12</v>
      </c>
      <c r="I131" s="11" t="s">
        <v>12</v>
      </c>
      <c r="J131" s="12"/>
    </row>
    <row r="132" spans="1:10" ht="60" customHeight="1">
      <c r="A132" s="6" t="s">
        <v>500</v>
      </c>
      <c r="B132" s="6" t="s">
        <v>16</v>
      </c>
      <c r="C132" s="6" t="s">
        <v>12</v>
      </c>
      <c r="D132" s="7" t="s">
        <v>497</v>
      </c>
      <c r="E132" s="8" t="s">
        <v>501</v>
      </c>
      <c r="F132" s="6" t="s">
        <v>502</v>
      </c>
      <c r="G132" s="9">
        <f>IF(A132=1,"_",IF(C132="_","???",C132))</f>
        <v/>
      </c>
      <c r="H132" s="10" t="s">
        <v>12</v>
      </c>
      <c r="I132" s="11" t="s">
        <v>12</v>
      </c>
      <c r="J132" s="12"/>
    </row>
    <row r="133" spans="1:10" ht="60" customHeight="1">
      <c r="A133" s="6" t="s">
        <v>503</v>
      </c>
      <c r="B133" s="6" t="s">
        <v>16</v>
      </c>
      <c r="C133" s="6" t="s">
        <v>12</v>
      </c>
      <c r="D133" s="7" t="s">
        <v>504</v>
      </c>
      <c r="E133" s="8" t="s">
        <v>505</v>
      </c>
      <c r="F133" s="6" t="s">
        <v>506</v>
      </c>
      <c r="G133" s="9">
        <f>IF(A133=1,"_",IF(C133="_","???",C133))</f>
        <v/>
      </c>
      <c r="H133" s="10" t="s">
        <v>12</v>
      </c>
      <c r="I133" s="11" t="s">
        <v>12</v>
      </c>
      <c r="J133" s="12"/>
    </row>
    <row r="134" spans="1:10" ht="60" customHeight="1">
      <c r="A134" s="6" t="s">
        <v>507</v>
      </c>
      <c r="B134" s="6" t="s">
        <v>16</v>
      </c>
      <c r="C134" s="6" t="s">
        <v>12</v>
      </c>
      <c r="D134" s="7" t="s">
        <v>508</v>
      </c>
      <c r="E134" s="8" t="s">
        <v>509</v>
      </c>
      <c r="F134" s="6" t="s">
        <v>510</v>
      </c>
      <c r="G134" s="9">
        <f>IF(A134=1,"_",IF(C134="_","???",C134))</f>
        <v/>
      </c>
      <c r="H134" s="10" t="s">
        <v>12</v>
      </c>
      <c r="I134" s="11" t="s">
        <v>12</v>
      </c>
      <c r="J134" s="12"/>
    </row>
    <row r="135" spans="1:10" ht="60" customHeight="1">
      <c r="A135" s="6" t="s">
        <v>511</v>
      </c>
      <c r="B135" s="6" t="s">
        <v>125</v>
      </c>
      <c r="C135" s="6" t="s">
        <v>12</v>
      </c>
      <c r="D135" s="7" t="s">
        <v>512</v>
      </c>
      <c r="E135" s="8" t="s">
        <v>513</v>
      </c>
      <c r="F135" s="6" t="s">
        <v>514</v>
      </c>
      <c r="G135" s="9">
        <f>IF(A135=1,"_",IF(C135="_","???",C135))</f>
        <v/>
      </c>
      <c r="H135" s="10" t="s">
        <v>12</v>
      </c>
      <c r="I135" s="11" t="s">
        <v>12</v>
      </c>
      <c r="J135" s="12"/>
    </row>
    <row r="136" spans="1:10" ht="60" customHeight="1">
      <c r="A136" s="6" t="s">
        <v>515</v>
      </c>
      <c r="B136" s="6" t="s">
        <v>70</v>
      </c>
      <c r="C136" s="6" t="s">
        <v>12</v>
      </c>
      <c r="D136" s="7" t="s">
        <v>114</v>
      </c>
      <c r="E136" s="8" t="s">
        <v>516</v>
      </c>
      <c r="F136" s="6" t="s">
        <v>517</v>
      </c>
      <c r="G136" s="9">
        <f>IF(A136=1,"_",IF(C136="_","???",C136))</f>
        <v/>
      </c>
      <c r="H136" s="10" t="s">
        <v>12</v>
      </c>
      <c r="I136" s="11" t="s">
        <v>12</v>
      </c>
      <c r="J136" s="12"/>
    </row>
    <row r="137" spans="1:10" ht="60" customHeight="1">
      <c r="A137" s="6" t="s">
        <v>518</v>
      </c>
      <c r="B137" s="6" t="s">
        <v>16</v>
      </c>
      <c r="C137" s="6" t="s">
        <v>12</v>
      </c>
      <c r="D137" s="7" t="s">
        <v>519</v>
      </c>
      <c r="E137" s="8" t="s">
        <v>520</v>
      </c>
      <c r="F137" s="6" t="s">
        <v>521</v>
      </c>
      <c r="G137" s="9">
        <f>IF(A137=1,"_",IF(C137="_","???",C137))</f>
        <v/>
      </c>
      <c r="H137" s="10" t="s">
        <v>12</v>
      </c>
      <c r="I137" s="11" t="s">
        <v>12</v>
      </c>
      <c r="J137" s="12"/>
    </row>
    <row r="138" spans="1:10" ht="60" customHeight="1">
      <c r="A138" s="6" t="s">
        <v>522</v>
      </c>
      <c r="B138" s="6" t="s">
        <v>86</v>
      </c>
      <c r="C138" s="6" t="s">
        <v>12</v>
      </c>
      <c r="D138" s="7" t="s">
        <v>523</v>
      </c>
      <c r="E138" s="8" t="s">
        <v>524</v>
      </c>
      <c r="F138" s="6" t="s">
        <v>525</v>
      </c>
      <c r="G138" s="9">
        <f>IF(A138=1,"_",IF(C138="_","???",C138))</f>
        <v/>
      </c>
      <c r="H138" s="10" t="s">
        <v>12</v>
      </c>
      <c r="I138" s="11" t="s">
        <v>12</v>
      </c>
      <c r="J138" s="12"/>
    </row>
    <row r="139" spans="1:10" ht="60" customHeight="1">
      <c r="A139" s="6" t="s">
        <v>526</v>
      </c>
      <c r="B139" s="6" t="s">
        <v>11</v>
      </c>
      <c r="C139" s="6" t="s">
        <v>12</v>
      </c>
      <c r="D139" s="7" t="s">
        <v>527</v>
      </c>
      <c r="E139" s="8" t="s">
        <v>528</v>
      </c>
      <c r="F139" s="6" t="s">
        <v>529</v>
      </c>
      <c r="G139" s="9">
        <f>IF(A139=1,"_",IF(C139="_","???",C139))</f>
        <v/>
      </c>
      <c r="H139" s="10" t="s">
        <v>12</v>
      </c>
      <c r="I139" s="11" t="s">
        <v>12</v>
      </c>
      <c r="J139" s="12"/>
    </row>
    <row r="140" spans="1:10" ht="60" customHeight="1">
      <c r="A140" s="6" t="s">
        <v>530</v>
      </c>
      <c r="B140" s="6" t="s">
        <v>25</v>
      </c>
      <c r="C140" s="6" t="s">
        <v>531</v>
      </c>
      <c r="D140" s="7" t="s">
        <v>532</v>
      </c>
      <c r="E140" s="8" t="s">
        <v>533</v>
      </c>
      <c r="F140" s="6" t="s">
        <v>534</v>
      </c>
      <c r="G140" s="9">
        <f>IF(A140=1,"_",IF(C140="_","???",C140))</f>
        <v/>
      </c>
      <c r="H140" s="10" t="s">
        <v>12</v>
      </c>
      <c r="I140" s="11" t="s">
        <v>12</v>
      </c>
      <c r="J140" s="12"/>
    </row>
    <row r="141" spans="1:10" ht="60" customHeight="1">
      <c r="A141" s="6" t="s">
        <v>535</v>
      </c>
      <c r="B141" s="6" t="s">
        <v>113</v>
      </c>
      <c r="C141" s="6" t="s">
        <v>12</v>
      </c>
      <c r="D141" s="7" t="s">
        <v>162</v>
      </c>
      <c r="E141" s="8" t="s">
        <v>536</v>
      </c>
      <c r="F141" s="6" t="s">
        <v>537</v>
      </c>
      <c r="G141" s="9">
        <f>IF(A141=1,"_",IF(C141="_","???",C141))</f>
        <v/>
      </c>
      <c r="H141" s="10" t="s">
        <v>12</v>
      </c>
      <c r="I141" s="11" t="s">
        <v>12</v>
      </c>
      <c r="J141" s="12"/>
    </row>
    <row r="142" spans="1:10" ht="60" customHeight="1">
      <c r="A142" s="6" t="s">
        <v>538</v>
      </c>
      <c r="B142" s="6" t="s">
        <v>20</v>
      </c>
      <c r="C142" s="6" t="s">
        <v>12</v>
      </c>
      <c r="D142" s="7" t="s">
        <v>539</v>
      </c>
      <c r="E142" s="8" t="s">
        <v>540</v>
      </c>
      <c r="F142" s="6" t="s">
        <v>541</v>
      </c>
      <c r="G142" s="9">
        <f>IF(A142=1,"_",IF(C142="_","???",C142))</f>
        <v/>
      </c>
      <c r="H142" s="10" t="s">
        <v>12</v>
      </c>
      <c r="I142" s="11" t="s">
        <v>12</v>
      </c>
      <c r="J142" s="12"/>
    </row>
    <row r="143" spans="1:10" ht="60" customHeight="1">
      <c r="A143" s="6" t="s">
        <v>542</v>
      </c>
      <c r="B143" s="6" t="s">
        <v>16</v>
      </c>
      <c r="C143" s="6" t="s">
        <v>12</v>
      </c>
      <c r="D143" s="7" t="s">
        <v>543</v>
      </c>
      <c r="E143" s="8" t="s">
        <v>544</v>
      </c>
      <c r="F143" s="6" t="s">
        <v>545</v>
      </c>
      <c r="G143" s="9">
        <f>IF(A143=1,"_",IF(C143="_","???",C143))</f>
        <v/>
      </c>
      <c r="H143" s="10" t="s">
        <v>12</v>
      </c>
      <c r="I143" s="11" t="s">
        <v>12</v>
      </c>
      <c r="J143" s="12"/>
    </row>
    <row r="144" spans="1:10" ht="60" customHeight="1">
      <c r="A144" s="6" t="s">
        <v>546</v>
      </c>
      <c r="B144" s="6" t="s">
        <v>20</v>
      </c>
      <c r="C144" s="6" t="s">
        <v>12</v>
      </c>
      <c r="D144" s="7" t="s">
        <v>95</v>
      </c>
      <c r="E144" s="8" t="s">
        <v>547</v>
      </c>
      <c r="F144" s="6" t="s">
        <v>548</v>
      </c>
      <c r="G144" s="9">
        <f>IF(A144=1,"_",IF(C144="_","???",C144))</f>
        <v/>
      </c>
      <c r="H144" s="10" t="s">
        <v>12</v>
      </c>
      <c r="I144" s="11" t="s">
        <v>12</v>
      </c>
      <c r="J144" s="12"/>
    </row>
    <row r="145" spans="1:10" ht="60" customHeight="1">
      <c r="A145" s="6" t="s">
        <v>549</v>
      </c>
      <c r="B145" s="6" t="s">
        <v>25</v>
      </c>
      <c r="C145" s="6" t="s">
        <v>12</v>
      </c>
      <c r="D145" s="7" t="s">
        <v>543</v>
      </c>
      <c r="E145" s="8" t="s">
        <v>550</v>
      </c>
      <c r="F145" s="6" t="s">
        <v>551</v>
      </c>
      <c r="G145" s="9">
        <f>IF(A145=1,"_",IF(C145="_","???",C145))</f>
        <v/>
      </c>
      <c r="H145" s="10" t="s">
        <v>12</v>
      </c>
      <c r="I145" s="11" t="s">
        <v>12</v>
      </c>
      <c r="J145" s="12"/>
    </row>
    <row r="146" spans="1:10" ht="60" customHeight="1">
      <c r="A146" s="6" t="s">
        <v>552</v>
      </c>
      <c r="B146" s="6" t="s">
        <v>37</v>
      </c>
      <c r="C146" s="6" t="s">
        <v>12</v>
      </c>
      <c r="D146" s="7" t="s">
        <v>126</v>
      </c>
      <c r="E146" s="8" t="s">
        <v>553</v>
      </c>
      <c r="F146" s="6" t="s">
        <v>554</v>
      </c>
      <c r="G146" s="9">
        <f>IF(A146=1,"_",IF(C146="_","???",C146))</f>
        <v/>
      </c>
      <c r="H146" s="10" t="s">
        <v>12</v>
      </c>
      <c r="I146" s="11" t="s">
        <v>12</v>
      </c>
      <c r="J146" s="12"/>
    </row>
    <row r="147" spans="1:10" ht="60" customHeight="1">
      <c r="A147" s="6" t="s">
        <v>555</v>
      </c>
      <c r="B147" s="6" t="s">
        <v>11</v>
      </c>
      <c r="C147" s="6" t="s">
        <v>12</v>
      </c>
      <c r="D147" s="7" t="s">
        <v>198</v>
      </c>
      <c r="E147" s="8" t="s">
        <v>556</v>
      </c>
      <c r="F147" s="6" t="s">
        <v>557</v>
      </c>
      <c r="G147" s="9">
        <f>IF(A147=1,"_",IF(C147="_","???",C147))</f>
        <v/>
      </c>
      <c r="H147" s="10" t="s">
        <v>12</v>
      </c>
      <c r="I147" s="11" t="s">
        <v>12</v>
      </c>
      <c r="J147" s="12"/>
    </row>
    <row r="148" spans="1:10" ht="60" customHeight="1">
      <c r="A148" s="6" t="s">
        <v>558</v>
      </c>
      <c r="B148" s="6" t="s">
        <v>42</v>
      </c>
      <c r="C148" s="6" t="s">
        <v>12</v>
      </c>
      <c r="D148" s="7" t="s">
        <v>254</v>
      </c>
      <c r="E148" s="8" t="s">
        <v>559</v>
      </c>
      <c r="F148" s="6" t="s">
        <v>560</v>
      </c>
      <c r="G148" s="9">
        <f>IF(A148=1,"_",IF(C148="_","???",C148))</f>
        <v/>
      </c>
      <c r="H148" s="10" t="s">
        <v>12</v>
      </c>
      <c r="I148" s="11" t="s">
        <v>12</v>
      </c>
      <c r="J148" s="12"/>
    </row>
    <row r="149" spans="1:10" ht="60" customHeight="1">
      <c r="A149" s="6" t="s">
        <v>561</v>
      </c>
      <c r="B149" s="6" t="s">
        <v>16</v>
      </c>
      <c r="C149" s="6" t="s">
        <v>12</v>
      </c>
      <c r="D149" s="7" t="s">
        <v>562</v>
      </c>
      <c r="E149" s="8" t="s">
        <v>563</v>
      </c>
      <c r="F149" s="6" t="s">
        <v>564</v>
      </c>
      <c r="G149" s="9">
        <f>IF(A149=1,"_",IF(C149="_","???",C149))</f>
        <v/>
      </c>
      <c r="H149" s="10" t="s">
        <v>12</v>
      </c>
      <c r="I149" s="11" t="s">
        <v>12</v>
      </c>
      <c r="J149" s="12"/>
    </row>
    <row r="150" spans="1:10" ht="60" customHeight="1">
      <c r="A150" s="6" t="s">
        <v>565</v>
      </c>
      <c r="B150" s="6" t="s">
        <v>20</v>
      </c>
      <c r="C150" s="6" t="s">
        <v>12</v>
      </c>
      <c r="D150" s="7" t="s">
        <v>566</v>
      </c>
      <c r="E150" s="8" t="s">
        <v>567</v>
      </c>
      <c r="F150" s="6" t="s">
        <v>568</v>
      </c>
      <c r="G150" s="9">
        <f>IF(A150=1,"_",IF(C150="_","???",C150))</f>
        <v/>
      </c>
      <c r="H150" s="10" t="s">
        <v>12</v>
      </c>
      <c r="I150" s="11" t="s">
        <v>12</v>
      </c>
      <c r="J150" s="12"/>
    </row>
    <row r="151" spans="1:10" ht="60" customHeight="1">
      <c r="A151" s="6" t="s">
        <v>569</v>
      </c>
      <c r="B151" s="6" t="s">
        <v>70</v>
      </c>
      <c r="C151" s="6" t="s">
        <v>12</v>
      </c>
      <c r="D151" s="7" t="s">
        <v>570</v>
      </c>
      <c r="E151" s="8" t="s">
        <v>571</v>
      </c>
      <c r="F151" s="6" t="s">
        <v>572</v>
      </c>
      <c r="G151" s="9">
        <f>IF(A151=1,"_",IF(C151="_","???",C151))</f>
        <v/>
      </c>
      <c r="H151" s="10" t="s">
        <v>12</v>
      </c>
      <c r="I151" s="11" t="s">
        <v>12</v>
      </c>
      <c r="J151" s="12"/>
    </row>
    <row r="152" spans="1:10" ht="60" customHeight="1">
      <c r="A152" s="6" t="s">
        <v>573</v>
      </c>
      <c r="B152" s="6" t="s">
        <v>16</v>
      </c>
      <c r="C152" s="6" t="s">
        <v>12</v>
      </c>
      <c r="D152" s="7" t="s">
        <v>202</v>
      </c>
      <c r="E152" s="8" t="s">
        <v>574</v>
      </c>
      <c r="F152" s="6" t="s">
        <v>575</v>
      </c>
      <c r="G152" s="9">
        <f>IF(A152=1,"_",IF(C152="_","???",C152))</f>
        <v/>
      </c>
      <c r="H152" s="10" t="s">
        <v>12</v>
      </c>
      <c r="I152" s="11" t="s">
        <v>12</v>
      </c>
      <c r="J152" s="12"/>
    </row>
    <row r="153" spans="1:10" ht="60" customHeight="1">
      <c r="A153" s="6" t="s">
        <v>576</v>
      </c>
      <c r="B153" s="6" t="s">
        <v>61</v>
      </c>
      <c r="C153" s="6" t="s">
        <v>12</v>
      </c>
      <c r="D153" s="7" t="s">
        <v>577</v>
      </c>
      <c r="E153" s="8" t="s">
        <v>578</v>
      </c>
      <c r="F153" s="6" t="s">
        <v>579</v>
      </c>
      <c r="G153" s="9">
        <f>IF(A153=1,"_",IF(C153="_","???",C153))</f>
        <v/>
      </c>
      <c r="H153" s="10" t="s">
        <v>12</v>
      </c>
      <c r="I153" s="11" t="s">
        <v>12</v>
      </c>
      <c r="J153" s="12"/>
    </row>
    <row r="154" spans="1:10" ht="60" customHeight="1">
      <c r="A154" s="6" t="s">
        <v>580</v>
      </c>
      <c r="B154" s="6" t="s">
        <v>70</v>
      </c>
      <c r="C154" s="6" t="s">
        <v>12</v>
      </c>
      <c r="D154" s="7" t="s">
        <v>581</v>
      </c>
      <c r="E154" s="8" t="s">
        <v>582</v>
      </c>
      <c r="F154" s="6" t="s">
        <v>583</v>
      </c>
      <c r="G154" s="9">
        <f>IF(A154=1,"_",IF(C154="_","???",C154))</f>
        <v/>
      </c>
      <c r="H154" s="10" t="s">
        <v>12</v>
      </c>
      <c r="I154" s="11" t="s">
        <v>12</v>
      </c>
      <c r="J154" s="12"/>
    </row>
    <row r="155" spans="1:10" ht="60" customHeight="1">
      <c r="A155" s="6" t="s">
        <v>584</v>
      </c>
      <c r="B155" s="6" t="s">
        <v>24</v>
      </c>
      <c r="C155" s="6" t="s">
        <v>12</v>
      </c>
      <c r="D155" s="7" t="s">
        <v>570</v>
      </c>
      <c r="E155" s="8" t="s">
        <v>585</v>
      </c>
      <c r="F155" s="6" t="s">
        <v>586</v>
      </c>
      <c r="G155" s="9">
        <f>IF(A155=1,"_",IF(C155="_","???",C155))</f>
        <v/>
      </c>
      <c r="H155" s="10" t="s">
        <v>12</v>
      </c>
      <c r="I155" s="11" t="s">
        <v>12</v>
      </c>
      <c r="J155" s="12"/>
    </row>
    <row r="156" spans="1:10" ht="60" customHeight="1">
      <c r="A156" s="6" t="s">
        <v>587</v>
      </c>
      <c r="B156" s="6" t="s">
        <v>10</v>
      </c>
      <c r="C156" s="6" t="s">
        <v>12</v>
      </c>
      <c r="D156" s="7" t="s">
        <v>184</v>
      </c>
      <c r="E156" s="8" t="s">
        <v>588</v>
      </c>
      <c r="F156" s="6" t="s">
        <v>589</v>
      </c>
      <c r="G156" s="9">
        <f>IF(A156=1,"_",IF(C156="_","???",C156))</f>
        <v/>
      </c>
      <c r="H156" s="10" t="s">
        <v>12</v>
      </c>
      <c r="I156" s="11" t="s">
        <v>12</v>
      </c>
      <c r="J156" s="12"/>
    </row>
    <row r="157" spans="1:10" ht="60" customHeight="1">
      <c r="A157" s="6" t="s">
        <v>590</v>
      </c>
      <c r="B157" s="6" t="s">
        <v>16</v>
      </c>
      <c r="C157" s="6" t="s">
        <v>12</v>
      </c>
      <c r="D157" s="7" t="s">
        <v>184</v>
      </c>
      <c r="E157" s="8" t="s">
        <v>591</v>
      </c>
      <c r="F157" s="6" t="s">
        <v>592</v>
      </c>
      <c r="G157" s="9">
        <f>IF(A157=1,"_",IF(C157="_","???",C157))</f>
        <v/>
      </c>
      <c r="H157" s="10" t="s">
        <v>12</v>
      </c>
      <c r="I157" s="11" t="s">
        <v>12</v>
      </c>
      <c r="J157" s="12"/>
    </row>
    <row r="158" spans="1:10" ht="60" customHeight="1">
      <c r="A158" s="6" t="s">
        <v>593</v>
      </c>
      <c r="B158" s="6" t="s">
        <v>20</v>
      </c>
      <c r="C158" s="6" t="s">
        <v>12</v>
      </c>
      <c r="D158" s="7" t="s">
        <v>594</v>
      </c>
      <c r="E158" s="8" t="s">
        <v>595</v>
      </c>
      <c r="F158" s="6" t="s">
        <v>596</v>
      </c>
      <c r="G158" s="9">
        <f>IF(A158=1,"_",IF(C158="_","???",C158))</f>
        <v/>
      </c>
      <c r="H158" s="10" t="s">
        <v>12</v>
      </c>
      <c r="I158" s="11" t="s">
        <v>12</v>
      </c>
      <c r="J158" s="12"/>
    </row>
    <row r="159" spans="1:10" ht="60" customHeight="1">
      <c r="A159" s="6" t="s">
        <v>597</v>
      </c>
      <c r="B159" s="6" t="s">
        <v>16</v>
      </c>
      <c r="C159" s="6" t="s">
        <v>12</v>
      </c>
      <c r="D159" s="7" t="s">
        <v>419</v>
      </c>
      <c r="E159" s="8" t="s">
        <v>598</v>
      </c>
      <c r="F159" s="6" t="s">
        <v>599</v>
      </c>
      <c r="G159" s="9">
        <f>IF(A159=1,"_",IF(C159="_","???",C159))</f>
        <v/>
      </c>
      <c r="H159" s="10" t="s">
        <v>12</v>
      </c>
      <c r="I159" s="11" t="s">
        <v>12</v>
      </c>
      <c r="J159" s="12"/>
    </row>
    <row r="160" spans="1:10" ht="60" customHeight="1">
      <c r="A160" s="6" t="s">
        <v>600</v>
      </c>
      <c r="B160" s="6" t="s">
        <v>20</v>
      </c>
      <c r="C160" s="6" t="s">
        <v>12</v>
      </c>
      <c r="D160" s="7" t="s">
        <v>126</v>
      </c>
      <c r="E160" s="8" t="s">
        <v>601</v>
      </c>
      <c r="F160" s="6" t="s">
        <v>602</v>
      </c>
      <c r="G160" s="9">
        <f>IF(A160=1,"_",IF(C160="_","???",C160))</f>
        <v/>
      </c>
      <c r="H160" s="10" t="s">
        <v>12</v>
      </c>
      <c r="I160" s="11" t="s">
        <v>12</v>
      </c>
      <c r="J160" s="12"/>
    </row>
    <row r="161" spans="1:10" ht="60" customHeight="1">
      <c r="A161" s="6" t="s">
        <v>603</v>
      </c>
      <c r="B161" s="6" t="s">
        <v>16</v>
      </c>
      <c r="C161" s="6" t="s">
        <v>12</v>
      </c>
      <c r="D161" s="7" t="s">
        <v>254</v>
      </c>
      <c r="E161" s="8" t="s">
        <v>604</v>
      </c>
      <c r="F161" s="6" t="s">
        <v>605</v>
      </c>
      <c r="G161" s="9">
        <f>IF(A161=1,"_",IF(C161="_","???",C161))</f>
        <v/>
      </c>
      <c r="H161" s="10" t="s">
        <v>12</v>
      </c>
      <c r="I161" s="11" t="s">
        <v>12</v>
      </c>
      <c r="J161" s="12"/>
    </row>
    <row r="162" spans="1:10" ht="60" customHeight="1">
      <c r="A162" s="6" t="s">
        <v>606</v>
      </c>
      <c r="B162" s="6" t="s">
        <v>20</v>
      </c>
      <c r="C162" s="6" t="s">
        <v>12</v>
      </c>
      <c r="D162" s="7" t="s">
        <v>202</v>
      </c>
      <c r="E162" s="8" t="s">
        <v>607</v>
      </c>
      <c r="F162" s="6" t="s">
        <v>608</v>
      </c>
      <c r="G162" s="9">
        <f>IF(A162=1,"_",IF(C162="_","???",C162))</f>
        <v/>
      </c>
      <c r="H162" s="10" t="s">
        <v>12</v>
      </c>
      <c r="I162" s="11" t="s">
        <v>12</v>
      </c>
      <c r="J162" s="12"/>
    </row>
    <row r="163" spans="1:10" ht="60" customHeight="1">
      <c r="A163" s="6" t="s">
        <v>609</v>
      </c>
      <c r="B163" s="6" t="s">
        <v>70</v>
      </c>
      <c r="C163" s="6" t="s">
        <v>12</v>
      </c>
      <c r="D163" s="7" t="s">
        <v>75</v>
      </c>
      <c r="E163" s="8" t="s">
        <v>610</v>
      </c>
      <c r="F163" s="6" t="s">
        <v>611</v>
      </c>
      <c r="G163" s="9">
        <f>IF(A163=1,"_",IF(C163="_","???",C163))</f>
        <v/>
      </c>
      <c r="H163" s="10" t="s">
        <v>12</v>
      </c>
      <c r="I163" s="11" t="s">
        <v>12</v>
      </c>
      <c r="J163" s="12"/>
    </row>
    <row r="164" spans="1:10" ht="60" customHeight="1">
      <c r="A164" s="6" t="s">
        <v>612</v>
      </c>
      <c r="B164" s="6" t="s">
        <v>10</v>
      </c>
      <c r="C164" s="6" t="s">
        <v>12</v>
      </c>
      <c r="D164" s="7" t="s">
        <v>71</v>
      </c>
      <c r="E164" s="8" t="s">
        <v>613</v>
      </c>
      <c r="F164" s="6" t="s">
        <v>614</v>
      </c>
      <c r="G164" s="9">
        <f>IF(A164=1,"_",IF(C164="_","???",C164))</f>
        <v/>
      </c>
      <c r="H164" s="10" t="s">
        <v>12</v>
      </c>
      <c r="I164" s="11" t="s">
        <v>12</v>
      </c>
      <c r="J164" s="12"/>
    </row>
    <row r="165" spans="1:10" ht="60" customHeight="1">
      <c r="A165" s="6" t="s">
        <v>615</v>
      </c>
      <c r="B165" s="6" t="s">
        <v>25</v>
      </c>
      <c r="C165" s="6" t="s">
        <v>12</v>
      </c>
      <c r="D165" s="7" t="s">
        <v>616</v>
      </c>
      <c r="E165" s="8" t="s">
        <v>617</v>
      </c>
      <c r="F165" s="6" t="s">
        <v>618</v>
      </c>
      <c r="G165" s="9">
        <f>IF(A165=1,"_",IF(C165="_","???",C165))</f>
        <v/>
      </c>
      <c r="H165" s="10" t="s">
        <v>12</v>
      </c>
      <c r="I165" s="11" t="s">
        <v>12</v>
      </c>
      <c r="J165" s="12"/>
    </row>
    <row r="166" spans="1:10" ht="60" customHeight="1">
      <c r="A166" s="6" t="s">
        <v>619</v>
      </c>
      <c r="B166" s="6" t="s">
        <v>53</v>
      </c>
      <c r="C166" s="6" t="s">
        <v>12</v>
      </c>
      <c r="D166" s="7" t="s">
        <v>87</v>
      </c>
      <c r="E166" s="8" t="s">
        <v>620</v>
      </c>
      <c r="F166" s="6" t="s">
        <v>621</v>
      </c>
      <c r="G166" s="9">
        <f>IF(A166=1,"_",IF(C166="_","???",C166))</f>
        <v/>
      </c>
      <c r="H166" s="10" t="s">
        <v>12</v>
      </c>
      <c r="I166" s="11" t="s">
        <v>12</v>
      </c>
      <c r="J166" s="12"/>
    </row>
    <row r="167" spans="1:10" ht="60" customHeight="1">
      <c r="A167" s="6" t="s">
        <v>622</v>
      </c>
      <c r="B167" s="6" t="s">
        <v>70</v>
      </c>
      <c r="C167" s="6" t="s">
        <v>12</v>
      </c>
      <c r="D167" s="7" t="s">
        <v>87</v>
      </c>
      <c r="E167" s="8" t="s">
        <v>623</v>
      </c>
      <c r="F167" s="6" t="s">
        <v>624</v>
      </c>
      <c r="G167" s="9">
        <f>IF(A167=1,"_",IF(C167="_","???",C167))</f>
        <v/>
      </c>
      <c r="H167" s="10" t="s">
        <v>12</v>
      </c>
      <c r="I167" s="11" t="s">
        <v>12</v>
      </c>
      <c r="J167" s="12"/>
    </row>
    <row r="168" spans="1:10" ht="60" customHeight="1">
      <c r="A168" s="6" t="s">
        <v>625</v>
      </c>
      <c r="B168" s="6" t="s">
        <v>53</v>
      </c>
      <c r="C168" s="6" t="s">
        <v>12</v>
      </c>
      <c r="D168" s="7" t="s">
        <v>66</v>
      </c>
      <c r="E168" s="8" t="s">
        <v>626</v>
      </c>
      <c r="F168" s="6" t="s">
        <v>627</v>
      </c>
      <c r="G168" s="9">
        <f>IF(A168=1,"_",IF(C168="_","???",C168))</f>
        <v/>
      </c>
      <c r="H168" s="10" t="s">
        <v>12</v>
      </c>
      <c r="I168" s="11" t="s">
        <v>12</v>
      </c>
      <c r="J168" s="12"/>
    </row>
    <row r="169" spans="1:10" ht="60" customHeight="1">
      <c r="A169" s="6" t="s">
        <v>628</v>
      </c>
      <c r="B169" s="6" t="s">
        <v>20</v>
      </c>
      <c r="C169" s="6" t="s">
        <v>12</v>
      </c>
      <c r="D169" s="7" t="s">
        <v>629</v>
      </c>
      <c r="E169" s="8" t="s">
        <v>630</v>
      </c>
      <c r="F169" s="6" t="s">
        <v>631</v>
      </c>
      <c r="G169" s="9">
        <f>IF(A169=1,"_",IF(C169="_","???",C169))</f>
        <v/>
      </c>
      <c r="H169" s="10" t="s">
        <v>12</v>
      </c>
      <c r="I169" s="11" t="s">
        <v>12</v>
      </c>
      <c r="J169" s="12"/>
    </row>
    <row r="170" spans="1:10" ht="60" customHeight="1">
      <c r="A170" s="6" t="s">
        <v>632</v>
      </c>
      <c r="B170" s="6" t="s">
        <v>20</v>
      </c>
      <c r="C170" s="6" t="s">
        <v>12</v>
      </c>
      <c r="D170" s="7" t="s">
        <v>71</v>
      </c>
      <c r="E170" s="8" t="s">
        <v>633</v>
      </c>
      <c r="F170" s="6" t="s">
        <v>634</v>
      </c>
      <c r="G170" s="9">
        <f>IF(A170=1,"_",IF(C170="_","???",C170))</f>
        <v/>
      </c>
      <c r="H170" s="10" t="s">
        <v>12</v>
      </c>
      <c r="I170" s="11" t="s">
        <v>12</v>
      </c>
      <c r="J170" s="12"/>
    </row>
    <row r="171" spans="1:10" ht="60" customHeight="1">
      <c r="A171" s="6" t="s">
        <v>635</v>
      </c>
      <c r="B171" s="6" t="s">
        <v>10</v>
      </c>
      <c r="C171" s="6" t="s">
        <v>12</v>
      </c>
      <c r="D171" s="7" t="s">
        <v>71</v>
      </c>
      <c r="E171" s="8" t="s">
        <v>636</v>
      </c>
      <c r="F171" s="6" t="s">
        <v>637</v>
      </c>
      <c r="G171" s="9">
        <f>IF(A171=1,"_",IF(C171="_","???",C171))</f>
        <v/>
      </c>
      <c r="H171" s="10" t="s">
        <v>12</v>
      </c>
      <c r="I171" s="11" t="s">
        <v>12</v>
      </c>
      <c r="J171" s="12"/>
    </row>
    <row r="172" spans="1:10" ht="60" customHeight="1">
      <c r="A172" s="6" t="s">
        <v>638</v>
      </c>
      <c r="B172" s="6" t="s">
        <v>10</v>
      </c>
      <c r="C172" s="6" t="s">
        <v>12</v>
      </c>
      <c r="D172" s="7" t="s">
        <v>351</v>
      </c>
      <c r="E172" s="8" t="s">
        <v>639</v>
      </c>
      <c r="F172" s="6" t="s">
        <v>640</v>
      </c>
      <c r="G172" s="9">
        <f>IF(A172=1,"_",IF(C172="_","???",C172))</f>
        <v/>
      </c>
      <c r="H172" s="10" t="s">
        <v>12</v>
      </c>
      <c r="I172" s="11" t="s">
        <v>12</v>
      </c>
      <c r="J172" s="12"/>
    </row>
    <row r="173" spans="1:10" ht="60" customHeight="1">
      <c r="A173" s="6" t="s">
        <v>641</v>
      </c>
      <c r="B173" s="6" t="s">
        <v>20</v>
      </c>
      <c r="C173" s="6" t="s">
        <v>12</v>
      </c>
      <c r="D173" s="7" t="s">
        <v>202</v>
      </c>
      <c r="E173" s="8" t="s">
        <v>642</v>
      </c>
      <c r="F173" s="6" t="s">
        <v>643</v>
      </c>
      <c r="G173" s="9">
        <f>IF(A173=1,"_",IF(C173="_","???",C173))</f>
        <v/>
      </c>
      <c r="H173" s="10" t="s">
        <v>12</v>
      </c>
      <c r="I173" s="11" t="s">
        <v>12</v>
      </c>
      <c r="J173" s="12"/>
    </row>
    <row r="174" spans="1:10" ht="60" customHeight="1">
      <c r="A174" s="6" t="s">
        <v>644</v>
      </c>
      <c r="B174" s="6" t="s">
        <v>20</v>
      </c>
      <c r="C174" s="6" t="s">
        <v>12</v>
      </c>
      <c r="D174" s="7" t="s">
        <v>258</v>
      </c>
      <c r="E174" s="8" t="s">
        <v>645</v>
      </c>
      <c r="F174" s="6" t="s">
        <v>646</v>
      </c>
      <c r="G174" s="9">
        <f>IF(A174=1,"_",IF(C174="_","???",C174))</f>
        <v/>
      </c>
      <c r="H174" s="10" t="s">
        <v>12</v>
      </c>
      <c r="I174" s="11" t="s">
        <v>12</v>
      </c>
      <c r="J174" s="12"/>
    </row>
    <row r="175" spans="1:10" ht="60" customHeight="1">
      <c r="A175" s="6" t="s">
        <v>647</v>
      </c>
      <c r="B175" s="6" t="s">
        <v>16</v>
      </c>
      <c r="C175" s="6" t="s">
        <v>12</v>
      </c>
      <c r="D175" s="7" t="s">
        <v>118</v>
      </c>
      <c r="E175" s="8" t="s">
        <v>648</v>
      </c>
      <c r="F175" s="6" t="s">
        <v>649</v>
      </c>
      <c r="G175" s="9">
        <f>IF(A175=1,"_",IF(C175="_","???",C175))</f>
        <v/>
      </c>
      <c r="H175" s="10" t="s">
        <v>12</v>
      </c>
      <c r="I175" s="11" t="s">
        <v>12</v>
      </c>
      <c r="J175" s="12"/>
    </row>
    <row r="176" spans="1:10" ht="60" customHeight="1">
      <c r="A176" s="6" t="s">
        <v>650</v>
      </c>
      <c r="B176" s="6" t="s">
        <v>37</v>
      </c>
      <c r="C176" s="6" t="s">
        <v>12</v>
      </c>
      <c r="D176" s="7" t="s">
        <v>651</v>
      </c>
      <c r="E176" s="8" t="s">
        <v>652</v>
      </c>
      <c r="F176" s="6" t="s">
        <v>653</v>
      </c>
      <c r="G176" s="9">
        <f>IF(A176=1,"_",IF(C176="_","???",C176))</f>
        <v/>
      </c>
      <c r="H176" s="10" t="s">
        <v>12</v>
      </c>
      <c r="I176" s="11" t="s">
        <v>12</v>
      </c>
      <c r="J176" s="12"/>
    </row>
    <row r="177" spans="1:10" ht="60" customHeight="1">
      <c r="A177" s="6" t="s">
        <v>654</v>
      </c>
      <c r="B177" s="6" t="s">
        <v>125</v>
      </c>
      <c r="C177" s="6" t="s">
        <v>12</v>
      </c>
      <c r="D177" s="7" t="s">
        <v>655</v>
      </c>
      <c r="E177" s="8" t="s">
        <v>656</v>
      </c>
      <c r="F177" s="6" t="s">
        <v>657</v>
      </c>
      <c r="G177" s="9">
        <f>IF(A177=1,"_",IF(C177="_","???",C177))</f>
        <v/>
      </c>
      <c r="H177" s="10" t="s">
        <v>12</v>
      </c>
      <c r="I177" s="11" t="s">
        <v>12</v>
      </c>
      <c r="J177" s="12"/>
    </row>
    <row r="178" spans="1:10" ht="60" customHeight="1">
      <c r="A178" s="6" t="s">
        <v>658</v>
      </c>
      <c r="B178" s="6" t="s">
        <v>10</v>
      </c>
      <c r="C178" s="6" t="s">
        <v>12</v>
      </c>
      <c r="D178" s="7" t="s">
        <v>659</v>
      </c>
      <c r="E178" s="8" t="s">
        <v>660</v>
      </c>
      <c r="F178" s="6" t="s">
        <v>661</v>
      </c>
      <c r="G178" s="9">
        <f>IF(A178=1,"_",IF(C178="_","???",C178))</f>
        <v/>
      </c>
      <c r="H178" s="10" t="s">
        <v>12</v>
      </c>
      <c r="I178" s="11" t="s">
        <v>12</v>
      </c>
      <c r="J178"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79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662</v>
      </c>
      <c r="B1" s="13" t="s">
        <v>663</v>
      </c>
      <c r="C1" s="13" t="s">
        <v>664</v>
      </c>
      <c r="D1" s="13" t="s">
        <v>665</v>
      </c>
      <c r="E1" s="14" t="s">
        <v>666</v>
      </c>
      <c r="F1" s="15" t="s">
        <v>667</v>
      </c>
      <c r="G1" s="16" t="s">
        <v>668</v>
      </c>
      <c r="H1" s="17" t="s">
        <v>669</v>
      </c>
      <c r="I1" s="18" t="s">
        <v>670</v>
      </c>
      <c r="J1" s="18" t="s">
        <v>671</v>
      </c>
      <c r="K1" s="18" t="s">
        <v>672</v>
      </c>
      <c r="L1" s="19" t="s">
        <v>9</v>
      </c>
    </row>
    <row r="2" spans="1:12">
      <c r="A2" s="20" t="s">
        <v>673</v>
      </c>
    </row>
    <row r="3" spans="1:12">
      <c r="A3" s="20" t="s">
        <v>674</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675</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676</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677</v>
      </c>
      <c r="B6" s="27" t="s">
        <v>678</v>
      </c>
      <c r="C6" s="27" t="s">
        <v>679</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680</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681</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682</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674</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683</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684</v>
      </c>
      <c r="B12" s="27" t="s">
        <v>685</v>
      </c>
      <c r="C12" s="27" t="s">
        <v>686</v>
      </c>
      <c r="D12" s="27" t="s">
        <v>687</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688</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689</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690</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691</v>
      </c>
      <c r="B16" s="27" t="s">
        <v>692</v>
      </c>
      <c r="C16" s="27" t="s">
        <v>693</v>
      </c>
      <c r="D16" s="27" t="s">
        <v>687</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694</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683</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695</v>
      </c>
      <c r="B19" s="27" t="s">
        <v>696</v>
      </c>
      <c r="C19" s="27" t="s">
        <v>686</v>
      </c>
      <c r="D19" s="27" t="s">
        <v>687</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697</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698</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row>
    <row r="23" spans="1:12">
      <c r="A23" s="20" t="s">
        <v>699</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700</v>
      </c>
    </row>
    <row r="25" spans="1:12">
      <c r="A25" s="20" t="s">
        <v>674</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701</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689</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702</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703</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704</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705</v>
      </c>
      <c r="B31" s="27" t="s">
        <v>678</v>
      </c>
      <c r="C31" s="27" t="s">
        <v>693</v>
      </c>
      <c r="D31" s="27" t="s">
        <v>687</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694</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706</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707</v>
      </c>
      <c r="B34" s="27" t="s">
        <v>678</v>
      </c>
      <c r="C34" s="27" t="s">
        <v>679</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708</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683</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709</v>
      </c>
      <c r="B37" s="27" t="s">
        <v>678</v>
      </c>
      <c r="C37" s="27" t="s">
        <v>686</v>
      </c>
      <c r="D37" s="27" t="s">
        <v>687</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682</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674</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689</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710</v>
      </c>
      <c r="B41" s="27" t="s">
        <v>678</v>
      </c>
      <c r="C41" s="27" t="s">
        <v>693</v>
      </c>
      <c r="D41" s="27" t="s">
        <v>687</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711</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694</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683</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712</v>
      </c>
      <c r="B45" s="27" t="s">
        <v>696</v>
      </c>
      <c r="C45" s="27" t="s">
        <v>686</v>
      </c>
      <c r="D45" s="27" t="s">
        <v>687</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698</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row>
    <row r="48" spans="1:12">
      <c r="A48" s="20" t="s">
        <v>699</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713</v>
      </c>
    </row>
    <row r="50" spans="1:12">
      <c r="A50" s="20" t="s">
        <v>674</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714</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715</v>
      </c>
      <c r="B52" s="27" t="s">
        <v>696</v>
      </c>
      <c r="C52" s="27" t="s">
        <v>716</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682</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717</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718</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719</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682</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674</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717</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718</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720</v>
      </c>
      <c r="B61" s="27" t="s">
        <v>692</v>
      </c>
      <c r="C61" s="27" t="s">
        <v>693</v>
      </c>
      <c r="D61" s="27" t="s">
        <v>687</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674</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721</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722</v>
      </c>
      <c r="B64" s="27" t="s">
        <v>696</v>
      </c>
      <c r="C64" s="27" t="s">
        <v>693</v>
      </c>
      <c r="D64" s="27" t="s">
        <v>687</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694</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723</v>
      </c>
      <c r="B66" s="27" t="s">
        <v>724</v>
      </c>
      <c r="C66" s="27" t="s">
        <v>679</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682</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674</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703</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717</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718</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725</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726</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727</v>
      </c>
      <c r="B74" s="27" t="s">
        <v>728</v>
      </c>
      <c r="C74" s="27" t="s">
        <v>716</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729</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694</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306</v>
      </c>
      <c r="B77" s="27" t="s">
        <v>730</v>
      </c>
      <c r="C77" s="27" t="s">
        <v>731</v>
      </c>
      <c r="D77" s="27" t="s">
        <v>687</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732</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733</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734</v>
      </c>
      <c r="B80" s="27" t="s">
        <v>735</v>
      </c>
      <c r="C80" s="27" t="s">
        <v>736</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737</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698</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674</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738</v>
      </c>
      <c r="B84" s="27" t="s">
        <v>739</v>
      </c>
      <c r="C84" s="27" t="s">
        <v>731</v>
      </c>
      <c r="D84" s="27" t="s">
        <v>687</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740</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694</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683</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741</v>
      </c>
      <c r="B88" s="27" t="s">
        <v>742</v>
      </c>
      <c r="C88" s="27" t="s">
        <v>693</v>
      </c>
      <c r="D88" s="27" t="s">
        <v>687</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743</v>
      </c>
      <c r="B89" s="27" t="s">
        <v>744</v>
      </c>
      <c r="C89" s="27" t="s">
        <v>745</v>
      </c>
      <c r="D89" s="27" t="s">
        <v>687</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682</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676</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746</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682</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430</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747</v>
      </c>
      <c r="B95" s="27" t="s">
        <v>748</v>
      </c>
      <c r="C95" s="27" t="s">
        <v>749</v>
      </c>
      <c r="D95" s="27" t="s">
        <v>687</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750</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751</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752</v>
      </c>
      <c r="B98" s="27" t="s">
        <v>753</v>
      </c>
      <c r="C98" s="27" t="s">
        <v>754</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698</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row>
    <row r="101" spans="1:12">
      <c r="A101" s="20" t="s">
        <v>755</v>
      </c>
    </row>
    <row r="102" spans="1:12">
      <c r="A102" s="20" t="s">
        <v>756</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306</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757</v>
      </c>
      <c r="B104" s="27" t="s">
        <v>678</v>
      </c>
      <c r="C104" s="27" t="s">
        <v>686</v>
      </c>
      <c r="D104" s="27" t="s">
        <v>687</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758</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682</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306</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759</v>
      </c>
      <c r="B108" s="27" t="s">
        <v>685</v>
      </c>
      <c r="C108" s="27" t="s">
        <v>693</v>
      </c>
      <c r="D108" s="27" t="s">
        <v>687</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694</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760</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761</v>
      </c>
      <c r="B111" s="27" t="s">
        <v>696</v>
      </c>
      <c r="C111" s="27" t="s">
        <v>745</v>
      </c>
      <c r="D111" s="27" t="s">
        <v>687</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762</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676</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763</v>
      </c>
      <c r="B114" s="27" t="s">
        <v>724</v>
      </c>
      <c r="C114" s="27" t="s">
        <v>679</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694</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306</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764</v>
      </c>
      <c r="B117" s="27" t="s">
        <v>678</v>
      </c>
      <c r="C117" s="27" t="s">
        <v>686</v>
      </c>
      <c r="D117" s="27" t="s">
        <v>687</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765</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698</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row>
    <row r="121" spans="1:12">
      <c r="A121" s="20" t="s">
        <v>766</v>
      </c>
    </row>
    <row r="122" spans="1:12">
      <c r="A122" s="20" t="s">
        <v>767</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768</v>
      </c>
      <c r="B123" s="27" t="s">
        <v>678</v>
      </c>
      <c r="C123" s="27" t="s">
        <v>679</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769</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770</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771</v>
      </c>
      <c r="B126" s="27" t="s">
        <v>696</v>
      </c>
      <c r="C126" s="27" t="s">
        <v>772</v>
      </c>
      <c r="D126" s="27" t="s">
        <v>687</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773</v>
      </c>
      <c r="B127" s="27" t="s">
        <v>685</v>
      </c>
      <c r="C127" s="27" t="s">
        <v>686</v>
      </c>
      <c r="D127" s="27" t="s">
        <v>687</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740</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774</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row>
    <row r="131" spans="1:12">
      <c r="A131" s="20" t="s">
        <v>775</v>
      </c>
    </row>
    <row r="132" spans="1:12">
      <c r="A132" s="20" t="s">
        <v>714</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776</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694</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777</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778</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779</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780</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row>
    <row r="140" spans="1:12">
      <c r="A140" s="20" t="s">
        <v>781</v>
      </c>
    </row>
    <row r="141" spans="1:12">
      <c r="A141" s="20" t="s">
        <v>714</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740</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732</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733</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734</v>
      </c>
      <c r="B145" s="27" t="s">
        <v>685</v>
      </c>
      <c r="C145" s="27" t="s">
        <v>736</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782</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783</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733</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784</v>
      </c>
      <c r="B149" s="27" t="s">
        <v>678</v>
      </c>
      <c r="C149" s="27" t="s">
        <v>736</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780</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row>
    <row r="152" spans="1:12">
      <c r="A152" s="20" t="s">
        <v>785</v>
      </c>
    </row>
    <row r="153" spans="1:12">
      <c r="A153" s="20" t="s">
        <v>786</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747</v>
      </c>
      <c r="B154" s="27" t="s">
        <v>787</v>
      </c>
      <c r="C154" s="27" t="s">
        <v>749</v>
      </c>
      <c r="D154" s="27" t="s">
        <v>687</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750</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788</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789</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790</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752</v>
      </c>
      <c r="B159" s="27" t="s">
        <v>791</v>
      </c>
      <c r="C159" s="27" t="s">
        <v>754</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682</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792</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683</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733</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793</v>
      </c>
      <c r="B164" s="27" t="s">
        <v>678</v>
      </c>
      <c r="C164" s="27" t="s">
        <v>693</v>
      </c>
      <c r="D164" s="27" t="s">
        <v>687</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794</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683</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771</v>
      </c>
      <c r="B167" s="27" t="s">
        <v>696</v>
      </c>
      <c r="C167" s="27" t="s">
        <v>772</v>
      </c>
      <c r="D167" s="27" t="s">
        <v>687</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795</v>
      </c>
      <c r="B168" s="27" t="s">
        <v>678</v>
      </c>
      <c r="C168" s="27" t="s">
        <v>686</v>
      </c>
      <c r="D168" s="27" t="s">
        <v>687</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703</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306</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796</v>
      </c>
      <c r="B171" s="27" t="s">
        <v>724</v>
      </c>
      <c r="C171" s="27" t="s">
        <v>772</v>
      </c>
      <c r="D171" s="27" t="s">
        <v>687</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797</v>
      </c>
      <c r="B172" s="27" t="s">
        <v>696</v>
      </c>
      <c r="C172" s="27" t="s">
        <v>686</v>
      </c>
      <c r="D172" s="27" t="s">
        <v>687</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698</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row>
    <row r="175" spans="1:12">
      <c r="A175" s="20" t="s">
        <v>798</v>
      </c>
    </row>
    <row r="176" spans="1:12">
      <c r="A176" s="20" t="s">
        <v>756</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306</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799</v>
      </c>
      <c r="B178" s="27" t="s">
        <v>678</v>
      </c>
      <c r="C178" s="27" t="s">
        <v>693</v>
      </c>
      <c r="D178" s="27" t="s">
        <v>687</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694</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683</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800</v>
      </c>
      <c r="B181" s="27" t="s">
        <v>696</v>
      </c>
      <c r="C181" s="27" t="s">
        <v>693</v>
      </c>
      <c r="D181" s="27" t="s">
        <v>687</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694</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760</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801</v>
      </c>
      <c r="B184" s="27" t="s">
        <v>724</v>
      </c>
      <c r="C184" s="27" t="s">
        <v>686</v>
      </c>
      <c r="D184" s="27" t="s">
        <v>687</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682</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306</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802</v>
      </c>
      <c r="B187" s="27" t="s">
        <v>685</v>
      </c>
      <c r="C187" s="27" t="s">
        <v>686</v>
      </c>
      <c r="D187" s="27" t="s">
        <v>687</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803</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804</v>
      </c>
      <c r="B189" s="27" t="s">
        <v>692</v>
      </c>
      <c r="C189" s="27" t="s">
        <v>749</v>
      </c>
      <c r="D189" s="27" t="s">
        <v>687</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732</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805</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689</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694</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806</v>
      </c>
      <c r="B194" s="27" t="s">
        <v>807</v>
      </c>
      <c r="C194" s="27" t="s">
        <v>749</v>
      </c>
      <c r="D194" s="27" t="s">
        <v>687</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808</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242</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689</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809</v>
      </c>
      <c r="B198" s="27" t="s">
        <v>810</v>
      </c>
      <c r="C198" s="27" t="s">
        <v>693</v>
      </c>
      <c r="D198" s="27" t="s">
        <v>687</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708</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811</v>
      </c>
      <c r="B200" s="27" t="s">
        <v>812</v>
      </c>
      <c r="C200" s="27" t="s">
        <v>679</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698</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row>
    <row r="203" spans="1:12">
      <c r="A203" s="20" t="s">
        <v>813</v>
      </c>
    </row>
    <row r="204" spans="1:12">
      <c r="A204" s="20" t="s">
        <v>12</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796</v>
      </c>
      <c r="B205" s="27" t="s">
        <v>696</v>
      </c>
      <c r="C205" s="27" t="s">
        <v>772</v>
      </c>
      <c r="D205" s="27" t="s">
        <v>687</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797</v>
      </c>
      <c r="B206" s="27" t="s">
        <v>685</v>
      </c>
      <c r="C206" s="27" t="s">
        <v>686</v>
      </c>
      <c r="D206" s="27" t="s">
        <v>687</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814</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689</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809</v>
      </c>
      <c r="B209" s="27" t="s">
        <v>692</v>
      </c>
      <c r="C209" s="27" t="s">
        <v>736</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815</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703</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747</v>
      </c>
      <c r="B212" s="27" t="s">
        <v>787</v>
      </c>
      <c r="C212" s="27" t="s">
        <v>749</v>
      </c>
      <c r="D212" s="27" t="s">
        <v>687</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814</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689</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809</v>
      </c>
      <c r="B215" s="27" t="s">
        <v>791</v>
      </c>
      <c r="C215" s="27" t="s">
        <v>736</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816</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698</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row>
    <row r="219" spans="1:12">
      <c r="A219" s="20" t="s">
        <v>817</v>
      </c>
    </row>
    <row r="220" spans="1:12">
      <c r="A220" s="20" t="s">
        <v>770</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771</v>
      </c>
      <c r="B221" s="27" t="s">
        <v>696</v>
      </c>
      <c r="C221" s="27" t="s">
        <v>772</v>
      </c>
      <c r="D221" s="27" t="s">
        <v>687</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795</v>
      </c>
      <c r="B222" s="27" t="s">
        <v>685</v>
      </c>
      <c r="C222" s="27" t="s">
        <v>686</v>
      </c>
      <c r="D222" s="27" t="s">
        <v>687</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803</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732</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818</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732</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747</v>
      </c>
      <c r="B227" s="27" t="s">
        <v>807</v>
      </c>
      <c r="C227" s="27" t="s">
        <v>749</v>
      </c>
      <c r="D227" s="27" t="s">
        <v>687</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819</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820</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202</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689</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809</v>
      </c>
      <c r="B232" s="27" t="s">
        <v>821</v>
      </c>
      <c r="C232" s="27" t="s">
        <v>736</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822</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698</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row>
    <row r="236" spans="1:12">
      <c r="A236" s="20" t="s">
        <v>823</v>
      </c>
    </row>
    <row r="237" spans="1:12">
      <c r="A237" s="20" t="s">
        <v>824</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747</v>
      </c>
      <c r="B238" s="27" t="s">
        <v>685</v>
      </c>
      <c r="C238" s="27" t="s">
        <v>749</v>
      </c>
      <c r="D238" s="27" t="s">
        <v>687</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803</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732</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814</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825</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306</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816</v>
      </c>
      <c r="B244" s="27" t="s">
        <v>791</v>
      </c>
      <c r="C244" s="27" t="s">
        <v>686</v>
      </c>
      <c r="D244" s="27" t="s">
        <v>687</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698</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row>
    <row r="247" spans="1:12">
      <c r="A247" s="20" t="s">
        <v>826</v>
      </c>
    </row>
    <row r="248" spans="1:12">
      <c r="A248" s="20" t="s">
        <v>827</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828</v>
      </c>
      <c r="B249" s="27" t="s">
        <v>685</v>
      </c>
      <c r="C249" s="27" t="s">
        <v>749</v>
      </c>
      <c r="D249" s="27" t="s">
        <v>687</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829</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830</v>
      </c>
      <c r="B251" s="27" t="s">
        <v>692</v>
      </c>
      <c r="C251" s="27" t="s">
        <v>749</v>
      </c>
      <c r="D251" s="27" t="s">
        <v>687</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694</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732</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683</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771</v>
      </c>
      <c r="B255" s="27" t="s">
        <v>724</v>
      </c>
      <c r="C255" s="27" t="s">
        <v>772</v>
      </c>
      <c r="D255" s="27" t="s">
        <v>687</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831</v>
      </c>
      <c r="B256" s="27" t="s">
        <v>787</v>
      </c>
      <c r="C256" s="27" t="s">
        <v>686</v>
      </c>
      <c r="D256" s="27" t="s">
        <v>687</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832</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833</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306</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822</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698</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row>
    <row r="263" spans="1:12">
      <c r="A263" s="20" t="s">
        <v>699</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834</v>
      </c>
    </row>
    <row r="265" spans="1:12">
      <c r="A265" s="20" t="s">
        <v>12</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58</v>
      </c>
      <c r="B266" s="27" t="s">
        <v>678</v>
      </c>
      <c r="C266" s="27" t="s">
        <v>686</v>
      </c>
      <c r="D266" s="27" t="s">
        <v>687</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694</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732</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835</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683</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771</v>
      </c>
      <c r="B271" s="27" t="s">
        <v>724</v>
      </c>
      <c r="C271" s="27" t="s">
        <v>772</v>
      </c>
      <c r="D271" s="27" t="s">
        <v>687</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831</v>
      </c>
      <c r="B272" s="27" t="s">
        <v>787</v>
      </c>
      <c r="C272" s="27" t="s">
        <v>686</v>
      </c>
      <c r="D272" s="27" t="s">
        <v>687</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832</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740</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306</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822</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836</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747</v>
      </c>
      <c r="B278" s="27" t="s">
        <v>807</v>
      </c>
      <c r="C278" s="27" t="s">
        <v>749</v>
      </c>
      <c r="D278" s="27" t="s">
        <v>687</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837</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838</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674</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839</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674</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767</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840</v>
      </c>
      <c r="B285" s="27" t="s">
        <v>812</v>
      </c>
      <c r="C285" s="27" t="s">
        <v>679</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769</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740</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841</v>
      </c>
      <c r="B288" s="27" t="s">
        <v>696</v>
      </c>
      <c r="C288" s="27" t="s">
        <v>693</v>
      </c>
      <c r="D288" s="27" t="s">
        <v>687</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694</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683</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842</v>
      </c>
      <c r="B291" s="27" t="s">
        <v>724</v>
      </c>
      <c r="C291" s="27" t="s">
        <v>693</v>
      </c>
      <c r="D291" s="27" t="s">
        <v>687</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694</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683</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771</v>
      </c>
      <c r="B294" s="27" t="s">
        <v>843</v>
      </c>
      <c r="C294" s="27" t="s">
        <v>772</v>
      </c>
      <c r="D294" s="27" t="s">
        <v>687</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795</v>
      </c>
      <c r="B295" s="27" t="s">
        <v>812</v>
      </c>
      <c r="C295" s="27" t="s">
        <v>686</v>
      </c>
      <c r="D295" s="27" t="s">
        <v>687</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703</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694</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760</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844</v>
      </c>
      <c r="B299" s="27" t="s">
        <v>843</v>
      </c>
      <c r="C299" s="27" t="s">
        <v>772</v>
      </c>
      <c r="D299" s="27" t="s">
        <v>687</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845</v>
      </c>
      <c r="B300" s="27" t="s">
        <v>812</v>
      </c>
      <c r="C300" s="27" t="s">
        <v>686</v>
      </c>
      <c r="D300" s="27" t="s">
        <v>687</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698</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row>
    <row r="303" spans="1:12">
      <c r="A303" s="20" t="s">
        <v>699</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846</v>
      </c>
    </row>
    <row r="305" spans="1:12">
      <c r="A305" s="20" t="s">
        <v>786</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747</v>
      </c>
      <c r="B306" s="27" t="s">
        <v>787</v>
      </c>
      <c r="C306" s="27" t="s">
        <v>749</v>
      </c>
      <c r="D306" s="27" t="s">
        <v>687</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833</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704</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682</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683</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771</v>
      </c>
      <c r="B311" s="27" t="s">
        <v>696</v>
      </c>
      <c r="C311" s="27" t="s">
        <v>772</v>
      </c>
      <c r="D311" s="27" t="s">
        <v>687</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795</v>
      </c>
      <c r="B312" s="27" t="s">
        <v>685</v>
      </c>
      <c r="C312" s="27" t="s">
        <v>686</v>
      </c>
      <c r="D312" s="27" t="s">
        <v>687</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847</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254</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774</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674</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12</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848</v>
      </c>
      <c r="B318" s="27" t="s">
        <v>787</v>
      </c>
      <c r="C318" s="27" t="s">
        <v>686</v>
      </c>
      <c r="D318" s="27" t="s">
        <v>687</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732</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849</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850</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760</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851</v>
      </c>
      <c r="B323" s="27" t="s">
        <v>812</v>
      </c>
      <c r="C323" s="27" t="s">
        <v>686</v>
      </c>
      <c r="D323" s="27" t="s">
        <v>687</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740</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852</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694</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853</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854</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855</v>
      </c>
      <c r="B329" s="27" t="s">
        <v>696</v>
      </c>
      <c r="C329" s="27" t="s">
        <v>693</v>
      </c>
      <c r="D329" s="27" t="s">
        <v>687</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676</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306</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856</v>
      </c>
      <c r="B332" s="27" t="s">
        <v>724</v>
      </c>
      <c r="C332" s="27" t="s">
        <v>686</v>
      </c>
      <c r="D332" s="27" t="s">
        <v>687</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698</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row>
    <row r="335" spans="1:12">
      <c r="A335" s="20" t="s">
        <v>699</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857</v>
      </c>
    </row>
    <row r="337" spans="1:12">
      <c r="A337" s="20" t="s">
        <v>674</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827</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778</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677</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851</v>
      </c>
      <c r="B341" s="27" t="s">
        <v>791</v>
      </c>
      <c r="C341" s="27" t="s">
        <v>679</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682</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717</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858</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721</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740</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698</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674</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786</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747</v>
      </c>
      <c r="B350" s="27" t="s">
        <v>807</v>
      </c>
      <c r="C350" s="27" t="s">
        <v>749</v>
      </c>
      <c r="D350" s="27" t="s">
        <v>687</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833</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704</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682</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747</v>
      </c>
      <c r="B354" s="27" t="s">
        <v>787</v>
      </c>
      <c r="C354" s="27" t="s">
        <v>749</v>
      </c>
      <c r="D354" s="27" t="s">
        <v>687</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859</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860</v>
      </c>
      <c r="B356" s="27" t="s">
        <v>791</v>
      </c>
      <c r="C356" s="27" t="s">
        <v>731</v>
      </c>
      <c r="D356" s="27" t="s">
        <v>687</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721</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306</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861</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862</v>
      </c>
      <c r="B360" s="27" t="s">
        <v>696</v>
      </c>
      <c r="C360" s="27" t="s">
        <v>693</v>
      </c>
      <c r="D360" s="27" t="s">
        <v>687</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694</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306</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856</v>
      </c>
      <c r="B363" s="27" t="s">
        <v>724</v>
      </c>
      <c r="C363" s="27" t="s">
        <v>686</v>
      </c>
      <c r="D363" s="27" t="s">
        <v>687</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732</v>
      </c>
      <c r="B364" s="27" t="s">
        <v>863</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828</v>
      </c>
      <c r="B365" s="27" t="s">
        <v>864</v>
      </c>
      <c r="C365" s="27" t="s">
        <v>749</v>
      </c>
      <c r="D365" s="27" t="s">
        <v>687</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865</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866</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725</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683</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771</v>
      </c>
      <c r="B370" s="27" t="s">
        <v>843</v>
      </c>
      <c r="C370" s="27" t="s">
        <v>772</v>
      </c>
      <c r="D370" s="27" t="s">
        <v>687</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795</v>
      </c>
      <c r="B371" s="27" t="s">
        <v>821</v>
      </c>
      <c r="C371" s="27" t="s">
        <v>686</v>
      </c>
      <c r="D371" s="27" t="s">
        <v>687</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703</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694</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306</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796</v>
      </c>
      <c r="B375" s="27" t="s">
        <v>728</v>
      </c>
      <c r="C375" s="27" t="s">
        <v>772</v>
      </c>
      <c r="D375" s="27" t="s">
        <v>687</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797</v>
      </c>
      <c r="B376" s="27" t="s">
        <v>843</v>
      </c>
      <c r="C376" s="27" t="s">
        <v>686</v>
      </c>
      <c r="D376" s="27" t="s">
        <v>687</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698</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row>
    <row r="379" spans="1:12">
      <c r="A379" s="20" t="s">
        <v>699</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867</v>
      </c>
    </row>
    <row r="381" spans="1:12">
      <c r="A381" s="20" t="s">
        <v>868</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869</v>
      </c>
      <c r="B382" s="27" t="s">
        <v>678</v>
      </c>
      <c r="C382" s="27" t="s">
        <v>679</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682</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870</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732</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682</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871</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674</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839</v>
      </c>
      <c r="B389" s="27" t="s">
        <v>791</v>
      </c>
      <c r="C389" s="27" t="s">
        <v>679</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674</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682</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872</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717</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808</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202</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733</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873</v>
      </c>
      <c r="B397" s="27" t="s">
        <v>874</v>
      </c>
      <c r="C397" s="27" t="s">
        <v>736</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698</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row>
    <row r="400" spans="1:12">
      <c r="A400" s="20" t="s">
        <v>875</v>
      </c>
    </row>
    <row r="401" spans="1:12">
      <c r="A401" s="20" t="s">
        <v>827</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682</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430</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828</v>
      </c>
      <c r="B404" s="27" t="s">
        <v>787</v>
      </c>
      <c r="C404" s="27" t="s">
        <v>749</v>
      </c>
      <c r="D404" s="27" t="s">
        <v>687</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876</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877</v>
      </c>
      <c r="B406" s="27" t="s">
        <v>791</v>
      </c>
      <c r="C406" s="27" t="s">
        <v>731</v>
      </c>
      <c r="D406" s="27" t="s">
        <v>687</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682</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878</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830</v>
      </c>
      <c r="B409" s="27" t="s">
        <v>692</v>
      </c>
      <c r="C409" s="27" t="s">
        <v>749</v>
      </c>
      <c r="D409" s="27" t="s">
        <v>687</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879</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698</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row>
    <row r="413" spans="1:12">
      <c r="A413" s="20" t="s">
        <v>699</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880</v>
      </c>
    </row>
    <row r="415" spans="1:12">
      <c r="A415" s="20" t="s">
        <v>881</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694</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202</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674</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882</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694</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306</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883</v>
      </c>
      <c r="B422" s="27" t="s">
        <v>810</v>
      </c>
      <c r="C422" s="27" t="s">
        <v>686</v>
      </c>
      <c r="D422" s="27" t="s">
        <v>687</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674</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682</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430</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828</v>
      </c>
      <c r="B426" s="27" t="s">
        <v>787</v>
      </c>
      <c r="C426" s="27" t="s">
        <v>749</v>
      </c>
      <c r="D426" s="27" t="s">
        <v>687</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884</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683</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885</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886</v>
      </c>
      <c r="B430" s="27" t="s">
        <v>810</v>
      </c>
      <c r="C430" s="27" t="s">
        <v>749</v>
      </c>
      <c r="D430" s="27" t="s">
        <v>687</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682</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878</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830</v>
      </c>
      <c r="B433" s="27" t="s">
        <v>692</v>
      </c>
      <c r="C433" s="27" t="s">
        <v>749</v>
      </c>
      <c r="D433" s="27" t="s">
        <v>687</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887</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698</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row>
    <row r="437" spans="1:12">
      <c r="A437" s="20" t="s">
        <v>699</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888</v>
      </c>
    </row>
    <row r="439" spans="1:12">
      <c r="A439" s="20" t="s">
        <v>889</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890</v>
      </c>
      <c r="B440" s="27" t="s">
        <v>692</v>
      </c>
      <c r="C440" s="27" t="s">
        <v>749</v>
      </c>
      <c r="D440" s="27" t="s">
        <v>687</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774</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674</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891</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892</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839</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892</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698</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row>
    <row r="449" spans="1:12">
      <c r="A449" s="20" t="s">
        <v>893</v>
      </c>
    </row>
    <row r="450" spans="1:12">
      <c r="A450" s="20" t="s">
        <v>894</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895</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896</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708</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897</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898</v>
      </c>
      <c r="B455" s="27" t="s">
        <v>678</v>
      </c>
      <c r="C455" s="27" t="s">
        <v>899</v>
      </c>
      <c r="D455" s="27" t="s">
        <v>687</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698</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row>
    <row r="458" spans="1:12">
      <c r="A458" s="20" t="s">
        <v>699</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900</v>
      </c>
    </row>
    <row r="460" spans="1:12">
      <c r="A460" s="20" t="s">
        <v>674</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827</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901</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732</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902</v>
      </c>
      <c r="B464" s="27" t="s">
        <v>692</v>
      </c>
      <c r="C464" s="27" t="s">
        <v>679</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694</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254</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903</v>
      </c>
      <c r="B467" s="27" t="s">
        <v>810</v>
      </c>
      <c r="C467" s="27" t="s">
        <v>731</v>
      </c>
      <c r="D467" s="27" t="s">
        <v>687</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698</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674</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row>
    <row r="471" spans="1:12">
      <c r="A471" s="20" t="s">
        <v>904</v>
      </c>
    </row>
    <row r="472" spans="1:12">
      <c r="A472" s="20" t="s">
        <v>905</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789</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906</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752</v>
      </c>
      <c r="B475" s="27" t="s">
        <v>791</v>
      </c>
      <c r="C475" s="27" t="s">
        <v>754</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682</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760</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907</v>
      </c>
      <c r="B478" s="27" t="s">
        <v>685</v>
      </c>
      <c r="C478" s="27" t="s">
        <v>693</v>
      </c>
      <c r="D478" s="27" t="s">
        <v>687</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694</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683</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741</v>
      </c>
      <c r="B481" s="27" t="s">
        <v>696</v>
      </c>
      <c r="C481" s="27" t="s">
        <v>686</v>
      </c>
      <c r="D481" s="27" t="s">
        <v>687</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908</v>
      </c>
      <c r="B482" s="27" t="s">
        <v>724</v>
      </c>
      <c r="C482" s="27" t="s">
        <v>745</v>
      </c>
      <c r="D482" s="27" t="s">
        <v>687</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909</v>
      </c>
      <c r="B483" s="27" t="s">
        <v>812</v>
      </c>
      <c r="C483" s="27" t="s">
        <v>745</v>
      </c>
      <c r="D483" s="27" t="s">
        <v>687</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910</v>
      </c>
      <c r="B484" s="27" t="s">
        <v>812</v>
      </c>
      <c r="C484" s="27" t="s">
        <v>745</v>
      </c>
      <c r="D484" s="27" t="s">
        <v>687</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911</v>
      </c>
      <c r="B485" s="27" t="s">
        <v>812</v>
      </c>
      <c r="C485" s="27" t="s">
        <v>745</v>
      </c>
      <c r="D485" s="27" t="s">
        <v>687</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912</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830</v>
      </c>
      <c r="B487" s="27" t="s">
        <v>678</v>
      </c>
      <c r="C487" s="27" t="s">
        <v>749</v>
      </c>
      <c r="D487" s="27" t="s">
        <v>687</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708</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913</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689</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914</v>
      </c>
      <c r="B491" s="27" t="s">
        <v>810</v>
      </c>
      <c r="C491" s="27" t="s">
        <v>693</v>
      </c>
      <c r="D491" s="27" t="s">
        <v>687</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866</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683</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915</v>
      </c>
      <c r="B494" s="27" t="s">
        <v>812</v>
      </c>
      <c r="C494" s="27" t="s">
        <v>686</v>
      </c>
      <c r="D494" s="27" t="s">
        <v>687</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916</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698</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row>
    <row r="498" spans="1:12">
      <c r="A498" s="20" t="s">
        <v>917</v>
      </c>
    </row>
    <row r="499" spans="1:12">
      <c r="A499" s="20" t="s">
        <v>918</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919</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920</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698</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row>
    <row r="504" spans="1:12">
      <c r="A504" s="20" t="s">
        <v>921</v>
      </c>
    </row>
    <row r="505" spans="1:12">
      <c r="A505" s="20" t="s">
        <v>922</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923</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676</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683</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924</v>
      </c>
      <c r="B509" s="27" t="s">
        <v>692</v>
      </c>
      <c r="C509" s="27" t="s">
        <v>686</v>
      </c>
      <c r="D509" s="27" t="s">
        <v>687</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721</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733</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734</v>
      </c>
      <c r="B512" s="27" t="s">
        <v>678</v>
      </c>
      <c r="C512" s="27" t="s">
        <v>736</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698</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row>
    <row r="515" spans="1:12">
      <c r="A515" s="20" t="s">
        <v>925</v>
      </c>
    </row>
    <row r="516" spans="1:12">
      <c r="A516" s="20" t="s">
        <v>926</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927</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928</v>
      </c>
      <c r="B518" s="27" t="s">
        <v>685</v>
      </c>
      <c r="C518" s="27" t="s">
        <v>899</v>
      </c>
      <c r="D518" s="27" t="s">
        <v>687</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717</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929</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930</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698</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row>
    <row r="524" spans="1:12">
      <c r="A524" s="20" t="s">
        <v>931</v>
      </c>
    </row>
    <row r="525" spans="1:12">
      <c r="A525" s="20" t="s">
        <v>932</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933</v>
      </c>
      <c r="B526" s="27" t="s">
        <v>692</v>
      </c>
      <c r="C526" s="27" t="s">
        <v>749</v>
      </c>
      <c r="D526" s="27" t="s">
        <v>687</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934</v>
      </c>
      <c r="B527" s="27" t="s">
        <v>692</v>
      </c>
      <c r="C527" s="27" t="s">
        <v>679</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682</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306</v>
      </c>
      <c r="B529" s="27" t="s">
        <v>696</v>
      </c>
      <c r="C529" s="27" t="s">
        <v>731</v>
      </c>
      <c r="D529" s="27" t="s">
        <v>687</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732</v>
      </c>
      <c r="B530" s="27" t="s">
        <v>874</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935</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936</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850</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937</v>
      </c>
      <c r="B534" s="27" t="s">
        <v>874</v>
      </c>
      <c r="C534" s="27" t="s">
        <v>749</v>
      </c>
      <c r="D534" s="27" t="s">
        <v>687</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780</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row>
    <row r="537" spans="1:12">
      <c r="A537" s="20" t="s">
        <v>938</v>
      </c>
    </row>
    <row r="538" spans="1:12">
      <c r="A538" s="20" t="s">
        <v>939</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747</v>
      </c>
      <c r="B539" s="27" t="s">
        <v>685</v>
      </c>
      <c r="C539" s="27" t="s">
        <v>749</v>
      </c>
      <c r="D539" s="27" t="s">
        <v>687</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792</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106</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306</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856</v>
      </c>
      <c r="B543" s="27" t="s">
        <v>692</v>
      </c>
      <c r="C543" s="27" t="s">
        <v>693</v>
      </c>
      <c r="D543" s="27" t="s">
        <v>687</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694</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760</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940</v>
      </c>
      <c r="B546" s="27" t="s">
        <v>696</v>
      </c>
      <c r="C546" s="27" t="s">
        <v>686</v>
      </c>
      <c r="D546" s="27" t="s">
        <v>687</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698</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row>
    <row r="549" spans="1:12">
      <c r="A549" s="20" t="s">
        <v>941</v>
      </c>
    </row>
    <row r="550" spans="1:12">
      <c r="A550" s="20" t="s">
        <v>942</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683</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943</v>
      </c>
      <c r="B552" s="27" t="s">
        <v>678</v>
      </c>
      <c r="C552" s="27" t="s">
        <v>693</v>
      </c>
      <c r="D552" s="27" t="s">
        <v>687</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694</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940</v>
      </c>
      <c r="B554" s="27" t="s">
        <v>678</v>
      </c>
      <c r="C554" s="27" t="s">
        <v>679</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698</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row>
    <row r="557" spans="1:12">
      <c r="A557" s="20" t="s">
        <v>944</v>
      </c>
    </row>
    <row r="558" spans="1:12">
      <c r="A558" s="20" t="s">
        <v>945</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946</v>
      </c>
      <c r="B559" s="27" t="s">
        <v>692</v>
      </c>
      <c r="C559" s="27" t="s">
        <v>693</v>
      </c>
      <c r="D559" s="27" t="s">
        <v>687</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694</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947</v>
      </c>
      <c r="B561" s="27" t="s">
        <v>696</v>
      </c>
      <c r="C561" s="27" t="s">
        <v>693</v>
      </c>
      <c r="D561" s="27" t="s">
        <v>687</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694</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940</v>
      </c>
      <c r="B563" s="27" t="s">
        <v>724</v>
      </c>
      <c r="C563" s="27" t="s">
        <v>679</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703</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694</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948</v>
      </c>
      <c r="B566" s="27" t="s">
        <v>724</v>
      </c>
      <c r="C566" s="27" t="s">
        <v>693</v>
      </c>
      <c r="D566" s="27" t="s">
        <v>687</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694</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940</v>
      </c>
      <c r="B568" s="27" t="s">
        <v>812</v>
      </c>
      <c r="C568" s="27" t="s">
        <v>679</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698</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row>
    <row r="571" spans="1:12">
      <c r="A571" s="20" t="s">
        <v>949</v>
      </c>
    </row>
    <row r="572" spans="1:12">
      <c r="A572" s="20" t="s">
        <v>950</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792</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118</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306</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951</v>
      </c>
      <c r="B576" s="27" t="s">
        <v>692</v>
      </c>
      <c r="C576" s="27" t="s">
        <v>693</v>
      </c>
      <c r="D576" s="27" t="s">
        <v>687</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694</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952</v>
      </c>
      <c r="B578" s="27" t="s">
        <v>696</v>
      </c>
      <c r="C578" s="27" t="s">
        <v>745</v>
      </c>
      <c r="D578" s="27" t="s">
        <v>687</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953</v>
      </c>
      <c r="B579" s="27" t="s">
        <v>724</v>
      </c>
      <c r="C579" s="27" t="s">
        <v>745</v>
      </c>
      <c r="D579" s="27" t="s">
        <v>687</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954</v>
      </c>
      <c r="B580" s="27" t="s">
        <v>724</v>
      </c>
      <c r="C580" s="27" t="s">
        <v>745</v>
      </c>
      <c r="D580" s="27" t="s">
        <v>687</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676</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955</v>
      </c>
      <c r="B582" s="27" t="s">
        <v>678</v>
      </c>
      <c r="C582" s="27" t="s">
        <v>745</v>
      </c>
      <c r="D582" s="27" t="s">
        <v>687</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682</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676</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306</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956</v>
      </c>
      <c r="B586" s="27" t="s">
        <v>678</v>
      </c>
      <c r="C586" s="27" t="s">
        <v>745</v>
      </c>
      <c r="D586" s="27" t="s">
        <v>687</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682</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957</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958</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928</v>
      </c>
      <c r="B590" s="27" t="s">
        <v>807</v>
      </c>
      <c r="C590" s="27" t="s">
        <v>686</v>
      </c>
      <c r="D590" s="27" t="s">
        <v>687</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782</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959</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694</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683</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960</v>
      </c>
      <c r="B595" s="27" t="s">
        <v>724</v>
      </c>
      <c r="C595" s="27" t="s">
        <v>693</v>
      </c>
      <c r="D595" s="27" t="s">
        <v>687</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961</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694</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306</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962</v>
      </c>
      <c r="B599" s="27" t="s">
        <v>812</v>
      </c>
      <c r="C599" s="27" t="s">
        <v>686</v>
      </c>
      <c r="D599" s="27" t="s">
        <v>687</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698</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row>
    <row r="602" spans="1:12">
      <c r="A602" s="20" t="s">
        <v>963</v>
      </c>
    </row>
    <row r="603" spans="1:12">
      <c r="A603" s="20" t="s">
        <v>964</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729</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965</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966</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676</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306</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856</v>
      </c>
      <c r="B609" s="27" t="s">
        <v>696</v>
      </c>
      <c r="C609" s="27" t="s">
        <v>693</v>
      </c>
      <c r="D609" s="27" t="s">
        <v>687</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694</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760</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940</v>
      </c>
      <c r="B612" s="27" t="s">
        <v>724</v>
      </c>
      <c r="C612" s="27" t="s">
        <v>686</v>
      </c>
      <c r="D612" s="27" t="s">
        <v>687</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682</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729</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830</v>
      </c>
      <c r="B615" s="27" t="s">
        <v>692</v>
      </c>
      <c r="C615" s="27" t="s">
        <v>749</v>
      </c>
      <c r="D615" s="27" t="s">
        <v>687</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967</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694</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732</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683</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924</v>
      </c>
      <c r="B620" s="27" t="s">
        <v>787</v>
      </c>
      <c r="C620" s="27" t="s">
        <v>686</v>
      </c>
      <c r="D620" s="27" t="s">
        <v>687</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833</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733</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915</v>
      </c>
      <c r="B623" s="27" t="s">
        <v>678</v>
      </c>
      <c r="C623" s="27" t="s">
        <v>736</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703</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732</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682</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430</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958</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928</v>
      </c>
      <c r="B629" s="27" t="s">
        <v>807</v>
      </c>
      <c r="C629" s="27" t="s">
        <v>693</v>
      </c>
      <c r="D629" s="27" t="s">
        <v>687</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694</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306</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856</v>
      </c>
      <c r="B632" s="27" t="s">
        <v>812</v>
      </c>
      <c r="C632" s="27" t="s">
        <v>686</v>
      </c>
      <c r="D632" s="27" t="s">
        <v>687</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968</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969</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774</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row>
    <row r="637" spans="1:12">
      <c r="A637" s="20" t="s">
        <v>699</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970</v>
      </c>
    </row>
    <row r="639" spans="1:12">
      <c r="A639" s="20" t="s">
        <v>674</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894</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849</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971</v>
      </c>
      <c r="B642" s="27" t="s">
        <v>810</v>
      </c>
      <c r="C642" s="27" t="s">
        <v>693</v>
      </c>
      <c r="D642" s="27" t="s">
        <v>687</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694</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934</v>
      </c>
      <c r="B644" s="27" t="s">
        <v>812</v>
      </c>
      <c r="C644" s="27" t="s">
        <v>679</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682</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972</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973</v>
      </c>
      <c r="B647" s="27" t="s">
        <v>724</v>
      </c>
      <c r="C647" s="27" t="s">
        <v>693</v>
      </c>
      <c r="D647" s="27" t="s">
        <v>687</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694</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733</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915</v>
      </c>
      <c r="B650" s="27" t="s">
        <v>812</v>
      </c>
      <c r="C650" s="27" t="s">
        <v>736</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674</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682</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974</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683</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254</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727</v>
      </c>
      <c r="B656" s="27" t="s">
        <v>791</v>
      </c>
      <c r="C656" s="27" t="s">
        <v>716</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732</v>
      </c>
      <c r="B657" s="27" t="s">
        <v>863</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833</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975</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698</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row>
    <row r="662" spans="1:12">
      <c r="A662" s="20" t="s">
        <v>699</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976</v>
      </c>
    </row>
    <row r="664" spans="1:12">
      <c r="A664" s="20" t="s">
        <v>894</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833</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683</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771</v>
      </c>
      <c r="B667" s="27" t="s">
        <v>724</v>
      </c>
      <c r="C667" s="27" t="s">
        <v>772</v>
      </c>
      <c r="D667" s="27" t="s">
        <v>687</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915</v>
      </c>
      <c r="B668" s="27" t="s">
        <v>791</v>
      </c>
      <c r="C668" s="27" t="s">
        <v>686</v>
      </c>
      <c r="D668" s="27" t="s">
        <v>687</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682</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717</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814</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977</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978</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830</v>
      </c>
      <c r="B674" s="27" t="s">
        <v>791</v>
      </c>
      <c r="C674" s="27" t="s">
        <v>749</v>
      </c>
      <c r="D674" s="27" t="s">
        <v>687</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683</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936</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979</v>
      </c>
      <c r="B677" s="27" t="s">
        <v>810</v>
      </c>
      <c r="C677" s="27" t="s">
        <v>693</v>
      </c>
      <c r="D677" s="27" t="s">
        <v>687</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694</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828</v>
      </c>
      <c r="B679" s="27" t="s">
        <v>812</v>
      </c>
      <c r="C679" s="27" t="s">
        <v>749</v>
      </c>
      <c r="D679" s="27" t="s">
        <v>687</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682</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836</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980</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981</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732</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833</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733</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915</v>
      </c>
      <c r="B687" s="27" t="s">
        <v>724</v>
      </c>
      <c r="C687" s="27" t="s">
        <v>736</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703</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732</v>
      </c>
      <c r="B689" s="27" t="s">
        <v>864</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682</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708</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958</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928</v>
      </c>
      <c r="B693" s="27" t="s">
        <v>843</v>
      </c>
      <c r="C693" s="27" t="s">
        <v>693</v>
      </c>
      <c r="D693" s="27" t="s">
        <v>687</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732</v>
      </c>
      <c r="B694" s="27" t="s">
        <v>739</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982</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973</v>
      </c>
      <c r="B696" s="27" t="s">
        <v>728</v>
      </c>
      <c r="C696" s="27" t="s">
        <v>693</v>
      </c>
      <c r="D696" s="27" t="s">
        <v>687</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694</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828</v>
      </c>
      <c r="B698" s="27" t="s">
        <v>744</v>
      </c>
      <c r="C698" s="27" t="s">
        <v>749</v>
      </c>
      <c r="D698" s="27" t="s">
        <v>687</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682</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833</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983</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984</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721</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683</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915</v>
      </c>
      <c r="B705" s="27" t="s">
        <v>843</v>
      </c>
      <c r="C705" s="27" t="s">
        <v>686</v>
      </c>
      <c r="D705" s="27" t="s">
        <v>687</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985</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986</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683</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915</v>
      </c>
      <c r="B709" s="27" t="s">
        <v>728</v>
      </c>
      <c r="C709" s="27" t="s">
        <v>686</v>
      </c>
      <c r="D709" s="27" t="s">
        <v>687</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674</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839</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674</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986</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683</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915</v>
      </c>
      <c r="B715" s="27" t="s">
        <v>728</v>
      </c>
      <c r="C715" s="27" t="s">
        <v>686</v>
      </c>
      <c r="D715" s="27" t="s">
        <v>687</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987</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698</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row>
    <row r="719" spans="1:12">
      <c r="A719" s="20" t="s">
        <v>988</v>
      </c>
    </row>
    <row r="720" spans="1:12">
      <c r="A720" s="20" t="s">
        <v>989</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830</v>
      </c>
      <c r="B721" s="27" t="s">
        <v>692</v>
      </c>
      <c r="C721" s="27" t="s">
        <v>749</v>
      </c>
      <c r="D721" s="27" t="s">
        <v>687</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788</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990</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983</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991</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721</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683</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915</v>
      </c>
      <c r="B728" s="27" t="s">
        <v>696</v>
      </c>
      <c r="C728" s="27" t="s">
        <v>686</v>
      </c>
      <c r="D728" s="27" t="s">
        <v>687</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992</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698</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row>
    <row r="732" spans="1:12">
      <c r="A732" s="20" t="s">
        <v>993</v>
      </c>
    </row>
    <row r="733" spans="1:12">
      <c r="A733" s="20" t="s">
        <v>881</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682</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733</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994</v>
      </c>
      <c r="B736" s="27" t="s">
        <v>685</v>
      </c>
      <c r="C736" s="27" t="s">
        <v>693</v>
      </c>
      <c r="D736" s="27" t="s">
        <v>687</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694</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689</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995</v>
      </c>
      <c r="B739" s="27" t="s">
        <v>696</v>
      </c>
      <c r="C739" s="27" t="s">
        <v>736</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796</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996</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733</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997</v>
      </c>
      <c r="B743" s="27" t="s">
        <v>791</v>
      </c>
      <c r="C743" s="27" t="s">
        <v>736</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732</v>
      </c>
      <c r="B744" s="27" t="s">
        <v>863</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833</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998</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698</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row>
    <row r="749" spans="1:12">
      <c r="A749" s="20" t="s">
        <v>999</v>
      </c>
    </row>
    <row r="750" spans="1:12">
      <c r="A750" s="20" t="s">
        <v>786</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683</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1000</v>
      </c>
      <c r="B752" s="27" t="s">
        <v>724</v>
      </c>
      <c r="C752" s="27" t="s">
        <v>772</v>
      </c>
      <c r="D752" s="27" t="s">
        <v>687</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997</v>
      </c>
      <c r="B753" s="27" t="s">
        <v>787</v>
      </c>
      <c r="C753" s="27" t="s">
        <v>686</v>
      </c>
      <c r="D753" s="27" t="s">
        <v>687</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1001</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682</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828</v>
      </c>
      <c r="B756" s="27" t="s">
        <v>685</v>
      </c>
      <c r="C756" s="27" t="s">
        <v>749</v>
      </c>
      <c r="D756" s="27" t="s">
        <v>687</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694</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1002</v>
      </c>
      <c r="B758" s="27" t="s">
        <v>696</v>
      </c>
      <c r="C758" s="27" t="s">
        <v>679</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1003</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782</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794</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958</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1004</v>
      </c>
      <c r="B763" s="27" t="s">
        <v>692</v>
      </c>
      <c r="C763" s="27" t="s">
        <v>686</v>
      </c>
      <c r="D763" s="27" t="s">
        <v>687</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732</v>
      </c>
      <c r="B764" s="27" t="s">
        <v>807</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835</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830</v>
      </c>
      <c r="B766" s="27" t="s">
        <v>810</v>
      </c>
      <c r="C766" s="27" t="s">
        <v>749</v>
      </c>
      <c r="D766" s="27" t="s">
        <v>687</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1005</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683</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1006</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919</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1007</v>
      </c>
      <c r="B771" s="27" t="s">
        <v>821</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698</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row>
    <row r="774" spans="1:12">
      <c r="A774" s="20" t="s">
        <v>1008</v>
      </c>
    </row>
    <row r="775" spans="1:12">
      <c r="A775" s="20" t="s">
        <v>1009</v>
      </c>
      <c r="B775" s="27" t="s">
        <v>787</v>
      </c>
      <c r="C775" s="27" t="s">
        <v>749</v>
      </c>
      <c r="D775" s="27" t="s">
        <v>687</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1010</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683</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1011</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683</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1012</v>
      </c>
      <c r="B780" s="27" t="s">
        <v>791</v>
      </c>
      <c r="C780" s="27" t="s">
        <v>686</v>
      </c>
      <c r="D780" s="27" t="s">
        <v>687</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694</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306</v>
      </c>
      <c r="B782" s="27" t="s">
        <v>843</v>
      </c>
      <c r="C782" s="27" t="s">
        <v>731</v>
      </c>
      <c r="D782" s="27" t="s">
        <v>687</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732</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936</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794</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1013</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1014</v>
      </c>
      <c r="B787" s="27" t="s">
        <v>812</v>
      </c>
      <c r="C787" s="27" t="s">
        <v>899</v>
      </c>
      <c r="D787" s="27" t="s">
        <v>687</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698</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row>
    <row r="790" spans="1:12">
      <c r="A790" s="20" t="s">
        <v>1015</v>
      </c>
    </row>
    <row r="791" spans="1:12">
      <c r="A791" s="20" t="s">
        <v>1016</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254</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774</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row>
    <row r="795" spans="1:12">
      <c r="A795" s="20" t="s">
        <v>699</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1017</v>
      </c>
    </row>
    <row r="797" spans="1:12">
      <c r="A797" s="20" t="s">
        <v>674</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1018</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148</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721</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760</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1019</v>
      </c>
      <c r="B802" s="27" t="s">
        <v>678</v>
      </c>
      <c r="C802" s="27" t="s">
        <v>716</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682</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836</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689</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1020</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729</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1021</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674</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780</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row>
    <row r="812" spans="1:12">
      <c r="A812" s="20" t="s">
        <v>1022</v>
      </c>
    </row>
    <row r="813" spans="1:12">
      <c r="A813" s="20" t="s">
        <v>1023</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1024</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217</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1025</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1026</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1027</v>
      </c>
      <c r="B818" s="27" t="s">
        <v>810</v>
      </c>
      <c r="C818" s="27" t="s">
        <v>693</v>
      </c>
      <c r="D818" s="27" t="s">
        <v>687</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694</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784</v>
      </c>
      <c r="B820" s="27" t="s">
        <v>812</v>
      </c>
      <c r="C820" s="27" t="s">
        <v>679</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998</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682</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1028</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782</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676</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683</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1029</v>
      </c>
      <c r="B827" s="27" t="s">
        <v>821</v>
      </c>
      <c r="C827" s="27" t="s">
        <v>686</v>
      </c>
      <c r="D827" s="27" t="s">
        <v>687</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1030</v>
      </c>
      <c r="B828" s="27" t="s">
        <v>843</v>
      </c>
      <c r="C828" s="27" t="s">
        <v>745</v>
      </c>
      <c r="D828" s="27" t="s">
        <v>687</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1031</v>
      </c>
      <c r="B829" s="27" t="s">
        <v>728</v>
      </c>
      <c r="C829" s="27" t="s">
        <v>745</v>
      </c>
      <c r="D829" s="27" t="s">
        <v>687</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694</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683</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953</v>
      </c>
      <c r="B832" s="27" t="s">
        <v>728</v>
      </c>
      <c r="C832" s="27" t="s">
        <v>745</v>
      </c>
      <c r="D832" s="27" t="s">
        <v>687</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682</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34</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782</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1032</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694</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306</v>
      </c>
      <c r="B838" s="27" t="s">
        <v>843</v>
      </c>
      <c r="C838" s="27" t="s">
        <v>731</v>
      </c>
      <c r="D838" s="27" t="s">
        <v>687</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732</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1010</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683</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512</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794</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760</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1033</v>
      </c>
      <c r="B845" s="27" t="s">
        <v>843</v>
      </c>
      <c r="C845" s="27" t="s">
        <v>686</v>
      </c>
      <c r="D845" s="27" t="s">
        <v>687</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780</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row>
    <row r="848" spans="1:12">
      <c r="A848" s="20" t="s">
        <v>1034</v>
      </c>
    </row>
    <row r="849" spans="1:12">
      <c r="A849" s="20" t="s">
        <v>827</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694</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1002</v>
      </c>
      <c r="B851" s="27" t="s">
        <v>678</v>
      </c>
      <c r="C851" s="27" t="s">
        <v>679</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870</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774</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958</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1035</v>
      </c>
      <c r="B855" s="27" t="s">
        <v>787</v>
      </c>
      <c r="C855" s="27" t="s">
        <v>686</v>
      </c>
      <c r="D855" s="27" t="s">
        <v>687</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1036</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1037</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1038</v>
      </c>
      <c r="B858" s="27" t="s">
        <v>692</v>
      </c>
      <c r="C858" s="27" t="s">
        <v>693</v>
      </c>
      <c r="D858" s="27" t="s">
        <v>687</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694</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1039</v>
      </c>
      <c r="B860" s="27" t="s">
        <v>696</v>
      </c>
      <c r="C860" s="27" t="s">
        <v>693</v>
      </c>
      <c r="D860" s="27" t="s">
        <v>687</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794</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934</v>
      </c>
      <c r="B862" s="27" t="s">
        <v>724</v>
      </c>
      <c r="C862" s="27" t="s">
        <v>679</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698</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row>
    <row r="865" spans="1:12">
      <c r="A865" s="20" t="s">
        <v>1040</v>
      </c>
    </row>
    <row r="866" spans="1:12">
      <c r="A866" s="20" t="s">
        <v>1041</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1039</v>
      </c>
      <c r="B867" s="27" t="s">
        <v>787</v>
      </c>
      <c r="C867" s="27" t="s">
        <v>899</v>
      </c>
      <c r="D867" s="27" t="s">
        <v>687</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794</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934</v>
      </c>
      <c r="B869" s="27" t="s">
        <v>724</v>
      </c>
      <c r="C869" s="27" t="s">
        <v>679</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1042</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683</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217</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1043</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1044</v>
      </c>
      <c r="B874" s="27" t="s">
        <v>810</v>
      </c>
      <c r="C874" s="27" t="s">
        <v>749</v>
      </c>
      <c r="D874" s="27" t="s">
        <v>687</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698</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row>
    <row r="877" spans="1:12">
      <c r="A877" s="20" t="s">
        <v>1045</v>
      </c>
    </row>
    <row r="878" spans="1:12">
      <c r="A878" s="20" t="s">
        <v>1046</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1047</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1048</v>
      </c>
      <c r="B880" s="27" t="s">
        <v>678</v>
      </c>
      <c r="C880" s="27" t="s">
        <v>1049</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682</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1050</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928</v>
      </c>
      <c r="B883" s="27" t="s">
        <v>685</v>
      </c>
      <c r="C883" s="27" t="s">
        <v>899</v>
      </c>
      <c r="D883" s="27" t="s">
        <v>687</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1036</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1051</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683</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1052</v>
      </c>
      <c r="B887" s="27" t="s">
        <v>692</v>
      </c>
      <c r="C887" s="27" t="s">
        <v>686</v>
      </c>
      <c r="D887" s="27" t="s">
        <v>687</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676</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683</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1053</v>
      </c>
      <c r="B890" s="27" t="s">
        <v>678</v>
      </c>
      <c r="C890" s="27" t="s">
        <v>686</v>
      </c>
      <c r="D890" s="27" t="s">
        <v>687</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698</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row>
    <row r="893" spans="1:12">
      <c r="A893" s="20" t="s">
        <v>699</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1054</v>
      </c>
    </row>
    <row r="895" spans="1:12">
      <c r="A895" s="20" t="s">
        <v>770</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1055</v>
      </c>
      <c r="B896" s="27" t="s">
        <v>685</v>
      </c>
      <c r="C896" s="27" t="s">
        <v>693</v>
      </c>
      <c r="D896" s="27" t="s">
        <v>687</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694</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958</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928</v>
      </c>
      <c r="B899" s="27" t="s">
        <v>696</v>
      </c>
      <c r="C899" s="27" t="s">
        <v>686</v>
      </c>
      <c r="D899" s="27" t="s">
        <v>687</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674</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1056</v>
      </c>
      <c r="B901" s="27" t="s">
        <v>724</v>
      </c>
      <c r="C901" s="27" t="s">
        <v>679</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674</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1037</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1038</v>
      </c>
      <c r="B904" s="27" t="s">
        <v>678</v>
      </c>
      <c r="C904" s="27" t="s">
        <v>693</v>
      </c>
      <c r="D904" s="27" t="s">
        <v>687</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694</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1039</v>
      </c>
      <c r="B906" s="27" t="s">
        <v>678</v>
      </c>
      <c r="C906" s="27" t="s">
        <v>679</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1057</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698</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row>
    <row r="910" spans="1:12">
      <c r="A910" s="20" t="s">
        <v>699</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1058</v>
      </c>
    </row>
    <row r="912" spans="1:12">
      <c r="A912" s="20" t="s">
        <v>1041</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1039</v>
      </c>
      <c r="B913" s="27" t="s">
        <v>678</v>
      </c>
      <c r="C913" s="27" t="s">
        <v>899</v>
      </c>
      <c r="D913" s="27" t="s">
        <v>687</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1057</v>
      </c>
      <c r="B914" s="27" t="s">
        <v>787</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1059</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732</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937</v>
      </c>
      <c r="B917" s="27" t="s">
        <v>807</v>
      </c>
      <c r="C917" s="27" t="s">
        <v>749</v>
      </c>
      <c r="D917" s="27" t="s">
        <v>687</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1060</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676</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306</v>
      </c>
      <c r="B920" s="27" t="s">
        <v>843</v>
      </c>
      <c r="C920" s="27" t="s">
        <v>731</v>
      </c>
      <c r="D920" s="27" t="s">
        <v>687</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732</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1061</v>
      </c>
      <c r="B922" s="27" t="s">
        <v>863</v>
      </c>
      <c r="C922" s="27" t="s">
        <v>749</v>
      </c>
      <c r="D922" s="27" t="s">
        <v>687</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1062</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683</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1063</v>
      </c>
      <c r="B925" s="27" t="s">
        <v>821</v>
      </c>
      <c r="C925" s="27" t="s">
        <v>693</v>
      </c>
      <c r="D925" s="27" t="s">
        <v>687</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1064</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676</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306</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856</v>
      </c>
      <c r="B929" s="27" t="s">
        <v>843</v>
      </c>
      <c r="C929" s="27" t="s">
        <v>686</v>
      </c>
      <c r="D929" s="27" t="s">
        <v>687</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682</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703</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1065</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674</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1056</v>
      </c>
      <c r="B934" s="27" t="s">
        <v>1066</v>
      </c>
      <c r="C934" s="27" t="s">
        <v>679</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674</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1067</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694</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162</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683</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1000</v>
      </c>
      <c r="B940" s="27" t="s">
        <v>744</v>
      </c>
      <c r="C940" s="27" t="s">
        <v>772</v>
      </c>
      <c r="D940" s="27" t="s">
        <v>687</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784</v>
      </c>
      <c r="B941" s="27" t="s">
        <v>742</v>
      </c>
      <c r="C941" s="27" t="s">
        <v>686</v>
      </c>
      <c r="D941" s="27" t="s">
        <v>687</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729</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1068</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698</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row>
    <row r="946" spans="1:12">
      <c r="A946" s="20" t="s">
        <v>1069</v>
      </c>
    </row>
    <row r="947" spans="1:12">
      <c r="A947" s="20" t="s">
        <v>827</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779</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1010</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1013</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771</v>
      </c>
      <c r="B951" s="27" t="s">
        <v>696</v>
      </c>
      <c r="C951" s="27" t="s">
        <v>772</v>
      </c>
      <c r="D951" s="27" t="s">
        <v>687</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994</v>
      </c>
      <c r="B952" s="27" t="s">
        <v>685</v>
      </c>
      <c r="C952" s="27" t="s">
        <v>899</v>
      </c>
      <c r="D952" s="27" t="s">
        <v>687</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683</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137</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782</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794</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1070</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1004</v>
      </c>
      <c r="B958" s="27" t="s">
        <v>791</v>
      </c>
      <c r="C958" s="27" t="s">
        <v>899</v>
      </c>
      <c r="D958" s="27" t="s">
        <v>687</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694</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784</v>
      </c>
      <c r="B960" s="27" t="s">
        <v>724</v>
      </c>
      <c r="C960" s="27" t="s">
        <v>693</v>
      </c>
      <c r="D960" s="27" t="s">
        <v>687</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694</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683</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997</v>
      </c>
      <c r="B963" s="27" t="s">
        <v>812</v>
      </c>
      <c r="C963" s="27" t="s">
        <v>686</v>
      </c>
      <c r="D963" s="27" t="s">
        <v>687</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998</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698</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row>
    <row r="967" spans="1:12">
      <c r="A967" s="20" t="s">
        <v>1071</v>
      </c>
    </row>
    <row r="968" spans="1:12">
      <c r="A968" s="20" t="s">
        <v>827</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747</v>
      </c>
      <c r="B969" s="27" t="s">
        <v>685</v>
      </c>
      <c r="C969" s="27" t="s">
        <v>749</v>
      </c>
      <c r="D969" s="27" t="s">
        <v>687</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870</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1072</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1073</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1074</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1075</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774</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733</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873</v>
      </c>
      <c r="B977" s="27" t="s">
        <v>692</v>
      </c>
      <c r="C977" s="27" t="s">
        <v>736</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732</v>
      </c>
      <c r="B978" s="27" t="s">
        <v>807</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782</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1076</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1077</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794</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733</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1014</v>
      </c>
      <c r="B984" s="27" t="s">
        <v>810</v>
      </c>
      <c r="C984" s="27" t="s">
        <v>736</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732</v>
      </c>
      <c r="B985" s="27" t="s">
        <v>864</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1078</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725</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1079</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698</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row>
    <row r="991" spans="1:12">
      <c r="A991" s="20" t="s">
        <v>1080</v>
      </c>
    </row>
    <row r="992" spans="1:12">
      <c r="A992" s="20" t="s">
        <v>827</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1081</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830</v>
      </c>
      <c r="B994" s="27" t="s">
        <v>692</v>
      </c>
      <c r="C994" s="27" t="s">
        <v>749</v>
      </c>
      <c r="D994" s="27" t="s">
        <v>687</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683</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1082</v>
      </c>
      <c r="B996" s="27" t="s">
        <v>685</v>
      </c>
      <c r="C996" s="27" t="s">
        <v>686</v>
      </c>
      <c r="D996" s="27" t="s">
        <v>687</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694</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732</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1083</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1084</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1085</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1086</v>
      </c>
      <c r="B1002" s="27" t="s">
        <v>810</v>
      </c>
      <c r="C1002" s="27" t="s">
        <v>693</v>
      </c>
      <c r="D1002" s="27" t="s">
        <v>687</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694</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784</v>
      </c>
      <c r="B1004" s="27" t="s">
        <v>812</v>
      </c>
      <c r="C1004" s="27" t="s">
        <v>679</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698</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row>
    <row r="1007" spans="1:12">
      <c r="A1007" s="20" t="s">
        <v>1087</v>
      </c>
    </row>
    <row r="1008" spans="1:12">
      <c r="A1008" s="20" t="s">
        <v>905</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1088</v>
      </c>
      <c r="B1009" s="27" t="s">
        <v>692</v>
      </c>
      <c r="C1009" s="27" t="s">
        <v>679</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1089</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682</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732</v>
      </c>
      <c r="B1012" s="27" t="s">
        <v>807</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1037</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1090</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1091</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694</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1039</v>
      </c>
      <c r="B1017" s="27" t="s">
        <v>724</v>
      </c>
      <c r="C1017" s="27" t="s">
        <v>693</v>
      </c>
      <c r="D1017" s="27" t="s">
        <v>687</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708</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851</v>
      </c>
      <c r="B1019" s="27" t="s">
        <v>812</v>
      </c>
      <c r="C1019" s="27" t="s">
        <v>679</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698</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row>
    <row r="1022" spans="1:12">
      <c r="A1022" s="20" t="s">
        <v>1092</v>
      </c>
    </row>
    <row r="1023" spans="1:12">
      <c r="A1023" s="20" t="s">
        <v>1093</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1094</v>
      </c>
      <c r="B1024" s="27" t="s">
        <v>678</v>
      </c>
      <c r="C1024" s="27" t="s">
        <v>693</v>
      </c>
      <c r="D1024" s="27" t="s">
        <v>687</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721</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1095</v>
      </c>
      <c r="B1026" s="27" t="s">
        <v>678</v>
      </c>
      <c r="C1026" s="27" t="s">
        <v>679</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682</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1096</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1097</v>
      </c>
      <c r="B1029" s="27" t="s">
        <v>696</v>
      </c>
      <c r="C1029" s="27" t="s">
        <v>679</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682</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1098</v>
      </c>
      <c r="B1031" s="27" t="s">
        <v>696</v>
      </c>
      <c r="C1031" s="27" t="s">
        <v>679</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682</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1099</v>
      </c>
      <c r="B1033" s="27" t="s">
        <v>696</v>
      </c>
      <c r="C1033" s="27" t="s">
        <v>679</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698</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row>
    <row r="1036" spans="1:12">
      <c r="A1036" s="20" t="s">
        <v>1100</v>
      </c>
    </row>
    <row r="1037" spans="1:12">
      <c r="A1037" s="20" t="s">
        <v>1093</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1094</v>
      </c>
      <c r="B1038" s="27" t="s">
        <v>678</v>
      </c>
      <c r="C1038" s="27" t="s">
        <v>679</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732</v>
      </c>
      <c r="B1039" s="27" t="s">
        <v>787</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849</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676</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1101</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794</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760</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1039</v>
      </c>
      <c r="B1045" s="27" t="s">
        <v>696</v>
      </c>
      <c r="C1045" s="27" t="s">
        <v>686</v>
      </c>
      <c r="D1045" s="27" t="s">
        <v>687</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703</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794</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760</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851</v>
      </c>
      <c r="B1049" s="27" t="s">
        <v>696</v>
      </c>
      <c r="C1049" s="27" t="s">
        <v>686</v>
      </c>
      <c r="D1049" s="27" t="s">
        <v>687</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698</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row>
    <row r="1052" spans="1:12">
      <c r="A1052" s="20" t="s">
        <v>1102</v>
      </c>
    </row>
    <row r="1053" spans="1:12">
      <c r="A1053" s="20" t="s">
        <v>1103</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1104</v>
      </c>
      <c r="B1054" s="27" t="s">
        <v>787</v>
      </c>
      <c r="C1054" s="27" t="s">
        <v>716</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694</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937</v>
      </c>
      <c r="B1056" s="27" t="s">
        <v>724</v>
      </c>
      <c r="C1056" s="27" t="s">
        <v>749</v>
      </c>
      <c r="D1056" s="27" t="s">
        <v>687</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1105</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725</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1106</v>
      </c>
      <c r="B1059" s="27" t="s">
        <v>696</v>
      </c>
      <c r="C1059" s="27" t="s">
        <v>679</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682</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717</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1083</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853</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1107</v>
      </c>
      <c r="B1064" s="27" t="s">
        <v>692</v>
      </c>
      <c r="C1064" s="27" t="s">
        <v>1049</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708</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958</v>
      </c>
      <c r="B1066" s="27" t="s">
        <v>810</v>
      </c>
      <c r="C1066" s="27" t="s">
        <v>749</v>
      </c>
      <c r="D1066" s="27" t="s">
        <v>687</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1108</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698</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row>
    <row r="1070" spans="1:12">
      <c r="A1070" s="20" t="s">
        <v>1109</v>
      </c>
    </row>
    <row r="1071" spans="1:12">
      <c r="A1071" s="20" t="s">
        <v>1110</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1111</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732</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740</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729</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1112</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676</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760</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761</v>
      </c>
      <c r="B1079" s="27" t="s">
        <v>724</v>
      </c>
      <c r="C1079" s="27" t="s">
        <v>745</v>
      </c>
      <c r="D1079" s="27" t="s">
        <v>687</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1113</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717</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1114</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306</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1115</v>
      </c>
      <c r="B1084" s="27" t="s">
        <v>843</v>
      </c>
      <c r="C1084" s="27" t="s">
        <v>772</v>
      </c>
      <c r="D1084" s="27" t="s">
        <v>687</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1116</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1117</v>
      </c>
      <c r="B1086" s="27" t="s">
        <v>863</v>
      </c>
      <c r="C1086" s="27" t="s">
        <v>686</v>
      </c>
      <c r="D1086" s="27" t="s">
        <v>687</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1113</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725</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733</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1118</v>
      </c>
      <c r="B1090" s="27" t="s">
        <v>724</v>
      </c>
      <c r="C1090" s="27" t="s">
        <v>693</v>
      </c>
      <c r="D1090" s="27" t="s">
        <v>687</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694</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831</v>
      </c>
      <c r="B1092" s="27" t="s">
        <v>812</v>
      </c>
      <c r="C1092" s="27" t="s">
        <v>679</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698</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row>
    <row r="1095" spans="1:12">
      <c r="A1095" s="20" t="s">
        <v>1119</v>
      </c>
    </row>
    <row r="1096" spans="1:12">
      <c r="A1096" s="20" t="s">
        <v>1120</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682</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717</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849</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1121</v>
      </c>
      <c r="B1100" s="27" t="s">
        <v>692</v>
      </c>
      <c r="C1100" s="27" t="s">
        <v>716</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683</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217</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1122</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732</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683</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1123</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1124</v>
      </c>
      <c r="B1107" s="27" t="s">
        <v>821</v>
      </c>
      <c r="C1107" s="27" t="s">
        <v>693</v>
      </c>
      <c r="D1107" s="27" t="s">
        <v>687</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694</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851</v>
      </c>
      <c r="B1109" s="27" t="s">
        <v>843</v>
      </c>
      <c r="C1109" s="27" t="s">
        <v>693</v>
      </c>
      <c r="D1109" s="27" t="s">
        <v>687</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694</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1125</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703</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1126</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1127</v>
      </c>
      <c r="B1114" s="27" t="s">
        <v>728</v>
      </c>
      <c r="C1114" s="27" t="s">
        <v>679</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794</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1128</v>
      </c>
      <c r="B1116" s="27" t="s">
        <v>843</v>
      </c>
      <c r="C1116" s="27" t="s">
        <v>679</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1129</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703</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1130</v>
      </c>
      <c r="B1119" s="27" t="s">
        <v>728</v>
      </c>
      <c r="C1119" s="27" t="s">
        <v>679</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1131</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698</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row>
    <row r="1123" spans="1:12">
      <c r="A1123" s="20" t="s">
        <v>1132</v>
      </c>
    </row>
    <row r="1124" spans="1:12">
      <c r="A1124" s="20" t="s">
        <v>1133</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1083</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1134</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1088</v>
      </c>
      <c r="B1127" s="27" t="s">
        <v>692</v>
      </c>
      <c r="C1127" s="27" t="s">
        <v>1049</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732</v>
      </c>
      <c r="B1128" s="27" t="s">
        <v>821</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849</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694</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1135</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794</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760</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1136</v>
      </c>
      <c r="B1134" s="27" t="s">
        <v>843</v>
      </c>
      <c r="C1134" s="27" t="s">
        <v>772</v>
      </c>
      <c r="D1134" s="27" t="s">
        <v>687</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902</v>
      </c>
      <c r="B1135" s="27" t="s">
        <v>812</v>
      </c>
      <c r="C1135" s="27" t="s">
        <v>686</v>
      </c>
      <c r="D1135" s="27" t="s">
        <v>687</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698</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row>
    <row r="1138" spans="1:12">
      <c r="A1138" s="20" t="s">
        <v>1137</v>
      </c>
    </row>
    <row r="1139" spans="1:12">
      <c r="A1139" s="20" t="s">
        <v>827</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747</v>
      </c>
      <c r="B1140" s="27" t="s">
        <v>685</v>
      </c>
      <c r="C1140" s="27" t="s">
        <v>749</v>
      </c>
      <c r="D1140" s="27" t="s">
        <v>687</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1138</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933</v>
      </c>
      <c r="B1142" s="27" t="s">
        <v>692</v>
      </c>
      <c r="C1142" s="27" t="s">
        <v>749</v>
      </c>
      <c r="D1142" s="27" t="s">
        <v>687</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1088</v>
      </c>
      <c r="B1143" s="27" t="s">
        <v>692</v>
      </c>
      <c r="C1143" s="27" t="s">
        <v>679</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1139</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682</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1140</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306</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1141</v>
      </c>
      <c r="B1148" s="27" t="s">
        <v>787</v>
      </c>
      <c r="C1148" s="27" t="s">
        <v>693</v>
      </c>
      <c r="D1148" s="27" t="s">
        <v>687</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694</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902</v>
      </c>
      <c r="B1150" s="27" t="s">
        <v>724</v>
      </c>
      <c r="C1150" s="27" t="s">
        <v>679</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740</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683</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1142</v>
      </c>
      <c r="B1153" s="27" t="s">
        <v>678</v>
      </c>
      <c r="C1153" s="27" t="s">
        <v>686</v>
      </c>
      <c r="D1153" s="27" t="s">
        <v>687</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1143</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698</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row>
    <row r="1157" spans="1:12">
      <c r="A1157" s="20" t="s">
        <v>1144</v>
      </c>
    </row>
    <row r="1158" spans="1:12">
      <c r="A1158" s="20" t="s">
        <v>1093</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1088</v>
      </c>
      <c r="B1159" s="27" t="s">
        <v>678</v>
      </c>
      <c r="C1159" s="27" t="s">
        <v>679</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732</v>
      </c>
      <c r="B1160" s="27" t="s">
        <v>787</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1037</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1145</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683</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760</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1136</v>
      </c>
      <c r="B1165" s="27" t="s">
        <v>724</v>
      </c>
      <c r="C1165" s="27" t="s">
        <v>772</v>
      </c>
      <c r="D1165" s="27" t="s">
        <v>687</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1039</v>
      </c>
      <c r="B1166" s="27" t="s">
        <v>696</v>
      </c>
      <c r="C1166" s="27" t="s">
        <v>686</v>
      </c>
      <c r="D1166" s="27" t="s">
        <v>687</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703</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732</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849</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694</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162</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430</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1146</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683</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1147</v>
      </c>
      <c r="B1175" s="27" t="s">
        <v>821</v>
      </c>
      <c r="C1175" s="27" t="s">
        <v>686</v>
      </c>
      <c r="D1175" s="27" t="s">
        <v>687</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1044</v>
      </c>
      <c r="B1176" s="27" t="s">
        <v>843</v>
      </c>
      <c r="C1176" s="27" t="s">
        <v>749</v>
      </c>
      <c r="D1176" s="27" t="s">
        <v>687</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676</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760</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902</v>
      </c>
      <c r="B1179" s="27" t="s">
        <v>812</v>
      </c>
      <c r="C1179" s="27" t="s">
        <v>686</v>
      </c>
      <c r="D1179" s="27" t="s">
        <v>687</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698</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row>
    <row r="1182" spans="1:12">
      <c r="A1182" s="20" t="s">
        <v>1148</v>
      </c>
    </row>
    <row r="1183" spans="1:12">
      <c r="A1183" s="20" t="s">
        <v>1149</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1088</v>
      </c>
      <c r="B1184" s="27" t="s">
        <v>685</v>
      </c>
      <c r="C1184" s="27" t="s">
        <v>899</v>
      </c>
      <c r="D1184" s="27" t="s">
        <v>687</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1139</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682</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958</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928</v>
      </c>
      <c r="B1188" s="27" t="s">
        <v>696</v>
      </c>
      <c r="C1188" s="27" t="s">
        <v>686</v>
      </c>
      <c r="D1188" s="27" t="s">
        <v>687</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1150</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1151</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1152</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1108</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698</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row>
    <row r="1195" spans="1:12">
      <c r="A1195" s="20" t="s">
        <v>1153</v>
      </c>
    </row>
    <row r="1196" spans="1:12">
      <c r="A1196" s="20" t="s">
        <v>1154</v>
      </c>
      <c r="B1196" s="27" t="s">
        <v>685</v>
      </c>
      <c r="C1196" s="27" t="s">
        <v>749</v>
      </c>
      <c r="D1196" s="27" t="s">
        <v>687</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814</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497</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708</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306</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1155</v>
      </c>
      <c r="B1201" s="27" t="s">
        <v>696</v>
      </c>
      <c r="C1201" s="27" t="s">
        <v>686</v>
      </c>
      <c r="D1201" s="27" t="s">
        <v>687</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1156</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694</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306</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1157</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958</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928</v>
      </c>
      <c r="B1207" s="27" t="s">
        <v>787</v>
      </c>
      <c r="C1207" s="27" t="s">
        <v>686</v>
      </c>
      <c r="D1207" s="27" t="s">
        <v>687</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732</v>
      </c>
      <c r="B1208" s="27" t="s">
        <v>863</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1067</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1050</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1088</v>
      </c>
      <c r="B1211" s="27" t="s">
        <v>821</v>
      </c>
      <c r="C1211" s="27" t="s">
        <v>899</v>
      </c>
      <c r="D1211" s="27" t="s">
        <v>687</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1158</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683</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689</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1159</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1160</v>
      </c>
      <c r="B1216" s="27" t="s">
        <v>791</v>
      </c>
      <c r="C1216" s="27" t="s">
        <v>693</v>
      </c>
      <c r="D1216" s="27" t="s">
        <v>687</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794</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937</v>
      </c>
      <c r="B1218" s="27" t="s">
        <v>724</v>
      </c>
      <c r="C1218" s="27" t="s">
        <v>749</v>
      </c>
      <c r="D1218" s="27" t="s">
        <v>687</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698</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row>
    <row r="1221" spans="1:12">
      <c r="A1221" s="20" t="s">
        <v>1161</v>
      </c>
    </row>
    <row r="1222" spans="1:12">
      <c r="A1222" s="20" t="s">
        <v>989</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830</v>
      </c>
      <c r="B1223" s="27" t="s">
        <v>692</v>
      </c>
      <c r="C1223" s="27" t="s">
        <v>749</v>
      </c>
      <c r="D1223" s="27" t="s">
        <v>687</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732</v>
      </c>
      <c r="B1224" s="27" t="s">
        <v>807</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1162</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751</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1163</v>
      </c>
      <c r="B1227" s="27" t="s">
        <v>810</v>
      </c>
      <c r="C1227" s="27" t="s">
        <v>693</v>
      </c>
      <c r="D1227" s="27" t="s">
        <v>687</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694</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1164</v>
      </c>
      <c r="B1229" s="27" t="s">
        <v>812</v>
      </c>
      <c r="C1229" s="27" t="s">
        <v>679</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732</v>
      </c>
      <c r="B1230" s="27" t="s">
        <v>864</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1165</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694</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512</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698</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row>
    <row r="1236" spans="1:12">
      <c r="A1236" s="20" t="s">
        <v>1166</v>
      </c>
    </row>
    <row r="1237" spans="1:12">
      <c r="A1237" s="20" t="s">
        <v>905</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683</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1167</v>
      </c>
      <c r="B1239" s="27" t="s">
        <v>692</v>
      </c>
      <c r="C1239" s="27" t="s">
        <v>686</v>
      </c>
      <c r="D1239" s="27" t="s">
        <v>687</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682</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683</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1164</v>
      </c>
      <c r="B1242" s="27" t="s">
        <v>696</v>
      </c>
      <c r="C1242" s="27" t="s">
        <v>686</v>
      </c>
      <c r="D1242" s="27" t="s">
        <v>687</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1168</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703</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683</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1164</v>
      </c>
      <c r="B1246" s="27" t="s">
        <v>696</v>
      </c>
      <c r="C1246" s="27" t="s">
        <v>686</v>
      </c>
      <c r="D1246" s="27" t="s">
        <v>687</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1169</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698</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row>
    <row r="1250" spans="1:12">
      <c r="A1250" s="20" t="s">
        <v>1170</v>
      </c>
    </row>
    <row r="1251" spans="1:12">
      <c r="A1251" s="20" t="s">
        <v>827</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937</v>
      </c>
      <c r="B1252" s="27" t="s">
        <v>685</v>
      </c>
      <c r="C1252" s="27" t="s">
        <v>749</v>
      </c>
      <c r="D1252" s="27" t="s">
        <v>687</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1171</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1151</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1172</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698</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row>
    <row r="1258" spans="1:12">
      <c r="A1258" s="20" t="s">
        <v>1173</v>
      </c>
    </row>
    <row r="1259" spans="1:12">
      <c r="A1259" s="20" t="s">
        <v>1174</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1175</v>
      </c>
      <c r="B1260" s="27" t="s">
        <v>678</v>
      </c>
      <c r="C1260" s="27" t="s">
        <v>679</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682</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958</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928</v>
      </c>
      <c r="B1263" s="27" t="s">
        <v>685</v>
      </c>
      <c r="C1263" s="27" t="s">
        <v>693</v>
      </c>
      <c r="D1263" s="27" t="s">
        <v>687</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732</v>
      </c>
      <c r="B1264" s="27" t="s">
        <v>807</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1176</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676</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897</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1177</v>
      </c>
      <c r="B1268" s="27" t="s">
        <v>696</v>
      </c>
      <c r="C1268" s="27" t="s">
        <v>899</v>
      </c>
      <c r="D1268" s="27" t="s">
        <v>687</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1037</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928</v>
      </c>
      <c r="B1270" s="27" t="s">
        <v>678</v>
      </c>
      <c r="C1270" s="27" t="s">
        <v>693</v>
      </c>
      <c r="D1270" s="27" t="s">
        <v>687</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1178</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1140</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782</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1179</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721</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782</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760</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1039</v>
      </c>
      <c r="B1278" s="27" t="s">
        <v>807</v>
      </c>
      <c r="C1278" s="27" t="s">
        <v>686</v>
      </c>
      <c r="D1278" s="27" t="s">
        <v>687</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717</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958</v>
      </c>
      <c r="B1280" s="27" t="s">
        <v>810</v>
      </c>
      <c r="C1280" s="27" t="s">
        <v>749</v>
      </c>
      <c r="D1280" s="27" t="s">
        <v>687</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1180</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682</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430</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306</v>
      </c>
      <c r="B1284" s="27" t="s">
        <v>787</v>
      </c>
      <c r="C1284" s="27" t="s">
        <v>731</v>
      </c>
      <c r="D1284" s="27" t="s">
        <v>687</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732</v>
      </c>
      <c r="B1285" s="27" t="s">
        <v>863</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1084</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1181</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740</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732</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760</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1039</v>
      </c>
      <c r="B1291" s="27" t="s">
        <v>807</v>
      </c>
      <c r="C1291" s="27" t="s">
        <v>686</v>
      </c>
      <c r="D1291" s="27" t="s">
        <v>687</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717</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958</v>
      </c>
      <c r="B1293" s="27" t="s">
        <v>810</v>
      </c>
      <c r="C1293" s="27" t="s">
        <v>749</v>
      </c>
      <c r="D1293" s="27" t="s">
        <v>687</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1182</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698</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row>
    <row r="1297" spans="1:12">
      <c r="A1297" s="20" t="s">
        <v>1183</v>
      </c>
    </row>
    <row r="1298" spans="1:12">
      <c r="A1298" s="20" t="s">
        <v>12</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848</v>
      </c>
      <c r="B1299" s="27" t="s">
        <v>685</v>
      </c>
      <c r="C1299" s="27" t="s">
        <v>686</v>
      </c>
      <c r="D1299" s="27" t="s">
        <v>687</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740</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727</v>
      </c>
      <c r="B1301" s="27" t="s">
        <v>678</v>
      </c>
      <c r="C1301" s="27" t="s">
        <v>716</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732</v>
      </c>
      <c r="B1302" s="27" t="s">
        <v>787</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1184</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1185</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1186</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676</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853</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1187</v>
      </c>
      <c r="B1308" s="27" t="s">
        <v>696</v>
      </c>
      <c r="C1308" s="27" t="s">
        <v>693</v>
      </c>
      <c r="D1308" s="27" t="s">
        <v>687</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1188</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689</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170</v>
      </c>
      <c r="B1311" s="27" t="s">
        <v>724</v>
      </c>
      <c r="C1311" s="27" t="s">
        <v>736</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703</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689</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379</v>
      </c>
      <c r="B1314" s="27" t="s">
        <v>812</v>
      </c>
      <c r="C1314" s="27" t="s">
        <v>736</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698</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row>
    <row r="1317" spans="1:12">
      <c r="A1317" s="20" t="s">
        <v>1189</v>
      </c>
    </row>
    <row r="1318" spans="1:12">
      <c r="A1318" s="20" t="s">
        <v>824</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683</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1164</v>
      </c>
      <c r="B1320" s="27" t="s">
        <v>685</v>
      </c>
      <c r="C1320" s="27" t="s">
        <v>686</v>
      </c>
      <c r="D1320" s="27" t="s">
        <v>687</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740</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727</v>
      </c>
      <c r="B1322" s="27" t="s">
        <v>678</v>
      </c>
      <c r="C1322" s="27" t="s">
        <v>716</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732</v>
      </c>
      <c r="B1323" s="27" t="s">
        <v>787</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1190</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1191</v>
      </c>
      <c r="B1325" s="27" t="s">
        <v>791</v>
      </c>
      <c r="C1325" s="27" t="s">
        <v>679</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698</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row>
    <row r="1328" spans="1:12">
      <c r="A1328" s="20" t="s">
        <v>1192</v>
      </c>
    </row>
    <row r="1329" spans="1:12">
      <c r="A1329" s="20" t="s">
        <v>1193</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1151</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1191</v>
      </c>
      <c r="B1331" s="27" t="s">
        <v>678</v>
      </c>
      <c r="C1331" s="27" t="s">
        <v>679</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698</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row>
    <row r="1334" spans="1:12">
      <c r="A1334" s="20" t="s">
        <v>1194</v>
      </c>
    </row>
    <row r="1335" spans="1:12">
      <c r="A1335" s="20" t="s">
        <v>1195</v>
      </c>
      <c r="B1335" s="27" t="s">
        <v>685</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694</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760</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1033</v>
      </c>
      <c r="B1338" s="27" t="s">
        <v>696</v>
      </c>
      <c r="C1338" s="27" t="s">
        <v>686</v>
      </c>
      <c r="D1338" s="27" t="s">
        <v>687</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732</v>
      </c>
      <c r="B1339" s="27" t="s">
        <v>821</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1196</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1197</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689</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1198</v>
      </c>
      <c r="B1343" s="27" t="s">
        <v>678</v>
      </c>
      <c r="C1343" s="27" t="s">
        <v>736</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1199</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1200</v>
      </c>
      <c r="B1345" s="27" t="s">
        <v>791</v>
      </c>
      <c r="C1345" s="27" t="s">
        <v>745</v>
      </c>
      <c r="D1345" s="27" t="s">
        <v>687</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1201</v>
      </c>
      <c r="B1346" s="27" t="s">
        <v>724</v>
      </c>
      <c r="C1346" s="27" t="s">
        <v>745</v>
      </c>
      <c r="D1346" s="27" t="s">
        <v>687</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698</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row>
    <row r="1349" spans="1:12">
      <c r="A1349" s="20" t="s">
        <v>1202</v>
      </c>
    </row>
    <row r="1350" spans="1:12">
      <c r="A1350" s="20" t="s">
        <v>786</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1203</v>
      </c>
      <c r="B1351" s="27" t="s">
        <v>787</v>
      </c>
      <c r="C1351" s="27" t="s">
        <v>749</v>
      </c>
      <c r="D1351" s="27" t="s">
        <v>687</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1001</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682</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1197</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1204</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794</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1205</v>
      </c>
      <c r="B1357" s="27" t="s">
        <v>678</v>
      </c>
      <c r="C1357" s="27" t="s">
        <v>679</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1206</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682</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733</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734</v>
      </c>
      <c r="B1361" s="27" t="s">
        <v>696</v>
      </c>
      <c r="C1361" s="27" t="s">
        <v>736</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1207</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1208</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682</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703</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1209</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683</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760</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1039</v>
      </c>
      <c r="B1369" s="27" t="s">
        <v>791</v>
      </c>
      <c r="C1369" s="27" t="s">
        <v>686</v>
      </c>
      <c r="D1369" s="27" t="s">
        <v>687</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732</v>
      </c>
      <c r="B1370" s="27" t="s">
        <v>821</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1203</v>
      </c>
      <c r="B1371" s="27" t="s">
        <v>863</v>
      </c>
      <c r="C1371" s="27" t="s">
        <v>749</v>
      </c>
      <c r="D1371" s="27" t="s">
        <v>687</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1210</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1211</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682</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1210</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1212</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682</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717</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1213</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1214</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1215</v>
      </c>
      <c r="B1381" s="27" t="s">
        <v>791</v>
      </c>
      <c r="C1381" s="27" t="s">
        <v>754</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1216</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682</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703</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872</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1171</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760</v>
      </c>
      <c r="B1387" s="27" t="s">
        <v>810</v>
      </c>
      <c r="C1387" s="27" t="s">
        <v>749</v>
      </c>
      <c r="D1387" s="27" t="s">
        <v>687</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1217</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1218</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698</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row>
    <row r="1392" spans="1:12">
      <c r="A1392" s="20" t="s">
        <v>1219</v>
      </c>
    </row>
    <row r="1393" spans="1:12">
      <c r="A1393" s="20" t="s">
        <v>1220</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933</v>
      </c>
      <c r="B1394" s="27" t="s">
        <v>692</v>
      </c>
      <c r="C1394" s="27" t="s">
        <v>749</v>
      </c>
      <c r="D1394" s="27" t="s">
        <v>687</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732</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306</v>
      </c>
      <c r="B1396" s="27" t="s">
        <v>787</v>
      </c>
      <c r="C1396" s="27" t="s">
        <v>731</v>
      </c>
      <c r="D1396" s="27" t="s">
        <v>687</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1221</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676</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306</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1222</v>
      </c>
      <c r="B1400" s="27" t="s">
        <v>696</v>
      </c>
      <c r="C1400" s="27" t="s">
        <v>686</v>
      </c>
      <c r="D1400" s="27" t="s">
        <v>687</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708</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1203</v>
      </c>
      <c r="B1402" s="27" t="s">
        <v>807</v>
      </c>
      <c r="C1402" s="27" t="s">
        <v>749</v>
      </c>
      <c r="D1402" s="27" t="s">
        <v>687</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198</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1223</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1224</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1225</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698</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row>
    <row r="1409" spans="1:12">
      <c r="A1409" s="20" t="s">
        <v>1226</v>
      </c>
    </row>
    <row r="1410" spans="1:12">
      <c r="A1410" s="20" t="s">
        <v>770</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795</v>
      </c>
      <c r="B1411" s="27" t="s">
        <v>685</v>
      </c>
      <c r="C1411" s="27" t="s">
        <v>686</v>
      </c>
      <c r="D1411" s="27" t="s">
        <v>687</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803</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732</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717</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306</v>
      </c>
      <c r="B1415" s="27" t="s">
        <v>791</v>
      </c>
      <c r="C1415" s="27" t="s">
        <v>749</v>
      </c>
      <c r="D1415" s="27" t="s">
        <v>687</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1217</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936</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703</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1227</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306</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379</v>
      </c>
      <c r="B1421" s="27" t="s">
        <v>810</v>
      </c>
      <c r="C1421" s="27" t="s">
        <v>686</v>
      </c>
      <c r="D1421" s="27" t="s">
        <v>687</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708</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811</v>
      </c>
      <c r="B1423" s="27" t="s">
        <v>724</v>
      </c>
      <c r="C1423" s="27" t="s">
        <v>679</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698</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row>
    <row r="1426" spans="1:12">
      <c r="A1426" s="20" t="s">
        <v>1228</v>
      </c>
    </row>
    <row r="1427" spans="1:12">
      <c r="A1427" s="20" t="s">
        <v>675</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717</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1229</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1230</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1215</v>
      </c>
      <c r="B1431" s="27" t="s">
        <v>791</v>
      </c>
      <c r="C1431" s="27" t="s">
        <v>679</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1231</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986</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1232</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682</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683</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795</v>
      </c>
      <c r="B1437" s="27" t="s">
        <v>685</v>
      </c>
      <c r="C1437" s="27" t="s">
        <v>686</v>
      </c>
      <c r="D1437" s="27" t="s">
        <v>687</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1233</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306</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861</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1234</v>
      </c>
      <c r="B1441" s="27" t="s">
        <v>692</v>
      </c>
      <c r="C1441" s="27" t="s">
        <v>693</v>
      </c>
      <c r="D1441" s="27" t="s">
        <v>687</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694</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306</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1235</v>
      </c>
      <c r="B1444" s="27" t="s">
        <v>696</v>
      </c>
      <c r="C1444" s="27" t="s">
        <v>686</v>
      </c>
      <c r="D1444" s="27" t="s">
        <v>687</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708</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1236</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794</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1205</v>
      </c>
      <c r="B1448" s="27" t="s">
        <v>724</v>
      </c>
      <c r="C1448" s="27" t="s">
        <v>679</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1206</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682</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703</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1203</v>
      </c>
      <c r="B1452" s="27" t="s">
        <v>807</v>
      </c>
      <c r="C1452" s="27" t="s">
        <v>749</v>
      </c>
      <c r="D1452" s="27" t="s">
        <v>687</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1237</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683</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725</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306</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1234</v>
      </c>
      <c r="B1457" s="27" t="s">
        <v>696</v>
      </c>
      <c r="C1457" s="27" t="s">
        <v>693</v>
      </c>
      <c r="D1457" s="27" t="s">
        <v>687</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694</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1200</v>
      </c>
      <c r="B1459" s="27" t="s">
        <v>724</v>
      </c>
      <c r="C1459" s="27" t="s">
        <v>745</v>
      </c>
      <c r="D1459" s="27" t="s">
        <v>687</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698</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row>
    <row r="1462" spans="1:12">
      <c r="A1462" s="20" t="s">
        <v>1238</v>
      </c>
    </row>
    <row r="1463" spans="1:12">
      <c r="A1463" s="20" t="s">
        <v>756</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306</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331</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694</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683</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1000</v>
      </c>
      <c r="B1468" s="27" t="s">
        <v>724</v>
      </c>
      <c r="C1468" s="27" t="s">
        <v>772</v>
      </c>
      <c r="D1468" s="27" t="s">
        <v>687</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1239</v>
      </c>
      <c r="B1469" s="27" t="s">
        <v>696</v>
      </c>
      <c r="C1469" s="27" t="s">
        <v>686</v>
      </c>
      <c r="D1469" s="27" t="s">
        <v>687</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682</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1200</v>
      </c>
      <c r="B1471" s="27" t="s">
        <v>685</v>
      </c>
      <c r="C1471" s="27" t="s">
        <v>745</v>
      </c>
      <c r="D1471" s="27" t="s">
        <v>687</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1240</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782</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683</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113</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1007</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1241</v>
      </c>
      <c r="B1477" s="27" t="s">
        <v>692</v>
      </c>
      <c r="C1477" s="27" t="s">
        <v>754</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1242</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698</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row>
    <row r="1481" spans="1:12">
      <c r="A1481" s="20" t="s">
        <v>1243</v>
      </c>
    </row>
    <row r="1482" spans="1:12">
      <c r="A1482" s="20" t="s">
        <v>1244</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1245</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1246</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1191</v>
      </c>
      <c r="B1485" s="27" t="s">
        <v>685</v>
      </c>
      <c r="C1485" s="27" t="s">
        <v>899</v>
      </c>
      <c r="D1485" s="27" t="s">
        <v>687</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1247</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676</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306</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1222</v>
      </c>
      <c r="B1489" s="27" t="s">
        <v>724</v>
      </c>
      <c r="C1489" s="27" t="s">
        <v>686</v>
      </c>
      <c r="D1489" s="27" t="s">
        <v>687</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1248</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1065</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1241</v>
      </c>
      <c r="B1492" s="27" t="s">
        <v>863</v>
      </c>
      <c r="C1492" s="27" t="s">
        <v>899</v>
      </c>
      <c r="D1492" s="27" t="s">
        <v>687</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1249</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682</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703</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682</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721</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1250</v>
      </c>
      <c r="B1498" s="27" t="s">
        <v>728</v>
      </c>
      <c r="C1498" s="27" t="s">
        <v>679</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682</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1203</v>
      </c>
      <c r="B1500" s="27" t="s">
        <v>1066</v>
      </c>
      <c r="C1500" s="27" t="s">
        <v>749</v>
      </c>
      <c r="D1500" s="27" t="s">
        <v>687</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1251</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835</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1252</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698</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row>
    <row r="1506" spans="1:12">
      <c r="A1506" s="20" t="s">
        <v>1253</v>
      </c>
    </row>
    <row r="1507" spans="1:12">
      <c r="A1507" s="20" t="s">
        <v>868</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1254</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676</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306</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1222</v>
      </c>
      <c r="B1511" s="27" t="s">
        <v>678</v>
      </c>
      <c r="C1511" s="27" t="s">
        <v>686</v>
      </c>
      <c r="D1511" s="27" t="s">
        <v>687</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682</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1255</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1256</v>
      </c>
      <c r="B1514" s="27" t="s">
        <v>692</v>
      </c>
      <c r="C1514" s="27" t="s">
        <v>679</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683</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1257</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886</v>
      </c>
      <c r="B1517" s="27" t="s">
        <v>791</v>
      </c>
      <c r="C1517" s="27" t="s">
        <v>749</v>
      </c>
      <c r="D1517" s="27" t="s">
        <v>687</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794</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760</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1258</v>
      </c>
      <c r="B1520" s="27" t="s">
        <v>791</v>
      </c>
      <c r="C1520" s="27" t="s">
        <v>686</v>
      </c>
      <c r="D1520" s="27" t="s">
        <v>687</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1259</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698</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row>
    <row r="1524" spans="1:12">
      <c r="A1524" s="20" t="s">
        <v>1260</v>
      </c>
    </row>
    <row r="1525" spans="1:12">
      <c r="A1525" s="20" t="s">
        <v>827</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1203</v>
      </c>
      <c r="B1526" s="27" t="s">
        <v>685</v>
      </c>
      <c r="C1526" s="27" t="s">
        <v>749</v>
      </c>
      <c r="D1526" s="27" t="s">
        <v>687</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1261</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1262</v>
      </c>
      <c r="B1528" s="27" t="s">
        <v>692</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1140</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717</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1162</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729</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1263</v>
      </c>
      <c r="B1533" s="27" t="s">
        <v>791</v>
      </c>
      <c r="C1533" s="27" t="s">
        <v>716</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708</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936</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698</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row>
    <row r="1538" spans="1:12">
      <c r="A1538" s="20" t="s">
        <v>1264</v>
      </c>
    </row>
    <row r="1539" spans="1:12">
      <c r="A1539" s="20" t="s">
        <v>1265</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1266</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689</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1267</v>
      </c>
      <c r="B1542" s="27" t="s">
        <v>791</v>
      </c>
      <c r="C1542" s="27" t="s">
        <v>736</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732</v>
      </c>
      <c r="B1543" s="27" t="s">
        <v>863</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1210</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820</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750</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1268</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1269</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850</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689</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1270</v>
      </c>
      <c r="B1551" s="27" t="s">
        <v>812</v>
      </c>
      <c r="C1551" s="27" t="s">
        <v>693</v>
      </c>
      <c r="D1551" s="27" t="s">
        <v>687</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694</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683</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1000</v>
      </c>
      <c r="B1554" s="27" t="s">
        <v>728</v>
      </c>
      <c r="C1554" s="27" t="s">
        <v>772</v>
      </c>
      <c r="D1554" s="27" t="s">
        <v>687</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873</v>
      </c>
      <c r="B1555" s="27" t="s">
        <v>843</v>
      </c>
      <c r="C1555" s="27" t="s">
        <v>686</v>
      </c>
      <c r="D1555" s="27" t="s">
        <v>687</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698</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row>
    <row r="1558" spans="1:12">
      <c r="A1558" s="20" t="s">
        <v>1271</v>
      </c>
    </row>
    <row r="1559" spans="1:12">
      <c r="A1559" s="20" t="s">
        <v>756</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683</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1272</v>
      </c>
      <c r="B1561" s="27" t="s">
        <v>696</v>
      </c>
      <c r="C1561" s="27" t="s">
        <v>679</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682</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1197</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306</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1273</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676</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683</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873</v>
      </c>
      <c r="B1568" s="27" t="s">
        <v>678</v>
      </c>
      <c r="C1568" s="27" t="s">
        <v>686</v>
      </c>
      <c r="D1568" s="27" t="s">
        <v>687</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683</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1274</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708</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683</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695</v>
      </c>
      <c r="B1573" s="27" t="s">
        <v>724</v>
      </c>
      <c r="C1573" s="27" t="s">
        <v>686</v>
      </c>
      <c r="D1573" s="27" t="s">
        <v>687</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682</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957</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1275</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676</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306</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1276</v>
      </c>
      <c r="B1579" s="27" t="s">
        <v>843</v>
      </c>
      <c r="C1579" s="27" t="s">
        <v>686</v>
      </c>
      <c r="D1579" s="27" t="s">
        <v>687</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703</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1277</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689</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1278</v>
      </c>
      <c r="B1583" s="27" t="s">
        <v>742</v>
      </c>
      <c r="C1583" s="27" t="s">
        <v>736</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977</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1279</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708</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1280</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306</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1281</v>
      </c>
      <c r="B1589" s="27" t="s">
        <v>730</v>
      </c>
      <c r="C1589" s="27" t="s">
        <v>772</v>
      </c>
      <c r="D1589" s="27" t="s">
        <v>687</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1282</v>
      </c>
      <c r="B1590" s="27" t="s">
        <v>1283</v>
      </c>
      <c r="C1590" s="27" t="s">
        <v>686</v>
      </c>
      <c r="D1590" s="27" t="s">
        <v>687</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1284</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698</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row>
    <row r="1594" spans="1:12">
      <c r="A1594" s="20" t="s">
        <v>1285</v>
      </c>
    </row>
    <row r="1595" spans="1:12">
      <c r="A1595" s="20" t="s">
        <v>770</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795</v>
      </c>
      <c r="B1596" s="27" t="s">
        <v>685</v>
      </c>
      <c r="C1596" s="27" t="s">
        <v>686</v>
      </c>
      <c r="D1596" s="27" t="s">
        <v>687</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1286</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830</v>
      </c>
      <c r="B1598" s="27" t="s">
        <v>692</v>
      </c>
      <c r="C1598" s="27" t="s">
        <v>749</v>
      </c>
      <c r="D1598" s="27" t="s">
        <v>687</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683</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1287</v>
      </c>
      <c r="B1600" s="27" t="s">
        <v>692</v>
      </c>
      <c r="C1600" s="27" t="s">
        <v>693</v>
      </c>
      <c r="D1600" s="27" t="s">
        <v>687</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694</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430</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689</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1288</v>
      </c>
      <c r="B1604" s="27" t="s">
        <v>696</v>
      </c>
      <c r="C1604" s="27" t="s">
        <v>754</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682</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683</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306</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83</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708</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811</v>
      </c>
      <c r="B1610" s="27" t="s">
        <v>724</v>
      </c>
      <c r="C1610" s="27" t="s">
        <v>679</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1289</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1203</v>
      </c>
      <c r="B1612" s="27" t="s">
        <v>787</v>
      </c>
      <c r="C1612" s="27" t="s">
        <v>749</v>
      </c>
      <c r="D1612" s="27" t="s">
        <v>687</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1290</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733</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695</v>
      </c>
      <c r="B1615" s="27" t="s">
        <v>791</v>
      </c>
      <c r="C1615" s="27" t="s">
        <v>736</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1291</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698</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row>
    <row r="1619" spans="1:12">
      <c r="A1619" s="20" t="s">
        <v>699</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1292</v>
      </c>
    </row>
    <row r="1621" spans="1:12">
      <c r="A1621" s="20" t="s">
        <v>674</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1154</v>
      </c>
      <c r="B1622" s="27" t="s">
        <v>685</v>
      </c>
      <c r="C1622" s="27" t="s">
        <v>749</v>
      </c>
      <c r="D1622" s="27" t="s">
        <v>687</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1293</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306</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1278</v>
      </c>
      <c r="B1625" s="27" t="s">
        <v>692</v>
      </c>
      <c r="C1625" s="27" t="s">
        <v>693</v>
      </c>
      <c r="D1625" s="27" t="s">
        <v>687</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694</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1203</v>
      </c>
      <c r="B1627" s="27" t="s">
        <v>696</v>
      </c>
      <c r="C1627" s="27" t="s">
        <v>749</v>
      </c>
      <c r="D1627" s="27" t="s">
        <v>687</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682</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732</v>
      </c>
      <c r="B1629" s="27" t="s">
        <v>863</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782</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1294</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1151</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1218</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682</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674</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676</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306</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1295</v>
      </c>
      <c r="B1638" s="27" t="s">
        <v>843</v>
      </c>
      <c r="C1638" s="27" t="s">
        <v>693</v>
      </c>
      <c r="D1638" s="27" t="s">
        <v>687</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694</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689</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1296</v>
      </c>
      <c r="B1641" s="27" t="s">
        <v>728</v>
      </c>
      <c r="C1641" s="27" t="s">
        <v>736</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674</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698</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row>
    <row r="1645" spans="1:12">
      <c r="A1645" s="20" t="s">
        <v>699</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1297</v>
      </c>
    </row>
    <row r="1647" spans="1:12">
      <c r="A1647" s="20" t="s">
        <v>674</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827</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870</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708</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794</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1298</v>
      </c>
      <c r="B1652" s="27" t="s">
        <v>678</v>
      </c>
      <c r="C1652" s="27" t="s">
        <v>749</v>
      </c>
      <c r="D1652" s="27" t="s">
        <v>687</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774</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674</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1299</v>
      </c>
      <c r="B1655" s="27" t="s">
        <v>807</v>
      </c>
      <c r="C1655" s="27" t="s">
        <v>749</v>
      </c>
      <c r="D1655" s="27" t="s">
        <v>687</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1067</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1300</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1301</v>
      </c>
      <c r="B1658" s="27" t="s">
        <v>810</v>
      </c>
      <c r="C1658" s="27" t="s">
        <v>693</v>
      </c>
      <c r="D1658" s="27" t="s">
        <v>687</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694</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1302</v>
      </c>
      <c r="B1660" s="27" t="s">
        <v>812</v>
      </c>
      <c r="C1660" s="27" t="s">
        <v>679</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682</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1203</v>
      </c>
      <c r="B1662" s="27" t="s">
        <v>787</v>
      </c>
      <c r="C1662" s="27" t="s">
        <v>749</v>
      </c>
      <c r="D1662" s="27" t="s">
        <v>687</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1303</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312</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1304</v>
      </c>
      <c r="B1665" s="27" t="s">
        <v>791</v>
      </c>
      <c r="C1665" s="27" t="s">
        <v>754</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698</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row>
    <row r="1668" spans="1:12">
      <c r="A1668" s="20" t="s">
        <v>699</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1305</v>
      </c>
    </row>
    <row r="1670" spans="1:12">
      <c r="A1670" s="20" t="s">
        <v>674</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1306</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1307</v>
      </c>
      <c r="B1672" s="27" t="s">
        <v>685</v>
      </c>
      <c r="C1672" s="27" t="s">
        <v>693</v>
      </c>
      <c r="D1672" s="27" t="s">
        <v>687</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708</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1061</v>
      </c>
      <c r="B1674" s="27" t="s">
        <v>696</v>
      </c>
      <c r="C1674" s="27" t="s">
        <v>749</v>
      </c>
      <c r="D1674" s="27" t="s">
        <v>687</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740</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721</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1308</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1307</v>
      </c>
      <c r="B1678" s="27" t="s">
        <v>678</v>
      </c>
      <c r="C1678" s="27" t="s">
        <v>693</v>
      </c>
      <c r="D1678" s="27" t="s">
        <v>687</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708</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1203</v>
      </c>
      <c r="B1680" s="27" t="s">
        <v>678</v>
      </c>
      <c r="C1680" s="27" t="s">
        <v>749</v>
      </c>
      <c r="D1680" s="27" t="s">
        <v>687</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698</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row>
    <row r="1683" spans="1:12">
      <c r="A1683" s="20" t="s">
        <v>699</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1309</v>
      </c>
    </row>
    <row r="1685" spans="1:12">
      <c r="A1685" s="20" t="s">
        <v>674</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1154</v>
      </c>
      <c r="B1686" s="27" t="s">
        <v>685</v>
      </c>
      <c r="C1686" s="27" t="s">
        <v>749</v>
      </c>
      <c r="D1686" s="27" t="s">
        <v>687</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1310</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732</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717</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808</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777</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1274</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703</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1311</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886</v>
      </c>
      <c r="B1695" s="27" t="s">
        <v>821</v>
      </c>
      <c r="C1695" s="27" t="s">
        <v>749</v>
      </c>
      <c r="D1695" s="27" t="s">
        <v>687</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682</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674</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836</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792</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708</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811</v>
      </c>
      <c r="B1701" s="27" t="s">
        <v>678</v>
      </c>
      <c r="C1701" s="27" t="s">
        <v>679</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703</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1312</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890</v>
      </c>
      <c r="B1704" s="27" t="s">
        <v>791</v>
      </c>
      <c r="C1704" s="27" t="s">
        <v>749</v>
      </c>
      <c r="D1704" s="27" t="s">
        <v>687</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1313</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1314</v>
      </c>
      <c r="B1706" s="27" t="s">
        <v>791</v>
      </c>
      <c r="C1706" s="27" t="s">
        <v>754</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676</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306</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1315</v>
      </c>
      <c r="B1709" s="27" t="s">
        <v>696</v>
      </c>
      <c r="C1709" s="27" t="s">
        <v>686</v>
      </c>
      <c r="D1709" s="27" t="s">
        <v>687</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698</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row>
    <row r="1712" spans="1:12">
      <c r="A1712" s="20" t="s">
        <v>699</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1316</v>
      </c>
    </row>
    <row r="1714" spans="1:12">
      <c r="A1714" s="20" t="s">
        <v>674</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827</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1317</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682</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870</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1072</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674</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1318</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1319</v>
      </c>
      <c r="B1722" s="27" t="s">
        <v>787</v>
      </c>
      <c r="C1722" s="27" t="s">
        <v>716</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830</v>
      </c>
      <c r="B1723" s="27" t="s">
        <v>791</v>
      </c>
      <c r="C1723" s="27" t="s">
        <v>749</v>
      </c>
      <c r="D1723" s="27" t="s">
        <v>687</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1320</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430</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1203</v>
      </c>
      <c r="B1726" s="27" t="s">
        <v>807</v>
      </c>
      <c r="C1726" s="27" t="s">
        <v>749</v>
      </c>
      <c r="D1726" s="27" t="s">
        <v>687</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1001</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674</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732</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683</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771</v>
      </c>
      <c r="B1731" s="27" t="s">
        <v>843</v>
      </c>
      <c r="C1731" s="27" t="s">
        <v>772</v>
      </c>
      <c r="D1731" s="27" t="s">
        <v>687</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1321</v>
      </c>
      <c r="B1732" s="27" t="s">
        <v>863</v>
      </c>
      <c r="C1732" s="27" t="s">
        <v>686</v>
      </c>
      <c r="D1732" s="27" t="s">
        <v>687</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1322</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1323</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674</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732</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1203</v>
      </c>
      <c r="B1737" s="27" t="s">
        <v>863</v>
      </c>
      <c r="C1737" s="27" t="s">
        <v>749</v>
      </c>
      <c r="D1737" s="27" t="s">
        <v>687</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1324</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1325</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703</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1326</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794</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760</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1327</v>
      </c>
      <c r="B1744" s="27" t="s">
        <v>874</v>
      </c>
      <c r="C1744" s="27" t="s">
        <v>693</v>
      </c>
      <c r="D1744" s="27" t="s">
        <v>687</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694</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695</v>
      </c>
      <c r="B1746" s="27" t="s">
        <v>728</v>
      </c>
      <c r="C1746" s="27" t="s">
        <v>679</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1072</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674</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row>
    <row r="1750" spans="1:12">
      <c r="A1750" s="20" t="s">
        <v>699</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1328</v>
      </c>
    </row>
    <row r="1752" spans="1:12">
      <c r="A1752" s="20" t="s">
        <v>827</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747</v>
      </c>
      <c r="B1753" s="27" t="s">
        <v>685</v>
      </c>
      <c r="C1753" s="27" t="s">
        <v>749</v>
      </c>
      <c r="D1753" s="27" t="s">
        <v>687</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1329</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890</v>
      </c>
      <c r="B1755" s="27" t="s">
        <v>692</v>
      </c>
      <c r="C1755" s="27" t="s">
        <v>749</v>
      </c>
      <c r="D1755" s="27" t="s">
        <v>687</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774</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674</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12</v>
      </c>
      <c r="B1758" s="27" t="s">
        <v>678</v>
      </c>
      <c r="C1758" s="27" t="s">
        <v>731</v>
      </c>
      <c r="D1758" s="27" t="s">
        <v>687</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732</v>
      </c>
      <c r="B1759" s="27" t="s">
        <v>807</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1330</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202</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1331</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732</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306</v>
      </c>
      <c r="B1764" s="27" t="s">
        <v>874</v>
      </c>
      <c r="C1764" s="27" t="s">
        <v>749</v>
      </c>
      <c r="D1764" s="27" t="s">
        <v>687</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1332</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683</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180</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674</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721</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1013</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1118</v>
      </c>
      <c r="B1771" s="27" t="s">
        <v>744</v>
      </c>
      <c r="C1771" s="27" t="s">
        <v>899</v>
      </c>
      <c r="D1771" s="27" t="s">
        <v>687</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1333</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682</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1334</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682</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1335</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780</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674</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row>
    <row r="1780" spans="1:12">
      <c r="A1780" s="20" t="s">
        <v>1336</v>
      </c>
    </row>
    <row r="1781" spans="1:12">
      <c r="A1781" s="20" t="s">
        <v>827</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828</v>
      </c>
      <c r="B1782" s="27" t="s">
        <v>685</v>
      </c>
      <c r="C1782" s="27" t="s">
        <v>749</v>
      </c>
      <c r="D1782" s="27" t="s">
        <v>687</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1337</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774</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row>
    <row r="1786" spans="1:12">
      <c r="A1786" s="20" t="s">
        <v>699</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1338</v>
      </c>
    </row>
    <row r="1788" spans="1:12">
      <c r="A1788" s="20" t="s">
        <v>674</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12</v>
      </c>
      <c r="B1789" s="27" t="s">
        <v>678</v>
      </c>
      <c r="C1789" s="27" t="s">
        <v>731</v>
      </c>
      <c r="D1789" s="27" t="s">
        <v>687</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732</v>
      </c>
      <c r="B1790" s="27" t="s">
        <v>791</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747</v>
      </c>
      <c r="B1791" s="27" t="s">
        <v>787</v>
      </c>
      <c r="C1791" s="27" t="s">
        <v>749</v>
      </c>
      <c r="D1791" s="27" t="s">
        <v>687</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1339</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780</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row>
    <row r="1795" spans="1:12">
      <c r="A1795" s="20" t="s">
        <v>1340</v>
      </c>
    </row>
    <row r="1796" spans="1:12">
      <c r="A1796" s="20" t="s">
        <v>1341</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306</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682</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1197</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1342</v>
      </c>
      <c r="B1800" s="27" t="s">
        <v>692</v>
      </c>
      <c r="C1800" s="27" t="s">
        <v>716</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698</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row>
    <row r="1803" spans="1:12">
      <c r="A1803" s="20" t="s">
        <v>699</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1343</v>
      </c>
    </row>
    <row r="1805" spans="1:12">
      <c r="A1805" s="20" t="s">
        <v>674</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1200</v>
      </c>
      <c r="B1806" s="27" t="s">
        <v>685</v>
      </c>
      <c r="C1806" s="27" t="s">
        <v>745</v>
      </c>
      <c r="D1806" s="27" t="s">
        <v>687</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1151</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996</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1344</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1345</v>
      </c>
      <c r="B1810" s="27" t="s">
        <v>692</v>
      </c>
      <c r="C1810" s="27" t="s">
        <v>899</v>
      </c>
      <c r="D1810" s="27" t="s">
        <v>687</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676</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1203</v>
      </c>
      <c r="B1812" s="27" t="s">
        <v>678</v>
      </c>
      <c r="C1812" s="27" t="s">
        <v>749</v>
      </c>
      <c r="D1812" s="27" t="s">
        <v>687</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698</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row>
    <row r="1815" spans="1:12">
      <c r="A1815" s="20" t="s">
        <v>699</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1346</v>
      </c>
    </row>
    <row r="1817" spans="1:12">
      <c r="A1817" s="20" t="s">
        <v>674</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827</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747</v>
      </c>
      <c r="B1819" s="27" t="s">
        <v>685</v>
      </c>
      <c r="C1819" s="27" t="s">
        <v>749</v>
      </c>
      <c r="D1819" s="27" t="s">
        <v>687</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703</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306</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170</v>
      </c>
      <c r="B1822" s="27" t="s">
        <v>696</v>
      </c>
      <c r="C1822" s="27" t="s">
        <v>693</v>
      </c>
      <c r="D1822" s="27" t="s">
        <v>687</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694</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1203</v>
      </c>
      <c r="B1824" s="27" t="s">
        <v>724</v>
      </c>
      <c r="C1824" s="27" t="s">
        <v>749</v>
      </c>
      <c r="D1824" s="27" t="s">
        <v>687</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1347</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683</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1348</v>
      </c>
      <c r="B1827" s="27" t="s">
        <v>692</v>
      </c>
      <c r="C1827" s="27" t="s">
        <v>686</v>
      </c>
      <c r="D1827" s="27" t="s">
        <v>687</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694</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1349</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760</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1350</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683</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1147</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1351</v>
      </c>
      <c r="B1834" s="27" t="s">
        <v>821</v>
      </c>
      <c r="C1834" s="27" t="s">
        <v>749</v>
      </c>
      <c r="D1834" s="27" t="s">
        <v>687</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698</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674</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1352</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1353</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1354</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741</v>
      </c>
      <c r="B1840" s="27" t="s">
        <v>791</v>
      </c>
      <c r="C1840" s="27" t="s">
        <v>693</v>
      </c>
      <c r="D1840" s="27" t="s">
        <v>687</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694</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760</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752</v>
      </c>
      <c r="B1843" s="27" t="s">
        <v>724</v>
      </c>
      <c r="C1843" s="27" t="s">
        <v>1355</v>
      </c>
      <c r="D1843" s="27" t="s">
        <v>687</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220</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698</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row>
    <row r="1847" spans="1:12">
      <c r="A1847" s="20" t="s">
        <v>1356</v>
      </c>
    </row>
    <row r="1848" spans="1:12">
      <c r="A1848" s="20" t="s">
        <v>1357</v>
      </c>
      <c r="B1848" s="27" t="s">
        <v>685</v>
      </c>
      <c r="C1848" s="27" t="s">
        <v>731</v>
      </c>
      <c r="D1848" s="27" t="s">
        <v>687</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740</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694</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1358</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1113</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908</v>
      </c>
      <c r="B1853" s="27" t="s">
        <v>678</v>
      </c>
      <c r="C1853" s="27" t="s">
        <v>745</v>
      </c>
      <c r="D1853" s="27" t="s">
        <v>687</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1359</v>
      </c>
      <c r="B1854" s="27" t="s">
        <v>696</v>
      </c>
      <c r="C1854" s="27" t="s">
        <v>745</v>
      </c>
      <c r="D1854" s="27" t="s">
        <v>687</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1360</v>
      </c>
      <c r="B1855" s="27" t="s">
        <v>696</v>
      </c>
      <c r="C1855" s="27" t="s">
        <v>745</v>
      </c>
      <c r="D1855" s="27" t="s">
        <v>687</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682</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1361</v>
      </c>
      <c r="B1857" s="27" t="s">
        <v>696</v>
      </c>
      <c r="C1857" s="27" t="s">
        <v>693</v>
      </c>
      <c r="D1857" s="27" t="s">
        <v>687</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694</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683</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953</v>
      </c>
      <c r="B1860" s="27" t="s">
        <v>724</v>
      </c>
      <c r="C1860" s="27" t="s">
        <v>745</v>
      </c>
      <c r="D1860" s="27" t="s">
        <v>687</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1362</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1113</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1363</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850</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689</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1364</v>
      </c>
      <c r="B1866" s="27" t="s">
        <v>812</v>
      </c>
      <c r="C1866" s="27" t="s">
        <v>736</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1365</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682</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732</v>
      </c>
      <c r="B1869" s="27" t="s">
        <v>1066</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1366</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774</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row>
    <row r="1873" spans="1:12">
      <c r="A1873" s="20" t="s">
        <v>699</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1367</v>
      </c>
    </row>
    <row r="1875" spans="1:12">
      <c r="A1875" s="20" t="s">
        <v>674</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894</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1083</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1214</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1368</v>
      </c>
      <c r="B1879" s="27" t="s">
        <v>791</v>
      </c>
      <c r="C1879" s="27" t="s">
        <v>754</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708</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782</v>
      </c>
      <c r="B1881" s="27" t="s">
        <v>807</v>
      </c>
      <c r="C1881" s="27" t="s">
        <v>749</v>
      </c>
      <c r="D1881" s="27" t="s">
        <v>687</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1369</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1370</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674</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850</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1371</v>
      </c>
      <c r="B1886" s="27" t="s">
        <v>812</v>
      </c>
      <c r="C1886" s="27" t="s">
        <v>693</v>
      </c>
      <c r="D1886" s="27" t="s">
        <v>687</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694</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979</v>
      </c>
      <c r="B1888" s="27" t="s">
        <v>843</v>
      </c>
      <c r="C1888" s="27" t="s">
        <v>679</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733</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1014</v>
      </c>
      <c r="B1890" s="27" t="s">
        <v>821</v>
      </c>
      <c r="C1890" s="27" t="s">
        <v>693</v>
      </c>
      <c r="D1890" s="27" t="s">
        <v>687</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794</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1372</v>
      </c>
      <c r="B1892" s="27" t="s">
        <v>843</v>
      </c>
      <c r="C1892" s="27" t="s">
        <v>693</v>
      </c>
      <c r="D1892" s="27" t="s">
        <v>687</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694</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1373</v>
      </c>
      <c r="B1894" s="27" t="s">
        <v>728</v>
      </c>
      <c r="C1894" s="27" t="s">
        <v>745</v>
      </c>
      <c r="D1894" s="27" t="s">
        <v>687</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682</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674</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1374</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903</v>
      </c>
      <c r="B1898" s="27" t="s">
        <v>787</v>
      </c>
      <c r="C1898" s="27" t="s">
        <v>731</v>
      </c>
      <c r="D1898" s="27" t="s">
        <v>687</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1375</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1376</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1351</v>
      </c>
      <c r="B1901" s="27" t="s">
        <v>810</v>
      </c>
      <c r="C1901" s="27" t="s">
        <v>749</v>
      </c>
      <c r="D1901" s="27" t="s">
        <v>687</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676</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689</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1377</v>
      </c>
      <c r="B1904" s="27" t="s">
        <v>724</v>
      </c>
      <c r="C1904" s="27" t="s">
        <v>736</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674</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1374</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1378</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689</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1379</v>
      </c>
      <c r="B1909" s="27" t="s">
        <v>821</v>
      </c>
      <c r="C1909" s="27" t="s">
        <v>736</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729</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1380</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682</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1381</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698</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row>
    <row r="1916" spans="1:12">
      <c r="A1916" s="20" t="s">
        <v>699</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1382</v>
      </c>
    </row>
    <row r="1918" spans="1:12">
      <c r="A1918" s="20" t="s">
        <v>674</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701</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1383</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682</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1384</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1113</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1385</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698</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row>
    <row r="1927" spans="1:12">
      <c r="A1927" s="20" t="s">
        <v>1386</v>
      </c>
    </row>
    <row r="1928" spans="1:12">
      <c r="A1928" s="20" t="s">
        <v>824</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717</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1387</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1388</v>
      </c>
      <c r="B1931" s="27" t="s">
        <v>692</v>
      </c>
      <c r="C1931" s="27" t="s">
        <v>679</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698</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row>
    <row r="1934" spans="1:12">
      <c r="A1934" s="20" t="s">
        <v>699</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1389</v>
      </c>
    </row>
    <row r="1936" spans="1:12">
      <c r="A1936" s="20" t="s">
        <v>674</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770</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1390</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1388</v>
      </c>
      <c r="B1939" s="27" t="s">
        <v>685</v>
      </c>
      <c r="C1939" s="27" t="s">
        <v>686</v>
      </c>
      <c r="D1939" s="27" t="s">
        <v>687</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1391</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1392</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694</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733</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1393</v>
      </c>
      <c r="B1944" s="27" t="s">
        <v>692</v>
      </c>
      <c r="C1944" s="27" t="s">
        <v>693</v>
      </c>
      <c r="D1944" s="27" t="s">
        <v>687</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1394</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733</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1118</v>
      </c>
      <c r="B1947" s="27" t="s">
        <v>696</v>
      </c>
      <c r="C1947" s="27" t="s">
        <v>736</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682</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674</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703</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1319</v>
      </c>
      <c r="B1951" s="27" t="s">
        <v>863</v>
      </c>
      <c r="C1951" s="27" t="s">
        <v>716</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794</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1372</v>
      </c>
      <c r="B1953" s="27" t="s">
        <v>843</v>
      </c>
      <c r="C1953" s="27" t="s">
        <v>693</v>
      </c>
      <c r="D1953" s="27" t="s">
        <v>687</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694</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1373</v>
      </c>
      <c r="B1955" s="27" t="s">
        <v>728</v>
      </c>
      <c r="C1955" s="27" t="s">
        <v>745</v>
      </c>
      <c r="D1955" s="27" t="s">
        <v>687</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717</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740</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733</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1118</v>
      </c>
      <c r="B1959" s="27" t="s">
        <v>724</v>
      </c>
      <c r="C1959" s="27" t="s">
        <v>736</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698</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674</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1395</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1396</v>
      </c>
      <c r="B1963" s="27" t="s">
        <v>787</v>
      </c>
      <c r="C1963" s="27" t="s">
        <v>1049</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1303</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1397</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682</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1398</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306</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1399</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1400</v>
      </c>
      <c r="B1970" s="27" t="s">
        <v>791</v>
      </c>
      <c r="C1970" s="27" t="s">
        <v>686</v>
      </c>
      <c r="D1970" s="27" t="s">
        <v>687</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732</v>
      </c>
      <c r="B1971" s="27" t="s">
        <v>821</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1401</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682</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676</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306</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720</v>
      </c>
      <c r="B1976" s="27" t="s">
        <v>812</v>
      </c>
      <c r="C1976" s="27" t="s">
        <v>693</v>
      </c>
      <c r="D1976" s="27" t="s">
        <v>687</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694</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928</v>
      </c>
      <c r="B1978" s="27" t="s">
        <v>843</v>
      </c>
      <c r="C1978" s="27" t="s">
        <v>679</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1402</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698</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row>
    <row r="1982" spans="1:12">
      <c r="A1982" s="20" t="s">
        <v>1403</v>
      </c>
    </row>
    <row r="1983" spans="1:12">
      <c r="A1983" s="20" t="s">
        <v>12</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58</v>
      </c>
      <c r="B1984" s="27" t="s">
        <v>685</v>
      </c>
      <c r="C1984" s="27" t="s">
        <v>686</v>
      </c>
      <c r="D1984" s="27" t="s">
        <v>687</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694</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732</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683</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1404</v>
      </c>
      <c r="B1988" s="27" t="s">
        <v>812</v>
      </c>
      <c r="C1988" s="27" t="s">
        <v>772</v>
      </c>
      <c r="D1988" s="27" t="s">
        <v>687</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1405</v>
      </c>
      <c r="B1989" s="27" t="s">
        <v>807</v>
      </c>
      <c r="C1989" s="27" t="s">
        <v>686</v>
      </c>
      <c r="D1989" s="27" t="s">
        <v>687</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1406</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1074</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676</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760</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1407</v>
      </c>
      <c r="B1994" s="27" t="s">
        <v>678</v>
      </c>
      <c r="C1994" s="27" t="s">
        <v>686</v>
      </c>
      <c r="D1994" s="27" t="s">
        <v>687</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1408</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698</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row>
    <row r="1998" spans="1:12">
      <c r="A1998" s="20" t="s">
        <v>1409</v>
      </c>
    </row>
    <row r="1999" spans="1:12">
      <c r="A1999" s="20" t="s">
        <v>824</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1410</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804</v>
      </c>
      <c r="B2001" s="27" t="s">
        <v>692</v>
      </c>
      <c r="C2001" s="27" t="s">
        <v>749</v>
      </c>
      <c r="D2001" s="27" t="s">
        <v>687</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694</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721</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1411</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118</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928</v>
      </c>
      <c r="B2006" s="27" t="s">
        <v>810</v>
      </c>
      <c r="C2006" s="27" t="s">
        <v>679</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732</v>
      </c>
      <c r="B2007" s="27" t="s">
        <v>864</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1412</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1134</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1413</v>
      </c>
      <c r="B2010" s="27" t="s">
        <v>874</v>
      </c>
      <c r="C2010" s="27" t="s">
        <v>1049</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682</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721</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1411</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118</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928</v>
      </c>
      <c r="B2015" s="27" t="s">
        <v>874</v>
      </c>
      <c r="C2015" s="27" t="s">
        <v>679</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732</v>
      </c>
      <c r="B2016" s="27" t="s">
        <v>739</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982</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1414</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682</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306</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1415</v>
      </c>
      <c r="B2021" s="27" t="s">
        <v>874</v>
      </c>
      <c r="C2021" s="27" t="s">
        <v>686</v>
      </c>
      <c r="D2021" s="27" t="s">
        <v>687</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1020</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1416</v>
      </c>
      <c r="B2023" s="27" t="s">
        <v>739</v>
      </c>
      <c r="C2023" s="27" t="s">
        <v>679</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1417</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732</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1050</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928</v>
      </c>
      <c r="B2027" s="27" t="s">
        <v>739</v>
      </c>
      <c r="C2027" s="27" t="s">
        <v>899</v>
      </c>
      <c r="D2027" s="27" t="s">
        <v>687</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982</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698</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row>
    <row r="2031" spans="1:12">
      <c r="A2031" s="20" t="s">
        <v>1418</v>
      </c>
    </row>
    <row r="2032" spans="1:12">
      <c r="A2032" s="20" t="s">
        <v>827</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683</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1419</v>
      </c>
      <c r="B2034" s="27" t="s">
        <v>685</v>
      </c>
      <c r="C2034" s="27" t="s">
        <v>686</v>
      </c>
      <c r="D2034" s="27" t="s">
        <v>687</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732</v>
      </c>
      <c r="B2035" s="27" t="s">
        <v>807</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1303</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1268</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1420</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1073</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682</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732</v>
      </c>
      <c r="B2041" s="27" t="s">
        <v>807</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740</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1150</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1421</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1422</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682</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740</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733</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1419</v>
      </c>
      <c r="B2049" s="27" t="s">
        <v>678</v>
      </c>
      <c r="C2049" s="27" t="s">
        <v>736</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683</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732</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717</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1423</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1424</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1425</v>
      </c>
      <c r="B2055" s="27" t="s">
        <v>791</v>
      </c>
      <c r="C2055" s="27" t="s">
        <v>1049</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698</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row>
    <row r="2058" spans="1:12">
      <c r="A2058" s="20" t="s">
        <v>1426</v>
      </c>
    </row>
    <row r="2059" spans="1:12">
      <c r="A2059" s="20" t="s">
        <v>1427</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1039</v>
      </c>
      <c r="B2060" s="27" t="s">
        <v>685</v>
      </c>
      <c r="C2060" s="27" t="s">
        <v>1049</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732</v>
      </c>
      <c r="B2061" s="27" t="s">
        <v>810</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1428</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682</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1429</v>
      </c>
      <c r="B2064" s="27" t="s">
        <v>696</v>
      </c>
      <c r="C2064" s="27" t="s">
        <v>745</v>
      </c>
      <c r="D2064" s="27" t="s">
        <v>687</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703</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1430</v>
      </c>
      <c r="B2066" s="27" t="s">
        <v>696</v>
      </c>
      <c r="C2066" s="27" t="s">
        <v>745</v>
      </c>
      <c r="D2066" s="27" t="s">
        <v>687</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1431</v>
      </c>
      <c r="B2067" s="27" t="s">
        <v>724</v>
      </c>
      <c r="C2067" s="27" t="s">
        <v>745</v>
      </c>
      <c r="D2067" s="27" t="s">
        <v>687</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682</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1432</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1433</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430</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682</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1434</v>
      </c>
      <c r="B2073" s="27" t="s">
        <v>787</v>
      </c>
      <c r="C2073" s="27" t="s">
        <v>679</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703</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1435</v>
      </c>
      <c r="B2075" s="27" t="s">
        <v>724</v>
      </c>
      <c r="C2075" s="27" t="s">
        <v>679</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1436</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682</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306</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1281</v>
      </c>
      <c r="B2079" s="27" t="s">
        <v>724</v>
      </c>
      <c r="C2079" s="27" t="s">
        <v>772</v>
      </c>
      <c r="D2079" s="27" t="s">
        <v>687</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1273</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379</v>
      </c>
      <c r="B2081" s="27" t="s">
        <v>787</v>
      </c>
      <c r="C2081" s="27" t="s">
        <v>686</v>
      </c>
      <c r="D2081" s="27" t="s">
        <v>687</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1197</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1204</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794</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1372</v>
      </c>
      <c r="B2085" s="27" t="s">
        <v>696</v>
      </c>
      <c r="C2085" s="27" t="s">
        <v>693</v>
      </c>
      <c r="D2085" s="27" t="s">
        <v>687</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694</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1373</v>
      </c>
      <c r="B2087" s="27" t="s">
        <v>724</v>
      </c>
      <c r="C2087" s="27" t="s">
        <v>745</v>
      </c>
      <c r="D2087" s="27" t="s">
        <v>687</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698</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row>
    <row r="2090" spans="1:12">
      <c r="A2090" s="20" t="s">
        <v>1437</v>
      </c>
    </row>
    <row r="2091" spans="1:12">
      <c r="A2091" s="20" t="s">
        <v>1299</v>
      </c>
      <c r="B2091" s="27" t="s">
        <v>685</v>
      </c>
      <c r="C2091" s="27" t="s">
        <v>749</v>
      </c>
      <c r="D2091" s="27" t="s">
        <v>687</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1438</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732</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958</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1439</v>
      </c>
      <c r="B2095" s="27" t="s">
        <v>787</v>
      </c>
      <c r="C2095" s="27" t="s">
        <v>686</v>
      </c>
      <c r="D2095" s="27" t="s">
        <v>687</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1440</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708</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1203</v>
      </c>
      <c r="B2098" s="27" t="s">
        <v>696</v>
      </c>
      <c r="C2098" s="27" t="s">
        <v>749</v>
      </c>
      <c r="D2098" s="27" t="s">
        <v>687</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717</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982</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306</v>
      </c>
      <c r="B2101" s="27" t="s">
        <v>678</v>
      </c>
      <c r="C2101" s="27" t="s">
        <v>731</v>
      </c>
      <c r="D2101" s="27" t="s">
        <v>687</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732</v>
      </c>
      <c r="B2102" s="27" t="s">
        <v>807</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1441</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725</v>
      </c>
      <c r="B2104" s="27" t="s">
        <v>810</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682</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703</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1442</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1025</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689</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704</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1443</v>
      </c>
      <c r="B2111" s="27" t="s">
        <v>874</v>
      </c>
      <c r="C2111" s="27" t="s">
        <v>736</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1113</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1444</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1445</v>
      </c>
      <c r="B2114" s="27" t="s">
        <v>728</v>
      </c>
      <c r="C2114" s="27" t="s">
        <v>693</v>
      </c>
      <c r="D2114" s="27" t="s">
        <v>687</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694</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1446</v>
      </c>
      <c r="B2116" s="27" t="s">
        <v>744</v>
      </c>
      <c r="C2116" s="27" t="s">
        <v>679</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683</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732</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1447</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1448</v>
      </c>
      <c r="B2120" s="27" t="s">
        <v>1283</v>
      </c>
      <c r="C2120" s="27" t="s">
        <v>679</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794</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1449</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1019</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1039</v>
      </c>
      <c r="B2124" s="27" t="s">
        <v>1450</v>
      </c>
      <c r="C2124" s="27" t="s">
        <v>1049</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1113</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708</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1451</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1035</v>
      </c>
      <c r="B2128" s="27" t="s">
        <v>1452</v>
      </c>
      <c r="C2128" s="27" t="s">
        <v>679</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794</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1453</v>
      </c>
      <c r="B2130" s="27" t="s">
        <v>1454</v>
      </c>
      <c r="C2130" s="27" t="s">
        <v>693</v>
      </c>
      <c r="D2130" s="27" t="s">
        <v>687</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694</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1373</v>
      </c>
      <c r="B2132" s="27" t="s">
        <v>1455</v>
      </c>
      <c r="C2132" s="27" t="s">
        <v>745</v>
      </c>
      <c r="D2132" s="27" t="s">
        <v>687</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698</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row>
    <row r="2135" spans="1:12">
      <c r="A2135" s="20" t="s">
        <v>1456</v>
      </c>
    </row>
    <row r="2136" spans="1:12">
      <c r="A2136" s="20" t="s">
        <v>1457</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752</v>
      </c>
      <c r="B2137" s="27" t="s">
        <v>787</v>
      </c>
      <c r="C2137" s="27" t="s">
        <v>679</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682</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1458</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1443</v>
      </c>
      <c r="B2140" s="27" t="s">
        <v>685</v>
      </c>
      <c r="C2140" s="27" t="s">
        <v>899</v>
      </c>
      <c r="D2140" s="27" t="s">
        <v>687</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1459</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782</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676</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727</v>
      </c>
      <c r="B2144" s="27" t="s">
        <v>678</v>
      </c>
      <c r="C2144" s="27" t="s">
        <v>716</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1199</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306</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1460</v>
      </c>
      <c r="B2147" s="27" t="s">
        <v>724</v>
      </c>
      <c r="C2147" s="27" t="s">
        <v>745</v>
      </c>
      <c r="D2147" s="27" t="s">
        <v>687</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694</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1461</v>
      </c>
      <c r="B2149" s="27" t="s">
        <v>812</v>
      </c>
      <c r="C2149" s="27" t="s">
        <v>745</v>
      </c>
      <c r="D2149" s="27" t="s">
        <v>687</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682</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957</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1083</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835</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1462</v>
      </c>
      <c r="B2154" s="27" t="s">
        <v>874</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703</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1462</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694</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1035</v>
      </c>
      <c r="B2158" s="27" t="s">
        <v>874</v>
      </c>
      <c r="C2158" s="27" t="s">
        <v>693</v>
      </c>
      <c r="D2158" s="27" t="s">
        <v>687</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794</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1463</v>
      </c>
      <c r="B2160" s="27" t="s">
        <v>728</v>
      </c>
      <c r="C2160" s="27" t="s">
        <v>679</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1464</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732</v>
      </c>
      <c r="B2162" s="27" t="s">
        <v>1465</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1176</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683</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725</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1466</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698</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row>
    <row r="2169" spans="1:12">
      <c r="A2169" s="20" t="s">
        <v>699</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1467</v>
      </c>
    </row>
    <row r="2171" spans="1:12">
      <c r="A2171" s="20" t="s">
        <v>1468</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683</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1302</v>
      </c>
      <c r="B2173" s="27" t="s">
        <v>678</v>
      </c>
      <c r="C2173" s="27" t="s">
        <v>686</v>
      </c>
      <c r="D2173" s="27" t="s">
        <v>687</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694</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306</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914</v>
      </c>
      <c r="B2176" s="27" t="s">
        <v>678</v>
      </c>
      <c r="C2176" s="27" t="s">
        <v>686</v>
      </c>
      <c r="D2176" s="27" t="s">
        <v>687</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676</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683</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674</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1359</v>
      </c>
      <c r="B2180" s="27" t="s">
        <v>685</v>
      </c>
      <c r="C2180" s="27" t="s">
        <v>745</v>
      </c>
      <c r="D2180" s="27" t="s">
        <v>687</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1360</v>
      </c>
      <c r="B2181" s="27" t="s">
        <v>696</v>
      </c>
      <c r="C2181" s="27" t="s">
        <v>745</v>
      </c>
      <c r="D2181" s="27" t="s">
        <v>687</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674</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682</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683</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1469</v>
      </c>
      <c r="B2185" s="27" t="s">
        <v>696</v>
      </c>
      <c r="C2185" s="27" t="s">
        <v>693</v>
      </c>
      <c r="D2185" s="27" t="s">
        <v>687</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694</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712</v>
      </c>
      <c r="B2187" s="27" t="s">
        <v>724</v>
      </c>
      <c r="C2187" s="27" t="s">
        <v>679</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708</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958</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928</v>
      </c>
      <c r="B2190" s="27" t="s">
        <v>724</v>
      </c>
      <c r="C2190" s="27" t="s">
        <v>693</v>
      </c>
      <c r="D2190" s="27" t="s">
        <v>687</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794</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1372</v>
      </c>
      <c r="B2192" s="27" t="s">
        <v>812</v>
      </c>
      <c r="C2192" s="27" t="s">
        <v>693</v>
      </c>
      <c r="D2192" s="27" t="s">
        <v>687</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694</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1373</v>
      </c>
      <c r="B2194" s="27" t="s">
        <v>843</v>
      </c>
      <c r="C2194" s="27" t="s">
        <v>745</v>
      </c>
      <c r="D2194" s="27" t="s">
        <v>687</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1470</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698</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row>
    <row r="2198" spans="1:12">
      <c r="A2198" s="20" t="s">
        <v>1471</v>
      </c>
    </row>
    <row r="2199" spans="1:12">
      <c r="A2199" s="20" t="s">
        <v>905</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928</v>
      </c>
      <c r="B2200" s="27" t="s">
        <v>692</v>
      </c>
      <c r="C2200" s="27" t="s">
        <v>693</v>
      </c>
      <c r="D2200" s="27" t="s">
        <v>687</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794</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1372</v>
      </c>
      <c r="B2202" s="27" t="s">
        <v>696</v>
      </c>
      <c r="C2202" s="27" t="s">
        <v>693</v>
      </c>
      <c r="D2202" s="27" t="s">
        <v>687</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694</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1373</v>
      </c>
      <c r="B2204" s="27" t="s">
        <v>724</v>
      </c>
      <c r="C2204" s="27" t="s">
        <v>745</v>
      </c>
      <c r="D2204" s="27" t="s">
        <v>687</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732</v>
      </c>
      <c r="B2205" s="27" t="s">
        <v>807</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1037</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1472</v>
      </c>
      <c r="B2207" s="27" t="s">
        <v>696</v>
      </c>
      <c r="C2207" s="27" t="s">
        <v>679</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682</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1037</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1473</v>
      </c>
      <c r="B2210" s="27" t="s">
        <v>678</v>
      </c>
      <c r="C2210" s="27" t="s">
        <v>679</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682</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1019</v>
      </c>
      <c r="B2212" s="27" t="s">
        <v>787</v>
      </c>
      <c r="C2212" s="27" t="s">
        <v>716</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732</v>
      </c>
      <c r="B2213" s="27" t="s">
        <v>863</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929</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577</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694</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1048</v>
      </c>
      <c r="B2217" s="27" t="s">
        <v>843</v>
      </c>
      <c r="C2217" s="27" t="s">
        <v>693</v>
      </c>
      <c r="D2217" s="27" t="s">
        <v>687</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1474</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676</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683</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1475</v>
      </c>
      <c r="B2221" s="27" t="s">
        <v>728</v>
      </c>
      <c r="C2221" s="27" t="s">
        <v>686</v>
      </c>
      <c r="D2221" s="27" t="s">
        <v>687</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1476</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698</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row>
    <row r="2225" spans="1:12">
      <c r="A2225" s="20" t="s">
        <v>1477</v>
      </c>
    </row>
    <row r="2226" spans="1:12">
      <c r="A2226" s="20" t="s">
        <v>1478</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1431</v>
      </c>
      <c r="B2227" s="27" t="s">
        <v>787</v>
      </c>
      <c r="C2227" s="27" t="s">
        <v>745</v>
      </c>
      <c r="D2227" s="27" t="s">
        <v>687</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1479</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1207</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683</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118</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794</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903</v>
      </c>
      <c r="B2233" s="27" t="s">
        <v>696</v>
      </c>
      <c r="C2233" s="27" t="s">
        <v>731</v>
      </c>
      <c r="D2233" s="27" t="s">
        <v>687</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698</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row>
    <row r="2236" spans="1:12">
      <c r="A2236" s="20" t="s">
        <v>699</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1480</v>
      </c>
    </row>
    <row r="2238" spans="1:12">
      <c r="A2238" s="20" t="s">
        <v>827</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747</v>
      </c>
      <c r="B2239" s="27" t="s">
        <v>685</v>
      </c>
      <c r="C2239" s="27" t="s">
        <v>749</v>
      </c>
      <c r="D2239" s="27" t="s">
        <v>687</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1329</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933</v>
      </c>
      <c r="B2241" s="27" t="s">
        <v>692</v>
      </c>
      <c r="C2241" s="27" t="s">
        <v>749</v>
      </c>
      <c r="D2241" s="27" t="s">
        <v>687</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774</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1481</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782</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780</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row>
    <row r="2247" spans="1:12">
      <c r="A2247" s="20" t="s">
        <v>699</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1482</v>
      </c>
    </row>
    <row r="2249" spans="1:12">
      <c r="A2249" s="20" t="s">
        <v>674</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1483</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732</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306</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1484</v>
      </c>
      <c r="B2253" s="27" t="s">
        <v>724</v>
      </c>
      <c r="C2253" s="27" t="s">
        <v>772</v>
      </c>
      <c r="D2253" s="27" t="s">
        <v>687</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379</v>
      </c>
      <c r="B2254" s="27" t="s">
        <v>787</v>
      </c>
      <c r="C2254" s="27" t="s">
        <v>686</v>
      </c>
      <c r="D2254" s="27" t="s">
        <v>687</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717</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1485</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1372</v>
      </c>
      <c r="B2257" s="27" t="s">
        <v>791</v>
      </c>
      <c r="C2257" s="27" t="s">
        <v>693</v>
      </c>
      <c r="D2257" s="27" t="s">
        <v>687</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694</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1373</v>
      </c>
      <c r="B2259" s="27" t="s">
        <v>724</v>
      </c>
      <c r="C2259" s="27" t="s">
        <v>745</v>
      </c>
      <c r="D2259" s="27" t="s">
        <v>687</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780</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row>
    <row r="2262" spans="1:12">
      <c r="A2262" s="20" t="s">
        <v>699</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1486</v>
      </c>
    </row>
    <row r="2264" spans="1:12">
      <c r="A2264" s="20" t="s">
        <v>1487</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694</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1210</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202</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1488</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1489</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694</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828</v>
      </c>
      <c r="B2271" s="27" t="s">
        <v>821</v>
      </c>
      <c r="C2271" s="27" t="s">
        <v>749</v>
      </c>
      <c r="D2271" s="27" t="s">
        <v>687</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780</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674</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1490</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682</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306</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170</v>
      </c>
      <c r="B2277" s="27" t="s">
        <v>685</v>
      </c>
      <c r="C2277" s="27" t="s">
        <v>686</v>
      </c>
      <c r="D2277" s="27" t="s">
        <v>687</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1337</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774</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row>
    <row r="2281" spans="1:12">
      <c r="A2281" s="20" t="s">
        <v>699</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1491</v>
      </c>
    </row>
    <row r="2283" spans="1:12">
      <c r="A2283" s="20" t="s">
        <v>674</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1492</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682</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850</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306</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1493</v>
      </c>
      <c r="B2288" s="27" t="s">
        <v>678</v>
      </c>
      <c r="C2288" s="27" t="s">
        <v>745</v>
      </c>
      <c r="D2288" s="27" t="s">
        <v>687</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682</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306</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1115</v>
      </c>
      <c r="B2291" s="27" t="s">
        <v>678</v>
      </c>
      <c r="C2291" s="27" t="s">
        <v>772</v>
      </c>
      <c r="D2291" s="27" t="s">
        <v>687</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379</v>
      </c>
      <c r="B2292" s="27" t="s">
        <v>678</v>
      </c>
      <c r="C2292" s="27" t="s">
        <v>693</v>
      </c>
      <c r="D2292" s="27" t="s">
        <v>687</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682</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1494</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830</v>
      </c>
      <c r="B2295" s="27" t="s">
        <v>791</v>
      </c>
      <c r="C2295" s="27" t="s">
        <v>749</v>
      </c>
      <c r="D2295" s="27" t="s">
        <v>687</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674</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1140</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708</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306</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1493</v>
      </c>
      <c r="B2300" s="27" t="s">
        <v>807</v>
      </c>
      <c r="C2300" s="27" t="s">
        <v>745</v>
      </c>
      <c r="D2300" s="27" t="s">
        <v>687</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740</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689</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1495</v>
      </c>
      <c r="B2303" s="27" t="s">
        <v>696</v>
      </c>
      <c r="C2303" s="27" t="s">
        <v>736</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1112</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694</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126</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676</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306</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856</v>
      </c>
      <c r="B2309" s="27" t="s">
        <v>812</v>
      </c>
      <c r="C2309" s="27" t="s">
        <v>686</v>
      </c>
      <c r="D2309" s="27" t="s">
        <v>687</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682</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674</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703</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747</v>
      </c>
      <c r="B2313" s="27" t="s">
        <v>864</v>
      </c>
      <c r="C2313" s="27" t="s">
        <v>749</v>
      </c>
      <c r="D2313" s="27" t="s">
        <v>687</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1496</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694</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1497</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683</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306</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1493</v>
      </c>
      <c r="B2319" s="27" t="s">
        <v>742</v>
      </c>
      <c r="C2319" s="27" t="s">
        <v>745</v>
      </c>
      <c r="D2319" s="27" t="s">
        <v>687</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733</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712</v>
      </c>
      <c r="B2321" s="27" t="s">
        <v>742</v>
      </c>
      <c r="C2321" s="27" t="s">
        <v>736</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729</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1498</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698</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row>
    <row r="2326" spans="1:12">
      <c r="A2326" s="20" t="s">
        <v>699</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1499</v>
      </c>
    </row>
    <row r="2328" spans="1:12">
      <c r="A2328" s="20" t="s">
        <v>674</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824</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1500</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732</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682</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782</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1501</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1502</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958</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928</v>
      </c>
      <c r="B2337" s="27" t="s">
        <v>810</v>
      </c>
      <c r="C2337" s="27" t="s">
        <v>754</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794</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1372</v>
      </c>
      <c r="B2339" s="27" t="s">
        <v>724</v>
      </c>
      <c r="C2339" s="27" t="s">
        <v>693</v>
      </c>
      <c r="D2339" s="27" t="s">
        <v>687</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694</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1373</v>
      </c>
      <c r="B2341" s="27" t="s">
        <v>812</v>
      </c>
      <c r="C2341" s="27" t="s">
        <v>745</v>
      </c>
      <c r="D2341" s="27" t="s">
        <v>687</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682</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903</v>
      </c>
      <c r="B2343" s="27" t="s">
        <v>787</v>
      </c>
      <c r="C2343" s="27" t="s">
        <v>731</v>
      </c>
      <c r="D2343" s="27" t="s">
        <v>687</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1323</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733</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1503</v>
      </c>
      <c r="B2346" s="27" t="s">
        <v>678</v>
      </c>
      <c r="C2346" s="27" t="s">
        <v>736</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1504</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698</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674</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827</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1430</v>
      </c>
      <c r="B2351" s="27" t="s">
        <v>787</v>
      </c>
      <c r="C2351" s="27" t="s">
        <v>745</v>
      </c>
      <c r="D2351" s="27" t="s">
        <v>687</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1431</v>
      </c>
      <c r="B2352" s="27" t="s">
        <v>724</v>
      </c>
      <c r="C2352" s="27" t="s">
        <v>745</v>
      </c>
      <c r="D2352" s="27" t="s">
        <v>687</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803</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830</v>
      </c>
      <c r="B2354" s="27" t="s">
        <v>791</v>
      </c>
      <c r="C2354" s="27" t="s">
        <v>749</v>
      </c>
      <c r="D2354" s="27" t="s">
        <v>687</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774</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674</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1154</v>
      </c>
      <c r="B2357" s="27" t="s">
        <v>791</v>
      </c>
      <c r="C2357" s="27" t="s">
        <v>749</v>
      </c>
      <c r="D2357" s="27" t="s">
        <v>687</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1505</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794</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306</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1429</v>
      </c>
      <c r="B2361" s="27" t="s">
        <v>812</v>
      </c>
      <c r="C2361" s="27" t="s">
        <v>745</v>
      </c>
      <c r="D2361" s="27" t="s">
        <v>687</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698</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row>
    <row r="2364" spans="1:12">
      <c r="A2364" s="20" t="s">
        <v>699</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1506</v>
      </c>
    </row>
    <row r="2366" spans="1:12">
      <c r="A2366" s="20" t="s">
        <v>674</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1507</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306</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1493</v>
      </c>
      <c r="B2369" s="27" t="s">
        <v>678</v>
      </c>
      <c r="C2369" s="27" t="s">
        <v>745</v>
      </c>
      <c r="D2369" s="27" t="s">
        <v>687</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682</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386</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676</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689</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1508</v>
      </c>
      <c r="B2374" s="27" t="s">
        <v>678</v>
      </c>
      <c r="C2374" s="27" t="s">
        <v>736</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708</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890</v>
      </c>
      <c r="B2376" s="27" t="s">
        <v>791</v>
      </c>
      <c r="C2376" s="27" t="s">
        <v>749</v>
      </c>
      <c r="D2376" s="27" t="s">
        <v>687</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1497</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733</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712</v>
      </c>
      <c r="B2379" s="27" t="s">
        <v>791</v>
      </c>
      <c r="C2379" s="27" t="s">
        <v>736</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729</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1498</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698</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row>
    <row r="2384" spans="1:12">
      <c r="A2384" s="20" t="s">
        <v>699</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1509</v>
      </c>
    </row>
    <row r="2386" spans="1:12">
      <c r="A2386" s="20" t="s">
        <v>674</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824</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1510</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850</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1298</v>
      </c>
      <c r="B2390" s="27" t="s">
        <v>696</v>
      </c>
      <c r="C2390" s="27" t="s">
        <v>749</v>
      </c>
      <c r="D2390" s="27" t="s">
        <v>687</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1113</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1083</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90</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752</v>
      </c>
      <c r="B2394" s="27" t="s">
        <v>810</v>
      </c>
      <c r="C2394" s="27" t="s">
        <v>754</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682</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430</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1203</v>
      </c>
      <c r="B2397" s="27" t="s">
        <v>807</v>
      </c>
      <c r="C2397" s="27" t="s">
        <v>749</v>
      </c>
      <c r="D2397" s="27" t="s">
        <v>687</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1001</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682</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747</v>
      </c>
      <c r="B2400" s="27" t="s">
        <v>791</v>
      </c>
      <c r="C2400" s="27" t="s">
        <v>749</v>
      </c>
      <c r="D2400" s="27" t="s">
        <v>687</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717</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1511</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674</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732</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808</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31</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683</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1458</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1512</v>
      </c>
      <c r="B2409" s="27" t="s">
        <v>724</v>
      </c>
      <c r="C2409" s="27" t="s">
        <v>899</v>
      </c>
      <c r="D2409" s="27" t="s">
        <v>687</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698</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row>
    <row r="2412" spans="1:12">
      <c r="A2412" s="20" t="s">
        <v>699</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1513</v>
      </c>
    </row>
    <row r="2414" spans="1:12">
      <c r="A2414" s="20" t="s">
        <v>674</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1514</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850</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1298</v>
      </c>
      <c r="B2417" s="27" t="s">
        <v>791</v>
      </c>
      <c r="C2417" s="27" t="s">
        <v>749</v>
      </c>
      <c r="D2417" s="27" t="s">
        <v>687</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682</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860</v>
      </c>
      <c r="B2419" s="27" t="s">
        <v>685</v>
      </c>
      <c r="C2419" s="27" t="s">
        <v>731</v>
      </c>
      <c r="D2419" s="27" t="s">
        <v>687</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783</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830</v>
      </c>
      <c r="B2421" s="27" t="s">
        <v>692</v>
      </c>
      <c r="C2421" s="27" t="s">
        <v>749</v>
      </c>
      <c r="D2421" s="27" t="s">
        <v>687</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983</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861</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703</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983</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729</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1515</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674</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703</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1516</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983</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729</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1379</v>
      </c>
      <c r="B2433" s="27" t="s">
        <v>821</v>
      </c>
      <c r="C2433" s="27" t="s">
        <v>679</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683</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1517</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683</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771</v>
      </c>
      <c r="B2437" s="27" t="s">
        <v>843</v>
      </c>
      <c r="C2437" s="27" t="s">
        <v>772</v>
      </c>
      <c r="D2437" s="27" t="s">
        <v>687</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712</v>
      </c>
      <c r="B2438" s="27" t="s">
        <v>821</v>
      </c>
      <c r="C2438" s="27" t="s">
        <v>686</v>
      </c>
      <c r="D2438" s="27" t="s">
        <v>687</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674</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732</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682</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1510</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850</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1298</v>
      </c>
      <c r="B2444" s="27" t="s">
        <v>744</v>
      </c>
      <c r="C2444" s="27" t="s">
        <v>749</v>
      </c>
      <c r="D2444" s="27" t="s">
        <v>687</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682</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747</v>
      </c>
      <c r="B2446" s="27" t="s">
        <v>1066</v>
      </c>
      <c r="C2446" s="27" t="s">
        <v>749</v>
      </c>
      <c r="D2446" s="27" t="s">
        <v>687</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717</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1518</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694</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1203</v>
      </c>
      <c r="B2450" s="27" t="s">
        <v>742</v>
      </c>
      <c r="C2450" s="27" t="s">
        <v>749</v>
      </c>
      <c r="D2450" s="27" t="s">
        <v>687</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674</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850</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1263</v>
      </c>
      <c r="B2453" s="27" t="s">
        <v>728</v>
      </c>
      <c r="C2453" s="27" t="s">
        <v>716</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676</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1458</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856</v>
      </c>
      <c r="B2456" s="27" t="s">
        <v>728</v>
      </c>
      <c r="C2456" s="27" t="s">
        <v>899</v>
      </c>
      <c r="D2456" s="27" t="s">
        <v>687</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698</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674</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1519</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676</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689</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1520</v>
      </c>
      <c r="B2462" s="27" t="s">
        <v>843</v>
      </c>
      <c r="C2462" s="27" t="s">
        <v>736</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676</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732</v>
      </c>
      <c r="B2464" s="27" t="s">
        <v>753</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683</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1164</v>
      </c>
      <c r="B2466" s="27" t="s">
        <v>748</v>
      </c>
      <c r="C2466" s="27" t="s">
        <v>693</v>
      </c>
      <c r="D2466" s="27" t="s">
        <v>687</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1169</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708</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1070</v>
      </c>
      <c r="B2469" s="27" t="s">
        <v>1450</v>
      </c>
      <c r="C2469" s="27" t="s">
        <v>731</v>
      </c>
      <c r="D2469" s="27" t="s">
        <v>687</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703</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1521</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1134</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1522</v>
      </c>
      <c r="B2473" s="27" t="s">
        <v>730</v>
      </c>
      <c r="C2473" s="27" t="s">
        <v>1049</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1074</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683</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1523</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1524</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698</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row>
    <row r="2480" spans="1:12">
      <c r="A2480" s="20" t="s">
        <v>1525</v>
      </c>
    </row>
    <row r="2481" spans="1:12">
      <c r="A2481" s="20" t="s">
        <v>756</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306</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1526</v>
      </c>
      <c r="B2483" s="27" t="s">
        <v>696</v>
      </c>
      <c r="C2483" s="27" t="s">
        <v>679</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682</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1527</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1528</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676</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689</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1520</v>
      </c>
      <c r="B2489" s="27" t="s">
        <v>678</v>
      </c>
      <c r="C2489" s="27" t="s">
        <v>736</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676</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732</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683</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1404</v>
      </c>
      <c r="B2493" s="27" t="s">
        <v>812</v>
      </c>
      <c r="C2493" s="27" t="s">
        <v>772</v>
      </c>
      <c r="D2493" s="27" t="s">
        <v>687</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1215</v>
      </c>
      <c r="B2494" s="27" t="s">
        <v>807</v>
      </c>
      <c r="C2494" s="27" t="s">
        <v>686</v>
      </c>
      <c r="D2494" s="27" t="s">
        <v>687</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708</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1529</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1050</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1522</v>
      </c>
      <c r="B2498" s="27" t="s">
        <v>874</v>
      </c>
      <c r="C2498" s="27" t="s">
        <v>899</v>
      </c>
      <c r="D2498" s="27" t="s">
        <v>687</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1530</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683</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689</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1267</v>
      </c>
      <c r="B2502" s="27" t="s">
        <v>724</v>
      </c>
      <c r="C2502" s="27" t="s">
        <v>736</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1210</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820</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1531</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698</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row>
    <row r="2508" spans="1:12">
      <c r="A2508" s="20" t="s">
        <v>1532</v>
      </c>
    </row>
    <row r="2509" spans="1:12">
      <c r="A2509" s="20" t="s">
        <v>1533</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682</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683</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1055</v>
      </c>
      <c r="B2512" s="27" t="s">
        <v>685</v>
      </c>
      <c r="C2512" s="27" t="s">
        <v>693</v>
      </c>
      <c r="D2512" s="27" t="s">
        <v>687</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694</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760</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1534</v>
      </c>
      <c r="B2515" s="27" t="s">
        <v>696</v>
      </c>
      <c r="C2515" s="27" t="s">
        <v>686</v>
      </c>
      <c r="D2515" s="27" t="s">
        <v>687</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732</v>
      </c>
      <c r="B2516" s="27" t="s">
        <v>863</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1535</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940</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676</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760</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761</v>
      </c>
      <c r="B2521" s="27" t="s">
        <v>843</v>
      </c>
      <c r="C2521" s="27" t="s">
        <v>745</v>
      </c>
      <c r="D2521" s="27" t="s">
        <v>687</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1536</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397</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1537</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1538</v>
      </c>
      <c r="B2525" s="27" t="s">
        <v>692</v>
      </c>
      <c r="C2525" s="27" t="s">
        <v>693</v>
      </c>
      <c r="D2525" s="27" t="s">
        <v>687</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682</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732</v>
      </c>
      <c r="B2527" s="27" t="s">
        <v>807</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1037</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1539</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676</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306</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1540</v>
      </c>
      <c r="B2532" s="27" t="s">
        <v>724</v>
      </c>
      <c r="C2532" s="27" t="s">
        <v>686</v>
      </c>
      <c r="D2532" s="27" t="s">
        <v>687</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703</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1541</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683</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689</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1542</v>
      </c>
      <c r="B2537" s="27" t="s">
        <v>696</v>
      </c>
      <c r="C2537" s="27" t="s">
        <v>736</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682</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732</v>
      </c>
      <c r="B2539" s="27" t="s">
        <v>863</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933</v>
      </c>
      <c r="B2540" s="27" t="s">
        <v>821</v>
      </c>
      <c r="C2540" s="27" t="s">
        <v>749</v>
      </c>
      <c r="D2540" s="27" t="s">
        <v>687</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1543</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1544</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689</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1545</v>
      </c>
      <c r="B2544" s="27" t="s">
        <v>874</v>
      </c>
      <c r="C2544" s="27" t="s">
        <v>693</v>
      </c>
      <c r="D2544" s="27" t="s">
        <v>687</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694</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683</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934</v>
      </c>
      <c r="B2547" s="27" t="s">
        <v>728</v>
      </c>
      <c r="C2547" s="27" t="s">
        <v>686</v>
      </c>
      <c r="D2547" s="27" t="s">
        <v>687</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703</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1546</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306</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1547</v>
      </c>
      <c r="B2551" s="27" t="s">
        <v>791</v>
      </c>
      <c r="C2551" s="27" t="s">
        <v>686</v>
      </c>
      <c r="D2551" s="27" t="s">
        <v>687</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1548</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698</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row>
    <row r="2555" spans="1:12">
      <c r="A2555" s="20" t="s">
        <v>1549</v>
      </c>
    </row>
    <row r="2556" spans="1:12">
      <c r="A2556" s="20" t="s">
        <v>1195</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1550</v>
      </c>
      <c r="B2557" s="27" t="s">
        <v>685</v>
      </c>
      <c r="C2557" s="27" t="s">
        <v>736</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732</v>
      </c>
      <c r="B2558" s="27" t="s">
        <v>807</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1303</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1268</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1551</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676</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1552</v>
      </c>
      <c r="B2563" s="27" t="s">
        <v>724</v>
      </c>
      <c r="C2563" s="27" t="s">
        <v>679</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1113</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306</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1553</v>
      </c>
      <c r="B2566" s="27" t="s">
        <v>812</v>
      </c>
      <c r="C2566" s="27" t="s">
        <v>745</v>
      </c>
      <c r="D2566" s="27" t="s">
        <v>687</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1113</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740</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1554</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708</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1555</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683</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1556</v>
      </c>
      <c r="B2573" s="27" t="s">
        <v>791</v>
      </c>
      <c r="C2573" s="27" t="s">
        <v>693</v>
      </c>
      <c r="D2573" s="27" t="s">
        <v>687</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694</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306</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1557</v>
      </c>
      <c r="B2576" s="27" t="s">
        <v>724</v>
      </c>
      <c r="C2576" s="27" t="s">
        <v>693</v>
      </c>
      <c r="D2576" s="27" t="s">
        <v>687</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694</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683</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1558</v>
      </c>
      <c r="B2579" s="27" t="s">
        <v>812</v>
      </c>
      <c r="C2579" s="27" t="s">
        <v>686</v>
      </c>
      <c r="D2579" s="27" t="s">
        <v>687</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698</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row>
    <row r="2582" spans="1:12">
      <c r="A2582" s="20" t="s">
        <v>1559</v>
      </c>
    </row>
    <row r="2583" spans="1:12">
      <c r="A2583" s="20" t="s">
        <v>770</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1558</v>
      </c>
      <c r="B2584" s="27" t="s">
        <v>787</v>
      </c>
      <c r="C2584" s="27" t="s">
        <v>686</v>
      </c>
      <c r="D2584" s="27" t="s">
        <v>687</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740</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683</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1048</v>
      </c>
      <c r="B2587" s="27" t="s">
        <v>678</v>
      </c>
      <c r="C2587" s="27" t="s">
        <v>693</v>
      </c>
      <c r="D2587" s="27" t="s">
        <v>687</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729</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1101</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694</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1205</v>
      </c>
      <c r="B2591" s="27" t="s">
        <v>696</v>
      </c>
      <c r="C2591" s="27" t="s">
        <v>679</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703</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760</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1552</v>
      </c>
      <c r="B2594" s="27" t="s">
        <v>696</v>
      </c>
      <c r="C2594" s="27" t="s">
        <v>686</v>
      </c>
      <c r="D2594" s="27" t="s">
        <v>687</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732</v>
      </c>
      <c r="B2595" s="27" t="s">
        <v>863</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1560</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897</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1561</v>
      </c>
      <c r="B2598" s="27" t="s">
        <v>821</v>
      </c>
      <c r="C2598" s="27" t="s">
        <v>899</v>
      </c>
      <c r="D2598" s="27" t="s">
        <v>687</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703</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732</v>
      </c>
      <c r="B2600" s="27" t="s">
        <v>864</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1067</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306</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1557</v>
      </c>
      <c r="B2603" s="27" t="s">
        <v>874</v>
      </c>
      <c r="C2603" s="27" t="s">
        <v>693</v>
      </c>
      <c r="D2603" s="27" t="s">
        <v>687</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694</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683</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1558</v>
      </c>
      <c r="B2606" s="27" t="s">
        <v>728</v>
      </c>
      <c r="C2606" s="27" t="s">
        <v>686</v>
      </c>
      <c r="D2606" s="27" t="s">
        <v>687</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1562</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778</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683</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306</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1563</v>
      </c>
      <c r="B2611" s="27" t="s">
        <v>678</v>
      </c>
      <c r="C2611" s="27" t="s">
        <v>686</v>
      </c>
      <c r="D2611" s="27" t="s">
        <v>687</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1077</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698</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row>
    <row r="2615" spans="1:12">
      <c r="A2615" s="20" t="s">
        <v>1564</v>
      </c>
    </row>
    <row r="2616" spans="1:12">
      <c r="A2616" s="20" t="s">
        <v>1478</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1565</v>
      </c>
      <c r="B2617" s="27" t="s">
        <v>685</v>
      </c>
      <c r="C2617" s="27" t="s">
        <v>693</v>
      </c>
      <c r="D2617" s="27" t="s">
        <v>687</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676</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1566</v>
      </c>
      <c r="B2619" s="27" t="s">
        <v>696</v>
      </c>
      <c r="C2619" s="27" t="s">
        <v>679</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1567</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1176</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1568</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698</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row>
    <row r="2625" spans="1:12">
      <c r="A2625" s="20" t="s">
        <v>1569</v>
      </c>
    </row>
    <row r="2626" spans="1:12">
      <c r="A2626" s="20" t="s">
        <v>905</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1570</v>
      </c>
      <c r="B2627" s="27" t="s">
        <v>692</v>
      </c>
      <c r="C2627" s="27" t="s">
        <v>679</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683</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306</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1571</v>
      </c>
      <c r="B2630" s="27" t="s">
        <v>692</v>
      </c>
      <c r="C2630" s="27" t="s">
        <v>686</v>
      </c>
      <c r="D2630" s="27" t="s">
        <v>687</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732</v>
      </c>
      <c r="B2631" s="27" t="s">
        <v>863</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1176</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683</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936</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1572</v>
      </c>
      <c r="B2635" s="27" t="s">
        <v>821</v>
      </c>
      <c r="C2635" s="27" t="s">
        <v>679</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683</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1573</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683</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1372</v>
      </c>
      <c r="B2639" s="27" t="s">
        <v>874</v>
      </c>
      <c r="C2639" s="27" t="s">
        <v>693</v>
      </c>
      <c r="D2639" s="27" t="s">
        <v>687</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694</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1373</v>
      </c>
      <c r="B2641" s="27" t="s">
        <v>728</v>
      </c>
      <c r="C2641" s="27" t="s">
        <v>745</v>
      </c>
      <c r="D2641" s="27" t="s">
        <v>687</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676</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683</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1574</v>
      </c>
      <c r="B2644" s="27" t="s">
        <v>728</v>
      </c>
      <c r="C2644" s="27" t="s">
        <v>693</v>
      </c>
      <c r="D2644" s="27" t="s">
        <v>687</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694</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733</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1048</v>
      </c>
      <c r="B2647" s="27" t="s">
        <v>744</v>
      </c>
      <c r="C2647" s="27" t="s">
        <v>736</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729</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1129</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703</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1575</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732</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1210</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682</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1576</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782</v>
      </c>
      <c r="B2656" s="27" t="s">
        <v>791</v>
      </c>
      <c r="C2656" s="27" t="s">
        <v>749</v>
      </c>
      <c r="D2656" s="27" t="s">
        <v>687</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729</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1498</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708</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958</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928</v>
      </c>
      <c r="B2661" s="27" t="s">
        <v>696</v>
      </c>
      <c r="C2661" s="27" t="s">
        <v>686</v>
      </c>
      <c r="D2661" s="27" t="s">
        <v>687</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1529</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1050</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1577</v>
      </c>
      <c r="B2664" s="27" t="s">
        <v>810</v>
      </c>
      <c r="C2664" s="27" t="s">
        <v>899</v>
      </c>
      <c r="D2664" s="27" t="s">
        <v>687</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986</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1311</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1044</v>
      </c>
      <c r="B2667" s="27" t="s">
        <v>810</v>
      </c>
      <c r="C2667" s="27" t="s">
        <v>749</v>
      </c>
      <c r="D2667" s="27" t="s">
        <v>687</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698</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row>
    <row r="2670" spans="1:12">
      <c r="A2670" s="20" t="s">
        <v>1578</v>
      </c>
    </row>
    <row r="2671" spans="1:12">
      <c r="A2671" s="20" t="s">
        <v>1579</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682</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849</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306</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1400</v>
      </c>
      <c r="B2675" s="27" t="s">
        <v>692</v>
      </c>
      <c r="C2675" s="27" t="s">
        <v>686</v>
      </c>
      <c r="D2675" s="27" t="s">
        <v>687</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1169</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703</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306</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1400</v>
      </c>
      <c r="B2679" s="27" t="s">
        <v>696</v>
      </c>
      <c r="C2679" s="27" t="s">
        <v>686</v>
      </c>
      <c r="D2679" s="27" t="s">
        <v>687</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1234</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698</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row>
    <row r="2683" spans="1:12">
      <c r="A2683" s="20" t="s">
        <v>1580</v>
      </c>
    </row>
    <row r="2684" spans="1:12">
      <c r="A2684" s="20" t="s">
        <v>827</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747</v>
      </c>
      <c r="B2685" s="27" t="s">
        <v>685</v>
      </c>
      <c r="C2685" s="27" t="s">
        <v>749</v>
      </c>
      <c r="D2685" s="27" t="s">
        <v>687</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1581</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676</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1582</v>
      </c>
      <c r="B2688" s="27" t="s">
        <v>692</v>
      </c>
      <c r="C2688" s="27" t="s">
        <v>1583</v>
      </c>
      <c r="D2688" s="27" t="s">
        <v>687</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698</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row>
    <row r="2691" spans="1:12">
      <c r="A2691" s="20" t="s">
        <v>1584</v>
      </c>
    </row>
    <row r="2692" spans="1:12">
      <c r="A2692" s="20" t="s">
        <v>1585</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732</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306</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1400</v>
      </c>
      <c r="B2695" s="27" t="s">
        <v>787</v>
      </c>
      <c r="C2695" s="27" t="s">
        <v>686</v>
      </c>
      <c r="D2695" s="27" t="s">
        <v>687</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1169</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740</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1586</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703</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1587</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703</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1588</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682</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703</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1589</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306</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990</v>
      </c>
      <c r="B2707" s="27" t="s">
        <v>692</v>
      </c>
      <c r="C2707" s="27" t="s">
        <v>731</v>
      </c>
      <c r="D2707" s="27" t="s">
        <v>687</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866</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306</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1400</v>
      </c>
      <c r="B2710" s="27" t="s">
        <v>696</v>
      </c>
      <c r="C2710" s="27" t="s">
        <v>686</v>
      </c>
      <c r="D2710" s="27" t="s">
        <v>687</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1234</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698</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row>
    <row r="2714" spans="1:12">
      <c r="A2714" s="20" t="s">
        <v>1590</v>
      </c>
    </row>
    <row r="2715" spans="1:12">
      <c r="A2715" s="20" t="s">
        <v>824</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1500</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732</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740</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733</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1591</v>
      </c>
      <c r="B2720" s="27" t="s">
        <v>678</v>
      </c>
      <c r="C2720" s="27" t="s">
        <v>736</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430</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689</v>
      </c>
      <c r="B2722" s="27" t="s">
        <v>787</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694</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1061</v>
      </c>
      <c r="B2724" s="27" t="s">
        <v>724</v>
      </c>
      <c r="C2724" s="27" t="s">
        <v>749</v>
      </c>
      <c r="D2724" s="27" t="s">
        <v>687</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717</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1147</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306</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854</v>
      </c>
      <c r="B2728" s="27" t="s">
        <v>791</v>
      </c>
      <c r="C2728" s="27" t="s">
        <v>716</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698</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row>
    <row r="2731" spans="1:12">
      <c r="A2731" s="20" t="s">
        <v>1592</v>
      </c>
    </row>
    <row r="2732" spans="1:12">
      <c r="A2732" s="20" t="s">
        <v>827</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430</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1593</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683</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1594</v>
      </c>
      <c r="B2736" s="27" t="s">
        <v>678</v>
      </c>
      <c r="C2736" s="27" t="s">
        <v>686</v>
      </c>
      <c r="D2736" s="27" t="s">
        <v>687</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721</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1176</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683</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1595</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676</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1522</v>
      </c>
      <c r="B2742" s="27" t="s">
        <v>812</v>
      </c>
      <c r="C2742" s="27" t="s">
        <v>693</v>
      </c>
      <c r="D2742" s="27" t="s">
        <v>687</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721</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958</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751</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732</v>
      </c>
      <c r="B2746" s="27" t="s">
        <v>748</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1596</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694</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1597</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682</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683</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958</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1175</v>
      </c>
      <c r="B2753" s="27" t="s">
        <v>735</v>
      </c>
      <c r="C2753" s="27" t="s">
        <v>686</v>
      </c>
      <c r="D2753" s="27" t="s">
        <v>687</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1589</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732</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740</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721</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1598</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1599</v>
      </c>
      <c r="B2759" s="27" t="s">
        <v>1450</v>
      </c>
      <c r="C2759" s="27" t="s">
        <v>899</v>
      </c>
      <c r="D2759" s="27" t="s">
        <v>687</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676</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683</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1600</v>
      </c>
      <c r="B2762" s="27" t="s">
        <v>730</v>
      </c>
      <c r="C2762" s="27" t="s">
        <v>686</v>
      </c>
      <c r="D2762" s="27" t="s">
        <v>687</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430</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306</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1601</v>
      </c>
      <c r="B2765" s="27" t="s">
        <v>1602</v>
      </c>
      <c r="C2765" s="27" t="s">
        <v>686</v>
      </c>
      <c r="D2765" s="27" t="s">
        <v>687</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1603</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732</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1604</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683</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1605</v>
      </c>
      <c r="B2770" s="27" t="s">
        <v>1606</v>
      </c>
      <c r="C2770" s="27" t="s">
        <v>686</v>
      </c>
      <c r="D2770" s="27" t="s">
        <v>687</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676</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306</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1607</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1520</v>
      </c>
      <c r="B2774" s="27" t="s">
        <v>1455</v>
      </c>
      <c r="C2774" s="27" t="s">
        <v>686</v>
      </c>
      <c r="D2774" s="27" t="s">
        <v>687</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676</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732</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828</v>
      </c>
      <c r="B2777" s="27" t="s">
        <v>1608</v>
      </c>
      <c r="C2777" s="27" t="s">
        <v>749</v>
      </c>
      <c r="D2777" s="27" t="s">
        <v>687</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1074</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1609</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683</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1610</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676</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689</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1611</v>
      </c>
      <c r="B2784" s="27" t="s">
        <v>1612</v>
      </c>
      <c r="C2784" s="27" t="s">
        <v>736</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698</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row>
    <row r="2787" spans="1:12">
      <c r="A2787" s="20" t="s">
        <v>1613</v>
      </c>
    </row>
    <row r="2788" spans="1:12">
      <c r="A2788" s="20" t="s">
        <v>1614</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694</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71</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676</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721</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676</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760</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1615</v>
      </c>
      <c r="B2795" s="27" t="s">
        <v>696</v>
      </c>
      <c r="C2795" s="27" t="s">
        <v>693</v>
      </c>
      <c r="D2795" s="27" t="s">
        <v>687</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866</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1616</v>
      </c>
      <c r="B2797" s="27" t="s">
        <v>724</v>
      </c>
      <c r="C2797" s="27" t="s">
        <v>693</v>
      </c>
      <c r="D2797" s="27" t="s">
        <v>687</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676</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1617</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698</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row>
    <row r="2802" spans="1:12">
      <c r="A2802" s="20" t="s">
        <v>1618</v>
      </c>
    </row>
    <row r="2803" spans="1:12">
      <c r="A2803" s="20" t="s">
        <v>1174</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1175</v>
      </c>
      <c r="B2804" s="27" t="s">
        <v>678</v>
      </c>
      <c r="C2804" s="27" t="s">
        <v>679</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682</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683</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1012</v>
      </c>
      <c r="B2807" s="27" t="s">
        <v>685</v>
      </c>
      <c r="C2807" s="27" t="s">
        <v>693</v>
      </c>
      <c r="D2807" s="27" t="s">
        <v>687</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694</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683</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1619</v>
      </c>
      <c r="B2810" s="27" t="s">
        <v>696</v>
      </c>
      <c r="C2810" s="27" t="s">
        <v>686</v>
      </c>
      <c r="D2810" s="27" t="s">
        <v>687</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740</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774</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306</v>
      </c>
      <c r="B2813" s="27" t="s">
        <v>678</v>
      </c>
      <c r="C2813" s="27" t="s">
        <v>731</v>
      </c>
      <c r="D2813" s="27" t="s">
        <v>687</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732</v>
      </c>
      <c r="B2814" s="27" t="s">
        <v>787</v>
      </c>
      <c r="C2814" s="27" t="s">
        <v>1620</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740</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732</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1621</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676</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760</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1136</v>
      </c>
      <c r="B2820" s="27" t="s">
        <v>724</v>
      </c>
      <c r="C2820" s="27" t="s">
        <v>772</v>
      </c>
      <c r="D2820" s="27" t="s">
        <v>687</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851</v>
      </c>
      <c r="B2821" s="27" t="s">
        <v>791</v>
      </c>
      <c r="C2821" s="27" t="s">
        <v>686</v>
      </c>
      <c r="D2821" s="27" t="s">
        <v>687</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703</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306</v>
      </c>
      <c r="B2823" s="27" t="s">
        <v>678</v>
      </c>
      <c r="C2823" s="27" t="s">
        <v>731</v>
      </c>
      <c r="D2823" s="27" t="s">
        <v>687</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732</v>
      </c>
      <c r="B2824" s="27" t="s">
        <v>807</v>
      </c>
      <c r="C2824" s="27" t="s">
        <v>1620</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740</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732</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1622</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1108</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676</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1061</v>
      </c>
      <c r="B2830" s="27" t="s">
        <v>821</v>
      </c>
      <c r="C2830" s="27" t="s">
        <v>749</v>
      </c>
      <c r="D2830" s="27" t="s">
        <v>687</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780</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row>
    <row r="2833" spans="1:12">
      <c r="A2833" s="20" t="s">
        <v>1623</v>
      </c>
    </row>
    <row r="2834" spans="1:12">
      <c r="A2834" s="20" t="s">
        <v>1624</v>
      </c>
      <c r="B2834" s="27" t="s">
        <v>685</v>
      </c>
      <c r="C2834" s="27" t="s">
        <v>745</v>
      </c>
      <c r="D2834" s="27" t="s">
        <v>687</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1625</v>
      </c>
      <c r="B2835" s="27" t="s">
        <v>696</v>
      </c>
      <c r="C2835" s="27" t="s">
        <v>745</v>
      </c>
      <c r="D2835" s="27" t="s">
        <v>687</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682</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733</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1626</v>
      </c>
      <c r="B2838" s="27" t="s">
        <v>696</v>
      </c>
      <c r="C2838" s="27" t="s">
        <v>736</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1627</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850</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306</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1628</v>
      </c>
      <c r="B2842" s="27" t="s">
        <v>812</v>
      </c>
      <c r="C2842" s="27" t="s">
        <v>686</v>
      </c>
      <c r="D2842" s="27" t="s">
        <v>687</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682</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803</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774</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row>
    <row r="2847" spans="1:12">
      <c r="A2847" s="20" t="s">
        <v>699</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1629</v>
      </c>
    </row>
    <row r="2849" spans="1:12">
      <c r="A2849" s="20" t="s">
        <v>674</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786</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760</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1039</v>
      </c>
      <c r="B2852" s="27" t="s">
        <v>787</v>
      </c>
      <c r="C2852" s="27" t="s">
        <v>686</v>
      </c>
      <c r="D2852" s="27" t="s">
        <v>687</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1630</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774</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674</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892</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1154</v>
      </c>
      <c r="B2857" s="27" t="s">
        <v>685</v>
      </c>
      <c r="C2857" s="27" t="s">
        <v>749</v>
      </c>
      <c r="D2857" s="27" t="s">
        <v>687</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814</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732</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306</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796</v>
      </c>
      <c r="B2861" s="27" t="s">
        <v>724</v>
      </c>
      <c r="C2861" s="27" t="s">
        <v>772</v>
      </c>
      <c r="D2861" s="27" t="s">
        <v>687</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379</v>
      </c>
      <c r="B2862" s="27" t="s">
        <v>787</v>
      </c>
      <c r="C2862" s="27" t="s">
        <v>686</v>
      </c>
      <c r="D2862" s="27" t="s">
        <v>687</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717</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1631</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1632</v>
      </c>
      <c r="B2865" s="27" t="s">
        <v>678</v>
      </c>
      <c r="C2865" s="27" t="s">
        <v>679</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682</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674</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306</v>
      </c>
      <c r="B2868" s="27" t="s">
        <v>692</v>
      </c>
      <c r="C2868" s="27" t="s">
        <v>731</v>
      </c>
      <c r="D2868" s="27" t="s">
        <v>687</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732</v>
      </c>
      <c r="B2869" s="27" t="s">
        <v>821</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1061</v>
      </c>
      <c r="B2870" s="27" t="s">
        <v>863</v>
      </c>
      <c r="C2870" s="27" t="s">
        <v>749</v>
      </c>
      <c r="D2870" s="27" t="s">
        <v>687</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1176</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683</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254</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740</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774</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row>
    <row r="2877" spans="1:12">
      <c r="A2877" s="20" t="s">
        <v>699</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1633</v>
      </c>
    </row>
    <row r="2879" spans="1:12">
      <c r="A2879" s="20" t="s">
        <v>674</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892</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1154</v>
      </c>
      <c r="B2881" s="27" t="s">
        <v>685</v>
      </c>
      <c r="C2881" s="27" t="s">
        <v>749</v>
      </c>
      <c r="D2881" s="27" t="s">
        <v>687</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814</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732</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683</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1014</v>
      </c>
      <c r="B2885" s="27" t="s">
        <v>787</v>
      </c>
      <c r="C2885" s="27" t="s">
        <v>686</v>
      </c>
      <c r="D2885" s="27" t="s">
        <v>687</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732</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1634</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717</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1635</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674</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1636</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732</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747</v>
      </c>
      <c r="B2893" s="27" t="s">
        <v>807</v>
      </c>
      <c r="C2893" s="27" t="s">
        <v>749</v>
      </c>
      <c r="D2893" s="27" t="s">
        <v>687</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1485</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689</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379</v>
      </c>
      <c r="B2896" s="27" t="s">
        <v>810</v>
      </c>
      <c r="C2896" s="27" t="s">
        <v>736</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852</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682</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1637</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682</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676</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1638</v>
      </c>
      <c r="B2902" s="27" t="s">
        <v>724</v>
      </c>
      <c r="C2902" s="27" t="s">
        <v>693</v>
      </c>
      <c r="D2902" s="27" t="s">
        <v>687</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694</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1458</v>
      </c>
      <c r="B2904" s="27" t="s">
        <v>812</v>
      </c>
      <c r="C2904" s="27" t="s">
        <v>731</v>
      </c>
      <c r="D2904" s="27" t="s">
        <v>687</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1639</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row>
    <row r="2907" spans="1:12">
      <c r="A2907" s="20" t="s">
        <v>699</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1640</v>
      </c>
    </row>
    <row r="2909" spans="1:12">
      <c r="A2909" s="20" t="s">
        <v>674</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1641</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1075</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698</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row>
    <row r="2914" spans="1:12">
      <c r="A2914" s="20" t="s">
        <v>1642</v>
      </c>
    </row>
    <row r="2915" spans="1:12">
      <c r="A2915" s="20" t="s">
        <v>701</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860</v>
      </c>
      <c r="B2916" s="27" t="s">
        <v>678</v>
      </c>
      <c r="C2916" s="27" t="s">
        <v>731</v>
      </c>
      <c r="D2916" s="27" t="s">
        <v>687</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732</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1643</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430</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1644</v>
      </c>
      <c r="B2920" s="27" t="s">
        <v>807</v>
      </c>
      <c r="C2920" s="27" t="s">
        <v>749</v>
      </c>
      <c r="D2920" s="27" t="s">
        <v>687</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1645</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850</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683</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1404</v>
      </c>
      <c r="B2924" s="27" t="s">
        <v>812</v>
      </c>
      <c r="C2924" s="27" t="s">
        <v>772</v>
      </c>
      <c r="D2924" s="27" t="s">
        <v>687</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1646</v>
      </c>
      <c r="B2925" s="27" t="s">
        <v>810</v>
      </c>
      <c r="C2925" s="27" t="s">
        <v>686</v>
      </c>
      <c r="D2925" s="27" t="s">
        <v>687</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698</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row>
    <row r="2928" spans="1:12">
      <c r="A2928" s="20" t="s">
        <v>699</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1647</v>
      </c>
    </row>
    <row r="2930" spans="1:12">
      <c r="A2930" s="20" t="s">
        <v>674</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701</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860</v>
      </c>
      <c r="B2932" s="27" t="s">
        <v>678</v>
      </c>
      <c r="C2932" s="27" t="s">
        <v>731</v>
      </c>
      <c r="D2932" s="27" t="s">
        <v>687</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732</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1648</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430</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1649</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850</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733</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1650</v>
      </c>
      <c r="B2939" s="27" t="s">
        <v>810</v>
      </c>
      <c r="C2939" s="27" t="s">
        <v>736</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674</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1113</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732</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306</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1484</v>
      </c>
      <c r="B2944" s="27" t="s">
        <v>843</v>
      </c>
      <c r="C2944" s="27" t="s">
        <v>772</v>
      </c>
      <c r="D2944" s="27" t="s">
        <v>687</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1651</v>
      </c>
      <c r="B2945" s="27" t="s">
        <v>812</v>
      </c>
      <c r="C2945" s="27" t="s">
        <v>686</v>
      </c>
      <c r="D2945" s="27" t="s">
        <v>687</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729</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1652</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708</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806</v>
      </c>
      <c r="B2949" s="27" t="s">
        <v>728</v>
      </c>
      <c r="C2949" s="27" t="s">
        <v>749</v>
      </c>
      <c r="D2949" s="27" t="s">
        <v>687</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674</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740</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732</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689</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1288</v>
      </c>
      <c r="B2954" s="27" t="s">
        <v>744</v>
      </c>
      <c r="C2954" s="27" t="s">
        <v>754</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1653</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694</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1654</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674</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703</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732</v>
      </c>
      <c r="B2960" s="27" t="s">
        <v>748</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682</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850</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1655</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694</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958</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1656</v>
      </c>
      <c r="B2966" s="27" t="s">
        <v>730</v>
      </c>
      <c r="C2966" s="27" t="s">
        <v>772</v>
      </c>
      <c r="D2966" s="27" t="s">
        <v>687</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1657</v>
      </c>
      <c r="B2967" s="27" t="s">
        <v>1450</v>
      </c>
      <c r="C2967" s="27" t="s">
        <v>686</v>
      </c>
      <c r="D2967" s="27" t="s">
        <v>687</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682</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1658</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1659</v>
      </c>
      <c r="B2970" s="27" t="s">
        <v>753</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708</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1644</v>
      </c>
      <c r="B2972" s="27" t="s">
        <v>1465</v>
      </c>
      <c r="C2972" s="27" t="s">
        <v>749</v>
      </c>
      <c r="D2972" s="27" t="s">
        <v>687</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1660</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698</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674</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row>
    <row r="2977" spans="1:12">
      <c r="A2977" s="20" t="s">
        <v>1661</v>
      </c>
    </row>
    <row r="2978" spans="1:12">
      <c r="A2978" s="20" t="s">
        <v>701</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689</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1512</v>
      </c>
      <c r="B2980" s="27" t="s">
        <v>678</v>
      </c>
      <c r="C2980" s="27" t="s">
        <v>693</v>
      </c>
      <c r="D2980" s="27" t="s">
        <v>687</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694</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1662</v>
      </c>
      <c r="B2982" s="27" t="s">
        <v>678</v>
      </c>
      <c r="C2982" s="27" t="s">
        <v>679</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1207</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1663</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836</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1664</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708</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683</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709</v>
      </c>
      <c r="B2989" s="27" t="s">
        <v>791</v>
      </c>
      <c r="C2989" s="27" t="s">
        <v>686</v>
      </c>
      <c r="D2989" s="27" t="s">
        <v>687</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694</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732</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958</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928</v>
      </c>
      <c r="B2993" s="27" t="s">
        <v>863</v>
      </c>
      <c r="C2993" s="27" t="s">
        <v>686</v>
      </c>
      <c r="D2993" s="27" t="s">
        <v>687</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782</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1665</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794</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683</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712</v>
      </c>
      <c r="B2998" s="27" t="s">
        <v>821</v>
      </c>
      <c r="C2998" s="27" t="s">
        <v>686</v>
      </c>
      <c r="D2998" s="27" t="s">
        <v>687</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732</v>
      </c>
      <c r="B2999" s="27" t="s">
        <v>742</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1067</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703</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717</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1666</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725</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1667</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986</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1668</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986</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1669</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698</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row>
    <row r="3012" spans="1:12">
      <c r="A3012" s="20" t="s">
        <v>1670</v>
      </c>
    </row>
    <row r="3013" spans="1:12">
      <c r="A3013" s="20" t="s">
        <v>1671</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725</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1672</v>
      </c>
      <c r="B3015" s="27" t="s">
        <v>787</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1374</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732</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1673</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732</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1674</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708</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725</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698</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row>
    <row r="3025" spans="1:12">
      <c r="A3025" s="20" t="s">
        <v>1675</v>
      </c>
    </row>
    <row r="3026" spans="1:12">
      <c r="A3026" s="20" t="s">
        <v>1676</v>
      </c>
      <c r="B3026" s="27" t="s">
        <v>685</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694</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958</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1677</v>
      </c>
      <c r="B3029" s="27" t="s">
        <v>696</v>
      </c>
      <c r="C3029" s="27" t="s">
        <v>686</v>
      </c>
      <c r="D3029" s="27" t="s">
        <v>687</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732</v>
      </c>
      <c r="B3030" s="27" t="s">
        <v>821</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1428</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708</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1458</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1678</v>
      </c>
      <c r="B3034" s="27" t="s">
        <v>812</v>
      </c>
      <c r="C3034" s="27" t="s">
        <v>899</v>
      </c>
      <c r="D3034" s="27" t="s">
        <v>687</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1197</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683</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873</v>
      </c>
      <c r="B3037" s="27" t="s">
        <v>678</v>
      </c>
      <c r="C3037" s="27" t="s">
        <v>693</v>
      </c>
      <c r="D3037" s="27" t="s">
        <v>687</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694</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1679</v>
      </c>
      <c r="B3039" s="27" t="s">
        <v>678</v>
      </c>
      <c r="C3039" s="27" t="s">
        <v>745</v>
      </c>
      <c r="D3039" s="27" t="s">
        <v>687</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1680</v>
      </c>
      <c r="B3040" s="27" t="s">
        <v>696</v>
      </c>
      <c r="C3040" s="27" t="s">
        <v>745</v>
      </c>
      <c r="D3040" s="27" t="s">
        <v>687</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682</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689</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694</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760</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1681</v>
      </c>
      <c r="B3045" s="27" t="s">
        <v>696</v>
      </c>
      <c r="C3045" s="27" t="s">
        <v>693</v>
      </c>
      <c r="D3045" s="27" t="s">
        <v>687</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694</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306</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1682</v>
      </c>
      <c r="B3048" s="27" t="s">
        <v>724</v>
      </c>
      <c r="C3048" s="27" t="s">
        <v>693</v>
      </c>
      <c r="D3048" s="27" t="s">
        <v>687</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694</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1683</v>
      </c>
      <c r="B3050" s="27" t="s">
        <v>812</v>
      </c>
      <c r="C3050" s="27" t="s">
        <v>745</v>
      </c>
      <c r="D3050" s="27" t="s">
        <v>687</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698</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row>
    <row r="3053" spans="1:12">
      <c r="A3053" s="20" t="s">
        <v>1684</v>
      </c>
    </row>
    <row r="3054" spans="1:12">
      <c r="A3054" s="20" t="s">
        <v>1685</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1207</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1191</v>
      </c>
      <c r="B3056" s="27" t="s">
        <v>692</v>
      </c>
      <c r="C3056" s="27" t="s">
        <v>1049</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683</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1686</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1687</v>
      </c>
      <c r="B3059" s="27" t="s">
        <v>810</v>
      </c>
      <c r="C3059" s="27" t="s">
        <v>749</v>
      </c>
      <c r="D3059" s="27" t="s">
        <v>687</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683</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1489</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794</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1298</v>
      </c>
      <c r="B3063" s="27" t="s">
        <v>791</v>
      </c>
      <c r="C3063" s="27" t="s">
        <v>749</v>
      </c>
      <c r="D3063" s="27" t="s">
        <v>687</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682</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703</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682</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430</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1688</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682</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974</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983</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1689</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694</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683</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1000</v>
      </c>
      <c r="B3075" s="27" t="s">
        <v>812</v>
      </c>
      <c r="C3075" s="27" t="s">
        <v>772</v>
      </c>
      <c r="D3075" s="27" t="s">
        <v>687</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1287</v>
      </c>
      <c r="B3076" s="27" t="s">
        <v>724</v>
      </c>
      <c r="C3076" s="27" t="s">
        <v>686</v>
      </c>
      <c r="D3076" s="27" t="s">
        <v>687</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732</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717</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1690</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1691</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694</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1692</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1351</v>
      </c>
      <c r="B3083" s="27" t="s">
        <v>874</v>
      </c>
      <c r="C3083" s="27" t="s">
        <v>749</v>
      </c>
      <c r="D3083" s="27" t="s">
        <v>687</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698</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row>
    <row r="3086" spans="1:12">
      <c r="A3086" s="20" t="s">
        <v>1693</v>
      </c>
    </row>
    <row r="3087" spans="1:12">
      <c r="A3087" s="20" t="s">
        <v>756</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306</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1273</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1694</v>
      </c>
      <c r="B3090" s="27" t="s">
        <v>678</v>
      </c>
      <c r="C3090" s="27" t="s">
        <v>686</v>
      </c>
      <c r="D3090" s="27" t="s">
        <v>687</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732</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1695</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794</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1061</v>
      </c>
      <c r="B3094" s="27" t="s">
        <v>678</v>
      </c>
      <c r="C3094" s="27" t="s">
        <v>749</v>
      </c>
      <c r="D3094" s="27" t="s">
        <v>687</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1113</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306</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1273</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694</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1696</v>
      </c>
      <c r="B3099" s="27" t="s">
        <v>812</v>
      </c>
      <c r="C3099" s="27" t="s">
        <v>716</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1113</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1697</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729</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694</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906</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1698</v>
      </c>
      <c r="B3105" s="27" t="s">
        <v>821</v>
      </c>
      <c r="C3105" s="27" t="s">
        <v>693</v>
      </c>
      <c r="D3105" s="27" t="s">
        <v>687</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694</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1699</v>
      </c>
      <c r="B3107" s="27" t="s">
        <v>843</v>
      </c>
      <c r="C3107" s="27" t="s">
        <v>679</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698</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row>
    <row r="3110" spans="1:12">
      <c r="A3110" s="20" t="s">
        <v>1700</v>
      </c>
    </row>
    <row r="3111" spans="1:12">
      <c r="A3111" s="20" t="s">
        <v>756</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683</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1701</v>
      </c>
      <c r="B3113" s="27" t="s">
        <v>678</v>
      </c>
      <c r="C3113" s="27" t="s">
        <v>693</v>
      </c>
      <c r="D3113" s="27" t="s">
        <v>687</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694</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1702</v>
      </c>
      <c r="B3115" s="27" t="s">
        <v>696</v>
      </c>
      <c r="C3115" s="27" t="s">
        <v>679</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1703</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1704</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1705</v>
      </c>
      <c r="B3118" s="27" t="s">
        <v>678</v>
      </c>
      <c r="C3118" s="27" t="s">
        <v>693</v>
      </c>
      <c r="D3118" s="27" t="s">
        <v>687</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698</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row>
    <row r="3121" spans="1:12">
      <c r="A3121" s="20" t="s">
        <v>1706</v>
      </c>
    </row>
    <row r="3122" spans="1:12">
      <c r="A3122" s="20" t="s">
        <v>1707</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1708</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676</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683</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1709</v>
      </c>
      <c r="B3126" s="27" t="s">
        <v>678</v>
      </c>
      <c r="C3126" s="27" t="s">
        <v>686</v>
      </c>
      <c r="D3126" s="27" t="s">
        <v>687</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698</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row>
    <row r="3129" spans="1:12">
      <c r="A3129" s="20" t="s">
        <v>1710</v>
      </c>
    </row>
    <row r="3130" spans="1:12">
      <c r="A3130" s="20" t="s">
        <v>1711</v>
      </c>
      <c r="B3130" s="27" t="s">
        <v>787</v>
      </c>
      <c r="C3130" s="27" t="s">
        <v>745</v>
      </c>
      <c r="D3130" s="27" t="s">
        <v>687</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1680</v>
      </c>
      <c r="B3131" s="27" t="s">
        <v>724</v>
      </c>
      <c r="C3131" s="27" t="s">
        <v>745</v>
      </c>
      <c r="D3131" s="27" t="s">
        <v>687</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1010</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683</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1712</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306</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1713</v>
      </c>
      <c r="B3136" s="27" t="s">
        <v>791</v>
      </c>
      <c r="C3136" s="27" t="s">
        <v>686</v>
      </c>
      <c r="D3136" s="27" t="s">
        <v>687</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698</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row>
    <row r="3139" spans="1:12">
      <c r="A3139" s="20" t="s">
        <v>699</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1714</v>
      </c>
    </row>
    <row r="3141" spans="1:12">
      <c r="A3141" s="20" t="s">
        <v>827</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747</v>
      </c>
      <c r="B3142" s="27" t="s">
        <v>685</v>
      </c>
      <c r="C3142" s="27" t="s">
        <v>749</v>
      </c>
      <c r="D3142" s="27" t="s">
        <v>687</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1329</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774</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674</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1318</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306</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1679</v>
      </c>
      <c r="B3148" s="27" t="s">
        <v>787</v>
      </c>
      <c r="C3148" s="27" t="s">
        <v>745</v>
      </c>
      <c r="D3148" s="27" t="s">
        <v>687</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1715</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779</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835</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682</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674</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1303</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1716</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1082</v>
      </c>
      <c r="B3156" s="27" t="s">
        <v>791</v>
      </c>
      <c r="C3156" s="27" t="s">
        <v>693</v>
      </c>
      <c r="D3156" s="27" t="s">
        <v>687</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694</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306</v>
      </c>
      <c r="B3158" s="27" t="s">
        <v>724</v>
      </c>
      <c r="C3158" s="27" t="s">
        <v>731</v>
      </c>
      <c r="D3158" s="27" t="s">
        <v>687</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732</v>
      </c>
      <c r="B3159" s="27" t="s">
        <v>864</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1717</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694</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890</v>
      </c>
      <c r="B3162" s="27" t="s">
        <v>742</v>
      </c>
      <c r="C3162" s="27" t="s">
        <v>749</v>
      </c>
      <c r="D3162" s="27" t="s">
        <v>687</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298</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780</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674</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827</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306</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170</v>
      </c>
      <c r="B3168" s="27" t="s">
        <v>787</v>
      </c>
      <c r="C3168" s="27" t="s">
        <v>686</v>
      </c>
      <c r="D3168" s="27" t="s">
        <v>687</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803</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774</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row>
    <row r="3172" spans="1:12">
      <c r="A3172" s="20" t="s">
        <v>699</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1718</v>
      </c>
    </row>
    <row r="3174" spans="1:12">
      <c r="A3174" s="20" t="s">
        <v>674</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1719</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732</v>
      </c>
      <c r="B3176" s="27" t="s">
        <v>692</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1384</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698</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row>
    <row r="3180" spans="1:12">
      <c r="A3180" s="20" t="s">
        <v>699</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1720</v>
      </c>
    </row>
    <row r="3182" spans="1:12">
      <c r="A3182" s="20" t="s">
        <v>674</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1721</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694</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890</v>
      </c>
      <c r="B3185" s="27" t="s">
        <v>791</v>
      </c>
      <c r="C3185" s="27" t="s">
        <v>749</v>
      </c>
      <c r="D3185" s="27" t="s">
        <v>687</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298</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732</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1722</v>
      </c>
      <c r="B3188" s="27" t="s">
        <v>807</v>
      </c>
      <c r="C3188" s="27" t="s">
        <v>679</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818</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1203</v>
      </c>
      <c r="B3190" s="27" t="s">
        <v>864</v>
      </c>
      <c r="C3190" s="27" t="s">
        <v>749</v>
      </c>
      <c r="D3190" s="27" t="s">
        <v>687</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126</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683</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936</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698</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674</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row>
    <row r="3197" spans="1:12">
      <c r="A3197" s="20" t="s">
        <v>1723</v>
      </c>
    </row>
    <row r="3198" spans="1:12">
      <c r="A3198" s="20" t="s">
        <v>1711</v>
      </c>
      <c r="B3198" s="27" t="s">
        <v>685</v>
      </c>
      <c r="C3198" s="27" t="s">
        <v>745</v>
      </c>
      <c r="D3198" s="27" t="s">
        <v>687</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1724</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708</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306</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1725</v>
      </c>
      <c r="B3202" s="27" t="s">
        <v>678</v>
      </c>
      <c r="C3202" s="27" t="s">
        <v>686</v>
      </c>
      <c r="D3202" s="27" t="s">
        <v>687</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703</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1726</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1727</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689</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1728</v>
      </c>
      <c r="B3207" s="27" t="s">
        <v>696</v>
      </c>
      <c r="C3207" s="27" t="s">
        <v>736</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698</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row>
    <row r="3210" spans="1:12">
      <c r="A3210" s="20" t="s">
        <v>1729</v>
      </c>
    </row>
    <row r="3211" spans="1:12">
      <c r="A3211" s="20" t="s">
        <v>939</v>
      </c>
      <c r="B3211" s="27" t="s">
        <v>685</v>
      </c>
      <c r="C3211" s="27" t="s">
        <v>745</v>
      </c>
      <c r="D3211" s="27" t="s">
        <v>687</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1724</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708</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1730</v>
      </c>
      <c r="B3214" s="27" t="s">
        <v>678</v>
      </c>
      <c r="C3214" s="27" t="s">
        <v>679</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703</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803</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774</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row>
    <row r="3219" spans="1:12">
      <c r="A3219" s="20" t="s">
        <v>699</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1731</v>
      </c>
    </row>
    <row r="3221" spans="1:12">
      <c r="A3221" s="20" t="s">
        <v>674</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1732</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890</v>
      </c>
      <c r="B3223" s="27" t="s">
        <v>692</v>
      </c>
      <c r="C3223" s="27" t="s">
        <v>749</v>
      </c>
      <c r="D3223" s="27" t="s">
        <v>687</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732</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830</v>
      </c>
      <c r="B3225" s="27" t="s">
        <v>791</v>
      </c>
      <c r="C3225" s="27" t="s">
        <v>749</v>
      </c>
      <c r="D3225" s="27" t="s">
        <v>687</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1733</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850</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725</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683</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1000</v>
      </c>
      <c r="B3230" s="27" t="s">
        <v>724</v>
      </c>
      <c r="C3230" s="27" t="s">
        <v>772</v>
      </c>
      <c r="D3230" s="27" t="s">
        <v>687</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795</v>
      </c>
      <c r="B3231" s="27" t="s">
        <v>696</v>
      </c>
      <c r="C3231" s="27" t="s">
        <v>686</v>
      </c>
      <c r="D3231" s="27" t="s">
        <v>687</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674</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703</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1210</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66</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306</v>
      </c>
      <c r="B3236" s="27" t="s">
        <v>821</v>
      </c>
      <c r="C3236" s="27" t="s">
        <v>731</v>
      </c>
      <c r="D3236" s="27" t="s">
        <v>687</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732</v>
      </c>
      <c r="B3237" s="27" t="s">
        <v>739</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1010</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683</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512</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1734</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694</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683</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1000</v>
      </c>
      <c r="B3244" s="27" t="s">
        <v>1450</v>
      </c>
      <c r="C3244" s="27" t="s">
        <v>772</v>
      </c>
      <c r="D3244" s="27" t="s">
        <v>687</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1735</v>
      </c>
      <c r="B3245" s="27" t="s">
        <v>735</v>
      </c>
      <c r="C3245" s="27" t="s">
        <v>686</v>
      </c>
      <c r="D3245" s="27" t="s">
        <v>687</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698</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674</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786</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747</v>
      </c>
      <c r="B3249" s="27" t="s">
        <v>787</v>
      </c>
      <c r="C3249" s="27" t="s">
        <v>749</v>
      </c>
      <c r="D3249" s="27" t="s">
        <v>687</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1736</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794</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828</v>
      </c>
      <c r="B3252" s="27" t="s">
        <v>696</v>
      </c>
      <c r="C3252" s="27" t="s">
        <v>749</v>
      </c>
      <c r="D3252" s="27" t="s">
        <v>687</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789</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752</v>
      </c>
      <c r="B3254" s="27" t="s">
        <v>791</v>
      </c>
      <c r="C3254" s="27" t="s">
        <v>1049</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729</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1068</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1113</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689</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694</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1696</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1737</v>
      </c>
      <c r="B3261" s="27" t="s">
        <v>728</v>
      </c>
      <c r="C3261" s="27" t="s">
        <v>1049</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732</v>
      </c>
      <c r="B3262" s="27" t="s">
        <v>748</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1347</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1738</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1113</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828</v>
      </c>
      <c r="B3266" s="27" t="s">
        <v>863</v>
      </c>
      <c r="C3266" s="27" t="s">
        <v>749</v>
      </c>
      <c r="D3266" s="27" t="s">
        <v>687</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803</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774</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row>
    <row r="3270" spans="1:12">
      <c r="A3270" s="20" t="s">
        <v>699</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1739</v>
      </c>
    </row>
    <row r="3272" spans="1:12">
      <c r="A3272" s="20" t="s">
        <v>674</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508</v>
      </c>
      <c r="B3273" s="27" t="s">
        <v>678</v>
      </c>
      <c r="C3273" s="27" t="s">
        <v>745</v>
      </c>
      <c r="D3273" s="27" t="s">
        <v>687</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682</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1740</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732</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877</v>
      </c>
      <c r="B3277" s="27" t="s">
        <v>787</v>
      </c>
      <c r="C3277" s="27" t="s">
        <v>731</v>
      </c>
      <c r="D3277" s="27" t="s">
        <v>687</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1741</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682</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674</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747</v>
      </c>
      <c r="B3281" s="27" t="s">
        <v>807</v>
      </c>
      <c r="C3281" s="27" t="s">
        <v>749</v>
      </c>
      <c r="D3281" s="27" t="s">
        <v>687</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847</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1742</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1210</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202</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1743</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682</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1210</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202</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1744</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851</v>
      </c>
      <c r="B3291" s="27" t="s">
        <v>742</v>
      </c>
      <c r="C3291" s="27" t="s">
        <v>679</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698</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row>
    <row r="3294" spans="1:12">
      <c r="A3294" s="20" t="s">
        <v>699</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1745</v>
      </c>
    </row>
    <row r="3296" spans="1:12">
      <c r="A3296" s="20" t="s">
        <v>674</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1318</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747</v>
      </c>
      <c r="B3298" s="27" t="s">
        <v>807</v>
      </c>
      <c r="C3298" s="27" t="s">
        <v>749</v>
      </c>
      <c r="D3298" s="27" t="s">
        <v>687</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717</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1485</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1746</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708</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306</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1747</v>
      </c>
      <c r="B3304" s="27" t="s">
        <v>724</v>
      </c>
      <c r="C3304" s="27" t="s">
        <v>693</v>
      </c>
      <c r="D3304" s="27" t="s">
        <v>687</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694</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1748</v>
      </c>
      <c r="B3306" s="27" t="s">
        <v>812</v>
      </c>
      <c r="C3306" s="27" t="s">
        <v>745</v>
      </c>
      <c r="D3306" s="27" t="s">
        <v>687</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674</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703</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717</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830</v>
      </c>
      <c r="B3310" s="27" t="s">
        <v>821</v>
      </c>
      <c r="C3310" s="27" t="s">
        <v>749</v>
      </c>
      <c r="D3310" s="27" t="s">
        <v>687</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1485</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1749</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794</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1429</v>
      </c>
      <c r="B3314" s="27" t="s">
        <v>812</v>
      </c>
      <c r="C3314" s="27" t="s">
        <v>745</v>
      </c>
      <c r="D3314" s="27" t="s">
        <v>687</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682</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674</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1013</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1014</v>
      </c>
      <c r="B3318" s="27" t="s">
        <v>787</v>
      </c>
      <c r="C3318" s="27" t="s">
        <v>899</v>
      </c>
      <c r="D3318" s="27" t="s">
        <v>687</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717</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1213</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1750</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682</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1013</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1751</v>
      </c>
      <c r="B3324" s="27" t="s">
        <v>685</v>
      </c>
      <c r="C3324" s="27" t="s">
        <v>899</v>
      </c>
      <c r="D3324" s="27" t="s">
        <v>687</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1385</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717</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1213</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1752</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698</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row>
    <row r="3331" spans="1:12">
      <c r="A3331" s="20" t="s">
        <v>699</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1753</v>
      </c>
    </row>
    <row r="3333" spans="1:12">
      <c r="A3333" s="20" t="s">
        <v>674</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824</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1634</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1754</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683</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1369</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732</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1755</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1756</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760</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851</v>
      </c>
      <c r="B3343" s="27" t="s">
        <v>810</v>
      </c>
      <c r="C3343" s="27" t="s">
        <v>686</v>
      </c>
      <c r="D3343" s="27" t="s">
        <v>687</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732</v>
      </c>
      <c r="B3344" s="27" t="s">
        <v>864</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1757</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674</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732</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717</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901</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1758</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733</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712</v>
      </c>
      <c r="B3352" s="27" t="s">
        <v>1759</v>
      </c>
      <c r="C3352" s="27" t="s">
        <v>736</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1760</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1061</v>
      </c>
      <c r="B3354" s="27" t="s">
        <v>744</v>
      </c>
      <c r="C3354" s="27" t="s">
        <v>749</v>
      </c>
      <c r="D3354" s="27" t="s">
        <v>687</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698</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row>
    <row r="3357" spans="1:12">
      <c r="A3357" s="20" t="s">
        <v>699</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1761</v>
      </c>
    </row>
    <row r="3359" spans="1:12">
      <c r="A3359" s="20" t="s">
        <v>674</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1762</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683</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1763</v>
      </c>
      <c r="B3362" s="27" t="s">
        <v>692</v>
      </c>
      <c r="C3362" s="27" t="s">
        <v>686</v>
      </c>
      <c r="D3362" s="27" t="s">
        <v>687</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732</v>
      </c>
      <c r="B3363" s="27" t="s">
        <v>807</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1764</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683</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760</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1019</v>
      </c>
      <c r="B3367" s="27" t="s">
        <v>724</v>
      </c>
      <c r="C3367" s="27" t="s">
        <v>716</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682</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708</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683</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1157</v>
      </c>
      <c r="B3371" s="27" t="s">
        <v>864</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717</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1251</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184</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1765</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1766</v>
      </c>
      <c r="B3376" s="27" t="s">
        <v>874</v>
      </c>
      <c r="C3376" s="27" t="s">
        <v>754</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682</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674</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836</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708</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683</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1763</v>
      </c>
      <c r="B3382" s="27" t="s">
        <v>843</v>
      </c>
      <c r="C3382" s="27" t="s">
        <v>686</v>
      </c>
      <c r="D3382" s="27" t="s">
        <v>687</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732</v>
      </c>
      <c r="B3383" s="27" t="s">
        <v>739</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1061</v>
      </c>
      <c r="B3384" s="27" t="s">
        <v>739</v>
      </c>
      <c r="C3384" s="27" t="s">
        <v>749</v>
      </c>
      <c r="D3384" s="27" t="s">
        <v>687</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830</v>
      </c>
      <c r="B3385" s="27" t="s">
        <v>1759</v>
      </c>
      <c r="C3385" s="27" t="s">
        <v>749</v>
      </c>
      <c r="D3385" s="27" t="s">
        <v>687</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1764</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682</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1083</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1766</v>
      </c>
      <c r="B3389" s="27" t="s">
        <v>742</v>
      </c>
      <c r="C3389" s="27" t="s">
        <v>679</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674</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698</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row>
    <row r="3393" spans="1:12">
      <c r="A3393" s="20" t="s">
        <v>699</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1767</v>
      </c>
    </row>
    <row r="3395" spans="1:12">
      <c r="A3395" s="20" t="s">
        <v>674</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1507</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903</v>
      </c>
      <c r="B3397" s="27" t="s">
        <v>678</v>
      </c>
      <c r="C3397" s="27" t="s">
        <v>731</v>
      </c>
      <c r="D3397" s="27" t="s">
        <v>687</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682</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1248</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1768</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732</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1213</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1268</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861</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708</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306</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856</v>
      </c>
      <c r="B3407" s="27" t="s">
        <v>696</v>
      </c>
      <c r="C3407" s="27" t="s">
        <v>686</v>
      </c>
      <c r="D3407" s="27" t="s">
        <v>687</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674</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732</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1679</v>
      </c>
      <c r="B3410" s="27" t="s">
        <v>787</v>
      </c>
      <c r="C3410" s="27" t="s">
        <v>745</v>
      </c>
      <c r="D3410" s="27" t="s">
        <v>687</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1210</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1485</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1769</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682</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674</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1770</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732</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903</v>
      </c>
      <c r="B3418" s="27" t="s">
        <v>807</v>
      </c>
      <c r="C3418" s="27" t="s">
        <v>731</v>
      </c>
      <c r="D3418" s="27" t="s">
        <v>687</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717</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1213</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1268</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306</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861</v>
      </c>
      <c r="B3423" s="27" t="s">
        <v>696</v>
      </c>
      <c r="C3423" s="27" t="s">
        <v>693</v>
      </c>
      <c r="D3423" s="27" t="s">
        <v>687</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708</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1771</v>
      </c>
      <c r="B3425" s="27" t="s">
        <v>724</v>
      </c>
      <c r="C3425" s="27" t="s">
        <v>679</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674</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1772</v>
      </c>
      <c r="B3427" s="27" t="s">
        <v>812</v>
      </c>
      <c r="C3427" s="27" t="s">
        <v>745</v>
      </c>
      <c r="D3427" s="27" t="s">
        <v>687</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721</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833</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1773</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732</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1502</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1070</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1677</v>
      </c>
      <c r="B3434" s="27" t="s">
        <v>864</v>
      </c>
      <c r="C3434" s="27" t="s">
        <v>899</v>
      </c>
      <c r="D3434" s="27" t="s">
        <v>687</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1774</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1704</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1775</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851</v>
      </c>
      <c r="B3438" s="27" t="s">
        <v>874</v>
      </c>
      <c r="C3438" s="27" t="s">
        <v>899</v>
      </c>
      <c r="D3438" s="27" t="s">
        <v>687</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794</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1704</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1775</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1463</v>
      </c>
      <c r="B3442" s="27" t="s">
        <v>874</v>
      </c>
      <c r="C3442" s="27" t="s">
        <v>899</v>
      </c>
      <c r="D3442" s="27" t="s">
        <v>687</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682</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1463</v>
      </c>
      <c r="B3444" s="27" t="s">
        <v>728</v>
      </c>
      <c r="C3444" s="27" t="s">
        <v>679</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732</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1061</v>
      </c>
      <c r="B3446" s="27" t="s">
        <v>748</v>
      </c>
      <c r="C3446" s="27" t="s">
        <v>749</v>
      </c>
      <c r="D3446" s="27" t="s">
        <v>687</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682</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676</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683</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1000</v>
      </c>
      <c r="B3450" s="27" t="s">
        <v>1450</v>
      </c>
      <c r="C3450" s="27" t="s">
        <v>772</v>
      </c>
      <c r="D3450" s="27" t="s">
        <v>687</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1776</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979</v>
      </c>
      <c r="B3452" s="27" t="s">
        <v>735</v>
      </c>
      <c r="C3452" s="27" t="s">
        <v>686</v>
      </c>
      <c r="D3452" s="27" t="s">
        <v>687</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682</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1777</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t="s">
        <v>1331</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t="s">
        <v>1342</v>
      </c>
      <c r="B3456" s="27" t="s">
        <v>753</v>
      </c>
      <c r="C3456" s="27" t="s">
        <v>716</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708</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1778</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682</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703</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732</v>
      </c>
      <c r="B3461" s="27" t="s">
        <v>1779</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1704</v>
      </c>
      <c r="B3462" s="27" t="s">
        <v>1780</v>
      </c>
      <c r="C3462" s="27" t="s">
        <v>1583</v>
      </c>
      <c r="D3462" s="27" t="s">
        <v>687</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1781</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1782</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1756</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1783</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676</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1344</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1142</v>
      </c>
      <c r="B3469" s="27" t="s">
        <v>1454</v>
      </c>
      <c r="C3469" s="27" t="s">
        <v>899</v>
      </c>
      <c r="D3469" s="27" t="s">
        <v>687</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694</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1619</v>
      </c>
      <c r="B3471" s="27" t="s">
        <v>1455</v>
      </c>
      <c r="C3471" s="27" t="s">
        <v>679</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698</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row>
    <row r="3474" spans="1:12">
      <c r="A3474" s="20" t="s">
        <v>1784</v>
      </c>
    </row>
    <row r="3475" spans="1:12">
      <c r="A3475" s="20" t="s">
        <v>881</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870</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732</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1704</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806</v>
      </c>
      <c r="B3479" s="27" t="s">
        <v>791</v>
      </c>
      <c r="C3479" s="27" t="s">
        <v>749</v>
      </c>
      <c r="D3479" s="27" t="s">
        <v>687</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682</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732</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849</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851</v>
      </c>
      <c r="B3483" s="27" t="s">
        <v>810</v>
      </c>
      <c r="C3483" s="27" t="s">
        <v>679</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682</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1785</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760</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851</v>
      </c>
      <c r="B3487" s="27" t="s">
        <v>692</v>
      </c>
      <c r="C3487" s="27" t="s">
        <v>686</v>
      </c>
      <c r="D3487" s="27" t="s">
        <v>687</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732</v>
      </c>
      <c r="B3488" s="27" t="s">
        <v>807</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849</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682</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794</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760</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844</v>
      </c>
      <c r="B3493" s="27" t="s">
        <v>812</v>
      </c>
      <c r="C3493" s="27" t="s">
        <v>772</v>
      </c>
      <c r="D3493" s="27" t="s">
        <v>687</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1786</v>
      </c>
      <c r="B3494" s="27" t="s">
        <v>810</v>
      </c>
      <c r="C3494" s="27" t="s">
        <v>686</v>
      </c>
      <c r="D3494" s="27" t="s">
        <v>687</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698</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row>
    <row r="3497" spans="1:12">
      <c r="A3497" s="20" t="s">
        <v>1787</v>
      </c>
    </row>
    <row r="3498" spans="1:12">
      <c r="A3498" s="20" t="s">
        <v>1318</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1026</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1788</v>
      </c>
      <c r="B3500" s="27" t="s">
        <v>685</v>
      </c>
      <c r="C3500" s="27" t="s">
        <v>693</v>
      </c>
      <c r="D3500" s="27" t="s">
        <v>687</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1789</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694</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1002</v>
      </c>
      <c r="B3503" s="27" t="s">
        <v>696</v>
      </c>
      <c r="C3503" s="27" t="s">
        <v>679</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1790</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850</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306</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1791</v>
      </c>
      <c r="B3507" s="27" t="s">
        <v>692</v>
      </c>
      <c r="C3507" s="27" t="s">
        <v>693</v>
      </c>
      <c r="D3507" s="27" t="s">
        <v>687</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694</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683</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771</v>
      </c>
      <c r="B3510" s="27" t="s">
        <v>724</v>
      </c>
      <c r="C3510" s="27" t="s">
        <v>772</v>
      </c>
      <c r="D3510" s="27" t="s">
        <v>687</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1792</v>
      </c>
      <c r="B3511" s="27" t="s">
        <v>696</v>
      </c>
      <c r="C3511" s="27" t="s">
        <v>686</v>
      </c>
      <c r="D3511" s="27" t="s">
        <v>687</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694</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126</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703</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782</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1793</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708</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242</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958</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1035</v>
      </c>
      <c r="B3520" s="27" t="s">
        <v>810</v>
      </c>
      <c r="C3520" s="27" t="s">
        <v>686</v>
      </c>
      <c r="D3520" s="27" t="s">
        <v>687</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732</v>
      </c>
      <c r="B3521" s="27" t="s">
        <v>874</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1634</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703</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1497</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830</v>
      </c>
      <c r="B3525" s="27" t="s">
        <v>791</v>
      </c>
      <c r="C3525" s="27" t="s">
        <v>749</v>
      </c>
      <c r="D3525" s="27" t="s">
        <v>687</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1134</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t="s">
        <v>682</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t="s">
        <v>1035</v>
      </c>
      <c r="B3528" s="27" t="s">
        <v>724</v>
      </c>
      <c r="C3528" s="27" t="s">
        <v>679</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1794</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1113</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729</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1795</v>
      </c>
      <c r="B3532" s="27" t="s">
        <v>812</v>
      </c>
      <c r="C3532" s="27" t="s">
        <v>1049</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682</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729</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1796</v>
      </c>
      <c r="B3535" s="27" t="s">
        <v>812</v>
      </c>
      <c r="C3535" s="27" t="s">
        <v>1049</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682</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729</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1797</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682</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t="s">
        <v>729</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t="s">
        <v>1798</v>
      </c>
      <c r="E3541" s="21">
        <f>IF(D3541="?OLD","!!!","")</f>
        <v/>
      </c>
      <c r="F3541" s="22" t="str">
        <f>IF(OR(E3541="",E3541="!!!"),"",IF(NOT(ISNA(VLOOKUP(E3541,E$1:E3540,1,FALSE()))),"OLD",IF(AND(E3541&lt;&gt;"",E3541&lt;&gt;"!!!"),"NEW","")))</f>
        <v> </v>
      </c>
      <c r="G3541" s="23" t="str">
        <f>IF(OR(E3541="",E3541="!!!"),"",IF(OR(J3541=0,AND(J3541=1,K3541=1),AND(J3541=1,I3541="SBJ"),AND(J3541=1,I3541=0)),"?IN_FOCUS",IF(J3541&lt;=2,"?ACTIVATED",IF(J3541&lt;&gt;"","?FAMILIAR",IF(F3541="NEW",IF(ISNA(VLOOKUP(E3541,#REF!,1,FALSE())),"?TYPE_IDENTIFIABLE","?REFERENTIAL"),"_")))))</f>
        <v> </v>
      </c>
      <c r="H3541" s="24" t="str">
        <f>IF(J3541&lt;&gt;1,"",IF(I3541="SBJ","CB","?"))</f>
        <v> </v>
      </c>
      <c r="I3541" s="25" t="str">
        <f>IF(OR(E3541="",E3541="!!!",F3541="NEW"),"",INDEX(B3540:B$2,-1+SUMPRODUCT(MAX(ROW(E3540:E$2)*(E3541=E3540:E$2)))))</f>
        <v> </v>
      </c>
      <c r="J3541" s="25" t="str">
        <f>IF(OR(E3541="",E3541="!!!",F3541="NEW"),"",COUNTBLANK(OFFSET(A$1,,,SUMPRODUCT(MAX(ROW(E$2:E3541)*(E3541=E$2:E3541)))))-COUNTBLANK(OFFSET(A$1,,,SUMPRODUCT(MAX(ROW(E$1:E3540)*(E2=E$1:E3540))))))</f>
        <v> </v>
      </c>
      <c r="K3541" s="25" t="str">
        <f>IF(OR(E3541="",E3541="!!!",F3541="NEW"),"",INDEX(J$1:J3540,SUMPRODUCT(MAX(ROW(E$1:E3540)*(E3541=E$1:E3540)))))</f>
        <v> </v>
      </c>
      <c r="L3541" s="26"/>
    </row>
    <row r="3542" spans="1:12">
      <c r="A3542" s="20" t="s">
        <v>1113</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747</v>
      </c>
      <c r="B3543" s="27" t="s">
        <v>807</v>
      </c>
      <c r="C3543" s="27" t="s">
        <v>749</v>
      </c>
      <c r="D3543" s="27" t="s">
        <v>687</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1217</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1799</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830</v>
      </c>
      <c r="B3546" s="27" t="s">
        <v>810</v>
      </c>
      <c r="C3546" s="27" t="s">
        <v>749</v>
      </c>
      <c r="D3546" s="27" t="s">
        <v>687</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683</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958</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1035</v>
      </c>
      <c r="B3549" s="27" t="s">
        <v>810</v>
      </c>
      <c r="C3549" s="27" t="s">
        <v>686</v>
      </c>
      <c r="D3549" s="27" t="s">
        <v>687</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732</v>
      </c>
      <c r="B3550" s="27" t="s">
        <v>864</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1634</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t="s">
        <v>703</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1800</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708</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1555</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715</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1801</v>
      </c>
      <c r="B3557" s="27" t="s">
        <v>1759</v>
      </c>
      <c r="C3557" s="27" t="s">
        <v>1049</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1802</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698</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row>
    <row r="3561" spans="1:12">
      <c r="A3561" s="20" t="s">
        <v>699</v>
      </c>
      <c r="E3561" s="21">
        <f>IF(D3561="?OLD","!!!","")</f>
        <v/>
      </c>
      <c r="F3561" s="22" t="str">
        <f>IF(OR(E3561="",E3561="!!!"),"",IF(NOT(ISNA(VLOOKUP(E3561,E$1:E3560,1,FALSE()))),"OLD",IF(AND(E3561&lt;&gt;"",E3561&lt;&gt;"!!!"),"NEW","")))</f>
        <v> </v>
      </c>
      <c r="G3561" s="23" t="str">
        <f>IF(OR(E3561="",E3561="!!!"),"",IF(OR(J3561=0,AND(J3561=1,K3561=1),AND(J3561=1,I3561="SBJ"),AND(J3561=1,I3561=0)),"?IN_FOCUS",IF(J3561&lt;=2,"?ACTIVATED",IF(J3561&lt;&gt;"","?FAMILIAR",IF(F3561="NEW",IF(ISNA(VLOOKUP(E3561,#REF!,1,FALSE())),"?TYPE_IDENTIFIABLE","?REFERENTIAL"),"_")))))</f>
        <v> </v>
      </c>
      <c r="H3561" s="24" t="str">
        <f>IF(J3561&lt;&gt;1,"",IF(I3561="SBJ","CB","?"))</f>
        <v> </v>
      </c>
      <c r="I3561" s="25" t="str">
        <f>IF(OR(E3561="",E3561="!!!",F3561="NEW"),"",INDEX(B3560:B$2,-1+SUMPRODUCT(MAX(ROW(E3560:E$2)*(E3561=E3560:E$2)))))</f>
        <v> </v>
      </c>
      <c r="J3561" s="25" t="str">
        <f>IF(OR(E3561="",E3561="!!!",F3561="NEW"),"",COUNTBLANK(OFFSET(A$1,,,SUMPRODUCT(MAX(ROW(E$2:E3561)*(E3561=E$2:E3561)))))-COUNTBLANK(OFFSET(A$1,,,SUMPRODUCT(MAX(ROW(E$1:E3560)*(E2=E$1:E3560))))))</f>
        <v> </v>
      </c>
      <c r="K3561" s="25" t="str">
        <f>IF(OR(E3561="",E3561="!!!",F3561="NEW"),"",INDEX(J$1:J3560,SUMPRODUCT(MAX(ROW(E$1:E3560)*(E3561=E$1:E3560)))))</f>
        <v> </v>
      </c>
      <c r="L3561" s="26"/>
    </row>
    <row r="3562" spans="1:12">
      <c r="A3562" s="20" t="s">
        <v>1803</v>
      </c>
    </row>
    <row r="3563" spans="1:12">
      <c r="A3563" s="20" t="s">
        <v>756</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306</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965</v>
      </c>
      <c r="B3565" s="27" t="s">
        <v>678</v>
      </c>
      <c r="C3565" s="27" t="s">
        <v>686</v>
      </c>
      <c r="D3565" s="27" t="s">
        <v>687</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682</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t="s">
        <v>1804</v>
      </c>
      <c r="E3567" s="21">
        <f>IF(D3567="?OLD","!!!","")</f>
        <v/>
      </c>
      <c r="F3567" s="22" t="str">
        <f>IF(OR(E3567="",E3567="!!!"),"",IF(NOT(ISNA(VLOOKUP(E3567,E$1:E3566,1,FALSE()))),"OLD",IF(AND(E3567&lt;&gt;"",E3567&lt;&gt;"!!!"),"NEW","")))</f>
        <v> </v>
      </c>
      <c r="G3567" s="23" t="str">
        <f>IF(OR(E3567="",E3567="!!!"),"",IF(OR(J3567=0,AND(J3567=1,K3567=1),AND(J3567=1,I3567="SBJ"),AND(J3567=1,I3567=0)),"?IN_FOCUS",IF(J3567&lt;=2,"?ACTIVATED",IF(J3567&lt;&gt;"","?FAMILIAR",IF(F3567="NEW",IF(ISNA(VLOOKUP(E3567,#REF!,1,FALSE())),"?TYPE_IDENTIFIABLE","?REFERENTIAL"),"_")))))</f>
        <v> </v>
      </c>
      <c r="H3567" s="24" t="str">
        <f>IF(J3567&lt;&gt;1,"",IF(I3567="SBJ","CB","?"))</f>
        <v> </v>
      </c>
      <c r="I3567" s="25" t="str">
        <f>IF(OR(E3567="",E3567="!!!",F3567="NEW"),"",INDEX(B3566:B$2,-1+SUMPRODUCT(MAX(ROW(E3566:E$2)*(E3567=E3566:E$2)))))</f>
        <v> </v>
      </c>
      <c r="J3567" s="25" t="str">
        <f>IF(OR(E3567="",E3567="!!!",F3567="NEW"),"",COUNTBLANK(OFFSET(A$1,,,SUMPRODUCT(MAX(ROW(E$2:E3567)*(E3567=E$2:E3567)))))-COUNTBLANK(OFFSET(A$1,,,SUMPRODUCT(MAX(ROW(E$1:E3566)*(E2=E$1:E3566))))))</f>
        <v> </v>
      </c>
      <c r="K3567" s="25" t="str">
        <f>IF(OR(E3567="",E3567="!!!",F3567="NEW"),"",INDEX(J$1:J3566,SUMPRODUCT(MAX(ROW(E$1:E3566)*(E3567=E$1:E3566)))))</f>
        <v> </v>
      </c>
      <c r="L3567" s="26"/>
    </row>
    <row r="3568" spans="1:12">
      <c r="A3568" s="20" t="s">
        <v>732</v>
      </c>
      <c r="B3568" s="27" t="s">
        <v>692</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682</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694</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683</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t="s">
        <v>1805</v>
      </c>
      <c r="E3572" s="21">
        <f>IF(D3572="?OLD","!!!","")</f>
        <v/>
      </c>
      <c r="F3572" s="22" t="str">
        <f>IF(OR(E3572="",E3572="!!!"),"",IF(NOT(ISNA(VLOOKUP(E3572,E$1:E3571,1,FALSE()))),"OLD",IF(AND(E3572&lt;&gt;"",E3572&lt;&gt;"!!!"),"NEW","")))</f>
        <v> </v>
      </c>
      <c r="G3572" s="23" t="str">
        <f>IF(OR(E3572="",E3572="!!!"),"",IF(OR(J3572=0,AND(J3572=1,K3572=1),AND(J3572=1,I3572="SBJ"),AND(J3572=1,I3572=0)),"?IN_FOCUS",IF(J3572&lt;=2,"?ACTIVATED",IF(J3572&lt;&gt;"","?FAMILIAR",IF(F3572="NEW",IF(ISNA(VLOOKUP(E3572,#REF!,1,FALSE())),"?TYPE_IDENTIFIABLE","?REFERENTIAL"),"_")))))</f>
        <v> </v>
      </c>
      <c r="H3572" s="24" t="str">
        <f>IF(J3572&lt;&gt;1,"",IF(I3572="SBJ","CB","?"))</f>
        <v> </v>
      </c>
      <c r="I3572" s="25" t="str">
        <f>IF(OR(E3572="",E3572="!!!",F3572="NEW"),"",INDEX(B3571:B$2,-1+SUMPRODUCT(MAX(ROW(E3571:E$2)*(E3572=E3571:E$2)))))</f>
        <v> </v>
      </c>
      <c r="J3572" s="25" t="str">
        <f>IF(OR(E3572="",E3572="!!!",F3572="NEW"),"",COUNTBLANK(OFFSET(A$1,,,SUMPRODUCT(MAX(ROW(E$2:E3572)*(E3572=E$2:E3572)))))-COUNTBLANK(OFFSET(A$1,,,SUMPRODUCT(MAX(ROW(E$1:E3571)*(E2=E$1:E3571))))))</f>
        <v> </v>
      </c>
      <c r="K3572" s="25" t="str">
        <f>IF(OR(E3572="",E3572="!!!",F3572="NEW"),"",INDEX(J$1:J3571,SUMPRODUCT(MAX(ROW(E$1:E3571)*(E3572=E$1:E3571)))))</f>
        <v> </v>
      </c>
      <c r="L3572" s="26"/>
    </row>
    <row r="3573" spans="1:12">
      <c r="A3573" s="20" t="s">
        <v>1594</v>
      </c>
      <c r="B3573" s="27" t="s">
        <v>696</v>
      </c>
      <c r="C3573" s="27" t="s">
        <v>686</v>
      </c>
      <c r="D3573" s="27" t="s">
        <v>687</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732</v>
      </c>
      <c r="B3574" s="27" t="s">
        <v>863</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1806</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689</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1807</v>
      </c>
      <c r="B3577" s="27" t="s">
        <v>821</v>
      </c>
      <c r="C3577" s="27" t="s">
        <v>736</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683</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683</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841</v>
      </c>
      <c r="B3580" s="27" t="s">
        <v>812</v>
      </c>
      <c r="C3580" s="27" t="s">
        <v>693</v>
      </c>
      <c r="D3580" s="27" t="s">
        <v>687</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694</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1808</v>
      </c>
      <c r="B3582" s="27" t="s">
        <v>843</v>
      </c>
      <c r="C3582" s="27" t="s">
        <v>679</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676</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733</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1809</v>
      </c>
      <c r="B3585" s="27" t="s">
        <v>812</v>
      </c>
      <c r="C3585" s="27" t="s">
        <v>736</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708</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1122</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732</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717</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1810</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1808</v>
      </c>
      <c r="B3591" s="27" t="s">
        <v>1759</v>
      </c>
      <c r="C3591" s="27" t="s">
        <v>679</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430</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306</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1115</v>
      </c>
      <c r="B3594" s="27" t="s">
        <v>1450</v>
      </c>
      <c r="C3594" s="27" t="s">
        <v>772</v>
      </c>
      <c r="D3594" s="27" t="s">
        <v>687</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379</v>
      </c>
      <c r="B3595" s="27" t="s">
        <v>748</v>
      </c>
      <c r="C3595" s="27" t="s">
        <v>686</v>
      </c>
      <c r="D3595" s="27" t="s">
        <v>687</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782</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1811</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1207</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t="s">
        <v>694</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306</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1812</v>
      </c>
      <c r="B3601" s="27" t="s">
        <v>1450</v>
      </c>
      <c r="C3601" s="27" t="s">
        <v>686</v>
      </c>
      <c r="D3601" s="27" t="s">
        <v>687</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1813</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682</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1527</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1070</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1814</v>
      </c>
      <c r="B3606" s="27" t="s">
        <v>753</v>
      </c>
      <c r="C3606" s="27" t="s">
        <v>899</v>
      </c>
      <c r="D3606" s="27" t="s">
        <v>687</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694</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1677</v>
      </c>
      <c r="B3608" s="27" t="s">
        <v>1450</v>
      </c>
      <c r="C3608" s="27" t="s">
        <v>679</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683</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1815</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1070</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1413</v>
      </c>
      <c r="B3612" s="27" t="s">
        <v>1283</v>
      </c>
      <c r="C3612" s="27" t="s">
        <v>899</v>
      </c>
      <c r="D3612" s="27" t="s">
        <v>687</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1816</v>
      </c>
      <c r="B3613" s="27" t="s">
        <v>1602</v>
      </c>
      <c r="C3613" s="27" t="s">
        <v>716</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782</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1817</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676</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683</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1142</v>
      </c>
      <c r="B3618" s="27" t="s">
        <v>1454</v>
      </c>
      <c r="C3618" s="27" t="s">
        <v>693</v>
      </c>
      <c r="D3618" s="27" t="s">
        <v>687</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t="s">
        <v>1818</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694</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683</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1819</v>
      </c>
      <c r="B3622" s="27" t="s">
        <v>1455</v>
      </c>
      <c r="C3622" s="27" t="s">
        <v>686</v>
      </c>
      <c r="D3622" s="27" t="s">
        <v>687</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682</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732</v>
      </c>
      <c r="B3624" s="27" t="s">
        <v>1608</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740</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1151</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1113</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683</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958</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1175</v>
      </c>
      <c r="B3630" s="27" t="s">
        <v>1612</v>
      </c>
      <c r="C3630" s="27" t="s">
        <v>679</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1820</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708</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760</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1136</v>
      </c>
      <c r="B3634" s="27" t="s">
        <v>1612</v>
      </c>
      <c r="C3634" s="27" t="s">
        <v>772</v>
      </c>
      <c r="D3634" s="27" t="s">
        <v>687</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851</v>
      </c>
      <c r="B3635" s="27" t="s">
        <v>1821</v>
      </c>
      <c r="C3635" s="27" t="s">
        <v>686</v>
      </c>
      <c r="D3635" s="27" t="s">
        <v>687</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703</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1822</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774</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674</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1046</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t="s">
        <v>957</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t="s">
        <v>1823</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780</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674</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1824</v>
      </c>
      <c r="B3645" s="27" t="s">
        <v>696</v>
      </c>
      <c r="C3645" s="27" t="s">
        <v>745</v>
      </c>
      <c r="D3645" s="27" t="s">
        <v>687</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732</v>
      </c>
      <c r="B3646" s="27" t="s">
        <v>821</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682</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1248</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805</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733</v>
      </c>
      <c r="B3650" s="27" t="s">
        <v>863</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694</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t="s">
        <v>1050</v>
      </c>
      <c r="E3652" s="21">
        <f>IF(D3652="?OLD","!!!","")</f>
        <v/>
      </c>
      <c r="F3652" s="22" t="str">
        <f>IF(OR(E3652="",E3652="!!!"),"",IF(NOT(ISNA(VLOOKUP(E3652,E$1:E3651,1,FALSE()))),"OLD",IF(AND(E3652&lt;&gt;"",E3652&lt;&gt;"!!!"),"NEW","")))</f>
        <v> </v>
      </c>
      <c r="G3652" s="23" t="str">
        <f>IF(OR(E3652="",E3652="!!!"),"",IF(OR(J3652=0,AND(J3652=1,K3652=1),AND(J3652=1,I3652="SBJ"),AND(J3652=1,I3652=0)),"?IN_FOCUS",IF(J3652&lt;=2,"?ACTIVATED",IF(J3652&lt;&gt;"","?FAMILIAR",IF(F3652="NEW",IF(ISNA(VLOOKUP(E3652,#REF!,1,FALSE())),"?TYPE_IDENTIFIABLE","?REFERENTIAL"),"_")))))</f>
        <v> </v>
      </c>
      <c r="H3652" s="24" t="str">
        <f>IF(J3652&lt;&gt;1,"",IF(I3652="SBJ","CB","?"))</f>
        <v> </v>
      </c>
      <c r="I3652" s="25" t="str">
        <f>IF(OR(E3652="",E3652="!!!",F3652="NEW"),"",INDEX(B3651:B$2,-1+SUMPRODUCT(MAX(ROW(E3651:E$2)*(E3652=E3651:E$2)))))</f>
        <v> </v>
      </c>
      <c r="J3652" s="25" t="str">
        <f>IF(OR(E3652="",E3652="!!!",F3652="NEW"),"",COUNTBLANK(OFFSET(A$1,,,SUMPRODUCT(MAX(ROW(E$2:E3652)*(E3652=E$2:E3652)))))-COUNTBLANK(OFFSET(A$1,,,SUMPRODUCT(MAX(ROW(E$1:E3651)*(E2=E$1:E3651))))))</f>
        <v> </v>
      </c>
      <c r="K3652" s="25" t="str">
        <f>IF(OR(E3652="",E3652="!!!",F3652="NEW"),"",INDEX(J$1:J3651,SUMPRODUCT(MAX(ROW(E$1:E3651)*(E3652=E$1:E3651)))))</f>
        <v> </v>
      </c>
      <c r="L3652" s="26"/>
    </row>
    <row r="3653" spans="1:12">
      <c r="A3653" s="20" t="s">
        <v>1413</v>
      </c>
      <c r="B3653" s="27" t="s">
        <v>863</v>
      </c>
      <c r="C3653" s="27" t="s">
        <v>899</v>
      </c>
      <c r="D3653" s="27" t="s">
        <v>687</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1825</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1826</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1827</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1113</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1083</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1392</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1828</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1829</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1677</v>
      </c>
      <c r="B3662" s="27" t="s">
        <v>874</v>
      </c>
      <c r="C3662" s="27" t="s">
        <v>1049</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683</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1236</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794</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t="s">
        <v>683</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1830</v>
      </c>
      <c r="B3667" s="27" t="s">
        <v>728</v>
      </c>
      <c r="C3667" s="27" t="s">
        <v>686</v>
      </c>
      <c r="D3667" s="27" t="s">
        <v>687</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682</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1828</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1829</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1677</v>
      </c>
      <c r="B3671" s="27" t="s">
        <v>742</v>
      </c>
      <c r="C3671" s="27" t="s">
        <v>693</v>
      </c>
      <c r="D3671" s="27" t="s">
        <v>687</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t="s">
        <v>694</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1035</v>
      </c>
      <c r="B3673" s="27" t="s">
        <v>744</v>
      </c>
      <c r="C3673" s="27" t="s">
        <v>679</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732</v>
      </c>
      <c r="B3674" s="27" t="s">
        <v>1465</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1037</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1831</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682</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t="s">
        <v>1828</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1829</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1677</v>
      </c>
      <c r="B3680" s="27" t="s">
        <v>744</v>
      </c>
      <c r="C3680" s="27" t="s">
        <v>693</v>
      </c>
      <c r="D3680" s="27" t="s">
        <v>687</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694</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1832</v>
      </c>
      <c r="B3682" s="27" t="s">
        <v>735</v>
      </c>
      <c r="C3682" s="27" t="s">
        <v>679</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682</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1113</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732</v>
      </c>
      <c r="B3685" s="27" t="s">
        <v>739</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1833</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1834</v>
      </c>
      <c r="B3687" s="27" t="s">
        <v>1759</v>
      </c>
      <c r="C3687" s="27" t="s">
        <v>679</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1835</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676</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1696</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1836</v>
      </c>
      <c r="B3691" s="27" t="s">
        <v>744</v>
      </c>
      <c r="C3691" s="27" t="s">
        <v>1049</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1113</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1083</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1104</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1677</v>
      </c>
      <c r="B3695" s="27" t="s">
        <v>753</v>
      </c>
      <c r="C3695" s="27" t="s">
        <v>1049</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676</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805</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733</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694</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1070</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1837</v>
      </c>
      <c r="B3701" s="27" t="s">
        <v>1450</v>
      </c>
      <c r="C3701" s="27" t="s">
        <v>899</v>
      </c>
      <c r="D3701" s="27" t="s">
        <v>687</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698</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row>
    <row r="3704" spans="1:12">
      <c r="A3704" s="20" t="s">
        <v>1838</v>
      </c>
    </row>
    <row r="3705" spans="1:12">
      <c r="A3705" s="20" t="s">
        <v>824</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782</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1839</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683</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71</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732</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683</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1142</v>
      </c>
      <c r="B3712" s="27" t="s">
        <v>863</v>
      </c>
      <c r="C3712" s="27" t="s">
        <v>686</v>
      </c>
      <c r="D3712" s="27" t="s">
        <v>687</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694</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1236</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794</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683</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t="s">
        <v>1840</v>
      </c>
      <c r="B3717" s="27" t="s">
        <v>742</v>
      </c>
      <c r="C3717" s="27" t="s">
        <v>686</v>
      </c>
      <c r="D3717" s="27" t="s">
        <v>687</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t="s">
        <v>1734</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694</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683</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1841</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873</v>
      </c>
      <c r="B3722" s="27" t="s">
        <v>744</v>
      </c>
      <c r="C3722" s="27" t="s">
        <v>686</v>
      </c>
      <c r="D3722" s="27" t="s">
        <v>687</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740</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877</v>
      </c>
      <c r="B3724" s="27" t="s">
        <v>724</v>
      </c>
      <c r="C3724" s="27" t="s">
        <v>731</v>
      </c>
      <c r="D3724" s="27" t="s">
        <v>687</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794</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732</v>
      </c>
      <c r="B3726" s="27" t="s">
        <v>742</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1134</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928</v>
      </c>
      <c r="B3728" s="27" t="s">
        <v>1066</v>
      </c>
      <c r="C3728" s="27" t="s">
        <v>1049</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1176</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683</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t="s">
        <v>1236</v>
      </c>
      <c r="E3731" s="21">
        <f>IF(D3731="?OLD","!!!","")</f>
        <v/>
      </c>
      <c r="F3731" s="22" t="str">
        <f>IF(OR(E3731="",E3731="!!!"),"",IF(NOT(ISNA(VLOOKUP(E3731,E$1:E3730,1,FALSE()))),"OLD",IF(AND(E3731&lt;&gt;"",E3731&lt;&gt;"!!!"),"NEW","")))</f>
        <v> </v>
      </c>
      <c r="G3731" s="23" t="str">
        <f>IF(OR(E3731="",E3731="!!!"),"",IF(OR(J3731=0,AND(J3731=1,K3731=1),AND(J3731=1,I3731="SBJ"),AND(J3731=1,I3731=0)),"?IN_FOCUS",IF(J3731&lt;=2,"?ACTIVATED",IF(J3731&lt;&gt;"","?FAMILIAR",IF(F3731="NEW",IF(ISNA(VLOOKUP(E3731,#REF!,1,FALSE())),"?TYPE_IDENTIFIABLE","?REFERENTIAL"),"_")))))</f>
        <v> </v>
      </c>
      <c r="H3731" s="24" t="str">
        <f>IF(J3731&lt;&gt;1,"",IF(I3731="SBJ","CB","?"))</f>
        <v> </v>
      </c>
      <c r="I3731" s="25" t="str">
        <f>IF(OR(E3731="",E3731="!!!",F3731="NEW"),"",INDEX(B3730:B$2,-1+SUMPRODUCT(MAX(ROW(E3730:E$2)*(E3731=E3730:E$2)))))</f>
        <v> </v>
      </c>
      <c r="J3731" s="25" t="str">
        <f>IF(OR(E3731="",E3731="!!!",F3731="NEW"),"",COUNTBLANK(OFFSET(A$1,,,SUMPRODUCT(MAX(ROW(E$2:E3731)*(E3731=E$2:E3731)))))-COUNTBLANK(OFFSET(A$1,,,SUMPRODUCT(MAX(ROW(E$1:E3730)*(E2=E$1:E3730))))))</f>
        <v> </v>
      </c>
      <c r="K3731" s="25" t="str">
        <f>IF(OR(E3731="",E3731="!!!",F3731="NEW"),"",INDEX(J$1:J3730,SUMPRODUCT(MAX(ROW(E$1:E3730)*(E3731=E$1:E3730)))))</f>
        <v> </v>
      </c>
      <c r="L3731" s="26"/>
    </row>
    <row r="3732" spans="1:12">
      <c r="A3732" s="20" t="s">
        <v>682</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1317</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1051</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732</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t="s">
        <v>740</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689</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t="s">
        <v>1842</v>
      </c>
      <c r="B3738" s="27" t="s">
        <v>678</v>
      </c>
      <c r="C3738" s="27" t="s">
        <v>736</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1150</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1818</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698</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row>
    <row r="3743" spans="1:12">
      <c r="A3743" s="20" t="s">
        <v>1843</v>
      </c>
    </row>
    <row r="3744" spans="1:12">
      <c r="A3744" s="20" t="s">
        <v>1844</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682</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t="s">
        <v>1845</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t="s">
        <v>782</v>
      </c>
      <c r="B3747" s="27" t="s">
        <v>685</v>
      </c>
      <c r="C3747" s="27" t="s">
        <v>749</v>
      </c>
      <c r="D3747" s="27" t="s">
        <v>687</v>
      </c>
      <c r="E3747" s="21">
        <f>IF(D3747="?OLD","!!!","")</f>
        <v/>
      </c>
      <c r="F3747" s="22" t="str">
        <f>IF(OR(E3747="",E3747="!!!"),"",IF(NOT(ISNA(VLOOKUP(E3747,E$1:E3746,1,FALSE()))),"OLD",IF(AND(E3747&lt;&gt;"",E3747&lt;&gt;"!!!"),"NEW","")))</f>
        <v> </v>
      </c>
      <c r="G3747" s="23" t="str">
        <f>IF(OR(E3747="",E3747="!!!"),"",IF(OR(J3747=0,AND(J3747=1,K3747=1),AND(J3747=1,I3747="SBJ"),AND(J3747=1,I3747=0)),"?IN_FOCUS",IF(J3747&lt;=2,"?ACTIVATED",IF(J3747&lt;&gt;"","?FAMILIAR",IF(F3747="NEW",IF(ISNA(VLOOKUP(E3747,#REF!,1,FALSE())),"?TYPE_IDENTIFIABLE","?REFERENTIAL"),"_")))))</f>
        <v> </v>
      </c>
      <c r="H3747" s="24" t="str">
        <f>IF(J3747&lt;&gt;1,"",IF(I3747="SBJ","CB","?"))</f>
        <v> </v>
      </c>
      <c r="I3747" s="25" t="str">
        <f>IF(OR(E3747="",E3747="!!!",F3747="NEW"),"",INDEX(B3746:B$2,-1+SUMPRODUCT(MAX(ROW(E3746:E$2)*(E3747=E3746:E$2)))))</f>
        <v> </v>
      </c>
      <c r="J3747" s="25" t="str">
        <f>IF(OR(E3747="",E3747="!!!",F3747="NEW"),"",COUNTBLANK(OFFSET(A$1,,,SUMPRODUCT(MAX(ROW(E$2:E3747)*(E3747=E$2:E3747)))))-COUNTBLANK(OFFSET(A$1,,,SUMPRODUCT(MAX(ROW(E$1:E3746)*(E2=E$1:E3746))))))</f>
        <v> </v>
      </c>
      <c r="K3747" s="25" t="str">
        <f>IF(OR(E3747="",E3747="!!!",F3747="NEW"),"",INDEX(J$1:J3746,SUMPRODUCT(MAX(ROW(E$1:E3746)*(E3747=E$1:E3746)))))</f>
        <v> </v>
      </c>
      <c r="L3747" s="26"/>
    </row>
    <row r="3748" spans="1:12">
      <c r="A3748" s="20" t="s">
        <v>732</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1037</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958</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1656</v>
      </c>
      <c r="B3751" s="27" t="s">
        <v>696</v>
      </c>
      <c r="C3751" s="27" t="s">
        <v>772</v>
      </c>
      <c r="D3751" s="27" t="s">
        <v>687</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1413</v>
      </c>
      <c r="B3752" s="27" t="s">
        <v>678</v>
      </c>
      <c r="C3752" s="27" t="s">
        <v>686</v>
      </c>
      <c r="D3752" s="27" t="s">
        <v>687</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703</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t="s">
        <v>721</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1846</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t="s">
        <v>794</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683</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1840</v>
      </c>
      <c r="B3758" s="27" t="s">
        <v>791</v>
      </c>
      <c r="C3758" s="27" t="s">
        <v>686</v>
      </c>
      <c r="D3758" s="27" t="s">
        <v>687</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732</v>
      </c>
      <c r="B3759" s="27" t="s">
        <v>821</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676</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760</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1847</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698</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row>
    <row r="3765" spans="1:12">
      <c r="A3765" s="20" t="s">
        <v>1848</v>
      </c>
    </row>
    <row r="3766" spans="1:12">
      <c r="A3766" s="20" t="s">
        <v>1154</v>
      </c>
      <c r="B3766" s="27" t="s">
        <v>685</v>
      </c>
      <c r="C3766" s="27" t="s">
        <v>749</v>
      </c>
      <c r="D3766" s="27" t="s">
        <v>687</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1849</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202</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851</v>
      </c>
      <c r="B3769" s="27" t="s">
        <v>791</v>
      </c>
      <c r="C3769" s="27" t="s">
        <v>679</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1248</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1010</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683</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269</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676</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1458</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t="s">
        <v>1678</v>
      </c>
      <c r="B3776" s="27" t="s">
        <v>724</v>
      </c>
      <c r="C3776" s="27" t="s">
        <v>899</v>
      </c>
      <c r="D3776" s="27" t="s">
        <v>687</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698</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row>
    <row r="3779" spans="1:12">
      <c r="A3779" s="20" t="s">
        <v>1850</v>
      </c>
    </row>
    <row r="3780" spans="1:12">
      <c r="A3780" s="20" t="s">
        <v>1174</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t="s">
        <v>928</v>
      </c>
      <c r="B3781" s="27" t="s">
        <v>685</v>
      </c>
      <c r="C3781" s="27" t="s">
        <v>1049</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1851</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1852</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703</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1853</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774</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row>
    <row r="3788" spans="1:12">
      <c r="A3788" s="20" t="s">
        <v>699</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1854</v>
      </c>
    </row>
    <row r="3790" spans="1:12">
      <c r="A3790" s="20" t="s">
        <v>674</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824</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721</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740</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732</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t="s">
        <v>1855</v>
      </c>
      <c r="B3795" s="27" t="s">
        <v>685</v>
      </c>
      <c r="C3795" s="27" t="s">
        <v>679</v>
      </c>
      <c r="E3795" s="21">
        <f>IF(D3795="?OLD","!!!","")</f>
        <v/>
      </c>
      <c r="F3795" s="22" t="str">
        <f>IF(OR(E3795="",E3795="!!!"),"",IF(NOT(ISNA(VLOOKUP(E3795,E$1:E3794,1,FALSE()))),"OLD",IF(AND(E3795&lt;&gt;"",E3795&lt;&gt;"!!!"),"NEW","")))</f>
        <v> </v>
      </c>
      <c r="G3795" s="23" t="str">
        <f>IF(OR(E3795="",E3795="!!!"),"",IF(OR(J3795=0,AND(J3795=1,K3795=1),AND(J3795=1,I3795="SBJ"),AND(J3795=1,I3795=0)),"?IN_FOCUS",IF(J3795&lt;=2,"?ACTIVATED",IF(J3795&lt;&gt;"","?FAMILIAR",IF(F3795="NEW",IF(ISNA(VLOOKUP(E3795,#REF!,1,FALSE())),"?TYPE_IDENTIFIABLE","?REFERENTIAL"),"_")))))</f>
        <v> </v>
      </c>
      <c r="H3795" s="24" t="str">
        <f>IF(J3795&lt;&gt;1,"",IF(I3795="SBJ","CB","?"))</f>
        <v> </v>
      </c>
      <c r="I3795" s="25" t="str">
        <f>IF(OR(E3795="",E3795="!!!",F3795="NEW"),"",INDEX(B3794:B$2,-1+SUMPRODUCT(MAX(ROW(E3794:E$2)*(E3795=E3794:E$2)))))</f>
        <v> </v>
      </c>
      <c r="J3795" s="25" t="str">
        <f>IF(OR(E3795="",E3795="!!!",F3795="NEW"),"",COUNTBLANK(OFFSET(A$1,,,SUMPRODUCT(MAX(ROW(E$2:E3795)*(E3795=E$2:E3795)))))-COUNTBLANK(OFFSET(A$1,,,SUMPRODUCT(MAX(ROW(E$1:E3794)*(E2=E$1:E3794))))))</f>
        <v> </v>
      </c>
      <c r="K3795" s="25" t="str">
        <f>IF(OR(E3795="",E3795="!!!",F3795="NEW"),"",INDEX(J$1:J3794,SUMPRODUCT(MAX(ROW(E$1:E3794)*(E3795=E$1:E3794)))))</f>
        <v> </v>
      </c>
      <c r="L3795" s="26"/>
    </row>
    <row r="3796" spans="1:12">
      <c r="A3796" s="20" t="s">
        <v>543</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202</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851</v>
      </c>
      <c r="B3798" s="27" t="s">
        <v>791</v>
      </c>
      <c r="C3798" s="27" t="s">
        <v>679</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674</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1248</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1856</v>
      </c>
      <c r="B3801" s="27" t="s">
        <v>812</v>
      </c>
      <c r="C3801" s="27" t="s">
        <v>679</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1342</v>
      </c>
      <c r="B3802" s="27" t="s">
        <v>863</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306</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732</v>
      </c>
      <c r="B3804" s="27" t="s">
        <v>843</v>
      </c>
      <c r="C3804" s="27" t="s">
        <v>731</v>
      </c>
      <c r="D3804" s="27" t="s">
        <v>687</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1251</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1497</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1857</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t="s">
        <v>780</v>
      </c>
      <c r="E3808" s="21">
        <f>IF(D3808="?OLD","!!!","")</f>
        <v/>
      </c>
      <c r="F3808" s="22" t="str">
        <f>IF(OR(E3808="",E3808="!!!"),"",IF(NOT(ISNA(VLOOKUP(E3808,E$1:E3807,1,FALSE()))),"OLD",IF(AND(E3808&lt;&gt;"",E3808&lt;&gt;"!!!"),"NEW","")))</f>
        <v> </v>
      </c>
      <c r="G3808" s="23" t="str">
        <f>IF(OR(E3808="",E3808="!!!"),"",IF(OR(J3808=0,AND(J3808=1,K3808=1),AND(J3808=1,I3808="SBJ"),AND(J3808=1,I3808=0)),"?IN_FOCUS",IF(J3808&lt;=2,"?ACTIVATED",IF(J3808&lt;&gt;"","?FAMILIAR",IF(F3808="NEW",IF(ISNA(VLOOKUP(E3808,#REF!,1,FALSE())),"?TYPE_IDENTIFIABLE","?REFERENTIAL"),"_")))))</f>
        <v> </v>
      </c>
      <c r="H3808" s="24" t="str">
        <f>IF(J3808&lt;&gt;1,"",IF(I3808="SBJ","CB","?"))</f>
        <v> </v>
      </c>
      <c r="I3808" s="25" t="str">
        <f>IF(OR(E3808="",E3808="!!!",F3808="NEW"),"",INDEX(B3807:B$2,-1+SUMPRODUCT(MAX(ROW(E3807:E$2)*(E3808=E3807:E$2)))))</f>
        <v> </v>
      </c>
      <c r="J3808" s="25" t="str">
        <f>IF(OR(E3808="",E3808="!!!",F3808="NEW"),"",COUNTBLANK(OFFSET(A$1,,,SUMPRODUCT(MAX(ROW(E$2:E3808)*(E3808=E$2:E3808)))))-COUNTBLANK(OFFSET(A$1,,,SUMPRODUCT(MAX(ROW(E$1:E3807)*(E2=E$1:E3807))))))</f>
        <v> </v>
      </c>
      <c r="K3808" s="25" t="str">
        <f>IF(OR(E3808="",E3808="!!!",F3808="NEW"),"",INDEX(J$1:J3807,SUMPRODUCT(MAX(ROW(E$1:E3807)*(E3808=E$1:E3807)))))</f>
        <v> </v>
      </c>
      <c r="L3808" s="26"/>
    </row>
    <row r="3809" spans="1:12">
      <c r="A3809" s="20" t="s">
        <v>674</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row>
    <row r="3811" spans="1:12">
      <c r="A3811" s="20" t="s">
        <v>699</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1858</v>
      </c>
    </row>
    <row r="3813" spans="1:12">
      <c r="A3813" s="20" t="s">
        <v>827</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747</v>
      </c>
      <c r="B3814" s="27" t="s">
        <v>807</v>
      </c>
      <c r="C3814" s="27" t="s">
        <v>749</v>
      </c>
      <c r="D3814" s="27" t="s">
        <v>687</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1859</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774</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674</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t="s">
        <v>1154</v>
      </c>
      <c r="B3818" s="27" t="s">
        <v>787</v>
      </c>
      <c r="C3818" s="27" t="s">
        <v>749</v>
      </c>
      <c r="D3818" s="27" t="s">
        <v>687</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t="s">
        <v>717</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t="s">
        <v>895</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683</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1860</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1342</v>
      </c>
      <c r="B3823" s="27" t="s">
        <v>863</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t="s">
        <v>306</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732</v>
      </c>
      <c r="B3825" s="27" t="s">
        <v>843</v>
      </c>
      <c r="C3825" s="27" t="s">
        <v>731</v>
      </c>
      <c r="D3825" s="27" t="s">
        <v>687</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1251</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1497</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1857</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698</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row>
    <row r="3831" spans="1:12">
      <c r="A3831" s="20" t="s">
        <v>699</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1861</v>
      </c>
    </row>
    <row r="3833" spans="1:12">
      <c r="A3833" s="20" t="s">
        <v>674</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12</v>
      </c>
      <c r="B3834" s="27" t="s">
        <v>807</v>
      </c>
      <c r="C3834" s="27" t="s">
        <v>731</v>
      </c>
      <c r="D3834" s="27" t="s">
        <v>687</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732</v>
      </c>
      <c r="B3835" s="27" t="s">
        <v>742</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747</v>
      </c>
      <c r="B3836" s="27" t="s">
        <v>1066</v>
      </c>
      <c r="C3836" s="27" t="s">
        <v>749</v>
      </c>
      <c r="D3836" s="27" t="s">
        <v>687</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895</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683</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1860</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740</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1862</v>
      </c>
      <c r="B3841" s="27" t="s">
        <v>724</v>
      </c>
      <c r="C3841" s="27" t="s">
        <v>1620</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848</v>
      </c>
      <c r="B3842" s="27" t="s">
        <v>787</v>
      </c>
      <c r="C3842" s="27" t="s">
        <v>1049</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1251</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1654</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682</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674</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990</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t="s">
        <v>430</v>
      </c>
      <c r="E3848" s="21">
        <f>IF(D3848="?OLD","!!!","")</f>
        <v/>
      </c>
      <c r="F3848" s="22" t="str">
        <f>IF(OR(E3848="",E3848="!!!"),"",IF(NOT(ISNA(VLOOKUP(E3848,E$1:E3847,1,FALSE()))),"OLD",IF(AND(E3848&lt;&gt;"",E3848&lt;&gt;"!!!"),"NEW","")))</f>
        <v> </v>
      </c>
      <c r="G3848" s="23" t="str">
        <f>IF(OR(E3848="",E3848="!!!"),"",IF(OR(J3848=0,AND(J3848=1,K3848=1),AND(J3848=1,I3848="SBJ"),AND(J3848=1,I3848=0)),"?IN_FOCUS",IF(J3848&lt;=2,"?ACTIVATED",IF(J3848&lt;&gt;"","?FAMILIAR",IF(F3848="NEW",IF(ISNA(VLOOKUP(E3848,#REF!,1,FALSE())),"?TYPE_IDENTIFIABLE","?REFERENTIAL"),"_")))))</f>
        <v> </v>
      </c>
      <c r="H3848" s="24" t="str">
        <f>IF(J3848&lt;&gt;1,"",IF(I3848="SBJ","CB","?"))</f>
        <v> </v>
      </c>
      <c r="I3848" s="25" t="str">
        <f>IF(OR(E3848="",E3848="!!!",F3848="NEW"),"",INDEX(B3847:B$2,-1+SUMPRODUCT(MAX(ROW(E3847:E$2)*(E3848=E3847:E$2)))))</f>
        <v> </v>
      </c>
      <c r="J3848" s="25" t="str">
        <f>IF(OR(E3848="",E3848="!!!",F3848="NEW"),"",COUNTBLANK(OFFSET(A$1,,,SUMPRODUCT(MAX(ROW(E$2:E3848)*(E3848=E$2:E3848)))))-COUNTBLANK(OFFSET(A$1,,,SUMPRODUCT(MAX(ROW(E$1:E3847)*(E2=E$1:E3847))))))</f>
        <v> </v>
      </c>
      <c r="K3848" s="25" t="str">
        <f>IF(OR(E3848="",E3848="!!!",F3848="NEW"),"",INDEX(J$1:J3847,SUMPRODUCT(MAX(ROW(E$1:E3847)*(E3848=E$1:E3847)))))</f>
        <v> </v>
      </c>
      <c r="L3848" s="26"/>
    </row>
    <row r="3849" spans="1:12">
      <c r="A3849" s="20" t="s">
        <v>1342</v>
      </c>
      <c r="B3849" s="27" t="s">
        <v>807</v>
      </c>
      <c r="C3849" s="27" t="s">
        <v>716</v>
      </c>
      <c r="E3849" s="21">
        <f>IF(D3849="?OLD","!!!","")</f>
        <v/>
      </c>
      <c r="F3849" s="22" t="str">
        <f>IF(OR(E3849="",E3849="!!!"),"",IF(NOT(ISNA(VLOOKUP(E3849,E$1:E3848,1,FALSE()))),"OLD",IF(AND(E3849&lt;&gt;"",E3849&lt;&gt;"!!!"),"NEW","")))</f>
        <v> </v>
      </c>
      <c r="G3849" s="23" t="str">
        <f>IF(OR(E3849="",E3849="!!!"),"",IF(OR(J3849=0,AND(J3849=1,K3849=1),AND(J3849=1,I3849="SBJ"),AND(J3849=1,I3849=0)),"?IN_FOCUS",IF(J3849&lt;=2,"?ACTIVATED",IF(J3849&lt;&gt;"","?FAMILIAR",IF(F3849="NEW",IF(ISNA(VLOOKUP(E3849,#REF!,1,FALSE())),"?TYPE_IDENTIFIABLE","?REFERENTIAL"),"_")))))</f>
        <v> </v>
      </c>
      <c r="H3849" s="24" t="str">
        <f>IF(J3849&lt;&gt;1,"",IF(I3849="SBJ","CB","?"))</f>
        <v> </v>
      </c>
      <c r="I3849" s="25" t="str">
        <f>IF(OR(E3849="",E3849="!!!",F3849="NEW"),"",INDEX(B3848:B$2,-1+SUMPRODUCT(MAX(ROW(E3848:E$2)*(E3849=E3848:E$2)))))</f>
        <v> </v>
      </c>
      <c r="J3849" s="25" t="str">
        <f>IF(OR(E3849="",E3849="!!!",F3849="NEW"),"",COUNTBLANK(OFFSET(A$1,,,SUMPRODUCT(MAX(ROW(E$2:E3849)*(E3849=E$2:E3849)))))-COUNTBLANK(OFFSET(A$1,,,SUMPRODUCT(MAX(ROW(E$1:E3848)*(E2=E$1:E3848))))))</f>
        <v> </v>
      </c>
      <c r="K3849" s="25" t="str">
        <f>IF(OR(E3849="",E3849="!!!",F3849="NEW"),"",INDEX(J$1:J3848,SUMPRODUCT(MAX(ROW(E$1:E3848)*(E3849=E$1:E3848)))))</f>
        <v> </v>
      </c>
      <c r="L3849" s="26"/>
    </row>
    <row r="3850" spans="1:12">
      <c r="A3850" s="20" t="s">
        <v>1078</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126</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683</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1863</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1864</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t="s">
        <v>698</v>
      </c>
      <c r="E3855" s="21">
        <f>IF(D3855="?OLD","!!!","")</f>
        <v/>
      </c>
      <c r="F3855" s="22" t="str">
        <f>IF(OR(E3855="",E3855="!!!"),"",IF(NOT(ISNA(VLOOKUP(E3855,E$1:E3854,1,FALSE()))),"OLD",IF(AND(E3855&lt;&gt;"",E3855&lt;&gt;"!!!"),"NEW","")))</f>
        <v> </v>
      </c>
      <c r="G3855" s="23" t="str">
        <f>IF(OR(E3855="",E3855="!!!"),"",IF(OR(J3855=0,AND(J3855=1,K3855=1),AND(J3855=1,I3855="SBJ"),AND(J3855=1,I3855=0)),"?IN_FOCUS",IF(J3855&lt;=2,"?ACTIVATED",IF(J3855&lt;&gt;"","?FAMILIAR",IF(F3855="NEW",IF(ISNA(VLOOKUP(E3855,#REF!,1,FALSE())),"?TYPE_IDENTIFIABLE","?REFERENTIAL"),"_")))))</f>
        <v> </v>
      </c>
      <c r="H3855" s="24" t="str">
        <f>IF(J3855&lt;&gt;1,"",IF(I3855="SBJ","CB","?"))</f>
        <v> </v>
      </c>
      <c r="I3855" s="25" t="str">
        <f>IF(OR(E3855="",E3855="!!!",F3855="NEW"),"",INDEX(B3854:B$2,-1+SUMPRODUCT(MAX(ROW(E3854:E$2)*(E3855=E3854:E$2)))))</f>
        <v> </v>
      </c>
      <c r="J3855" s="25" t="str">
        <f>IF(OR(E3855="",E3855="!!!",F3855="NEW"),"",COUNTBLANK(OFFSET(A$1,,,SUMPRODUCT(MAX(ROW(E$2:E3855)*(E3855=E$2:E3855)))))-COUNTBLANK(OFFSET(A$1,,,SUMPRODUCT(MAX(ROW(E$1:E3854)*(E2=E$1:E3854))))))</f>
        <v> </v>
      </c>
      <c r="K3855" s="25" t="str">
        <f>IF(OR(E3855="",E3855="!!!",F3855="NEW"),"",INDEX(J$1:J3854,SUMPRODUCT(MAX(ROW(E$1:E3854)*(E3855=E$1:E3854)))))</f>
        <v> </v>
      </c>
      <c r="L3855" s="26"/>
    </row>
    <row r="3856" spans="1:12">
      <c r="A3856" s="20" t="s">
        <v>674</v>
      </c>
      <c r="E3856" s="21">
        <f>IF(D3856="?OLD","!!!","")</f>
        <v/>
      </c>
      <c r="F3856" s="22" t="str">
        <f>IF(OR(E3856="",E3856="!!!"),"",IF(NOT(ISNA(VLOOKUP(E3856,E$1:E3855,1,FALSE()))),"OLD",IF(AND(E3856&lt;&gt;"",E3856&lt;&gt;"!!!"),"NEW","")))</f>
        <v> </v>
      </c>
      <c r="G3856" s="23" t="str">
        <f>IF(OR(E3856="",E3856="!!!"),"",IF(OR(J3856=0,AND(J3856=1,K3856=1),AND(J3856=1,I3856="SBJ"),AND(J3856=1,I3856=0)),"?IN_FOCUS",IF(J3856&lt;=2,"?ACTIVATED",IF(J3856&lt;&gt;"","?FAMILIAR",IF(F3856="NEW",IF(ISNA(VLOOKUP(E3856,#REF!,1,FALSE())),"?TYPE_IDENTIFIABLE","?REFERENTIAL"),"_")))))</f>
        <v> </v>
      </c>
      <c r="H3856" s="24" t="str">
        <f>IF(J3856&lt;&gt;1,"",IF(I3856="SBJ","CB","?"))</f>
        <v> </v>
      </c>
      <c r="I3856" s="25" t="str">
        <f>IF(OR(E3856="",E3856="!!!",F3856="NEW"),"",INDEX(B3855:B$2,-1+SUMPRODUCT(MAX(ROW(E3855:E$2)*(E3856=E3855:E$2)))))</f>
        <v> </v>
      </c>
      <c r="J3856" s="25" t="str">
        <f>IF(OR(E3856="",E3856="!!!",F3856="NEW"),"",COUNTBLANK(OFFSET(A$1,,,SUMPRODUCT(MAX(ROW(E$2:E3856)*(E3856=E$2:E3856)))))-COUNTBLANK(OFFSET(A$1,,,SUMPRODUCT(MAX(ROW(E$1:E3855)*(E2=E$1:E3855))))))</f>
        <v> </v>
      </c>
      <c r="K3856" s="25" t="str">
        <f>IF(OR(E3856="",E3856="!!!",F3856="NEW"),"",INDEX(J$1:J3855,SUMPRODUCT(MAX(ROW(E$1:E3855)*(E3856=E$1:E3855)))))</f>
        <v> </v>
      </c>
      <c r="L3856" s="26"/>
    </row>
    <row r="3857" spans="1:12">
      <c r="A3857" s="20" t="s">
        <v>1772</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t="s">
        <v>1207</v>
      </c>
      <c r="E3858" s="21">
        <f>IF(D3858="?OLD","!!!","")</f>
        <v/>
      </c>
      <c r="F3858" s="22" t="str">
        <f>IF(OR(E3858="",E3858="!!!"),"",IF(NOT(ISNA(VLOOKUP(E3858,E$1:E3857,1,FALSE()))),"OLD",IF(AND(E3858&lt;&gt;"",E3858&lt;&gt;"!!!"),"NEW","")))</f>
        <v> </v>
      </c>
      <c r="G3858" s="23" t="str">
        <f>IF(OR(E3858="",E3858="!!!"),"",IF(OR(J3858=0,AND(J3858=1,K3858=1),AND(J3858=1,I3858="SBJ"),AND(J3858=1,I3858=0)),"?IN_FOCUS",IF(J3858&lt;=2,"?ACTIVATED",IF(J3858&lt;&gt;"","?FAMILIAR",IF(F3858="NEW",IF(ISNA(VLOOKUP(E3858,#REF!,1,FALSE())),"?TYPE_IDENTIFIABLE","?REFERENTIAL"),"_")))))</f>
        <v> </v>
      </c>
      <c r="H3858" s="24" t="str">
        <f>IF(J3858&lt;&gt;1,"",IF(I3858="SBJ","CB","?"))</f>
        <v> </v>
      </c>
      <c r="I3858" s="25" t="str">
        <f>IF(OR(E3858="",E3858="!!!",F3858="NEW"),"",INDEX(B3857:B$2,-1+SUMPRODUCT(MAX(ROW(E3857:E$2)*(E3858=E3857:E$2)))))</f>
        <v> </v>
      </c>
      <c r="J3858" s="25" t="str">
        <f>IF(OR(E3858="",E3858="!!!",F3858="NEW"),"",COUNTBLANK(OFFSET(A$1,,,SUMPRODUCT(MAX(ROW(E$2:E3858)*(E3858=E$2:E3858)))))-COUNTBLANK(OFFSET(A$1,,,SUMPRODUCT(MAX(ROW(E$1:E3857)*(E2=E$1:E3857))))))</f>
        <v> </v>
      </c>
      <c r="K3858" s="25" t="str">
        <f>IF(OR(E3858="",E3858="!!!",F3858="NEW"),"",INDEX(J$1:J3857,SUMPRODUCT(MAX(ROW(E$1:E3857)*(E3858=E$1:E3857)))))</f>
        <v> </v>
      </c>
      <c r="L3858" s="26"/>
    </row>
    <row r="3859" spans="1:12">
      <c r="A3859" s="20" t="s">
        <v>676</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683</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t="s">
        <v>795</v>
      </c>
      <c r="B3861" s="27" t="s">
        <v>810</v>
      </c>
      <c r="C3861" s="27" t="s">
        <v>693</v>
      </c>
      <c r="D3861" s="27" t="s">
        <v>687</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694</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733</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1014</v>
      </c>
      <c r="B3864" s="27" t="s">
        <v>812</v>
      </c>
      <c r="C3864" s="27" t="s">
        <v>736</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t="s">
        <v>1865</v>
      </c>
      <c r="E3865" s="21">
        <f>IF(D3865="?OLD","!!!","")</f>
        <v/>
      </c>
      <c r="F3865" s="22" t="str">
        <f>IF(OR(E3865="",E3865="!!!"),"",IF(NOT(ISNA(VLOOKUP(E3865,E$1:E3864,1,FALSE()))),"OLD",IF(AND(E3865&lt;&gt;"",E3865&lt;&gt;"!!!"),"NEW","")))</f>
        <v> </v>
      </c>
      <c r="G3865" s="23" t="str">
        <f>IF(OR(E3865="",E3865="!!!"),"",IF(OR(J3865=0,AND(J3865=1,K3865=1),AND(J3865=1,I3865="SBJ"),AND(J3865=1,I3865=0)),"?IN_FOCUS",IF(J3865&lt;=2,"?ACTIVATED",IF(J3865&lt;&gt;"","?FAMILIAR",IF(F3865="NEW",IF(ISNA(VLOOKUP(E3865,#REF!,1,FALSE())),"?TYPE_IDENTIFIABLE","?REFERENTIAL"),"_")))))</f>
        <v> </v>
      </c>
      <c r="H3865" s="24" t="str">
        <f>IF(J3865&lt;&gt;1,"",IF(I3865="SBJ","CB","?"))</f>
        <v> </v>
      </c>
      <c r="I3865" s="25" t="str">
        <f>IF(OR(E3865="",E3865="!!!",F3865="NEW"),"",INDEX(B3864:B$2,-1+SUMPRODUCT(MAX(ROW(E3864:E$2)*(E3865=E3864:E$2)))))</f>
        <v> </v>
      </c>
      <c r="J3865" s="25" t="str">
        <f>IF(OR(E3865="",E3865="!!!",F3865="NEW"),"",COUNTBLANK(OFFSET(A$1,,,SUMPRODUCT(MAX(ROW(E$2:E3865)*(E3865=E$2:E3865)))))-COUNTBLANK(OFFSET(A$1,,,SUMPRODUCT(MAX(ROW(E$1:E3864)*(E2=E$1:E3864))))))</f>
        <v> </v>
      </c>
      <c r="K3865" s="25" t="str">
        <f>IF(OR(E3865="",E3865="!!!",F3865="NEW"),"",INDEX(J$1:J3864,SUMPRODUCT(MAX(ROW(E$1:E3864)*(E3865=E$1:E3864)))))</f>
        <v> </v>
      </c>
      <c r="L3865" s="26"/>
    </row>
    <row r="3866" spans="1:12">
      <c r="A3866" s="20" t="s">
        <v>732</v>
      </c>
      <c r="B3866" s="27" t="s">
        <v>742</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747</v>
      </c>
      <c r="B3867" s="27" t="s">
        <v>1066</v>
      </c>
      <c r="C3867" s="27" t="s">
        <v>749</v>
      </c>
      <c r="D3867" s="27" t="s">
        <v>687</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750</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1866</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682</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733</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t="s">
        <v>1014</v>
      </c>
      <c r="B3872" s="27" t="s">
        <v>812</v>
      </c>
      <c r="C3872" s="27" t="s">
        <v>693</v>
      </c>
      <c r="D3872" s="27" t="s">
        <v>687</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t="s">
        <v>794</v>
      </c>
      <c r="E3873" s="21">
        <f>IF(D3873="?OLD","!!!","")</f>
        <v/>
      </c>
      <c r="F3873" s="22" t="str">
        <f>IF(OR(E3873="",E3873="!!!"),"",IF(NOT(ISNA(VLOOKUP(E3873,E$1:E3872,1,FALSE()))),"OLD",IF(AND(E3873&lt;&gt;"",E3873&lt;&gt;"!!!"),"NEW","")))</f>
        <v> </v>
      </c>
      <c r="G3873" s="23" t="str">
        <f>IF(OR(E3873="",E3873="!!!"),"",IF(OR(J3873=0,AND(J3873=1,K3873=1),AND(J3873=1,I3873="SBJ"),AND(J3873=1,I3873=0)),"?IN_FOCUS",IF(J3873&lt;=2,"?ACTIVATED",IF(J3873&lt;&gt;"","?FAMILIAR",IF(F3873="NEW",IF(ISNA(VLOOKUP(E3873,#REF!,1,FALSE())),"?TYPE_IDENTIFIABLE","?REFERENTIAL"),"_")))))</f>
        <v> </v>
      </c>
      <c r="H3873" s="24" t="str">
        <f>IF(J3873&lt;&gt;1,"",IF(I3873="SBJ","CB","?"))</f>
        <v> </v>
      </c>
      <c r="I3873" s="25" t="str">
        <f>IF(OR(E3873="",E3873="!!!",F3873="NEW"),"",INDEX(B3872:B$2,-1+SUMPRODUCT(MAX(ROW(E3872:E$2)*(E3873=E3872:E$2)))))</f>
        <v> </v>
      </c>
      <c r="J3873" s="25" t="str">
        <f>IF(OR(E3873="",E3873="!!!",F3873="NEW"),"",COUNTBLANK(OFFSET(A$1,,,SUMPRODUCT(MAX(ROW(E$2:E3873)*(E3873=E$2:E3873)))))-COUNTBLANK(OFFSET(A$1,,,SUMPRODUCT(MAX(ROW(E$1:E3872)*(E2=E$1:E3872))))))</f>
        <v> </v>
      </c>
      <c r="K3873" s="25" t="str">
        <f>IF(OR(E3873="",E3873="!!!",F3873="NEW"),"",INDEX(J$1:J3872,SUMPRODUCT(MAX(ROW(E$1:E3872)*(E3873=E$1:E3872)))))</f>
        <v> </v>
      </c>
      <c r="L3873" s="26"/>
    </row>
    <row r="3874" spans="1:12">
      <c r="A3874" s="20" t="s">
        <v>733</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1867</v>
      </c>
      <c r="B3875" s="27" t="s">
        <v>843</v>
      </c>
      <c r="C3875" s="27" t="s">
        <v>736</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1868</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682</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732</v>
      </c>
      <c r="B3878" s="27" t="s">
        <v>739</v>
      </c>
      <c r="E3878" s="21">
        <f>IF(D3878="?OLD","!!!","")</f>
        <v/>
      </c>
      <c r="F3878" s="22" t="str">
        <f>IF(OR(E3878="",E3878="!!!"),"",IF(NOT(ISNA(VLOOKUP(E3878,E$1:E3877,1,FALSE()))),"OLD",IF(AND(E3878&lt;&gt;"",E3878&lt;&gt;"!!!"),"NEW","")))</f>
        <v> </v>
      </c>
      <c r="G3878" s="23" t="str">
        <f>IF(OR(E3878="",E3878="!!!"),"",IF(OR(J3878=0,AND(J3878=1,K3878=1),AND(J3878=1,I3878="SBJ"),AND(J3878=1,I3878=0)),"?IN_FOCUS",IF(J3878&lt;=2,"?ACTIVATED",IF(J3878&lt;&gt;"","?FAMILIAR",IF(F3878="NEW",IF(ISNA(VLOOKUP(E3878,#REF!,1,FALSE())),"?TYPE_IDENTIFIABLE","?REFERENTIAL"),"_")))))</f>
        <v> </v>
      </c>
      <c r="H3878" s="24" t="str">
        <f>IF(J3878&lt;&gt;1,"",IF(I3878="SBJ","CB","?"))</f>
        <v> </v>
      </c>
      <c r="I3878" s="25" t="str">
        <f>IF(OR(E3878="",E3878="!!!",F3878="NEW"),"",INDEX(B3877:B$2,-1+SUMPRODUCT(MAX(ROW(E3877:E$2)*(E3878=E3877:E$2)))))</f>
        <v> </v>
      </c>
      <c r="J3878" s="25" t="str">
        <f>IF(OR(E3878="",E3878="!!!",F3878="NEW"),"",COUNTBLANK(OFFSET(A$1,,,SUMPRODUCT(MAX(ROW(E$2:E3878)*(E3878=E$2:E3878)))))-COUNTBLANK(OFFSET(A$1,,,SUMPRODUCT(MAX(ROW(E$1:E3877)*(E2=E$1:E3877))))))</f>
        <v> </v>
      </c>
      <c r="K3878" s="25" t="str">
        <f>IF(OR(E3878="",E3878="!!!",F3878="NEW"),"",INDEX(J$1:J3877,SUMPRODUCT(MAX(ROW(E$1:E3877)*(E3878=E$1:E3877)))))</f>
        <v> </v>
      </c>
      <c r="L3878" s="26"/>
    </row>
    <row r="3879" spans="1:12">
      <c r="A3879" s="20" t="s">
        <v>1869</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850</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1870</v>
      </c>
      <c r="B3881" s="27" t="s">
        <v>744</v>
      </c>
      <c r="C3881" s="27" t="s">
        <v>679</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1871</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t="s">
        <v>698</v>
      </c>
      <c r="E3883" s="21">
        <f>IF(D3883="?OLD","!!!","")</f>
        <v/>
      </c>
      <c r="F3883" s="22" t="str">
        <f>IF(OR(E3883="",E3883="!!!"),"",IF(NOT(ISNA(VLOOKUP(E3883,E$1:E3882,1,FALSE()))),"OLD",IF(AND(E3883&lt;&gt;"",E3883&lt;&gt;"!!!"),"NEW","")))</f>
        <v> </v>
      </c>
      <c r="G3883" s="23" t="str">
        <f>IF(OR(E3883="",E3883="!!!"),"",IF(OR(J3883=0,AND(J3883=1,K3883=1),AND(J3883=1,I3883="SBJ"),AND(J3883=1,I3883=0)),"?IN_FOCUS",IF(J3883&lt;=2,"?ACTIVATED",IF(J3883&lt;&gt;"","?FAMILIAR",IF(F3883="NEW",IF(ISNA(VLOOKUP(E3883,#REF!,1,FALSE())),"?TYPE_IDENTIFIABLE","?REFERENTIAL"),"_")))))</f>
        <v> </v>
      </c>
      <c r="H3883" s="24" t="str">
        <f>IF(J3883&lt;&gt;1,"",IF(I3883="SBJ","CB","?"))</f>
        <v> </v>
      </c>
      <c r="I3883" s="25" t="str">
        <f>IF(OR(E3883="",E3883="!!!",F3883="NEW"),"",INDEX(B3882:B$2,-1+SUMPRODUCT(MAX(ROW(E3882:E$2)*(E3883=E3882:E$2)))))</f>
        <v> </v>
      </c>
      <c r="J3883" s="25" t="str">
        <f>IF(OR(E3883="",E3883="!!!",F3883="NEW"),"",COUNTBLANK(OFFSET(A$1,,,SUMPRODUCT(MAX(ROW(E$2:E3883)*(E3883=E$2:E3883)))))-COUNTBLANK(OFFSET(A$1,,,SUMPRODUCT(MAX(ROW(E$1:E3882)*(E2=E$1:E3882))))))</f>
        <v> </v>
      </c>
      <c r="K3883" s="25" t="str">
        <f>IF(OR(E3883="",E3883="!!!",F3883="NEW"),"",INDEX(J$1:J3882,SUMPRODUCT(MAX(ROW(E$1:E3882)*(E3883=E$1:E3882)))))</f>
        <v> </v>
      </c>
      <c r="L3883" s="26"/>
    </row>
    <row r="3884" spans="1:12">
      <c r="A3884" s="20"/>
    </row>
    <row r="3885" spans="1:12">
      <c r="A3885" s="20" t="s">
        <v>1872</v>
      </c>
    </row>
    <row r="3886" spans="1:12">
      <c r="A3886" s="20" t="s">
        <v>786</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958</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1873</v>
      </c>
      <c r="B3888" s="27" t="s">
        <v>724</v>
      </c>
      <c r="C3888" s="27" t="s">
        <v>772</v>
      </c>
      <c r="D3888" s="27" t="s">
        <v>687</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1874</v>
      </c>
      <c r="B3889" s="27" t="s">
        <v>787</v>
      </c>
      <c r="C3889" s="27" t="s">
        <v>686</v>
      </c>
      <c r="D3889" s="27" t="s">
        <v>687</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1432</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1875</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682</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683</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795</v>
      </c>
      <c r="B3894" s="27" t="s">
        <v>685</v>
      </c>
      <c r="C3894" s="27" t="s">
        <v>686</v>
      </c>
      <c r="D3894" s="27" t="s">
        <v>687</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803</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774</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row>
    <row r="3898" spans="1:12">
      <c r="A3898" s="20" t="s">
        <v>699</v>
      </c>
      <c r="E3898" s="21">
        <f>IF(D3898="?OLD","!!!","")</f>
        <v/>
      </c>
      <c r="F3898" s="22" t="str">
        <f>IF(OR(E3898="",E3898="!!!"),"",IF(NOT(ISNA(VLOOKUP(E3898,E$1:E3897,1,FALSE()))),"OLD",IF(AND(E3898&lt;&gt;"",E3898&lt;&gt;"!!!"),"NEW","")))</f>
        <v> </v>
      </c>
      <c r="G3898" s="23" t="str">
        <f>IF(OR(E3898="",E3898="!!!"),"",IF(OR(J3898=0,AND(J3898=1,K3898=1),AND(J3898=1,I3898="SBJ"),AND(J3898=1,I3898=0)),"?IN_FOCUS",IF(J3898&lt;=2,"?ACTIVATED",IF(J3898&lt;&gt;"","?FAMILIAR",IF(F3898="NEW",IF(ISNA(VLOOKUP(E3898,#REF!,1,FALSE())),"?TYPE_IDENTIFIABLE","?REFERENTIAL"),"_")))))</f>
        <v> </v>
      </c>
      <c r="H3898" s="24" t="str">
        <f>IF(J3898&lt;&gt;1,"",IF(I3898="SBJ","CB","?"))</f>
        <v> </v>
      </c>
      <c r="I3898" s="25" t="str">
        <f>IF(OR(E3898="",E3898="!!!",F3898="NEW"),"",INDEX(B3897:B$2,-1+SUMPRODUCT(MAX(ROW(E3897:E$2)*(E3898=E3897:E$2)))))</f>
        <v> </v>
      </c>
      <c r="J3898" s="25" t="str">
        <f>IF(OR(E3898="",E3898="!!!",F3898="NEW"),"",COUNTBLANK(OFFSET(A$1,,,SUMPRODUCT(MAX(ROW(E$2:E3898)*(E3898=E$2:E3898)))))-COUNTBLANK(OFFSET(A$1,,,SUMPRODUCT(MAX(ROW(E$1:E3897)*(E2=E$1:E3897))))))</f>
        <v> </v>
      </c>
      <c r="K3898" s="25" t="str">
        <f>IF(OR(E3898="",E3898="!!!",F3898="NEW"),"",INDEX(J$1:J3897,SUMPRODUCT(MAX(ROW(E$1:E3897)*(E3898=E$1:E3897)))))</f>
        <v> </v>
      </c>
      <c r="L3898" s="26"/>
    </row>
    <row r="3899" spans="1:12">
      <c r="A3899" s="20" t="s">
        <v>1876</v>
      </c>
    </row>
    <row r="3900" spans="1:12">
      <c r="A3900" s="20" t="s">
        <v>674</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t="s">
        <v>1877</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t="s">
        <v>779</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850</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1766</v>
      </c>
      <c r="B3904" s="27" t="s">
        <v>678</v>
      </c>
      <c r="C3904" s="27" t="s">
        <v>679</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t="s">
        <v>850</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202</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1268</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1878</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1444</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1175</v>
      </c>
      <c r="B3910" s="27" t="s">
        <v>696</v>
      </c>
      <c r="C3910" s="27" t="s">
        <v>754</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774</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674</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1879</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830</v>
      </c>
      <c r="B3914" s="27" t="s">
        <v>791</v>
      </c>
      <c r="C3914" s="27" t="s">
        <v>749</v>
      </c>
      <c r="D3914" s="27" t="s">
        <v>687</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683</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t="s">
        <v>1014</v>
      </c>
      <c r="B3916" s="27" t="s">
        <v>791</v>
      </c>
      <c r="C3916" s="27" t="s">
        <v>686</v>
      </c>
      <c r="D3916" s="27" t="s">
        <v>687</v>
      </c>
      <c r="E3916" s="21">
        <f>IF(D3916="?OLD","!!!","")</f>
        <v/>
      </c>
      <c r="F3916" s="22" t="str">
        <f>IF(OR(E3916="",E3916="!!!"),"",IF(NOT(ISNA(VLOOKUP(E3916,E$1:E3915,1,FALSE()))),"OLD",IF(AND(E3916&lt;&gt;"",E3916&lt;&gt;"!!!"),"NEW","")))</f>
        <v> </v>
      </c>
      <c r="G3916" s="23" t="str">
        <f>IF(OR(E3916="",E3916="!!!"),"",IF(OR(J3916=0,AND(J3916=1,K3916=1),AND(J3916=1,I3916="SBJ"),AND(J3916=1,I3916=0)),"?IN_FOCUS",IF(J3916&lt;=2,"?ACTIVATED",IF(J3916&lt;&gt;"","?FAMILIAR",IF(F3916="NEW",IF(ISNA(VLOOKUP(E3916,#REF!,1,FALSE())),"?TYPE_IDENTIFIABLE","?REFERENTIAL"),"_")))))</f>
        <v> </v>
      </c>
      <c r="H3916" s="24" t="str">
        <f>IF(J3916&lt;&gt;1,"",IF(I3916="SBJ","CB","?"))</f>
        <v> </v>
      </c>
      <c r="I3916" s="25" t="str">
        <f>IF(OR(E3916="",E3916="!!!",F3916="NEW"),"",INDEX(B3915:B$2,-1+SUMPRODUCT(MAX(ROW(E3915:E$2)*(E3916=E3915:E$2)))))</f>
        <v> </v>
      </c>
      <c r="J3916" s="25" t="str">
        <f>IF(OR(E3916="",E3916="!!!",F3916="NEW"),"",COUNTBLANK(OFFSET(A$1,,,SUMPRODUCT(MAX(ROW(E$2:E3916)*(E3916=E$2:E3916)))))-COUNTBLANK(OFFSET(A$1,,,SUMPRODUCT(MAX(ROW(E$1:E3915)*(E2=E$1:E3915))))))</f>
        <v> </v>
      </c>
      <c r="K3916" s="25" t="str">
        <f>IF(OR(E3916="",E3916="!!!",F3916="NEW"),"",INDEX(J$1:J3915,SUMPRODUCT(MAX(ROW(E$1:E3915)*(E3916=E$1:E3915)))))</f>
        <v> </v>
      </c>
      <c r="L3916" s="26"/>
    </row>
    <row r="3917" spans="1:12">
      <c r="A3917" s="20" t="s">
        <v>732</v>
      </c>
      <c r="B3917" s="27" t="s">
        <v>821</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t="s">
        <v>814</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703</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1880</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1879</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830</v>
      </c>
      <c r="B3922" s="27" t="s">
        <v>810</v>
      </c>
      <c r="C3922" s="27" t="s">
        <v>749</v>
      </c>
      <c r="D3922" s="27" t="s">
        <v>687</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306</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t="s">
        <v>379</v>
      </c>
      <c r="B3924" s="27" t="s">
        <v>807</v>
      </c>
      <c r="C3924" s="27" t="s">
        <v>686</v>
      </c>
      <c r="D3924" s="27" t="s">
        <v>687</v>
      </c>
      <c r="E3924" s="21">
        <f>IF(D3924="?OLD","!!!","")</f>
        <v/>
      </c>
      <c r="F3924" s="22" t="str">
        <f>IF(OR(E3924="",E3924="!!!"),"",IF(NOT(ISNA(VLOOKUP(E3924,E$1:E3923,1,FALSE()))),"OLD",IF(AND(E3924&lt;&gt;"",E3924&lt;&gt;"!!!"),"NEW","")))</f>
        <v> </v>
      </c>
      <c r="G3924" s="23" t="str">
        <f>IF(OR(E3924="",E3924="!!!"),"",IF(OR(J3924=0,AND(J3924=1,K3924=1),AND(J3924=1,I3924="SBJ"),AND(J3924=1,I3924=0)),"?IN_FOCUS",IF(J3924&lt;=2,"?ACTIVATED",IF(J3924&lt;&gt;"","?FAMILIAR",IF(F3924="NEW",IF(ISNA(VLOOKUP(E3924,#REF!,1,FALSE())),"?TYPE_IDENTIFIABLE","?REFERENTIAL"),"_")))))</f>
        <v> </v>
      </c>
      <c r="H3924" s="24" t="str">
        <f>IF(J3924&lt;&gt;1,"",IF(I3924="SBJ","CB","?"))</f>
        <v> </v>
      </c>
      <c r="I3924" s="25" t="str">
        <f>IF(OR(E3924="",E3924="!!!",F3924="NEW"),"",INDEX(B3923:B$2,-1+SUMPRODUCT(MAX(ROW(E3923:E$2)*(E3924=E3923:E$2)))))</f>
        <v> </v>
      </c>
      <c r="J3924" s="25" t="str">
        <f>IF(OR(E3924="",E3924="!!!",F3924="NEW"),"",COUNTBLANK(OFFSET(A$1,,,SUMPRODUCT(MAX(ROW(E$2:E3924)*(E3924=E$2:E3924)))))-COUNTBLANK(OFFSET(A$1,,,SUMPRODUCT(MAX(ROW(E$1:E3923)*(E2=E$1:E3923))))))</f>
        <v> </v>
      </c>
      <c r="K3924" s="25" t="str">
        <f>IF(OR(E3924="",E3924="!!!",F3924="NEW"),"",INDEX(J$1:J3923,SUMPRODUCT(MAX(ROW(E$1:E3923)*(E3924=E$1:E3923)))))</f>
        <v> </v>
      </c>
      <c r="L3924" s="26"/>
    </row>
    <row r="3925" spans="1:12">
      <c r="A3925" s="20" t="s">
        <v>732</v>
      </c>
      <c r="B3925" s="27" t="s">
        <v>864</v>
      </c>
      <c r="E3925" s="21">
        <f>IF(D3925="?OLD","!!!","")</f>
        <v/>
      </c>
      <c r="F3925" s="22" t="str">
        <f>IF(OR(E3925="",E3925="!!!"),"",IF(NOT(ISNA(VLOOKUP(E3925,E$1:E3924,1,FALSE()))),"OLD",IF(AND(E3925&lt;&gt;"",E3925&lt;&gt;"!!!"),"NEW","")))</f>
        <v> </v>
      </c>
      <c r="G3925" s="23" t="str">
        <f>IF(OR(E3925="",E3925="!!!"),"",IF(OR(J3925=0,AND(J3925=1,K3925=1),AND(J3925=1,I3925="SBJ"),AND(J3925=1,I3925=0)),"?IN_FOCUS",IF(J3925&lt;=2,"?ACTIVATED",IF(J3925&lt;&gt;"","?FAMILIAR",IF(F3925="NEW",IF(ISNA(VLOOKUP(E3925,#REF!,1,FALSE())),"?TYPE_IDENTIFIABLE","?REFERENTIAL"),"_")))))</f>
        <v> </v>
      </c>
      <c r="H3925" s="24" t="str">
        <f>IF(J3925&lt;&gt;1,"",IF(I3925="SBJ","CB","?"))</f>
        <v> </v>
      </c>
      <c r="I3925" s="25" t="str">
        <f>IF(OR(E3925="",E3925="!!!",F3925="NEW"),"",INDEX(B3924:B$2,-1+SUMPRODUCT(MAX(ROW(E3924:E$2)*(E3925=E3924:E$2)))))</f>
        <v> </v>
      </c>
      <c r="J3925" s="25" t="str">
        <f>IF(OR(E3925="",E3925="!!!",F3925="NEW"),"",COUNTBLANK(OFFSET(A$1,,,SUMPRODUCT(MAX(ROW(E$2:E3925)*(E3925=E$2:E3925)))))-COUNTBLANK(OFFSET(A$1,,,SUMPRODUCT(MAX(ROW(E$1:E3924)*(E2=E$1:E3924))))))</f>
        <v> </v>
      </c>
      <c r="K3925" s="25" t="str">
        <f>IF(OR(E3925="",E3925="!!!",F3925="NEW"),"",INDEX(J$1:J3924,SUMPRODUCT(MAX(ROW(E$1:E3924)*(E3925=E$1:E3924)))))</f>
        <v> </v>
      </c>
      <c r="L3925" s="26"/>
    </row>
    <row r="3926" spans="1:12">
      <c r="A3926" s="20" t="s">
        <v>1881</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t="s">
        <v>698</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t="s">
        <v>674</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row>
    <row r="3930" spans="1:12">
      <c r="A3930" s="20" t="s">
        <v>1882</v>
      </c>
    </row>
    <row r="3931" spans="1:12">
      <c r="A3931" s="20" t="s">
        <v>827</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747</v>
      </c>
      <c r="B3932" s="27" t="s">
        <v>685</v>
      </c>
      <c r="C3932" s="27" t="s">
        <v>749</v>
      </c>
      <c r="D3932" s="27" t="s">
        <v>687</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1883</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682</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1317</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682</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732</v>
      </c>
      <c r="B3937" s="27" t="s">
        <v>787</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t="s">
        <v>833</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1884</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t="s">
        <v>853</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1118</v>
      </c>
      <c r="B3941" s="27" t="s">
        <v>807</v>
      </c>
      <c r="C3941" s="27" t="s">
        <v>1049</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527</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853</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t="s">
        <v>1014</v>
      </c>
      <c r="B3944" s="27" t="s">
        <v>863</v>
      </c>
      <c r="C3944" s="27" t="s">
        <v>1049</v>
      </c>
      <c r="E3944" s="21">
        <f>IF(D3944="?OLD","!!!","")</f>
        <v/>
      </c>
      <c r="F3944" s="22" t="str">
        <f>IF(OR(E3944="",E3944="!!!"),"",IF(NOT(ISNA(VLOOKUP(E3944,E$1:E3943,1,FALSE()))),"OLD",IF(AND(E3944&lt;&gt;"",E3944&lt;&gt;"!!!"),"NEW","")))</f>
        <v> </v>
      </c>
      <c r="G3944" s="23" t="str">
        <f>IF(OR(E3944="",E3944="!!!"),"",IF(OR(J3944=0,AND(J3944=1,K3944=1),AND(J3944=1,I3944="SBJ"),AND(J3944=1,I3944=0)),"?IN_FOCUS",IF(J3944&lt;=2,"?ACTIVATED",IF(J3944&lt;&gt;"","?FAMILIAR",IF(F3944="NEW",IF(ISNA(VLOOKUP(E3944,#REF!,1,FALSE())),"?TYPE_IDENTIFIABLE","?REFERENTIAL"),"_")))))</f>
        <v> </v>
      </c>
      <c r="H3944" s="24" t="str">
        <f>IF(J3944&lt;&gt;1,"",IF(I3944="SBJ","CB","?"))</f>
        <v> </v>
      </c>
      <c r="I3944" s="25" t="str">
        <f>IF(OR(E3944="",E3944="!!!",F3944="NEW"),"",INDEX(B3943:B$2,-1+SUMPRODUCT(MAX(ROW(E3943:E$2)*(E3944=E3943:E$2)))))</f>
        <v> </v>
      </c>
      <c r="J3944" s="25" t="str">
        <f>IF(OR(E3944="",E3944="!!!",F3944="NEW"),"",COUNTBLANK(OFFSET(A$1,,,SUMPRODUCT(MAX(ROW(E$2:E3944)*(E3944=E$2:E3944)))))-COUNTBLANK(OFFSET(A$1,,,SUMPRODUCT(MAX(ROW(E$1:E3943)*(E2=E$1:E3943))))))</f>
        <v> </v>
      </c>
      <c r="K3944" s="25" t="str">
        <f>IF(OR(E3944="",E3944="!!!",F3944="NEW"),"",INDEX(J$1:J3943,SUMPRODUCT(MAX(ROW(E$1:E3943)*(E3944=E$1:E3943)))))</f>
        <v> </v>
      </c>
      <c r="L3944" s="26"/>
    </row>
    <row r="3945" spans="1:12">
      <c r="A3945" s="20" t="s">
        <v>782</v>
      </c>
      <c r="E3945" s="21">
        <f>IF(D3945="?OLD","!!!","")</f>
        <v/>
      </c>
      <c r="F3945" s="22" t="str">
        <f>IF(OR(E3945="",E3945="!!!"),"",IF(NOT(ISNA(VLOOKUP(E3945,E$1:E3944,1,FALSE()))),"OLD",IF(AND(E3945&lt;&gt;"",E3945&lt;&gt;"!!!"),"NEW","")))</f>
        <v> </v>
      </c>
      <c r="G3945" s="23" t="str">
        <f>IF(OR(E3945="",E3945="!!!"),"",IF(OR(J3945=0,AND(J3945=1,K3945=1),AND(J3945=1,I3945="SBJ"),AND(J3945=1,I3945=0)),"?IN_FOCUS",IF(J3945&lt;=2,"?ACTIVATED",IF(J3945&lt;&gt;"","?FAMILIAR",IF(F3945="NEW",IF(ISNA(VLOOKUP(E3945,#REF!,1,FALSE())),"?TYPE_IDENTIFIABLE","?REFERENTIAL"),"_")))))</f>
        <v> </v>
      </c>
      <c r="H3945" s="24" t="str">
        <f>IF(J3945&lt;&gt;1,"",IF(I3945="SBJ","CB","?"))</f>
        <v> </v>
      </c>
      <c r="I3945" s="25" t="str">
        <f>IF(OR(E3945="",E3945="!!!",F3945="NEW"),"",INDEX(B3944:B$2,-1+SUMPRODUCT(MAX(ROW(E3944:E$2)*(E3945=E3944:E$2)))))</f>
        <v> </v>
      </c>
      <c r="J3945" s="25" t="str">
        <f>IF(OR(E3945="",E3945="!!!",F3945="NEW"),"",COUNTBLANK(OFFSET(A$1,,,SUMPRODUCT(MAX(ROW(E$2:E3945)*(E3945=E$2:E3945)))))-COUNTBLANK(OFFSET(A$1,,,SUMPRODUCT(MAX(ROW(E$1:E3944)*(E2=E$1:E3944))))))</f>
        <v> </v>
      </c>
      <c r="K3945" s="25" t="str">
        <f>IF(OR(E3945="",E3945="!!!",F3945="NEW"),"",INDEX(J$1:J3944,SUMPRODUCT(MAX(ROW(E$1:E3944)*(E3945=E$1:E3944)))))</f>
        <v> </v>
      </c>
      <c r="L3945" s="26"/>
    </row>
    <row r="3946" spans="1:12">
      <c r="A3946" s="20" t="s">
        <v>1485</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t="s">
        <v>1390</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t="s">
        <v>1885</v>
      </c>
      <c r="B3948" s="27" t="s">
        <v>812</v>
      </c>
      <c r="C3948" s="27" t="s">
        <v>679</v>
      </c>
      <c r="E3948" s="21">
        <f>IF(D3948="?OLD","!!!","")</f>
        <v/>
      </c>
      <c r="F3948" s="22" t="str">
        <f>IF(OR(E3948="",E3948="!!!"),"",IF(NOT(ISNA(VLOOKUP(E3948,E$1:E3947,1,FALSE()))),"OLD",IF(AND(E3948&lt;&gt;"",E3948&lt;&gt;"!!!"),"NEW","")))</f>
        <v> </v>
      </c>
      <c r="G3948" s="23" t="str">
        <f>IF(OR(E3948="",E3948="!!!"),"",IF(OR(J3948=0,AND(J3948=1,K3948=1),AND(J3948=1,I3948="SBJ"),AND(J3948=1,I3948=0)),"?IN_FOCUS",IF(J3948&lt;=2,"?ACTIVATED",IF(J3948&lt;&gt;"","?FAMILIAR",IF(F3948="NEW",IF(ISNA(VLOOKUP(E3948,#REF!,1,FALSE())),"?TYPE_IDENTIFIABLE","?REFERENTIAL"),"_")))))</f>
        <v> </v>
      </c>
      <c r="H3948" s="24" t="str">
        <f>IF(J3948&lt;&gt;1,"",IF(I3948="SBJ","CB","?"))</f>
        <v> </v>
      </c>
      <c r="I3948" s="25" t="str">
        <f>IF(OR(E3948="",E3948="!!!",F3948="NEW"),"",INDEX(B3947:B$2,-1+SUMPRODUCT(MAX(ROW(E3947:E$2)*(E3948=E3947:E$2)))))</f>
        <v> </v>
      </c>
      <c r="J3948" s="25" t="str">
        <f>IF(OR(E3948="",E3948="!!!",F3948="NEW"),"",COUNTBLANK(OFFSET(A$1,,,SUMPRODUCT(MAX(ROW(E$2:E3948)*(E3948=E$2:E3948)))))-COUNTBLANK(OFFSET(A$1,,,SUMPRODUCT(MAX(ROW(E$1:E3947)*(E2=E$1:E3947))))))</f>
        <v> </v>
      </c>
      <c r="K3948" s="25" t="str">
        <f>IF(OR(E3948="",E3948="!!!",F3948="NEW"),"",INDEX(J$1:J3947,SUMPRODUCT(MAX(ROW(E$1:E3947)*(E3948=E$1:E3947)))))</f>
        <v> </v>
      </c>
      <c r="L3948" s="26"/>
    </row>
    <row r="3949" spans="1:12">
      <c r="A3949" s="20" t="s">
        <v>694</v>
      </c>
      <c r="E3949" s="21">
        <f>IF(D3949="?OLD","!!!","")</f>
        <v/>
      </c>
      <c r="F3949" s="22" t="str">
        <f>IF(OR(E3949="",E3949="!!!"),"",IF(NOT(ISNA(VLOOKUP(E3949,E$1:E3948,1,FALSE()))),"OLD",IF(AND(E3949&lt;&gt;"",E3949&lt;&gt;"!!!"),"NEW","")))</f>
        <v> </v>
      </c>
      <c r="G3949" s="23" t="str">
        <f>IF(OR(E3949="",E3949="!!!"),"",IF(OR(J3949=0,AND(J3949=1,K3949=1),AND(J3949=1,I3949="SBJ"),AND(J3949=1,I3949=0)),"?IN_FOCUS",IF(J3949&lt;=2,"?ACTIVATED",IF(J3949&lt;&gt;"","?FAMILIAR",IF(F3949="NEW",IF(ISNA(VLOOKUP(E3949,#REF!,1,FALSE())),"?TYPE_IDENTIFIABLE","?REFERENTIAL"),"_")))))</f>
        <v> </v>
      </c>
      <c r="H3949" s="24" t="str">
        <f>IF(J3949&lt;&gt;1,"",IF(I3949="SBJ","CB","?"))</f>
        <v> </v>
      </c>
      <c r="I3949" s="25" t="str">
        <f>IF(OR(E3949="",E3949="!!!",F3949="NEW"),"",INDEX(B3948:B$2,-1+SUMPRODUCT(MAX(ROW(E3948:E$2)*(E3949=E3948:E$2)))))</f>
        <v> </v>
      </c>
      <c r="J3949" s="25" t="str">
        <f>IF(OR(E3949="",E3949="!!!",F3949="NEW"),"",COUNTBLANK(OFFSET(A$1,,,SUMPRODUCT(MAX(ROW(E$2:E3949)*(E3949=E$2:E3949)))))-COUNTBLANK(OFFSET(A$1,,,SUMPRODUCT(MAX(ROW(E$1:E3948)*(E2=E$1:E3948))))))</f>
        <v> </v>
      </c>
      <c r="K3949" s="25" t="str">
        <f>IF(OR(E3949="",E3949="!!!",F3949="NEW"),"",INDEX(J$1:J3948,SUMPRODUCT(MAX(ROW(E$1:E3948)*(E3949=E$1:E3948)))))</f>
        <v> </v>
      </c>
      <c r="L3949" s="26"/>
    </row>
    <row r="3950" spans="1:12">
      <c r="A3950" s="20" t="s">
        <v>1886</v>
      </c>
      <c r="E3950" s="21">
        <f>IF(D3950="?OLD","!!!","")</f>
        <v/>
      </c>
      <c r="F3950" s="22" t="str">
        <f>IF(OR(E3950="",E3950="!!!"),"",IF(NOT(ISNA(VLOOKUP(E3950,E$1:E3949,1,FALSE()))),"OLD",IF(AND(E3950&lt;&gt;"",E3950&lt;&gt;"!!!"),"NEW","")))</f>
        <v> </v>
      </c>
      <c r="G3950" s="23" t="str">
        <f>IF(OR(E3950="",E3950="!!!"),"",IF(OR(J3950=0,AND(J3950=1,K3950=1),AND(J3950=1,I3950="SBJ"),AND(J3950=1,I3950=0)),"?IN_FOCUS",IF(J3950&lt;=2,"?ACTIVATED",IF(J3950&lt;&gt;"","?FAMILIAR",IF(F3950="NEW",IF(ISNA(VLOOKUP(E3950,#REF!,1,FALSE())),"?TYPE_IDENTIFIABLE","?REFERENTIAL"),"_")))))</f>
        <v> </v>
      </c>
      <c r="H3950" s="24" t="str">
        <f>IF(J3950&lt;&gt;1,"",IF(I3950="SBJ","CB","?"))</f>
        <v> </v>
      </c>
      <c r="I3950" s="25" t="str">
        <f>IF(OR(E3950="",E3950="!!!",F3950="NEW"),"",INDEX(B3949:B$2,-1+SUMPRODUCT(MAX(ROW(E3949:E$2)*(E3950=E3949:E$2)))))</f>
        <v> </v>
      </c>
      <c r="J3950" s="25" t="str">
        <f>IF(OR(E3950="",E3950="!!!",F3950="NEW"),"",COUNTBLANK(OFFSET(A$1,,,SUMPRODUCT(MAX(ROW(E$2:E3950)*(E3950=E$2:E3950)))))-COUNTBLANK(OFFSET(A$1,,,SUMPRODUCT(MAX(ROW(E$1:E3949)*(E2=E$1:E3949))))))</f>
        <v> </v>
      </c>
      <c r="K3950" s="25" t="str">
        <f>IF(OR(E3950="",E3950="!!!",F3950="NEW"),"",INDEX(J$1:J3949,SUMPRODUCT(MAX(ROW(E$1:E3949)*(E3950=E$1:E3949)))))</f>
        <v> </v>
      </c>
      <c r="L3950" s="26"/>
    </row>
    <row r="3951" spans="1:12">
      <c r="A3951" s="20" t="s">
        <v>886</v>
      </c>
      <c r="B3951" s="27" t="s">
        <v>742</v>
      </c>
      <c r="C3951" s="27" t="s">
        <v>749</v>
      </c>
      <c r="D3951" s="27" t="s">
        <v>687</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698</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row>
    <row r="3954" spans="1:12">
      <c r="A3954" s="20" t="s">
        <v>1887</v>
      </c>
    </row>
    <row r="3955" spans="1:12">
      <c r="A3955" s="20" t="s">
        <v>12</v>
      </c>
      <c r="E3955" s="21">
        <f>IF(D3955="?OLD","!!!","")</f>
        <v/>
      </c>
      <c r="F3955" s="22" t="str">
        <f>IF(OR(E3955="",E3955="!!!"),"",IF(NOT(ISNA(VLOOKUP(E3955,E$1:E3954,1,FALSE()))),"OLD",IF(AND(E3955&lt;&gt;"",E3955&lt;&gt;"!!!"),"NEW","")))</f>
        <v> </v>
      </c>
      <c r="G3955" s="23" t="str">
        <f>IF(OR(E3955="",E3955="!!!"),"",IF(OR(J3955=0,AND(J3955=1,K3955=1),AND(J3955=1,I3955="SBJ"),AND(J3955=1,I3955=0)),"?IN_FOCUS",IF(J3955&lt;=2,"?ACTIVATED",IF(J3955&lt;&gt;"","?FAMILIAR",IF(F3955="NEW",IF(ISNA(VLOOKUP(E3955,#REF!,1,FALSE())),"?TYPE_IDENTIFIABLE","?REFERENTIAL"),"_")))))</f>
        <v> </v>
      </c>
      <c r="H3955" s="24" t="str">
        <f>IF(J3955&lt;&gt;1,"",IF(I3955="SBJ","CB","?"))</f>
        <v> </v>
      </c>
      <c r="I3955" s="25" t="str">
        <f>IF(OR(E3955="",E3955="!!!",F3955="NEW"),"",INDEX(B3954:B$2,-1+SUMPRODUCT(MAX(ROW(E3954:E$2)*(E3955=E3954:E$2)))))</f>
        <v> </v>
      </c>
      <c r="J3955" s="25" t="str">
        <f>IF(OR(E3955="",E3955="!!!",F3955="NEW"),"",COUNTBLANK(OFFSET(A$1,,,SUMPRODUCT(MAX(ROW(E$2:E3955)*(E3955=E$2:E3955)))))-COUNTBLANK(OFFSET(A$1,,,SUMPRODUCT(MAX(ROW(E$1:E3954)*(E2=E$1:E3954))))))</f>
        <v> </v>
      </c>
      <c r="K3955" s="25" t="str">
        <f>IF(OR(E3955="",E3955="!!!",F3955="NEW"),"",INDEX(J$1:J3954,SUMPRODUCT(MAX(ROW(E$1:E3954)*(E3955=E$1:E3954)))))</f>
        <v> </v>
      </c>
      <c r="L3955" s="26"/>
    </row>
    <row r="3956" spans="1:12">
      <c r="A3956" s="20" t="s">
        <v>796</v>
      </c>
      <c r="B3956" s="27" t="s">
        <v>696</v>
      </c>
      <c r="C3956" s="27" t="s">
        <v>772</v>
      </c>
      <c r="D3956" s="27" t="s">
        <v>687</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581</v>
      </c>
      <c r="B3957" s="27" t="s">
        <v>685</v>
      </c>
      <c r="C3957" s="27" t="s">
        <v>686</v>
      </c>
      <c r="D3957" s="27" t="s">
        <v>687</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740</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306</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170</v>
      </c>
      <c r="B3960" s="27" t="s">
        <v>678</v>
      </c>
      <c r="C3960" s="27" t="s">
        <v>693</v>
      </c>
      <c r="D3960" s="27" t="s">
        <v>687</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1888</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t="s">
        <v>694</v>
      </c>
      <c r="E3962" s="21">
        <f>IF(D3962="?OLD","!!!","")</f>
        <v/>
      </c>
      <c r="F3962" s="22" t="str">
        <f>IF(OR(E3962="",E3962="!!!"),"",IF(NOT(ISNA(VLOOKUP(E3962,E$1:E3961,1,FALSE()))),"OLD",IF(AND(E3962&lt;&gt;"",E3962&lt;&gt;"!!!"),"NEW","")))</f>
        <v> </v>
      </c>
      <c r="G3962" s="23" t="str">
        <f>IF(OR(E3962="",E3962="!!!"),"",IF(OR(J3962=0,AND(J3962=1,K3962=1),AND(J3962=1,I3962="SBJ"),AND(J3962=1,I3962=0)),"?IN_FOCUS",IF(J3962&lt;=2,"?ACTIVATED",IF(J3962&lt;&gt;"","?FAMILIAR",IF(F3962="NEW",IF(ISNA(VLOOKUP(E3962,#REF!,1,FALSE())),"?TYPE_IDENTIFIABLE","?REFERENTIAL"),"_")))))</f>
        <v> </v>
      </c>
      <c r="H3962" s="24" t="str">
        <f>IF(J3962&lt;&gt;1,"",IF(I3962="SBJ","CB","?"))</f>
        <v> </v>
      </c>
      <c r="I3962" s="25" t="str">
        <f>IF(OR(E3962="",E3962="!!!",F3962="NEW"),"",INDEX(B3961:B$2,-1+SUMPRODUCT(MAX(ROW(E3961:E$2)*(E3962=E3961:E$2)))))</f>
        <v> </v>
      </c>
      <c r="J3962" s="25" t="str">
        <f>IF(OR(E3962="",E3962="!!!",F3962="NEW"),"",COUNTBLANK(OFFSET(A$1,,,SUMPRODUCT(MAX(ROW(E$2:E3962)*(E3962=E$2:E3962)))))-COUNTBLANK(OFFSET(A$1,,,SUMPRODUCT(MAX(ROW(E$1:E3961)*(E2=E$1:E3961))))))</f>
        <v> </v>
      </c>
      <c r="K3962" s="25" t="str">
        <f>IF(OR(E3962="",E3962="!!!",F3962="NEW"),"",INDEX(J$1:J3961,SUMPRODUCT(MAX(ROW(E$1:E3961)*(E3962=E$1:E3961)))))</f>
        <v> </v>
      </c>
      <c r="L3962" s="26"/>
    </row>
    <row r="3963" spans="1:12">
      <c r="A3963" s="20" t="s">
        <v>1085</v>
      </c>
      <c r="E3963" s="21">
        <f>IF(D3963="?OLD","!!!","")</f>
        <v/>
      </c>
      <c r="F3963" s="22" t="str">
        <f>IF(OR(E3963="",E3963="!!!"),"",IF(NOT(ISNA(VLOOKUP(E3963,E$1:E3962,1,FALSE()))),"OLD",IF(AND(E3963&lt;&gt;"",E3963&lt;&gt;"!!!"),"NEW","")))</f>
        <v> </v>
      </c>
      <c r="G3963" s="23" t="str">
        <f>IF(OR(E3963="",E3963="!!!"),"",IF(OR(J3963=0,AND(J3963=1,K3963=1),AND(J3963=1,I3963="SBJ"),AND(J3963=1,I3963=0)),"?IN_FOCUS",IF(J3963&lt;=2,"?ACTIVATED",IF(J3963&lt;&gt;"","?FAMILIAR",IF(F3963="NEW",IF(ISNA(VLOOKUP(E3963,#REF!,1,FALSE())),"?TYPE_IDENTIFIABLE","?REFERENTIAL"),"_")))))</f>
        <v> </v>
      </c>
      <c r="H3963" s="24" t="str">
        <f>IF(J3963&lt;&gt;1,"",IF(I3963="SBJ","CB","?"))</f>
        <v> </v>
      </c>
      <c r="I3963" s="25" t="str">
        <f>IF(OR(E3963="",E3963="!!!",F3963="NEW"),"",INDEX(B3962:B$2,-1+SUMPRODUCT(MAX(ROW(E3962:E$2)*(E3963=E3962:E$2)))))</f>
        <v> </v>
      </c>
      <c r="J3963" s="25" t="str">
        <f>IF(OR(E3963="",E3963="!!!",F3963="NEW"),"",COUNTBLANK(OFFSET(A$1,,,SUMPRODUCT(MAX(ROW(E$2:E3963)*(E3963=E$2:E3963)))))-COUNTBLANK(OFFSET(A$1,,,SUMPRODUCT(MAX(ROW(E$1:E3962)*(E2=E$1:E3962))))))</f>
        <v> </v>
      </c>
      <c r="K3963" s="25" t="str">
        <f>IF(OR(E3963="",E3963="!!!",F3963="NEW"),"",INDEX(J$1:J3962,SUMPRODUCT(MAX(ROW(E$1:E3962)*(E3963=E$1:E3962)))))</f>
        <v> </v>
      </c>
      <c r="L3963" s="26"/>
    </row>
    <row r="3964" spans="1:12">
      <c r="A3964" s="20" t="s">
        <v>851</v>
      </c>
      <c r="B3964" s="27" t="s">
        <v>678</v>
      </c>
      <c r="C3964" s="27" t="s">
        <v>693</v>
      </c>
      <c r="D3964" s="27" t="s">
        <v>687</v>
      </c>
      <c r="E3964" s="21">
        <f>IF(D3964="?OLD","!!!","")</f>
        <v/>
      </c>
      <c r="F3964" s="22" t="str">
        <f>IF(OR(E3964="",E3964="!!!"),"",IF(NOT(ISNA(VLOOKUP(E3964,E$1:E3963,1,FALSE()))),"OLD",IF(AND(E3964&lt;&gt;"",E3964&lt;&gt;"!!!"),"NEW","")))</f>
        <v> </v>
      </c>
      <c r="G3964" s="23" t="str">
        <f>IF(OR(E3964="",E3964="!!!"),"",IF(OR(J3964=0,AND(J3964=1,K3964=1),AND(J3964=1,I3964="SBJ"),AND(J3964=1,I3964=0)),"?IN_FOCUS",IF(J3964&lt;=2,"?ACTIVATED",IF(J3964&lt;&gt;"","?FAMILIAR",IF(F3964="NEW",IF(ISNA(VLOOKUP(E3964,#REF!,1,FALSE())),"?TYPE_IDENTIFIABLE","?REFERENTIAL"),"_")))))</f>
        <v> </v>
      </c>
      <c r="H3964" s="24" t="str">
        <f>IF(J3964&lt;&gt;1,"",IF(I3964="SBJ","CB","?"))</f>
        <v> </v>
      </c>
      <c r="I3964" s="25" t="str">
        <f>IF(OR(E3964="",E3964="!!!",F3964="NEW"),"",INDEX(B3963:B$2,-1+SUMPRODUCT(MAX(ROW(E3963:E$2)*(E3964=E3963:E$2)))))</f>
        <v> </v>
      </c>
      <c r="J3964" s="25" t="str">
        <f>IF(OR(E3964="",E3964="!!!",F3964="NEW"),"",COUNTBLANK(OFFSET(A$1,,,SUMPRODUCT(MAX(ROW(E$2:E3964)*(E3964=E$2:E3964)))))-COUNTBLANK(OFFSET(A$1,,,SUMPRODUCT(MAX(ROW(E$1:E3963)*(E2=E$1:E3963))))))</f>
        <v> </v>
      </c>
      <c r="K3964" s="25" t="str">
        <f>IF(OR(E3964="",E3964="!!!",F3964="NEW"),"",INDEX(J$1:J3963,SUMPRODUCT(MAX(ROW(E$1:E3963)*(E3964=E$1:E3963)))))</f>
        <v> </v>
      </c>
      <c r="L3964" s="26"/>
    </row>
    <row r="3965" spans="1:12">
      <c r="A3965" s="20" t="s">
        <v>794</v>
      </c>
      <c r="E3965" s="21">
        <f>IF(D3965="?OLD","!!!","")</f>
        <v/>
      </c>
      <c r="F3965" s="22" t="str">
        <f>IF(OR(E3965="",E3965="!!!"),"",IF(NOT(ISNA(VLOOKUP(E3965,E$1:E3964,1,FALSE()))),"OLD",IF(AND(E3965&lt;&gt;"",E3965&lt;&gt;"!!!"),"NEW","")))</f>
        <v> </v>
      </c>
      <c r="G3965" s="23" t="str">
        <f>IF(OR(E3965="",E3965="!!!"),"",IF(OR(J3965=0,AND(J3965=1,K3965=1),AND(J3965=1,I3965="SBJ"),AND(J3965=1,I3965=0)),"?IN_FOCUS",IF(J3965&lt;=2,"?ACTIVATED",IF(J3965&lt;&gt;"","?FAMILIAR",IF(F3965="NEW",IF(ISNA(VLOOKUP(E3965,#REF!,1,FALSE())),"?TYPE_IDENTIFIABLE","?REFERENTIAL"),"_")))))</f>
        <v> </v>
      </c>
      <c r="H3965" s="24" t="str">
        <f>IF(J3965&lt;&gt;1,"",IF(I3965="SBJ","CB","?"))</f>
        <v> </v>
      </c>
      <c r="I3965" s="25" t="str">
        <f>IF(OR(E3965="",E3965="!!!",F3965="NEW"),"",INDEX(B3964:B$2,-1+SUMPRODUCT(MAX(ROW(E3964:E$2)*(E3965=E3964:E$2)))))</f>
        <v> </v>
      </c>
      <c r="J3965" s="25" t="str">
        <f>IF(OR(E3965="",E3965="!!!",F3965="NEW"),"",COUNTBLANK(OFFSET(A$1,,,SUMPRODUCT(MAX(ROW(E$2:E3965)*(E3965=E$2:E3965)))))-COUNTBLANK(OFFSET(A$1,,,SUMPRODUCT(MAX(ROW(E$1:E3964)*(E2=E$1:E3964))))))</f>
        <v> </v>
      </c>
      <c r="K3965" s="25" t="str">
        <f>IF(OR(E3965="",E3965="!!!",F3965="NEW"),"",INDEX(J$1:J3964,SUMPRODUCT(MAX(ROW(E$1:E3964)*(E3965=E$1:E3964)))))</f>
        <v> </v>
      </c>
      <c r="L3965" s="26"/>
    </row>
    <row r="3966" spans="1:12">
      <c r="A3966" s="20" t="s">
        <v>1104</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t="s">
        <v>1889</v>
      </c>
      <c r="B3967" s="27" t="s">
        <v>696</v>
      </c>
      <c r="C3967" s="27" t="s">
        <v>693</v>
      </c>
      <c r="D3967" s="27" t="s">
        <v>687</v>
      </c>
      <c r="E3967" s="21">
        <f>IF(D3967="?OLD","!!!","")</f>
        <v/>
      </c>
      <c r="F3967" s="22" t="str">
        <f>IF(OR(E3967="",E3967="!!!"),"",IF(NOT(ISNA(VLOOKUP(E3967,E$1:E3966,1,FALSE()))),"OLD",IF(AND(E3967&lt;&gt;"",E3967&lt;&gt;"!!!"),"NEW","")))</f>
        <v> </v>
      </c>
      <c r="G3967" s="23" t="str">
        <f>IF(OR(E3967="",E3967="!!!"),"",IF(OR(J3967=0,AND(J3967=1,K3967=1),AND(J3967=1,I3967="SBJ"),AND(J3967=1,I3967=0)),"?IN_FOCUS",IF(J3967&lt;=2,"?ACTIVATED",IF(J3967&lt;&gt;"","?FAMILIAR",IF(F3967="NEW",IF(ISNA(VLOOKUP(E3967,#REF!,1,FALSE())),"?TYPE_IDENTIFIABLE","?REFERENTIAL"),"_")))))</f>
        <v> </v>
      </c>
      <c r="H3967" s="24" t="str">
        <f>IF(J3967&lt;&gt;1,"",IF(I3967="SBJ","CB","?"))</f>
        <v> </v>
      </c>
      <c r="I3967" s="25" t="str">
        <f>IF(OR(E3967="",E3967="!!!",F3967="NEW"),"",INDEX(B3966:B$2,-1+SUMPRODUCT(MAX(ROW(E3966:E$2)*(E3967=E3966:E$2)))))</f>
        <v> </v>
      </c>
      <c r="J3967" s="25" t="str">
        <f>IF(OR(E3967="",E3967="!!!",F3967="NEW"),"",COUNTBLANK(OFFSET(A$1,,,SUMPRODUCT(MAX(ROW(E$2:E3967)*(E3967=E$2:E3967)))))-COUNTBLANK(OFFSET(A$1,,,SUMPRODUCT(MAX(ROW(E$1:E3966)*(E2=E$1:E3966))))))</f>
        <v> </v>
      </c>
      <c r="K3967" s="25" t="str">
        <f>IF(OR(E3967="",E3967="!!!",F3967="NEW"),"",INDEX(J$1:J3966,SUMPRODUCT(MAX(ROW(E$1:E3966)*(E3967=E$1:E3966)))))</f>
        <v> </v>
      </c>
      <c r="L3967" s="26"/>
    </row>
    <row r="3968" spans="1:12">
      <c r="A3968" s="20" t="s">
        <v>1890</v>
      </c>
      <c r="E3968" s="21">
        <f>IF(D3968="?OLD","!!!","")</f>
        <v/>
      </c>
      <c r="F3968" s="22" t="str">
        <f>IF(OR(E3968="",E3968="!!!"),"",IF(NOT(ISNA(VLOOKUP(E3968,E$1:E3967,1,FALSE()))),"OLD",IF(AND(E3968&lt;&gt;"",E3968&lt;&gt;"!!!"),"NEW","")))</f>
        <v> </v>
      </c>
      <c r="G3968" s="23" t="str">
        <f>IF(OR(E3968="",E3968="!!!"),"",IF(OR(J3968=0,AND(J3968=1,K3968=1),AND(J3968=1,I3968="SBJ"),AND(J3968=1,I3968=0)),"?IN_FOCUS",IF(J3968&lt;=2,"?ACTIVATED",IF(J3968&lt;&gt;"","?FAMILIAR",IF(F3968="NEW",IF(ISNA(VLOOKUP(E3968,#REF!,1,FALSE())),"?TYPE_IDENTIFIABLE","?REFERENTIAL"),"_")))))</f>
        <v> </v>
      </c>
      <c r="H3968" s="24" t="str">
        <f>IF(J3968&lt;&gt;1,"",IF(I3968="SBJ","CB","?"))</f>
        <v> </v>
      </c>
      <c r="I3968" s="25" t="str">
        <f>IF(OR(E3968="",E3968="!!!",F3968="NEW"),"",INDEX(B3967:B$2,-1+SUMPRODUCT(MAX(ROW(E3967:E$2)*(E3968=E3967:E$2)))))</f>
        <v> </v>
      </c>
      <c r="J3968" s="25" t="str">
        <f>IF(OR(E3968="",E3968="!!!",F3968="NEW"),"",COUNTBLANK(OFFSET(A$1,,,SUMPRODUCT(MAX(ROW(E$2:E3968)*(E3968=E$2:E3968)))))-COUNTBLANK(OFFSET(A$1,,,SUMPRODUCT(MAX(ROW(E$1:E3967)*(E2=E$1:E3967))))))</f>
        <v> </v>
      </c>
      <c r="K3968" s="25" t="str">
        <f>IF(OR(E3968="",E3968="!!!",F3968="NEW"),"",INDEX(J$1:J3967,SUMPRODUCT(MAX(ROW(E$1:E3967)*(E3968=E$1:E3967)))))</f>
        <v> </v>
      </c>
      <c r="L3968" s="26"/>
    </row>
    <row r="3969" spans="1:12">
      <c r="A3969" s="20" t="s">
        <v>676</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t="s">
        <v>1891</v>
      </c>
      <c r="B3970" s="27" t="s">
        <v>724</v>
      </c>
      <c r="C3970" s="27" t="s">
        <v>745</v>
      </c>
      <c r="D3970" s="27" t="s">
        <v>687</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698</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row>
    <row r="3973" spans="1:12">
      <c r="A3973" s="20" t="s">
        <v>1892</v>
      </c>
    </row>
    <row r="3974" spans="1:12">
      <c r="A3974" s="20" t="s">
        <v>1154</v>
      </c>
      <c r="B3974" s="27" t="s">
        <v>685</v>
      </c>
      <c r="C3974" s="27" t="s">
        <v>749</v>
      </c>
      <c r="D3974" s="27" t="s">
        <v>687</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t="s">
        <v>750</v>
      </c>
      <c r="E3975" s="21">
        <f>IF(D3975="?OLD","!!!","")</f>
        <v/>
      </c>
      <c r="F3975" s="22" t="str">
        <f>IF(OR(E3975="",E3975="!!!"),"",IF(NOT(ISNA(VLOOKUP(E3975,E$1:E3974,1,FALSE()))),"OLD",IF(AND(E3975&lt;&gt;"",E3975&lt;&gt;"!!!"),"NEW","")))</f>
        <v> </v>
      </c>
      <c r="G3975" s="23" t="str">
        <f>IF(OR(E3975="",E3975="!!!"),"",IF(OR(J3975=0,AND(J3975=1,K3975=1),AND(J3975=1,I3975="SBJ"),AND(J3975=1,I3975=0)),"?IN_FOCUS",IF(J3975&lt;=2,"?ACTIVATED",IF(J3975&lt;&gt;"","?FAMILIAR",IF(F3975="NEW",IF(ISNA(VLOOKUP(E3975,#REF!,1,FALSE())),"?TYPE_IDENTIFIABLE","?REFERENTIAL"),"_")))))</f>
        <v> </v>
      </c>
      <c r="H3975" s="24" t="str">
        <f>IF(J3975&lt;&gt;1,"",IF(I3975="SBJ","CB","?"))</f>
        <v> </v>
      </c>
      <c r="I3975" s="25" t="str">
        <f>IF(OR(E3975="",E3975="!!!",F3975="NEW"),"",INDEX(B3974:B$2,-1+SUMPRODUCT(MAX(ROW(E3974:E$2)*(E3975=E3974:E$2)))))</f>
        <v> </v>
      </c>
      <c r="J3975" s="25" t="str">
        <f>IF(OR(E3975="",E3975="!!!",F3975="NEW"),"",COUNTBLANK(OFFSET(A$1,,,SUMPRODUCT(MAX(ROW(E$2:E3975)*(E3975=E$2:E3975)))))-COUNTBLANK(OFFSET(A$1,,,SUMPRODUCT(MAX(ROW(E$1:E3974)*(E2=E$1:E3974))))))</f>
        <v> </v>
      </c>
      <c r="K3975" s="25" t="str">
        <f>IF(OR(E3975="",E3975="!!!",F3975="NEW"),"",INDEX(J$1:J3974,SUMPRODUCT(MAX(ROW(E$1:E3974)*(E3975=E$1:E3974)))))</f>
        <v> </v>
      </c>
      <c r="L3975" s="26"/>
    </row>
    <row r="3976" spans="1:12">
      <c r="A3976" s="20" t="s">
        <v>689</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994</v>
      </c>
      <c r="B3977" s="27" t="s">
        <v>692</v>
      </c>
      <c r="C3977" s="27" t="s">
        <v>736</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1893</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694</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683</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t="s">
        <v>695</v>
      </c>
      <c r="B3981" s="27" t="s">
        <v>724</v>
      </c>
      <c r="C3981" s="27" t="s">
        <v>686</v>
      </c>
      <c r="D3981" s="27" t="s">
        <v>687</v>
      </c>
      <c r="E3981" s="21">
        <f>IF(D3981="?OLD","!!!","")</f>
        <v/>
      </c>
      <c r="F3981" s="22" t="str">
        <f>IF(OR(E3981="",E3981="!!!"),"",IF(NOT(ISNA(VLOOKUP(E3981,E$1:E3980,1,FALSE()))),"OLD",IF(AND(E3981&lt;&gt;"",E3981&lt;&gt;"!!!"),"NEW","")))</f>
        <v> </v>
      </c>
      <c r="G3981" s="23" t="str">
        <f>IF(OR(E3981="",E3981="!!!"),"",IF(OR(J3981=0,AND(J3981=1,K3981=1),AND(J3981=1,I3981="SBJ"),AND(J3981=1,I3981=0)),"?IN_FOCUS",IF(J3981&lt;=2,"?ACTIVATED",IF(J3981&lt;&gt;"","?FAMILIAR",IF(F3981="NEW",IF(ISNA(VLOOKUP(E3981,#REF!,1,FALSE())),"?TYPE_IDENTIFIABLE","?REFERENTIAL"),"_")))))</f>
        <v> </v>
      </c>
      <c r="H3981" s="24" t="str">
        <f>IF(J3981&lt;&gt;1,"",IF(I3981="SBJ","CB","?"))</f>
        <v> </v>
      </c>
      <c r="I3981" s="25" t="str">
        <f>IF(OR(E3981="",E3981="!!!",F3981="NEW"),"",INDEX(B3980:B$2,-1+SUMPRODUCT(MAX(ROW(E3980:E$2)*(E3981=E3980:E$2)))))</f>
        <v> </v>
      </c>
      <c r="J3981" s="25" t="str">
        <f>IF(OR(E3981="",E3981="!!!",F3981="NEW"),"",COUNTBLANK(OFFSET(A$1,,,SUMPRODUCT(MAX(ROW(E$2:E3981)*(E3981=E$2:E3981)))))-COUNTBLANK(OFFSET(A$1,,,SUMPRODUCT(MAX(ROW(E$1:E3980)*(E2=E$1:E3980))))))</f>
        <v> </v>
      </c>
      <c r="K3981" s="25" t="str">
        <f>IF(OR(E3981="",E3981="!!!",F3981="NEW"),"",INDEX(J$1:J3980,SUMPRODUCT(MAX(ROW(E$1:E3980)*(E3981=E$1:E3980)))))</f>
        <v> </v>
      </c>
      <c r="L3981" s="26"/>
    </row>
    <row r="3982" spans="1:12">
      <c r="A3982" s="20" t="s">
        <v>732</v>
      </c>
      <c r="B3982" s="27" t="s">
        <v>864</v>
      </c>
      <c r="E3982" s="21">
        <f>IF(D3982="?OLD","!!!","")</f>
        <v/>
      </c>
      <c r="F3982" s="22" t="str">
        <f>IF(OR(E3982="",E3982="!!!"),"",IF(NOT(ISNA(VLOOKUP(E3982,E$1:E3981,1,FALSE()))),"OLD",IF(AND(E3982&lt;&gt;"",E3982&lt;&gt;"!!!"),"NEW","")))</f>
        <v> </v>
      </c>
      <c r="G3982" s="23" t="str">
        <f>IF(OR(E3982="",E3982="!!!"),"",IF(OR(J3982=0,AND(J3982=1,K3982=1),AND(J3982=1,I3982="SBJ"),AND(J3982=1,I3982=0)),"?IN_FOCUS",IF(J3982&lt;=2,"?ACTIVATED",IF(J3982&lt;&gt;"","?FAMILIAR",IF(F3982="NEW",IF(ISNA(VLOOKUP(E3982,#REF!,1,FALSE())),"?TYPE_IDENTIFIABLE","?REFERENTIAL"),"_")))))</f>
        <v> </v>
      </c>
      <c r="H3982" s="24" t="str">
        <f>IF(J3982&lt;&gt;1,"",IF(I3982="SBJ","CB","?"))</f>
        <v> </v>
      </c>
      <c r="I3982" s="25" t="str">
        <f>IF(OR(E3982="",E3982="!!!",F3982="NEW"),"",INDEX(B3981:B$2,-1+SUMPRODUCT(MAX(ROW(E3981:E$2)*(E3982=E3981:E$2)))))</f>
        <v> </v>
      </c>
      <c r="J3982" s="25" t="str">
        <f>IF(OR(E3982="",E3982="!!!",F3982="NEW"),"",COUNTBLANK(OFFSET(A$1,,,SUMPRODUCT(MAX(ROW(E$2:E3982)*(E3982=E$2:E3982)))))-COUNTBLANK(OFFSET(A$1,,,SUMPRODUCT(MAX(ROW(E$1:E3981)*(E2=E$1:E3981))))))</f>
        <v> </v>
      </c>
      <c r="K3982" s="25" t="str">
        <f>IF(OR(E3982="",E3982="!!!",F3982="NEW"),"",INDEX(J$1:J3981,SUMPRODUCT(MAX(ROW(E$1:E3981)*(E3982=E$1:E3981)))))</f>
        <v> </v>
      </c>
      <c r="L3982" s="26"/>
    </row>
    <row r="3983" spans="1:12">
      <c r="A3983" s="20" t="s">
        <v>750</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758</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850</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689</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1894</v>
      </c>
      <c r="B3987" s="27" t="s">
        <v>843</v>
      </c>
      <c r="C3987" s="27" t="s">
        <v>736</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703</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t="s">
        <v>814</v>
      </c>
      <c r="E3989" s="21">
        <f>IF(D3989="?OLD","!!!","")</f>
        <v/>
      </c>
      <c r="F3989" s="22" t="str">
        <f>IF(OR(E3989="",E3989="!!!"),"",IF(NOT(ISNA(VLOOKUP(E3989,E$1:E3988,1,FALSE()))),"OLD",IF(AND(E3989&lt;&gt;"",E3989&lt;&gt;"!!!"),"NEW","")))</f>
        <v> </v>
      </c>
      <c r="G3989" s="23" t="str">
        <f>IF(OR(E3989="",E3989="!!!"),"",IF(OR(J3989=0,AND(J3989=1,K3989=1),AND(J3989=1,I3989="SBJ"),AND(J3989=1,I3989=0)),"?IN_FOCUS",IF(J3989&lt;=2,"?ACTIVATED",IF(J3989&lt;&gt;"","?FAMILIAR",IF(F3989="NEW",IF(ISNA(VLOOKUP(E3989,#REF!,1,FALSE())),"?TYPE_IDENTIFIABLE","?REFERENTIAL"),"_")))))</f>
        <v> </v>
      </c>
      <c r="H3989" s="24" t="str">
        <f>IF(J3989&lt;&gt;1,"",IF(I3989="SBJ","CB","?"))</f>
        <v> </v>
      </c>
      <c r="I3989" s="25" t="str">
        <f>IF(OR(E3989="",E3989="!!!",F3989="NEW"),"",INDEX(B3988:B$2,-1+SUMPRODUCT(MAX(ROW(E3988:E$2)*(E3989=E3988:E$2)))))</f>
        <v> </v>
      </c>
      <c r="J3989" s="25" t="str">
        <f>IF(OR(E3989="",E3989="!!!",F3989="NEW"),"",COUNTBLANK(OFFSET(A$1,,,SUMPRODUCT(MAX(ROW(E$2:E3989)*(E3989=E$2:E3989)))))-COUNTBLANK(OFFSET(A$1,,,SUMPRODUCT(MAX(ROW(E$1:E3988)*(E2=E$1:E3988))))))</f>
        <v> </v>
      </c>
      <c r="K3989" s="25" t="str">
        <f>IF(OR(E3989="",E3989="!!!",F3989="NEW"),"",INDEX(J$1:J3988,SUMPRODUCT(MAX(ROW(E$1:E3988)*(E3989=E$1:E3988)))))</f>
        <v> </v>
      </c>
      <c r="L3989" s="26"/>
    </row>
    <row r="3990" spans="1:12">
      <c r="A3990" s="20" t="s">
        <v>202</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t="s">
        <v>851</v>
      </c>
      <c r="B3991" s="27" t="s">
        <v>810</v>
      </c>
      <c r="C3991" s="27" t="s">
        <v>679</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t="s">
        <v>698</v>
      </c>
      <c r="E3992" s="21">
        <f>IF(D3992="?OLD","!!!","")</f>
        <v/>
      </c>
      <c r="F3992" s="22" t="str">
        <f>IF(OR(E3992="",E3992="!!!"),"",IF(NOT(ISNA(VLOOKUP(E3992,E$1:E3991,1,FALSE()))),"OLD",IF(AND(E3992&lt;&gt;"",E3992&lt;&gt;"!!!"),"NEW","")))</f>
        <v> </v>
      </c>
      <c r="G3992" s="23" t="str">
        <f>IF(OR(E3992="",E3992="!!!"),"",IF(OR(J3992=0,AND(J3992=1,K3992=1),AND(J3992=1,I3992="SBJ"),AND(J3992=1,I3992=0)),"?IN_FOCUS",IF(J3992&lt;=2,"?ACTIVATED",IF(J3992&lt;&gt;"","?FAMILIAR",IF(F3992="NEW",IF(ISNA(VLOOKUP(E3992,#REF!,1,FALSE())),"?TYPE_IDENTIFIABLE","?REFERENTIAL"),"_")))))</f>
        <v> </v>
      </c>
      <c r="H3992" s="24" t="str">
        <f>IF(J3992&lt;&gt;1,"",IF(I3992="SBJ","CB","?"))</f>
        <v> </v>
      </c>
      <c r="I3992" s="25" t="str">
        <f>IF(OR(E3992="",E3992="!!!",F3992="NEW"),"",INDEX(B3991:B$2,-1+SUMPRODUCT(MAX(ROW(E3991:E$2)*(E3992=E3991:E$2)))))</f>
        <v> </v>
      </c>
      <c r="J3992" s="25" t="str">
        <f>IF(OR(E3992="",E3992="!!!",F3992="NEW"),"",COUNTBLANK(OFFSET(A$1,,,SUMPRODUCT(MAX(ROW(E$2:E3992)*(E3992=E$2:E3992)))))-COUNTBLANK(OFFSET(A$1,,,SUMPRODUCT(MAX(ROW(E$1:E3991)*(E2=E$1:E3991))))))</f>
        <v> </v>
      </c>
      <c r="K3992" s="25" t="str">
        <f>IF(OR(E3992="",E3992="!!!",F3992="NEW"),"",INDEX(J$1:J3991,SUMPRODUCT(MAX(ROW(E$1:E3991)*(E3992=E$1:E3991)))))</f>
        <v> </v>
      </c>
      <c r="L3992" s="26"/>
    </row>
    <row r="3993" spans="1:12">
      <c r="A3993" s="20"/>
    </row>
    <row r="3994" spans="1:12">
      <c r="A3994" s="20" t="s">
        <v>1895</v>
      </c>
    </row>
    <row r="3995" spans="1:12">
      <c r="A3995" s="20" t="s">
        <v>827</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t="s">
        <v>1740</v>
      </c>
      <c r="E3996" s="21">
        <f>IF(D3996="?OLD","!!!","")</f>
        <v/>
      </c>
      <c r="F3996" s="22" t="str">
        <f>IF(OR(E3996="",E3996="!!!"),"",IF(NOT(ISNA(VLOOKUP(E3996,E$1:E3995,1,FALSE()))),"OLD",IF(AND(E3996&lt;&gt;"",E3996&lt;&gt;"!!!"),"NEW","")))</f>
        <v> </v>
      </c>
      <c r="G3996" s="23" t="str">
        <f>IF(OR(E3996="",E3996="!!!"),"",IF(OR(J3996=0,AND(J3996=1,K3996=1),AND(J3996=1,I3996="SBJ"),AND(J3996=1,I3996=0)),"?IN_FOCUS",IF(J3996&lt;=2,"?ACTIVATED",IF(J3996&lt;&gt;"","?FAMILIAR",IF(F3996="NEW",IF(ISNA(VLOOKUP(E3996,#REF!,1,FALSE())),"?TYPE_IDENTIFIABLE","?REFERENTIAL"),"_")))))</f>
        <v> </v>
      </c>
      <c r="H3996" s="24" t="str">
        <f>IF(J3996&lt;&gt;1,"",IF(I3996="SBJ","CB","?"))</f>
        <v> </v>
      </c>
      <c r="I3996" s="25" t="str">
        <f>IF(OR(E3996="",E3996="!!!",F3996="NEW"),"",INDEX(B3995:B$2,-1+SUMPRODUCT(MAX(ROW(E3995:E$2)*(E3996=E3995:E$2)))))</f>
        <v> </v>
      </c>
      <c r="J3996" s="25" t="str">
        <f>IF(OR(E3996="",E3996="!!!",F3996="NEW"),"",COUNTBLANK(OFFSET(A$1,,,SUMPRODUCT(MAX(ROW(E$2:E3996)*(E3996=E$2:E3996)))))-COUNTBLANK(OFFSET(A$1,,,SUMPRODUCT(MAX(ROW(E$1:E3995)*(E2=E$1:E3995))))))</f>
        <v> </v>
      </c>
      <c r="K3996" s="25" t="str">
        <f>IF(OR(E3996="",E3996="!!!",F3996="NEW"),"",INDEX(J$1:J3995,SUMPRODUCT(MAX(ROW(E$1:E3995)*(E3996=E$1:E3995)))))</f>
        <v> </v>
      </c>
      <c r="L3996" s="26"/>
    </row>
    <row r="3997" spans="1:12">
      <c r="A3997" s="20" t="s">
        <v>682</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828</v>
      </c>
      <c r="B3998" s="27" t="s">
        <v>685</v>
      </c>
      <c r="C3998" s="27" t="s">
        <v>749</v>
      </c>
      <c r="D3998" s="27" t="s">
        <v>687</v>
      </c>
      <c r="E3998" s="21">
        <f>IF(D3998="?OLD","!!!","")</f>
        <v/>
      </c>
      <c r="F3998" s="22" t="str">
        <f>IF(OR(E3998="",E3998="!!!"),"",IF(NOT(ISNA(VLOOKUP(E3998,E$1:E3997,1,FALSE()))),"OLD",IF(AND(E3998&lt;&gt;"",E3998&lt;&gt;"!!!"),"NEW","")))</f>
        <v> </v>
      </c>
      <c r="G3998" s="23" t="str">
        <f>IF(OR(E3998="",E3998="!!!"),"",IF(OR(J3998=0,AND(J3998=1,K3998=1),AND(J3998=1,I3998="SBJ"),AND(J3998=1,I3998=0)),"?IN_FOCUS",IF(J3998&lt;=2,"?ACTIVATED",IF(J3998&lt;&gt;"","?FAMILIAR",IF(F3998="NEW",IF(ISNA(VLOOKUP(E3998,#REF!,1,FALSE())),"?TYPE_IDENTIFIABLE","?REFERENTIAL"),"_")))))</f>
        <v> </v>
      </c>
      <c r="H3998" s="24" t="str">
        <f>IF(J3998&lt;&gt;1,"",IF(I3998="SBJ","CB","?"))</f>
        <v> </v>
      </c>
      <c r="I3998" s="25" t="str">
        <f>IF(OR(E3998="",E3998="!!!",F3998="NEW"),"",INDEX(B3997:B$2,-1+SUMPRODUCT(MAX(ROW(E3997:E$2)*(E3998=E3997:E$2)))))</f>
        <v> </v>
      </c>
      <c r="J3998" s="25" t="str">
        <f>IF(OR(E3998="",E3998="!!!",F3998="NEW"),"",COUNTBLANK(OFFSET(A$1,,,SUMPRODUCT(MAX(ROW(E$2:E3998)*(E3998=E$2:E3998)))))-COUNTBLANK(OFFSET(A$1,,,SUMPRODUCT(MAX(ROW(E$1:E3997)*(E2=E$1:E3997))))))</f>
        <v> </v>
      </c>
      <c r="K3998" s="25" t="str">
        <f>IF(OR(E3998="",E3998="!!!",F3998="NEW"),"",INDEX(J$1:J3997,SUMPRODUCT(MAX(ROW(E$1:E3997)*(E3998=E$1:E3997)))))</f>
        <v> </v>
      </c>
      <c r="L3998" s="26"/>
    </row>
    <row r="3999" spans="1:12">
      <c r="A3999" s="20" t="s">
        <v>703</v>
      </c>
      <c r="E3999" s="21">
        <f>IF(D3999="?OLD","!!!","")</f>
        <v/>
      </c>
      <c r="F3999" s="22" t="str">
        <f>IF(OR(E3999="",E3999="!!!"),"",IF(NOT(ISNA(VLOOKUP(E3999,E$1:E3998,1,FALSE()))),"OLD",IF(AND(E3999&lt;&gt;"",E3999&lt;&gt;"!!!"),"NEW","")))</f>
        <v> </v>
      </c>
      <c r="G3999" s="23" t="str">
        <f>IF(OR(E3999="",E3999="!!!"),"",IF(OR(J3999=0,AND(J3999=1,K3999=1),AND(J3999=1,I3999="SBJ"),AND(J3999=1,I3999=0)),"?IN_FOCUS",IF(J3999&lt;=2,"?ACTIVATED",IF(J3999&lt;&gt;"","?FAMILIAR",IF(F3999="NEW",IF(ISNA(VLOOKUP(E3999,#REF!,1,FALSE())),"?TYPE_IDENTIFIABLE","?REFERENTIAL"),"_")))))</f>
        <v> </v>
      </c>
      <c r="H3999" s="24" t="str">
        <f>IF(J3999&lt;&gt;1,"",IF(I3999="SBJ","CB","?"))</f>
        <v> </v>
      </c>
      <c r="I3999" s="25" t="str">
        <f>IF(OR(E3999="",E3999="!!!",F3999="NEW"),"",INDEX(B3998:B$2,-1+SUMPRODUCT(MAX(ROW(E3998:E$2)*(E3999=E3998:E$2)))))</f>
        <v> </v>
      </c>
      <c r="J3999" s="25" t="str">
        <f>IF(OR(E3999="",E3999="!!!",F3999="NEW"),"",COUNTBLANK(OFFSET(A$1,,,SUMPRODUCT(MAX(ROW(E$2:E3999)*(E3999=E$2:E3999)))))-COUNTBLANK(OFFSET(A$1,,,SUMPRODUCT(MAX(ROW(E$1:E3998)*(E2=E$1:E3998))))))</f>
        <v> </v>
      </c>
      <c r="K3999" s="25" t="str">
        <f>IF(OR(E3999="",E3999="!!!",F3999="NEW"),"",INDEX(J$1:J3998,SUMPRODUCT(MAX(ROW(E$1:E3998)*(E3999=E$1:E3998)))))</f>
        <v> </v>
      </c>
      <c r="L3999" s="26"/>
    </row>
    <row r="4000" spans="1:12">
      <c r="A4000" s="20" t="s">
        <v>747</v>
      </c>
      <c r="B4000" s="27" t="s">
        <v>807</v>
      </c>
      <c r="C4000" s="27" t="s">
        <v>749</v>
      </c>
      <c r="D4000" s="27" t="s">
        <v>687</v>
      </c>
      <c r="E4000" s="21">
        <f>IF(D4000="?OLD","!!!","")</f>
        <v/>
      </c>
      <c r="F4000" s="22" t="str">
        <f>IF(OR(E4000="",E4000="!!!"),"",IF(NOT(ISNA(VLOOKUP(E4000,E$1:E3999,1,FALSE()))),"OLD",IF(AND(E4000&lt;&gt;"",E4000&lt;&gt;"!!!"),"NEW","")))</f>
        <v> </v>
      </c>
      <c r="G4000" s="23" t="str">
        <f>IF(OR(E4000="",E4000="!!!"),"",IF(OR(J4000=0,AND(J4000=1,K4000=1),AND(J4000=1,I4000="SBJ"),AND(J4000=1,I4000=0)),"?IN_FOCUS",IF(J4000&lt;=2,"?ACTIVATED",IF(J4000&lt;&gt;"","?FAMILIAR",IF(F4000="NEW",IF(ISNA(VLOOKUP(E4000,#REF!,1,FALSE())),"?TYPE_IDENTIFIABLE","?REFERENTIAL"),"_")))))</f>
        <v> </v>
      </c>
      <c r="H4000" s="24" t="str">
        <f>IF(J4000&lt;&gt;1,"",IF(I4000="SBJ","CB","?"))</f>
        <v> </v>
      </c>
      <c r="I4000" s="25" t="str">
        <f>IF(OR(E4000="",E4000="!!!",F4000="NEW"),"",INDEX(B3999:B$2,-1+SUMPRODUCT(MAX(ROW(E3999:E$2)*(E4000=E3999:E$2)))))</f>
        <v> </v>
      </c>
      <c r="J4000" s="25" t="str">
        <f>IF(OR(E4000="",E4000="!!!",F4000="NEW"),"",COUNTBLANK(OFFSET(A$1,,,SUMPRODUCT(MAX(ROW(E$2:E4000)*(E4000=E$2:E4000)))))-COUNTBLANK(OFFSET(A$1,,,SUMPRODUCT(MAX(ROW(E$1:E3999)*(E2=E$1:E3999))))))</f>
        <v> </v>
      </c>
      <c r="K4000" s="25" t="str">
        <f>IF(OR(E4000="",E4000="!!!",F4000="NEW"),"",INDEX(J$1:J3999,SUMPRODUCT(MAX(ROW(E$1:E3999)*(E4000=E$1:E3999)))))</f>
        <v> </v>
      </c>
      <c r="L4000" s="26"/>
    </row>
    <row r="4001" spans="1:12">
      <c r="A4001" s="20" t="s">
        <v>849</v>
      </c>
      <c r="E4001" s="21">
        <f>IF(D4001="?OLD","!!!","")</f>
        <v/>
      </c>
      <c r="F4001" s="22" t="str">
        <f>IF(OR(E4001="",E4001="!!!"),"",IF(NOT(ISNA(VLOOKUP(E4001,E$1:E4000,1,FALSE()))),"OLD",IF(AND(E4001&lt;&gt;"",E4001&lt;&gt;"!!!"),"NEW","")))</f>
        <v> </v>
      </c>
      <c r="G4001" s="23" t="str">
        <f>IF(OR(E4001="",E4001="!!!"),"",IF(OR(J4001=0,AND(J4001=1,K4001=1),AND(J4001=1,I4001="SBJ"),AND(J4001=1,I4001=0)),"?IN_FOCUS",IF(J4001&lt;=2,"?ACTIVATED",IF(J4001&lt;&gt;"","?FAMILIAR",IF(F4001="NEW",IF(ISNA(VLOOKUP(E4001,#REF!,1,FALSE())),"?TYPE_IDENTIFIABLE","?REFERENTIAL"),"_")))))</f>
        <v> </v>
      </c>
      <c r="H4001" s="24" t="str">
        <f>IF(J4001&lt;&gt;1,"",IF(I4001="SBJ","CB","?"))</f>
        <v> </v>
      </c>
      <c r="I4001" s="25" t="str">
        <f>IF(OR(E4001="",E4001="!!!",F4001="NEW"),"",INDEX(B4000:B$2,-1+SUMPRODUCT(MAX(ROW(E4000:E$2)*(E4001=E4000:E$2)))))</f>
        <v> </v>
      </c>
      <c r="J4001" s="25" t="str">
        <f>IF(OR(E4001="",E4001="!!!",F4001="NEW"),"",COUNTBLANK(OFFSET(A$1,,,SUMPRODUCT(MAX(ROW(E$2:E4001)*(E4001=E$2:E4001)))))-COUNTBLANK(OFFSET(A$1,,,SUMPRODUCT(MAX(ROW(E$1:E4000)*(E2=E$1:E4000))))))</f>
        <v> </v>
      </c>
      <c r="K4001" s="25" t="str">
        <f>IF(OR(E4001="",E4001="!!!",F4001="NEW"),"",INDEX(J$1:J4000,SUMPRODUCT(MAX(ROW(E$1:E4000)*(E4001=E$1:E4000)))))</f>
        <v> </v>
      </c>
      <c r="L4001" s="26"/>
    </row>
    <row r="4002" spans="1:12">
      <c r="A4002" s="20" t="s">
        <v>733</v>
      </c>
      <c r="E4002" s="21">
        <f>IF(D4002="?OLD","!!!","")</f>
        <v/>
      </c>
      <c r="F4002" s="22" t="str">
        <f>IF(OR(E4002="",E4002="!!!"),"",IF(NOT(ISNA(VLOOKUP(E4002,E$1:E4001,1,FALSE()))),"OLD",IF(AND(E4002&lt;&gt;"",E4002&lt;&gt;"!!!"),"NEW","")))</f>
        <v> </v>
      </c>
      <c r="G4002" s="23" t="str">
        <f>IF(OR(E4002="",E4002="!!!"),"",IF(OR(J4002=0,AND(J4002=1,K4002=1),AND(J4002=1,I4002="SBJ"),AND(J4002=1,I4002=0)),"?IN_FOCUS",IF(J4002&lt;=2,"?ACTIVATED",IF(J4002&lt;&gt;"","?FAMILIAR",IF(F4002="NEW",IF(ISNA(VLOOKUP(E4002,#REF!,1,FALSE())),"?TYPE_IDENTIFIABLE","?REFERENTIAL"),"_")))))</f>
        <v> </v>
      </c>
      <c r="H4002" s="24" t="str">
        <f>IF(J4002&lt;&gt;1,"",IF(I4002="SBJ","CB","?"))</f>
        <v> </v>
      </c>
      <c r="I4002" s="25" t="str">
        <f>IF(OR(E4002="",E4002="!!!",F4002="NEW"),"",INDEX(B4001:B$2,-1+SUMPRODUCT(MAX(ROW(E4001:E$2)*(E4002=E4001:E$2)))))</f>
        <v> </v>
      </c>
      <c r="J4002" s="25" t="str">
        <f>IF(OR(E4002="",E4002="!!!",F4002="NEW"),"",COUNTBLANK(OFFSET(A$1,,,SUMPRODUCT(MAX(ROW(E$2:E4002)*(E4002=E$2:E4002)))))-COUNTBLANK(OFFSET(A$1,,,SUMPRODUCT(MAX(ROW(E$1:E4001)*(E2=E$1:E4001))))))</f>
        <v> </v>
      </c>
      <c r="K4002" s="25" t="str">
        <f>IF(OR(E4002="",E4002="!!!",F4002="NEW"),"",INDEX(J$1:J4001,SUMPRODUCT(MAX(ROW(E$1:E4001)*(E4002=E$1:E4001)))))</f>
        <v> </v>
      </c>
      <c r="L4002" s="26"/>
    </row>
    <row r="4003" spans="1:12">
      <c r="A4003" s="20" t="s">
        <v>997</v>
      </c>
      <c r="B4003" s="27" t="s">
        <v>810</v>
      </c>
      <c r="C4003" s="27" t="s">
        <v>736</v>
      </c>
      <c r="E4003" s="21">
        <f>IF(D4003="?OLD","!!!","")</f>
        <v/>
      </c>
      <c r="F4003" s="22" t="str">
        <f>IF(OR(E4003="",E4003="!!!"),"",IF(NOT(ISNA(VLOOKUP(E4003,E$1:E4002,1,FALSE()))),"OLD",IF(AND(E4003&lt;&gt;"",E4003&lt;&gt;"!!!"),"NEW","")))</f>
        <v> </v>
      </c>
      <c r="G4003" s="23" t="str">
        <f>IF(OR(E4003="",E4003="!!!"),"",IF(OR(J4003=0,AND(J4003=1,K4003=1),AND(J4003=1,I4003="SBJ"),AND(J4003=1,I4003=0)),"?IN_FOCUS",IF(J4003&lt;=2,"?ACTIVATED",IF(J4003&lt;&gt;"","?FAMILIAR",IF(F4003="NEW",IF(ISNA(VLOOKUP(E4003,#REF!,1,FALSE())),"?TYPE_IDENTIFIABLE","?REFERENTIAL"),"_")))))</f>
        <v> </v>
      </c>
      <c r="H4003" s="24" t="str">
        <f>IF(J4003&lt;&gt;1,"",IF(I4003="SBJ","CB","?"))</f>
        <v> </v>
      </c>
      <c r="I4003" s="25" t="str">
        <f>IF(OR(E4003="",E4003="!!!",F4003="NEW"),"",INDEX(B4002:B$2,-1+SUMPRODUCT(MAX(ROW(E4002:E$2)*(E4003=E4002:E$2)))))</f>
        <v> </v>
      </c>
      <c r="J4003" s="25" t="str">
        <f>IF(OR(E4003="",E4003="!!!",F4003="NEW"),"",COUNTBLANK(OFFSET(A$1,,,SUMPRODUCT(MAX(ROW(E$2:E4003)*(E4003=E$2:E4003)))))-COUNTBLANK(OFFSET(A$1,,,SUMPRODUCT(MAX(ROW(E$1:E4002)*(E2=E$1:E4002))))))</f>
        <v> </v>
      </c>
      <c r="K4003" s="25" t="str">
        <f>IF(OR(E4003="",E4003="!!!",F4003="NEW"),"",INDEX(J$1:J4002,SUMPRODUCT(MAX(ROW(E$1:E4002)*(E4003=E$1:E4002)))))</f>
        <v> </v>
      </c>
      <c r="L4003" s="26"/>
    </row>
    <row r="4004" spans="1:12">
      <c r="A4004" s="20" t="s">
        <v>682</v>
      </c>
      <c r="E4004" s="21">
        <f>IF(D4004="?OLD","!!!","")</f>
        <v/>
      </c>
      <c r="F4004" s="22" t="str">
        <f>IF(OR(E4004="",E4004="!!!"),"",IF(NOT(ISNA(VLOOKUP(E4004,E$1:E4003,1,FALSE()))),"OLD",IF(AND(E4004&lt;&gt;"",E4004&lt;&gt;"!!!"),"NEW","")))</f>
        <v> </v>
      </c>
      <c r="G4004" s="23" t="str">
        <f>IF(OR(E4004="",E4004="!!!"),"",IF(OR(J4004=0,AND(J4004=1,K4004=1),AND(J4004=1,I4004="SBJ"),AND(J4004=1,I4004=0)),"?IN_FOCUS",IF(J4004&lt;=2,"?ACTIVATED",IF(J4004&lt;&gt;"","?FAMILIAR",IF(F4004="NEW",IF(ISNA(VLOOKUP(E4004,#REF!,1,FALSE())),"?TYPE_IDENTIFIABLE","?REFERENTIAL"),"_")))))</f>
        <v> </v>
      </c>
      <c r="H4004" s="24" t="str">
        <f>IF(J4004&lt;&gt;1,"",IF(I4004="SBJ","CB","?"))</f>
        <v> </v>
      </c>
      <c r="I4004" s="25" t="str">
        <f>IF(OR(E4004="",E4004="!!!",F4004="NEW"),"",INDEX(B4003:B$2,-1+SUMPRODUCT(MAX(ROW(E4003:E$2)*(E4004=E4003:E$2)))))</f>
        <v> </v>
      </c>
      <c r="J4004" s="25" t="str">
        <f>IF(OR(E4004="",E4004="!!!",F4004="NEW"),"",COUNTBLANK(OFFSET(A$1,,,SUMPRODUCT(MAX(ROW(E$2:E4004)*(E4004=E$2:E4004)))))-COUNTBLANK(OFFSET(A$1,,,SUMPRODUCT(MAX(ROW(E$1:E4003)*(E2=E$1:E4003))))))</f>
        <v> </v>
      </c>
      <c r="K4004" s="25" t="str">
        <f>IF(OR(E4004="",E4004="!!!",F4004="NEW"),"",INDEX(J$1:J4003,SUMPRODUCT(MAX(ROW(E$1:E4003)*(E4004=E$1:E4003)))))</f>
        <v> </v>
      </c>
      <c r="L4004" s="26"/>
    </row>
    <row r="4005" spans="1:12">
      <c r="A4005" s="20" t="s">
        <v>703</v>
      </c>
      <c r="E4005" s="21">
        <f>IF(D4005="?OLD","!!!","")</f>
        <v/>
      </c>
      <c r="F4005" s="22" t="str">
        <f>IF(OR(E4005="",E4005="!!!"),"",IF(NOT(ISNA(VLOOKUP(E4005,E$1:E4004,1,FALSE()))),"OLD",IF(AND(E4005&lt;&gt;"",E4005&lt;&gt;"!!!"),"NEW","")))</f>
        <v> </v>
      </c>
      <c r="G4005" s="23" t="str">
        <f>IF(OR(E4005="",E4005="!!!"),"",IF(OR(J4005=0,AND(J4005=1,K4005=1),AND(J4005=1,I4005="SBJ"),AND(J4005=1,I4005=0)),"?IN_FOCUS",IF(J4005&lt;=2,"?ACTIVATED",IF(J4005&lt;&gt;"","?FAMILIAR",IF(F4005="NEW",IF(ISNA(VLOOKUP(E4005,#REF!,1,FALSE())),"?TYPE_IDENTIFIABLE","?REFERENTIAL"),"_")))))</f>
        <v> </v>
      </c>
      <c r="H4005" s="24" t="str">
        <f>IF(J4005&lt;&gt;1,"",IF(I4005="SBJ","CB","?"))</f>
        <v> </v>
      </c>
      <c r="I4005" s="25" t="str">
        <f>IF(OR(E4005="",E4005="!!!",F4005="NEW"),"",INDEX(B4004:B$2,-1+SUMPRODUCT(MAX(ROW(E4004:E$2)*(E4005=E4004:E$2)))))</f>
        <v> </v>
      </c>
      <c r="J4005" s="25" t="str">
        <f>IF(OR(E4005="",E4005="!!!",F4005="NEW"),"",COUNTBLANK(OFFSET(A$1,,,SUMPRODUCT(MAX(ROW(E$2:E4005)*(E4005=E$2:E4005)))))-COUNTBLANK(OFFSET(A$1,,,SUMPRODUCT(MAX(ROW(E$1:E4004)*(E2=E$1:E4004))))))</f>
        <v> </v>
      </c>
      <c r="K4005" s="25" t="str">
        <f>IF(OR(E4005="",E4005="!!!",F4005="NEW"),"",INDEX(J$1:J4004,SUMPRODUCT(MAX(ROW(E$1:E4004)*(E4005=E$1:E4004)))))</f>
        <v> </v>
      </c>
      <c r="L4005" s="26"/>
    </row>
    <row r="4006" spans="1:12">
      <c r="A4006" s="20" t="s">
        <v>795</v>
      </c>
      <c r="B4006" s="27" t="s">
        <v>696</v>
      </c>
      <c r="C4006" s="27" t="s">
        <v>679</v>
      </c>
      <c r="E4006" s="21">
        <f>IF(D4006="?OLD","!!!","")</f>
        <v/>
      </c>
      <c r="F4006" s="22" t="str">
        <f>IF(OR(E4006="",E4006="!!!"),"",IF(NOT(ISNA(VLOOKUP(E4006,E$1:E4005,1,FALSE()))),"OLD",IF(AND(E4006&lt;&gt;"",E4006&lt;&gt;"!!!"),"NEW","")))</f>
        <v> </v>
      </c>
      <c r="G4006" s="23" t="str">
        <f>IF(OR(E4006="",E4006="!!!"),"",IF(OR(J4006=0,AND(J4006=1,K4006=1),AND(J4006=1,I4006="SBJ"),AND(J4006=1,I4006=0)),"?IN_FOCUS",IF(J4006&lt;=2,"?ACTIVATED",IF(J4006&lt;&gt;"","?FAMILIAR",IF(F4006="NEW",IF(ISNA(VLOOKUP(E4006,#REF!,1,FALSE())),"?TYPE_IDENTIFIABLE","?REFERENTIAL"),"_")))))</f>
        <v> </v>
      </c>
      <c r="H4006" s="24" t="str">
        <f>IF(J4006&lt;&gt;1,"",IF(I4006="SBJ","CB","?"))</f>
        <v> </v>
      </c>
      <c r="I4006" s="25" t="str">
        <f>IF(OR(E4006="",E4006="!!!",F4006="NEW"),"",INDEX(B4005:B$2,-1+SUMPRODUCT(MAX(ROW(E4005:E$2)*(E4006=E4005:E$2)))))</f>
        <v> </v>
      </c>
      <c r="J4006" s="25" t="str">
        <f>IF(OR(E4006="",E4006="!!!",F4006="NEW"),"",COUNTBLANK(OFFSET(A$1,,,SUMPRODUCT(MAX(ROW(E$2:E4006)*(E4006=E$2:E4006)))))-COUNTBLANK(OFFSET(A$1,,,SUMPRODUCT(MAX(ROW(E$1:E4005)*(E2=E$1:E4005))))))</f>
        <v> </v>
      </c>
      <c r="K4006" s="25" t="str">
        <f>IF(OR(E4006="",E4006="!!!",F4006="NEW"),"",INDEX(J$1:J4005,SUMPRODUCT(MAX(ROW(E$1:E4005)*(E4006=E$1:E4005)))))</f>
        <v> </v>
      </c>
      <c r="L4006" s="26"/>
    </row>
    <row r="4007" spans="1:12">
      <c r="A4007" s="20" t="s">
        <v>703</v>
      </c>
      <c r="E4007" s="21">
        <f>IF(D4007="?OLD","!!!","")</f>
        <v/>
      </c>
      <c r="F4007" s="22" t="str">
        <f>IF(OR(E4007="",E4007="!!!"),"",IF(NOT(ISNA(VLOOKUP(E4007,E$1:E4006,1,FALSE()))),"OLD",IF(AND(E4007&lt;&gt;"",E4007&lt;&gt;"!!!"),"NEW","")))</f>
        <v> </v>
      </c>
      <c r="G4007" s="23" t="str">
        <f>IF(OR(E4007="",E4007="!!!"),"",IF(OR(J4007=0,AND(J4007=1,K4007=1),AND(J4007=1,I4007="SBJ"),AND(J4007=1,I4007=0)),"?IN_FOCUS",IF(J4007&lt;=2,"?ACTIVATED",IF(J4007&lt;&gt;"","?FAMILIAR",IF(F4007="NEW",IF(ISNA(VLOOKUP(E4007,#REF!,1,FALSE())),"?TYPE_IDENTIFIABLE","?REFERENTIAL"),"_")))))</f>
        <v> </v>
      </c>
      <c r="H4007" s="24" t="str">
        <f>IF(J4007&lt;&gt;1,"",IF(I4007="SBJ","CB","?"))</f>
        <v> </v>
      </c>
      <c r="I4007" s="25" t="str">
        <f>IF(OR(E4007="",E4007="!!!",F4007="NEW"),"",INDEX(B4006:B$2,-1+SUMPRODUCT(MAX(ROW(E4006:E$2)*(E4007=E4006:E$2)))))</f>
        <v> </v>
      </c>
      <c r="J4007" s="25" t="str">
        <f>IF(OR(E4007="",E4007="!!!",F4007="NEW"),"",COUNTBLANK(OFFSET(A$1,,,SUMPRODUCT(MAX(ROW(E$2:E4007)*(E4007=E$2:E4007)))))-COUNTBLANK(OFFSET(A$1,,,SUMPRODUCT(MAX(ROW(E$1:E4006)*(E2=E$1:E4006))))))</f>
        <v> </v>
      </c>
      <c r="K4007" s="25" t="str">
        <f>IF(OR(E4007="",E4007="!!!",F4007="NEW"),"",INDEX(J$1:J4006,SUMPRODUCT(MAX(ROW(E$1:E4006)*(E4007=E$1:E4006)))))</f>
        <v> </v>
      </c>
      <c r="L4007" s="26"/>
    </row>
    <row r="4008" spans="1:12">
      <c r="A4008" s="20" t="s">
        <v>997</v>
      </c>
      <c r="B4008" s="27" t="s">
        <v>696</v>
      </c>
      <c r="C4008" s="27" t="s">
        <v>679</v>
      </c>
      <c r="E4008" s="21">
        <f>IF(D4008="?OLD","!!!","")</f>
        <v/>
      </c>
      <c r="F4008" s="22" t="str">
        <f>IF(OR(E4008="",E4008="!!!"),"",IF(NOT(ISNA(VLOOKUP(E4008,E$1:E4007,1,FALSE()))),"OLD",IF(AND(E4008&lt;&gt;"",E4008&lt;&gt;"!!!"),"NEW","")))</f>
        <v> </v>
      </c>
      <c r="G4008" s="23" t="str">
        <f>IF(OR(E4008="",E4008="!!!"),"",IF(OR(J4008=0,AND(J4008=1,K4008=1),AND(J4008=1,I4008="SBJ"),AND(J4008=1,I4008=0)),"?IN_FOCUS",IF(J4008&lt;=2,"?ACTIVATED",IF(J4008&lt;&gt;"","?FAMILIAR",IF(F4008="NEW",IF(ISNA(VLOOKUP(E4008,#REF!,1,FALSE())),"?TYPE_IDENTIFIABLE","?REFERENTIAL"),"_")))))</f>
        <v> </v>
      </c>
      <c r="H4008" s="24" t="str">
        <f>IF(J4008&lt;&gt;1,"",IF(I4008="SBJ","CB","?"))</f>
        <v> </v>
      </c>
      <c r="I4008" s="25" t="str">
        <f>IF(OR(E4008="",E4008="!!!",F4008="NEW"),"",INDEX(B4007:B$2,-1+SUMPRODUCT(MAX(ROW(E4007:E$2)*(E4008=E4007:E$2)))))</f>
        <v> </v>
      </c>
      <c r="J4008" s="25" t="str">
        <f>IF(OR(E4008="",E4008="!!!",F4008="NEW"),"",COUNTBLANK(OFFSET(A$1,,,SUMPRODUCT(MAX(ROW(E$2:E4008)*(E4008=E$2:E4008)))))-COUNTBLANK(OFFSET(A$1,,,SUMPRODUCT(MAX(ROW(E$1:E4007)*(E2=E$1:E4007))))))</f>
        <v> </v>
      </c>
      <c r="K4008" s="25" t="str">
        <f>IF(OR(E4008="",E4008="!!!",F4008="NEW"),"",INDEX(J$1:J4007,SUMPRODUCT(MAX(ROW(E$1:E4007)*(E4008=E$1:E4007)))))</f>
        <v> </v>
      </c>
      <c r="L4008" s="26"/>
    </row>
    <row r="4009" spans="1:12">
      <c r="A4009" s="20" t="s">
        <v>1896</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676</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t="s">
        <v>306</v>
      </c>
      <c r="E4011" s="21">
        <f>IF(D4011="?OLD","!!!","")</f>
        <v/>
      </c>
      <c r="F4011" s="22" t="str">
        <f>IF(OR(E4011="",E4011="!!!"),"",IF(NOT(ISNA(VLOOKUP(E4011,E$1:E4010,1,FALSE()))),"OLD",IF(AND(E4011&lt;&gt;"",E4011&lt;&gt;"!!!"),"NEW","")))</f>
        <v> </v>
      </c>
      <c r="G4011" s="23" t="str">
        <f>IF(OR(E4011="",E4011="!!!"),"",IF(OR(J4011=0,AND(J4011=1,K4011=1),AND(J4011=1,I4011="SBJ"),AND(J4011=1,I4011=0)),"?IN_FOCUS",IF(J4011&lt;=2,"?ACTIVATED",IF(J4011&lt;&gt;"","?FAMILIAR",IF(F4011="NEW",IF(ISNA(VLOOKUP(E4011,#REF!,1,FALSE())),"?TYPE_IDENTIFIABLE","?REFERENTIAL"),"_")))))</f>
        <v> </v>
      </c>
      <c r="H4011" s="24" t="str">
        <f>IF(J4011&lt;&gt;1,"",IF(I4011="SBJ","CB","?"))</f>
        <v> </v>
      </c>
      <c r="I4011" s="25" t="str">
        <f>IF(OR(E4011="",E4011="!!!",F4011="NEW"),"",INDEX(B4010:B$2,-1+SUMPRODUCT(MAX(ROW(E4010:E$2)*(E4011=E4010:E$2)))))</f>
        <v> </v>
      </c>
      <c r="J4011" s="25" t="str">
        <f>IF(OR(E4011="",E4011="!!!",F4011="NEW"),"",COUNTBLANK(OFFSET(A$1,,,SUMPRODUCT(MAX(ROW(E$2:E4011)*(E4011=E$2:E4011)))))-COUNTBLANK(OFFSET(A$1,,,SUMPRODUCT(MAX(ROW(E$1:E4010)*(E2=E$1:E4010))))))</f>
        <v> </v>
      </c>
      <c r="K4011" s="25" t="str">
        <f>IF(OR(E4011="",E4011="!!!",F4011="NEW"),"",INDEX(J$1:J4010,SUMPRODUCT(MAX(ROW(E$1:E4010)*(E4011=E$1:E4010)))))</f>
        <v> </v>
      </c>
      <c r="L4011" s="26"/>
    </row>
    <row r="4012" spans="1:12">
      <c r="A4012" s="20" t="s">
        <v>1897</v>
      </c>
      <c r="B4012" s="27" t="s">
        <v>678</v>
      </c>
      <c r="C4012" s="27" t="s">
        <v>745</v>
      </c>
      <c r="D4012" s="27" t="s">
        <v>687</v>
      </c>
      <c r="E4012" s="21">
        <f>IF(D4012="?OLD","!!!","")</f>
        <v/>
      </c>
      <c r="F4012" s="22" t="str">
        <f>IF(OR(E4012="",E4012="!!!"),"",IF(NOT(ISNA(VLOOKUP(E4012,E$1:E4011,1,FALSE()))),"OLD",IF(AND(E4012&lt;&gt;"",E4012&lt;&gt;"!!!"),"NEW","")))</f>
        <v> </v>
      </c>
      <c r="G4012" s="23" t="str">
        <f>IF(OR(E4012="",E4012="!!!"),"",IF(OR(J4012=0,AND(J4012=1,K4012=1),AND(J4012=1,I4012="SBJ"),AND(J4012=1,I4012=0)),"?IN_FOCUS",IF(J4012&lt;=2,"?ACTIVATED",IF(J4012&lt;&gt;"","?FAMILIAR",IF(F4012="NEW",IF(ISNA(VLOOKUP(E4012,#REF!,1,FALSE())),"?TYPE_IDENTIFIABLE","?REFERENTIAL"),"_")))))</f>
        <v> </v>
      </c>
      <c r="H4012" s="24" t="str">
        <f>IF(J4012&lt;&gt;1,"",IF(I4012="SBJ","CB","?"))</f>
        <v> </v>
      </c>
      <c r="I4012" s="25" t="str">
        <f>IF(OR(E4012="",E4012="!!!",F4012="NEW"),"",INDEX(B4011:B$2,-1+SUMPRODUCT(MAX(ROW(E4011:E$2)*(E4012=E4011:E$2)))))</f>
        <v> </v>
      </c>
      <c r="J4012" s="25" t="str">
        <f>IF(OR(E4012="",E4012="!!!",F4012="NEW"),"",COUNTBLANK(OFFSET(A$1,,,SUMPRODUCT(MAX(ROW(E$2:E4012)*(E4012=E$2:E4012)))))-COUNTBLANK(OFFSET(A$1,,,SUMPRODUCT(MAX(ROW(E$1:E4011)*(E2=E$1:E4011))))))</f>
        <v> </v>
      </c>
      <c r="K4012" s="25" t="str">
        <f>IF(OR(E4012="",E4012="!!!",F4012="NEW"),"",INDEX(J$1:J4011,SUMPRODUCT(MAX(ROW(E$1:E4011)*(E4012=E$1:E4011)))))</f>
        <v> </v>
      </c>
      <c r="L4012" s="26"/>
    </row>
    <row r="4013" spans="1:12">
      <c r="A4013" s="20" t="s">
        <v>698</v>
      </c>
      <c r="E4013" s="21">
        <f>IF(D4013="?OLD","!!!","")</f>
        <v/>
      </c>
      <c r="F4013" s="22" t="str">
        <f>IF(OR(E4013="",E4013="!!!"),"",IF(NOT(ISNA(VLOOKUP(E4013,E$1:E4012,1,FALSE()))),"OLD",IF(AND(E4013&lt;&gt;"",E4013&lt;&gt;"!!!"),"NEW","")))</f>
        <v> </v>
      </c>
      <c r="G4013" s="23" t="str">
        <f>IF(OR(E4013="",E4013="!!!"),"",IF(OR(J4013=0,AND(J4013=1,K4013=1),AND(J4013=1,I4013="SBJ"),AND(J4013=1,I4013=0)),"?IN_FOCUS",IF(J4013&lt;=2,"?ACTIVATED",IF(J4013&lt;&gt;"","?FAMILIAR",IF(F4013="NEW",IF(ISNA(VLOOKUP(E4013,#REF!,1,FALSE())),"?TYPE_IDENTIFIABLE","?REFERENTIAL"),"_")))))</f>
        <v> </v>
      </c>
      <c r="H4013" s="24" t="str">
        <f>IF(J4013&lt;&gt;1,"",IF(I4013="SBJ","CB","?"))</f>
        <v> </v>
      </c>
      <c r="I4013" s="25" t="str">
        <f>IF(OR(E4013="",E4013="!!!",F4013="NEW"),"",INDEX(B4012:B$2,-1+SUMPRODUCT(MAX(ROW(E4012:E$2)*(E4013=E4012:E$2)))))</f>
        <v> </v>
      </c>
      <c r="J4013" s="25" t="str">
        <f>IF(OR(E4013="",E4013="!!!",F4013="NEW"),"",COUNTBLANK(OFFSET(A$1,,,SUMPRODUCT(MAX(ROW(E$2:E4013)*(E4013=E$2:E4013)))))-COUNTBLANK(OFFSET(A$1,,,SUMPRODUCT(MAX(ROW(E$1:E4012)*(E2=E$1:E4012))))))</f>
        <v> </v>
      </c>
      <c r="K4013" s="25" t="str">
        <f>IF(OR(E4013="",E4013="!!!",F4013="NEW"),"",INDEX(J$1:J4012,SUMPRODUCT(MAX(ROW(E$1:E4012)*(E4013=E$1:E4012)))))</f>
        <v> </v>
      </c>
      <c r="L4013" s="26"/>
    </row>
    <row r="4014" spans="1:12">
      <c r="A4014" s="20"/>
    </row>
    <row r="4015" spans="1:12">
      <c r="A4015" s="20" t="s">
        <v>1898</v>
      </c>
    </row>
    <row r="4016" spans="1:12">
      <c r="A4016" s="20" t="s">
        <v>827</v>
      </c>
      <c r="E4016" s="21">
        <f>IF(D4016="?OLD","!!!","")</f>
        <v/>
      </c>
      <c r="F4016" s="22" t="str">
        <f>IF(OR(E4016="",E4016="!!!"),"",IF(NOT(ISNA(VLOOKUP(E4016,E$1:E4015,1,FALSE()))),"OLD",IF(AND(E4016&lt;&gt;"",E4016&lt;&gt;"!!!"),"NEW","")))</f>
        <v> </v>
      </c>
      <c r="G4016" s="23" t="str">
        <f>IF(OR(E4016="",E4016="!!!"),"",IF(OR(J4016=0,AND(J4016=1,K4016=1),AND(J4016=1,I4016="SBJ"),AND(J4016=1,I4016=0)),"?IN_FOCUS",IF(J4016&lt;=2,"?ACTIVATED",IF(J4016&lt;&gt;"","?FAMILIAR",IF(F4016="NEW",IF(ISNA(VLOOKUP(E4016,#REF!,1,FALSE())),"?TYPE_IDENTIFIABLE","?REFERENTIAL"),"_")))))</f>
        <v> </v>
      </c>
      <c r="H4016" s="24" t="str">
        <f>IF(J4016&lt;&gt;1,"",IF(I4016="SBJ","CB","?"))</f>
        <v> </v>
      </c>
      <c r="I4016" s="25" t="str">
        <f>IF(OR(E4016="",E4016="!!!",F4016="NEW"),"",INDEX(B4015:B$2,-1+SUMPRODUCT(MAX(ROW(E4015:E$2)*(E4016=E4015:E$2)))))</f>
        <v> </v>
      </c>
      <c r="J4016" s="25" t="str">
        <f>IF(OR(E4016="",E4016="!!!",F4016="NEW"),"",COUNTBLANK(OFFSET(A$1,,,SUMPRODUCT(MAX(ROW(E$2:E4016)*(E4016=E$2:E4016)))))-COUNTBLANK(OFFSET(A$1,,,SUMPRODUCT(MAX(ROW(E$1:E4015)*(E2=E$1:E4015))))))</f>
        <v> </v>
      </c>
      <c r="K4016" s="25" t="str">
        <f>IF(OR(E4016="",E4016="!!!",F4016="NEW"),"",INDEX(J$1:J4015,SUMPRODUCT(MAX(ROW(E$1:E4015)*(E4016=E$1:E4015)))))</f>
        <v> </v>
      </c>
      <c r="L4016" s="26"/>
    </row>
    <row r="4017" spans="1:12">
      <c r="A4017" s="20" t="s">
        <v>306</v>
      </c>
      <c r="E4017" s="21">
        <f>IF(D4017="?OLD","!!!","")</f>
        <v/>
      </c>
      <c r="F4017" s="22" t="str">
        <f>IF(OR(E4017="",E4017="!!!"),"",IF(NOT(ISNA(VLOOKUP(E4017,E$1:E4016,1,FALSE()))),"OLD",IF(AND(E4017&lt;&gt;"",E4017&lt;&gt;"!!!"),"NEW","")))</f>
        <v> </v>
      </c>
      <c r="G4017" s="23" t="str">
        <f>IF(OR(E4017="",E4017="!!!"),"",IF(OR(J4017=0,AND(J4017=1,K4017=1),AND(J4017=1,I4017="SBJ"),AND(J4017=1,I4017=0)),"?IN_FOCUS",IF(J4017&lt;=2,"?ACTIVATED",IF(J4017&lt;&gt;"","?FAMILIAR",IF(F4017="NEW",IF(ISNA(VLOOKUP(E4017,#REF!,1,FALSE())),"?TYPE_IDENTIFIABLE","?REFERENTIAL"),"_")))))</f>
        <v> </v>
      </c>
      <c r="H4017" s="24" t="str">
        <f>IF(J4017&lt;&gt;1,"",IF(I4017="SBJ","CB","?"))</f>
        <v> </v>
      </c>
      <c r="I4017" s="25" t="str">
        <f>IF(OR(E4017="",E4017="!!!",F4017="NEW"),"",INDEX(B4016:B$2,-1+SUMPRODUCT(MAX(ROW(E4016:E$2)*(E4017=E4016:E$2)))))</f>
        <v> </v>
      </c>
      <c r="J4017" s="25" t="str">
        <f>IF(OR(E4017="",E4017="!!!",F4017="NEW"),"",COUNTBLANK(OFFSET(A$1,,,SUMPRODUCT(MAX(ROW(E$2:E4017)*(E4017=E$2:E4017)))))-COUNTBLANK(OFFSET(A$1,,,SUMPRODUCT(MAX(ROW(E$1:E4016)*(E2=E$1:E4016))))))</f>
        <v> </v>
      </c>
      <c r="K4017" s="25" t="str">
        <f>IF(OR(E4017="",E4017="!!!",F4017="NEW"),"",INDEX(J$1:J4016,SUMPRODUCT(MAX(ROW(E$1:E4016)*(E4017=E$1:E4016)))))</f>
        <v> </v>
      </c>
      <c r="L4017" s="26"/>
    </row>
    <row r="4018" spans="1:12">
      <c r="A4018" s="20" t="s">
        <v>796</v>
      </c>
      <c r="B4018" s="27" t="s">
        <v>678</v>
      </c>
      <c r="C4018" s="27" t="s">
        <v>772</v>
      </c>
      <c r="D4018" s="27" t="s">
        <v>687</v>
      </c>
      <c r="E4018" s="21">
        <f>IF(D4018="?OLD","!!!","")</f>
        <v/>
      </c>
      <c r="F4018" s="22" t="str">
        <f>IF(OR(E4018="",E4018="!!!"),"",IF(NOT(ISNA(VLOOKUP(E4018,E$1:E4017,1,FALSE()))),"OLD",IF(AND(E4018&lt;&gt;"",E4018&lt;&gt;"!!!"),"NEW","")))</f>
        <v> </v>
      </c>
      <c r="G4018" s="23" t="str">
        <f>IF(OR(E4018="",E4018="!!!"),"",IF(OR(J4018=0,AND(J4018=1,K4018=1),AND(J4018=1,I4018="SBJ"),AND(J4018=1,I4018=0)),"?IN_FOCUS",IF(J4018&lt;=2,"?ACTIVATED",IF(J4018&lt;&gt;"","?FAMILIAR",IF(F4018="NEW",IF(ISNA(VLOOKUP(E4018,#REF!,1,FALSE())),"?TYPE_IDENTIFIABLE","?REFERENTIAL"),"_")))))</f>
        <v> </v>
      </c>
      <c r="H4018" s="24" t="str">
        <f>IF(J4018&lt;&gt;1,"",IF(I4018="SBJ","CB","?"))</f>
        <v> </v>
      </c>
      <c r="I4018" s="25" t="str">
        <f>IF(OR(E4018="",E4018="!!!",F4018="NEW"),"",INDEX(B4017:B$2,-1+SUMPRODUCT(MAX(ROW(E4017:E$2)*(E4018=E4017:E$2)))))</f>
        <v> </v>
      </c>
      <c r="J4018" s="25" t="str">
        <f>IF(OR(E4018="",E4018="!!!",F4018="NEW"),"",COUNTBLANK(OFFSET(A$1,,,SUMPRODUCT(MAX(ROW(E$2:E4018)*(E4018=E$2:E4018)))))-COUNTBLANK(OFFSET(A$1,,,SUMPRODUCT(MAX(ROW(E$1:E4017)*(E2=E$1:E4017))))))</f>
        <v> </v>
      </c>
      <c r="K4018" s="25" t="str">
        <f>IF(OR(E4018="",E4018="!!!",F4018="NEW"),"",INDEX(J$1:J4017,SUMPRODUCT(MAX(ROW(E$1:E4017)*(E4018=E$1:E4017)))))</f>
        <v> </v>
      </c>
      <c r="L4018" s="26"/>
    </row>
    <row r="4019" spans="1:12">
      <c r="A4019" s="20" t="s">
        <v>581</v>
      </c>
      <c r="B4019" s="27" t="s">
        <v>678</v>
      </c>
      <c r="C4019" s="27" t="s">
        <v>686</v>
      </c>
      <c r="D4019" s="27" t="s">
        <v>687</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703</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t="s">
        <v>747</v>
      </c>
      <c r="B4021" s="27" t="s">
        <v>787</v>
      </c>
      <c r="C4021" s="27" t="s">
        <v>749</v>
      </c>
      <c r="D4021" s="27" t="s">
        <v>687</v>
      </c>
      <c r="E4021" s="21">
        <f>IF(D4021="?OLD","!!!","")</f>
        <v/>
      </c>
      <c r="F4021" s="22" t="str">
        <f>IF(OR(E4021="",E4021="!!!"),"",IF(NOT(ISNA(VLOOKUP(E4021,E$1:E4020,1,FALSE()))),"OLD",IF(AND(E4021&lt;&gt;"",E4021&lt;&gt;"!!!"),"NEW","")))</f>
        <v> </v>
      </c>
      <c r="G4021" s="23" t="str">
        <f>IF(OR(E4021="",E4021="!!!"),"",IF(OR(J4021=0,AND(J4021=1,K4021=1),AND(J4021=1,I4021="SBJ"),AND(J4021=1,I4021=0)),"?IN_FOCUS",IF(J4021&lt;=2,"?ACTIVATED",IF(J4021&lt;&gt;"","?FAMILIAR",IF(F4021="NEW",IF(ISNA(VLOOKUP(E4021,#REF!,1,FALSE())),"?TYPE_IDENTIFIABLE","?REFERENTIAL"),"_")))))</f>
        <v> </v>
      </c>
      <c r="H4021" s="24" t="str">
        <f>IF(J4021&lt;&gt;1,"",IF(I4021="SBJ","CB","?"))</f>
        <v> </v>
      </c>
      <c r="I4021" s="25" t="str">
        <f>IF(OR(E4021="",E4021="!!!",F4021="NEW"),"",INDEX(B4020:B$2,-1+SUMPRODUCT(MAX(ROW(E4020:E$2)*(E4021=E4020:E$2)))))</f>
        <v> </v>
      </c>
      <c r="J4021" s="25" t="str">
        <f>IF(OR(E4021="",E4021="!!!",F4021="NEW"),"",COUNTBLANK(OFFSET(A$1,,,SUMPRODUCT(MAX(ROW(E$2:E4021)*(E4021=E$2:E4021)))))-COUNTBLANK(OFFSET(A$1,,,SUMPRODUCT(MAX(ROW(E$1:E4020)*(E2=E$1:E4020))))))</f>
        <v> </v>
      </c>
      <c r="K4021" s="25" t="str">
        <f>IF(OR(E4021="",E4021="!!!",F4021="NEW"),"",INDEX(J$1:J4020,SUMPRODUCT(MAX(ROW(E$1:E4020)*(E4021=E$1:E4020)))))</f>
        <v> </v>
      </c>
      <c r="L4021" s="26"/>
    </row>
    <row r="4022" spans="1:12">
      <c r="A4022" s="20" t="s">
        <v>849</v>
      </c>
      <c r="E4022" s="21">
        <f>IF(D4022="?OLD","!!!","")</f>
        <v/>
      </c>
      <c r="F4022" s="22" t="str">
        <f>IF(OR(E4022="",E4022="!!!"),"",IF(NOT(ISNA(VLOOKUP(E4022,E$1:E4021,1,FALSE()))),"OLD",IF(AND(E4022&lt;&gt;"",E4022&lt;&gt;"!!!"),"NEW","")))</f>
        <v> </v>
      </c>
      <c r="G4022" s="23" t="str">
        <f>IF(OR(E4022="",E4022="!!!"),"",IF(OR(J4022=0,AND(J4022=1,K4022=1),AND(J4022=1,I4022="SBJ"),AND(J4022=1,I4022=0)),"?IN_FOCUS",IF(J4022&lt;=2,"?ACTIVATED",IF(J4022&lt;&gt;"","?FAMILIAR",IF(F4022="NEW",IF(ISNA(VLOOKUP(E4022,#REF!,1,FALSE())),"?TYPE_IDENTIFIABLE","?REFERENTIAL"),"_")))))</f>
        <v> </v>
      </c>
      <c r="H4022" s="24" t="str">
        <f>IF(J4022&lt;&gt;1,"",IF(I4022="SBJ","CB","?"))</f>
        <v> </v>
      </c>
      <c r="I4022" s="25" t="str">
        <f>IF(OR(E4022="",E4022="!!!",F4022="NEW"),"",INDEX(B4021:B$2,-1+SUMPRODUCT(MAX(ROW(E4021:E$2)*(E4022=E4021:E$2)))))</f>
        <v> </v>
      </c>
      <c r="J4022" s="25" t="str">
        <f>IF(OR(E4022="",E4022="!!!",F4022="NEW"),"",COUNTBLANK(OFFSET(A$1,,,SUMPRODUCT(MAX(ROW(E$2:E4022)*(E4022=E$2:E4022)))))-COUNTBLANK(OFFSET(A$1,,,SUMPRODUCT(MAX(ROW(E$1:E4021)*(E2=E$1:E4021))))))</f>
        <v> </v>
      </c>
      <c r="K4022" s="25" t="str">
        <f>IF(OR(E4022="",E4022="!!!",F4022="NEW"),"",INDEX(J$1:J4021,SUMPRODUCT(MAX(ROW(E$1:E4021)*(E4022=E$1:E4021)))))</f>
        <v> </v>
      </c>
      <c r="L4022" s="26"/>
    </row>
    <row r="4023" spans="1:12">
      <c r="A4023" s="20" t="s">
        <v>689</v>
      </c>
      <c r="E4023" s="21">
        <f>IF(D4023="?OLD","!!!","")</f>
        <v/>
      </c>
      <c r="F4023" s="22" t="str">
        <f>IF(OR(E4023="",E4023="!!!"),"",IF(NOT(ISNA(VLOOKUP(E4023,E$1:E4022,1,FALSE()))),"OLD",IF(AND(E4023&lt;&gt;"",E4023&lt;&gt;"!!!"),"NEW","")))</f>
        <v> </v>
      </c>
      <c r="G4023" s="23" t="str">
        <f>IF(OR(E4023="",E4023="!!!"),"",IF(OR(J4023=0,AND(J4023=1,K4023=1),AND(J4023=1,I4023="SBJ"),AND(J4023=1,I4023=0)),"?IN_FOCUS",IF(J4023&lt;=2,"?ACTIVATED",IF(J4023&lt;&gt;"","?FAMILIAR",IF(F4023="NEW",IF(ISNA(VLOOKUP(E4023,#REF!,1,FALSE())),"?TYPE_IDENTIFIABLE","?REFERENTIAL"),"_")))))</f>
        <v> </v>
      </c>
      <c r="H4023" s="24" t="str">
        <f>IF(J4023&lt;&gt;1,"",IF(I4023="SBJ","CB","?"))</f>
        <v> </v>
      </c>
      <c r="I4023" s="25" t="str">
        <f>IF(OR(E4023="",E4023="!!!",F4023="NEW"),"",INDEX(B4022:B$2,-1+SUMPRODUCT(MAX(ROW(E4022:E$2)*(E4023=E4022:E$2)))))</f>
        <v> </v>
      </c>
      <c r="J4023" s="25" t="str">
        <f>IF(OR(E4023="",E4023="!!!",F4023="NEW"),"",COUNTBLANK(OFFSET(A$1,,,SUMPRODUCT(MAX(ROW(E$2:E4023)*(E4023=E$2:E4023)))))-COUNTBLANK(OFFSET(A$1,,,SUMPRODUCT(MAX(ROW(E$1:E4022)*(E2=E$1:E4022))))))</f>
        <v> </v>
      </c>
      <c r="K4023" s="25" t="str">
        <f>IF(OR(E4023="",E4023="!!!",F4023="NEW"),"",INDEX(J$1:J4022,SUMPRODUCT(MAX(ROW(E$1:E4022)*(E4023=E$1:E4022)))))</f>
        <v> </v>
      </c>
      <c r="L4023" s="26"/>
    </row>
    <row r="4024" spans="1:12">
      <c r="A4024" s="20" t="s">
        <v>379</v>
      </c>
      <c r="B4024" s="27" t="s">
        <v>791</v>
      </c>
      <c r="C4024" s="27" t="s">
        <v>736</v>
      </c>
      <c r="E4024" s="21">
        <f>IF(D4024="?OLD","!!!","")</f>
        <v/>
      </c>
      <c r="F4024" s="22" t="str">
        <f>IF(OR(E4024="",E4024="!!!"),"",IF(NOT(ISNA(VLOOKUP(E4024,E$1:E4023,1,FALSE()))),"OLD",IF(AND(E4024&lt;&gt;"",E4024&lt;&gt;"!!!"),"NEW","")))</f>
        <v> </v>
      </c>
      <c r="G4024" s="23" t="str">
        <f>IF(OR(E4024="",E4024="!!!"),"",IF(OR(J4024=0,AND(J4024=1,K4024=1),AND(J4024=1,I4024="SBJ"),AND(J4024=1,I4024=0)),"?IN_FOCUS",IF(J4024&lt;=2,"?ACTIVATED",IF(J4024&lt;&gt;"","?FAMILIAR",IF(F4024="NEW",IF(ISNA(VLOOKUP(E4024,#REF!,1,FALSE())),"?TYPE_IDENTIFIABLE","?REFERENTIAL"),"_")))))</f>
        <v> </v>
      </c>
      <c r="H4024" s="24" t="str">
        <f>IF(J4024&lt;&gt;1,"",IF(I4024="SBJ","CB","?"))</f>
        <v> </v>
      </c>
      <c r="I4024" s="25" t="str">
        <f>IF(OR(E4024="",E4024="!!!",F4024="NEW"),"",INDEX(B4023:B$2,-1+SUMPRODUCT(MAX(ROW(E4023:E$2)*(E4024=E4023:E$2)))))</f>
        <v> </v>
      </c>
      <c r="J4024" s="25" t="str">
        <f>IF(OR(E4024="",E4024="!!!",F4024="NEW"),"",COUNTBLANK(OFFSET(A$1,,,SUMPRODUCT(MAX(ROW(E$2:E4024)*(E4024=E$2:E4024)))))-COUNTBLANK(OFFSET(A$1,,,SUMPRODUCT(MAX(ROW(E$1:E4023)*(E2=E$1:E4023))))))</f>
        <v> </v>
      </c>
      <c r="K4024" s="25" t="str">
        <f>IF(OR(E4024="",E4024="!!!",F4024="NEW"),"",INDEX(J$1:J4023,SUMPRODUCT(MAX(ROW(E$1:E4023)*(E4024=E$1:E4023)))))</f>
        <v> </v>
      </c>
      <c r="L4024" s="26"/>
    </row>
    <row r="4025" spans="1:12">
      <c r="A4025" s="20" t="s">
        <v>732</v>
      </c>
      <c r="B4025" s="27" t="s">
        <v>863</v>
      </c>
      <c r="E4025" s="21">
        <f>IF(D4025="?OLD","!!!","")</f>
        <v/>
      </c>
      <c r="F4025" s="22" t="str">
        <f>IF(OR(E4025="",E4025="!!!"),"",IF(NOT(ISNA(VLOOKUP(E4025,E$1:E4024,1,FALSE()))),"OLD",IF(AND(E4025&lt;&gt;"",E4025&lt;&gt;"!!!"),"NEW","")))</f>
        <v> </v>
      </c>
      <c r="G4025" s="23" t="str">
        <f>IF(OR(E4025="",E4025="!!!"),"",IF(OR(J4025=0,AND(J4025=1,K4025=1),AND(J4025=1,I4025="SBJ"),AND(J4025=1,I4025=0)),"?IN_FOCUS",IF(J4025&lt;=2,"?ACTIVATED",IF(J4025&lt;&gt;"","?FAMILIAR",IF(F4025="NEW",IF(ISNA(VLOOKUP(E4025,#REF!,1,FALSE())),"?TYPE_IDENTIFIABLE","?REFERENTIAL"),"_")))))</f>
        <v> </v>
      </c>
      <c r="H4025" s="24" t="str">
        <f>IF(J4025&lt;&gt;1,"",IF(I4025="SBJ","CB","?"))</f>
        <v> </v>
      </c>
      <c r="I4025" s="25" t="str">
        <f>IF(OR(E4025="",E4025="!!!",F4025="NEW"),"",INDEX(B4024:B$2,-1+SUMPRODUCT(MAX(ROW(E4024:E$2)*(E4025=E4024:E$2)))))</f>
        <v> </v>
      </c>
      <c r="J4025" s="25" t="str">
        <f>IF(OR(E4025="",E4025="!!!",F4025="NEW"),"",COUNTBLANK(OFFSET(A$1,,,SUMPRODUCT(MAX(ROW(E$2:E4025)*(E4025=E$2:E4025)))))-COUNTBLANK(OFFSET(A$1,,,SUMPRODUCT(MAX(ROW(E$1:E4024)*(E2=E$1:E4024))))))</f>
        <v> </v>
      </c>
      <c r="K4025" s="25" t="str">
        <f>IF(OR(E4025="",E4025="!!!",F4025="NEW"),"",INDEX(J$1:J4024,SUMPRODUCT(MAX(ROW(E$1:E4024)*(E4025=E$1:E4024)))))</f>
        <v> </v>
      </c>
      <c r="L4025" s="26"/>
    </row>
    <row r="4026" spans="1:12">
      <c r="A4026" s="20" t="s">
        <v>1899</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t="s">
        <v>1900</v>
      </c>
      <c r="E4027" s="21">
        <f>IF(D4027="?OLD","!!!","")</f>
        <v/>
      </c>
      <c r="F4027" s="22" t="str">
        <f>IF(OR(E4027="",E4027="!!!"),"",IF(NOT(ISNA(VLOOKUP(E4027,E$1:E4026,1,FALSE()))),"OLD",IF(AND(E4027&lt;&gt;"",E4027&lt;&gt;"!!!"),"NEW","")))</f>
        <v> </v>
      </c>
      <c r="G4027" s="23" t="str">
        <f>IF(OR(E4027="",E4027="!!!"),"",IF(OR(J4027=0,AND(J4027=1,K4027=1),AND(J4027=1,I4027="SBJ"),AND(J4027=1,I4027=0)),"?IN_FOCUS",IF(J4027&lt;=2,"?ACTIVATED",IF(J4027&lt;&gt;"","?FAMILIAR",IF(F4027="NEW",IF(ISNA(VLOOKUP(E4027,#REF!,1,FALSE())),"?TYPE_IDENTIFIABLE","?REFERENTIAL"),"_")))))</f>
        <v> </v>
      </c>
      <c r="H4027" s="24" t="str">
        <f>IF(J4027&lt;&gt;1,"",IF(I4027="SBJ","CB","?"))</f>
        <v> </v>
      </c>
      <c r="I4027" s="25" t="str">
        <f>IF(OR(E4027="",E4027="!!!",F4027="NEW"),"",INDEX(B4026:B$2,-1+SUMPRODUCT(MAX(ROW(E4026:E$2)*(E4027=E4026:E$2)))))</f>
        <v> </v>
      </c>
      <c r="J4027" s="25" t="str">
        <f>IF(OR(E4027="",E4027="!!!",F4027="NEW"),"",COUNTBLANK(OFFSET(A$1,,,SUMPRODUCT(MAX(ROW(E$2:E4027)*(E4027=E$2:E4027)))))-COUNTBLANK(OFFSET(A$1,,,SUMPRODUCT(MAX(ROW(E$1:E4026)*(E2=E$1:E4026))))))</f>
        <v> </v>
      </c>
      <c r="K4027" s="25" t="str">
        <f>IF(OR(E4027="",E4027="!!!",F4027="NEW"),"",INDEX(J$1:J4026,SUMPRODUCT(MAX(ROW(E$1:E4026)*(E4027=E$1:E4026)))))</f>
        <v> </v>
      </c>
      <c r="L4027" s="26"/>
    </row>
    <row r="4028" spans="1:12">
      <c r="A4028" s="20" t="s">
        <v>1901</v>
      </c>
      <c r="B4028" s="27" t="s">
        <v>812</v>
      </c>
      <c r="C4028" s="27" t="s">
        <v>679</v>
      </c>
      <c r="E4028" s="21">
        <f>IF(D4028="?OLD","!!!","")</f>
        <v/>
      </c>
      <c r="F4028" s="22" t="str">
        <f>IF(OR(E4028="",E4028="!!!"),"",IF(NOT(ISNA(VLOOKUP(E4028,E$1:E4027,1,FALSE()))),"OLD",IF(AND(E4028&lt;&gt;"",E4028&lt;&gt;"!!!"),"NEW","")))</f>
        <v> </v>
      </c>
      <c r="G4028" s="23" t="str">
        <f>IF(OR(E4028="",E4028="!!!"),"",IF(OR(J4028=0,AND(J4028=1,K4028=1),AND(J4028=1,I4028="SBJ"),AND(J4028=1,I4028=0)),"?IN_FOCUS",IF(J4028&lt;=2,"?ACTIVATED",IF(J4028&lt;&gt;"","?FAMILIAR",IF(F4028="NEW",IF(ISNA(VLOOKUP(E4028,#REF!,1,FALSE())),"?TYPE_IDENTIFIABLE","?REFERENTIAL"),"_")))))</f>
        <v> </v>
      </c>
      <c r="H4028" s="24" t="str">
        <f>IF(J4028&lt;&gt;1,"",IF(I4028="SBJ","CB","?"))</f>
        <v> </v>
      </c>
      <c r="I4028" s="25" t="str">
        <f>IF(OR(E4028="",E4028="!!!",F4028="NEW"),"",INDEX(B4027:B$2,-1+SUMPRODUCT(MAX(ROW(E4027:E$2)*(E4028=E4027:E$2)))))</f>
        <v> </v>
      </c>
      <c r="J4028" s="25" t="str">
        <f>IF(OR(E4028="",E4028="!!!",F4028="NEW"),"",COUNTBLANK(OFFSET(A$1,,,SUMPRODUCT(MAX(ROW(E$2:E4028)*(E4028=E$2:E4028)))))-COUNTBLANK(OFFSET(A$1,,,SUMPRODUCT(MAX(ROW(E$1:E4027)*(E2=E$1:E4027))))))</f>
        <v> </v>
      </c>
      <c r="K4028" s="25" t="str">
        <f>IF(OR(E4028="",E4028="!!!",F4028="NEW"),"",INDEX(J$1:J4027,SUMPRODUCT(MAX(ROW(E$1:E4027)*(E4028=E$1:E4027)))))</f>
        <v> </v>
      </c>
      <c r="L4028" s="26"/>
    </row>
    <row r="4029" spans="1:12">
      <c r="A4029" s="20" t="s">
        <v>306</v>
      </c>
      <c r="E4029" s="21">
        <f>IF(D4029="?OLD","!!!","")</f>
        <v/>
      </c>
      <c r="F4029" s="22" t="str">
        <f>IF(OR(E4029="",E4029="!!!"),"",IF(NOT(ISNA(VLOOKUP(E4029,E$1:E4028,1,FALSE()))),"OLD",IF(AND(E4029&lt;&gt;"",E4029&lt;&gt;"!!!"),"NEW","")))</f>
        <v> </v>
      </c>
      <c r="G4029" s="23" t="str">
        <f>IF(OR(E4029="",E4029="!!!"),"",IF(OR(J4029=0,AND(J4029=1,K4029=1),AND(J4029=1,I4029="SBJ"),AND(J4029=1,I4029=0)),"?IN_FOCUS",IF(J4029&lt;=2,"?ACTIVATED",IF(J4029&lt;&gt;"","?FAMILIAR",IF(F4029="NEW",IF(ISNA(VLOOKUP(E4029,#REF!,1,FALSE())),"?TYPE_IDENTIFIABLE","?REFERENTIAL"),"_")))))</f>
        <v> </v>
      </c>
      <c r="H4029" s="24" t="str">
        <f>IF(J4029&lt;&gt;1,"",IF(I4029="SBJ","CB","?"))</f>
        <v> </v>
      </c>
      <c r="I4029" s="25" t="str">
        <f>IF(OR(E4029="",E4029="!!!",F4029="NEW"),"",INDEX(B4028:B$2,-1+SUMPRODUCT(MAX(ROW(E4028:E$2)*(E4029=E4028:E$2)))))</f>
        <v> </v>
      </c>
      <c r="J4029" s="25" t="str">
        <f>IF(OR(E4029="",E4029="!!!",F4029="NEW"),"",COUNTBLANK(OFFSET(A$1,,,SUMPRODUCT(MAX(ROW(E$2:E4029)*(E4029=E$2:E4029)))))-COUNTBLANK(OFFSET(A$1,,,SUMPRODUCT(MAX(ROW(E$1:E4028)*(E2=E$1:E4028))))))</f>
        <v> </v>
      </c>
      <c r="K4029" s="25" t="str">
        <f>IF(OR(E4029="",E4029="!!!",F4029="NEW"),"",INDEX(J$1:J4028,SUMPRODUCT(MAX(ROW(E$1:E4028)*(E4029=E$1:E4028)))))</f>
        <v> </v>
      </c>
      <c r="L4029" s="26"/>
    </row>
    <row r="4030" spans="1:12">
      <c r="A4030" s="20" t="s">
        <v>1191</v>
      </c>
      <c r="B4030" s="27" t="s">
        <v>821</v>
      </c>
      <c r="C4030" s="27" t="s">
        <v>686</v>
      </c>
      <c r="D4030" s="27" t="s">
        <v>687</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t="s">
        <v>1245</v>
      </c>
      <c r="B4031" s="27" t="s">
        <v>843</v>
      </c>
      <c r="C4031" s="27" t="s">
        <v>1583</v>
      </c>
      <c r="D4031" s="27" t="s">
        <v>687</v>
      </c>
      <c r="E4031" s="21">
        <f>IF(D4031="?OLD","!!!","")</f>
        <v/>
      </c>
      <c r="F4031" s="22" t="str">
        <f>IF(OR(E4031="",E4031="!!!"),"",IF(NOT(ISNA(VLOOKUP(E4031,E$1:E4030,1,FALSE()))),"OLD",IF(AND(E4031&lt;&gt;"",E4031&lt;&gt;"!!!"),"NEW","")))</f>
        <v> </v>
      </c>
      <c r="G4031" s="23" t="str">
        <f>IF(OR(E4031="",E4031="!!!"),"",IF(OR(J4031=0,AND(J4031=1,K4031=1),AND(J4031=1,I4031="SBJ"),AND(J4031=1,I4031=0)),"?IN_FOCUS",IF(J4031&lt;=2,"?ACTIVATED",IF(J4031&lt;&gt;"","?FAMILIAR",IF(F4031="NEW",IF(ISNA(VLOOKUP(E4031,#REF!,1,FALSE())),"?TYPE_IDENTIFIABLE","?REFERENTIAL"),"_")))))</f>
        <v> </v>
      </c>
      <c r="H4031" s="24" t="str">
        <f>IF(J4031&lt;&gt;1,"",IF(I4031="SBJ","CB","?"))</f>
        <v> </v>
      </c>
      <c r="I4031" s="25" t="str">
        <f>IF(OR(E4031="",E4031="!!!",F4031="NEW"),"",INDEX(B4030:B$2,-1+SUMPRODUCT(MAX(ROW(E4030:E$2)*(E4031=E4030:E$2)))))</f>
        <v> </v>
      </c>
      <c r="J4031" s="25" t="str">
        <f>IF(OR(E4031="",E4031="!!!",F4031="NEW"),"",COUNTBLANK(OFFSET(A$1,,,SUMPRODUCT(MAX(ROW(E$2:E4031)*(E4031=E$2:E4031)))))-COUNTBLANK(OFFSET(A$1,,,SUMPRODUCT(MAX(ROW(E$1:E4030)*(E2=E$1:E4030))))))</f>
        <v> </v>
      </c>
      <c r="K4031" s="25" t="str">
        <f>IF(OR(E4031="",E4031="!!!",F4031="NEW"),"",INDEX(J$1:J4030,SUMPRODUCT(MAX(ROW(E$1:E4030)*(E4031=E$1:E4030)))))</f>
        <v> </v>
      </c>
      <c r="L4031" s="26"/>
    </row>
    <row r="4032" spans="1:12">
      <c r="A4032" s="20" t="s">
        <v>682</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t="s">
        <v>694</v>
      </c>
      <c r="E4033" s="21">
        <f>IF(D4033="?OLD","!!!","")</f>
        <v/>
      </c>
      <c r="F4033" s="22" t="str">
        <f>IF(OR(E4033="",E4033="!!!"),"",IF(NOT(ISNA(VLOOKUP(E4033,E$1:E4032,1,FALSE()))),"OLD",IF(AND(E4033&lt;&gt;"",E4033&lt;&gt;"!!!"),"NEW","")))</f>
        <v> </v>
      </c>
      <c r="G4033" s="23" t="str">
        <f>IF(OR(E4033="",E4033="!!!"),"",IF(OR(J4033=0,AND(J4033=1,K4033=1),AND(J4033=1,I4033="SBJ"),AND(J4033=1,I4033=0)),"?IN_FOCUS",IF(J4033&lt;=2,"?ACTIVATED",IF(J4033&lt;&gt;"","?FAMILIAR",IF(F4033="NEW",IF(ISNA(VLOOKUP(E4033,#REF!,1,FALSE())),"?TYPE_IDENTIFIABLE","?REFERENTIAL"),"_")))))</f>
        <v> </v>
      </c>
      <c r="H4033" s="24" t="str">
        <f>IF(J4033&lt;&gt;1,"",IF(I4033="SBJ","CB","?"))</f>
        <v> </v>
      </c>
      <c r="I4033" s="25" t="str">
        <f>IF(OR(E4033="",E4033="!!!",F4033="NEW"),"",INDEX(B4032:B$2,-1+SUMPRODUCT(MAX(ROW(E4032:E$2)*(E4033=E4032:E$2)))))</f>
        <v> </v>
      </c>
      <c r="J4033" s="25" t="str">
        <f>IF(OR(E4033="",E4033="!!!",F4033="NEW"),"",COUNTBLANK(OFFSET(A$1,,,SUMPRODUCT(MAX(ROW(E$2:E4033)*(E4033=E$2:E4033)))))-COUNTBLANK(OFFSET(A$1,,,SUMPRODUCT(MAX(ROW(E$1:E4032)*(E2=E$1:E4032))))))</f>
        <v> </v>
      </c>
      <c r="K4033" s="25" t="str">
        <f>IF(OR(E4033="",E4033="!!!",F4033="NEW"),"",INDEX(J$1:J4032,SUMPRODUCT(MAX(ROW(E$1:E4032)*(E4033=E$1:E4032)))))</f>
        <v> </v>
      </c>
      <c r="L4033" s="26"/>
    </row>
    <row r="4034" spans="1:12">
      <c r="A4034" s="20" t="s">
        <v>306</v>
      </c>
      <c r="E4034" s="21">
        <f>IF(D4034="?OLD","!!!","")</f>
        <v/>
      </c>
      <c r="F4034" s="22" t="str">
        <f>IF(OR(E4034="",E4034="!!!"),"",IF(NOT(ISNA(VLOOKUP(E4034,E$1:E4033,1,FALSE()))),"OLD",IF(AND(E4034&lt;&gt;"",E4034&lt;&gt;"!!!"),"NEW","")))</f>
        <v> </v>
      </c>
      <c r="G4034" s="23" t="str">
        <f>IF(OR(E4034="",E4034="!!!"),"",IF(OR(J4034=0,AND(J4034=1,K4034=1),AND(J4034=1,I4034="SBJ"),AND(J4034=1,I4034=0)),"?IN_FOCUS",IF(J4034&lt;=2,"?ACTIVATED",IF(J4034&lt;&gt;"","?FAMILIAR",IF(F4034="NEW",IF(ISNA(VLOOKUP(E4034,#REF!,1,FALSE())),"?TYPE_IDENTIFIABLE","?REFERENTIAL"),"_")))))</f>
        <v> </v>
      </c>
      <c r="H4034" s="24" t="str">
        <f>IF(J4034&lt;&gt;1,"",IF(I4034="SBJ","CB","?"))</f>
        <v> </v>
      </c>
      <c r="I4034" s="25" t="str">
        <f>IF(OR(E4034="",E4034="!!!",F4034="NEW"),"",INDEX(B4033:B$2,-1+SUMPRODUCT(MAX(ROW(E4033:E$2)*(E4034=E4033:E$2)))))</f>
        <v> </v>
      </c>
      <c r="J4034" s="25" t="str">
        <f>IF(OR(E4034="",E4034="!!!",F4034="NEW"),"",COUNTBLANK(OFFSET(A$1,,,SUMPRODUCT(MAX(ROW(E$2:E4034)*(E4034=E$2:E4034)))))-COUNTBLANK(OFFSET(A$1,,,SUMPRODUCT(MAX(ROW(E$1:E4033)*(E2=E$1:E4033))))))</f>
        <v> </v>
      </c>
      <c r="K4034" s="25" t="str">
        <f>IF(OR(E4034="",E4034="!!!",F4034="NEW"),"",INDEX(J$1:J4033,SUMPRODUCT(MAX(ROW(E$1:E4033)*(E4034=E$1:E4033)))))</f>
        <v> </v>
      </c>
      <c r="L4034" s="26"/>
    </row>
    <row r="4035" spans="1:12">
      <c r="A4035" s="20" t="s">
        <v>1157</v>
      </c>
      <c r="E4035" s="21">
        <f>IF(D4035="?OLD","!!!","")</f>
        <v/>
      </c>
      <c r="F4035" s="22" t="str">
        <f>IF(OR(E4035="",E4035="!!!"),"",IF(NOT(ISNA(VLOOKUP(E4035,E$1:E4034,1,FALSE()))),"OLD",IF(AND(E4035&lt;&gt;"",E4035&lt;&gt;"!!!"),"NEW","")))</f>
        <v> </v>
      </c>
      <c r="G4035" s="23" t="str">
        <f>IF(OR(E4035="",E4035="!!!"),"",IF(OR(J4035=0,AND(J4035=1,K4035=1),AND(J4035=1,I4035="SBJ"),AND(J4035=1,I4035=0)),"?IN_FOCUS",IF(J4035&lt;=2,"?ACTIVATED",IF(J4035&lt;&gt;"","?FAMILIAR",IF(F4035="NEW",IF(ISNA(VLOOKUP(E4035,#REF!,1,FALSE())),"?TYPE_IDENTIFIABLE","?REFERENTIAL"),"_")))))</f>
        <v> </v>
      </c>
      <c r="H4035" s="24" t="str">
        <f>IF(J4035&lt;&gt;1,"",IF(I4035="SBJ","CB","?"))</f>
        <v> </v>
      </c>
      <c r="I4035" s="25" t="str">
        <f>IF(OR(E4035="",E4035="!!!",F4035="NEW"),"",INDEX(B4034:B$2,-1+SUMPRODUCT(MAX(ROW(E4034:E$2)*(E4035=E4034:E$2)))))</f>
        <v> </v>
      </c>
      <c r="J4035" s="25" t="str">
        <f>IF(OR(E4035="",E4035="!!!",F4035="NEW"),"",COUNTBLANK(OFFSET(A$1,,,SUMPRODUCT(MAX(ROW(E$2:E4035)*(E4035=E$2:E4035)))))-COUNTBLANK(OFFSET(A$1,,,SUMPRODUCT(MAX(ROW(E$1:E4034)*(E2=E$1:E4034))))))</f>
        <v> </v>
      </c>
      <c r="K4035" s="25" t="str">
        <f>IF(OR(E4035="",E4035="!!!",F4035="NEW"),"",INDEX(J$1:J4034,SUMPRODUCT(MAX(ROW(E$1:E4034)*(E4035=E$1:E4034)))))</f>
        <v> </v>
      </c>
      <c r="L4035" s="26"/>
    </row>
    <row r="4036" spans="1:12">
      <c r="A4036" s="20" t="s">
        <v>747</v>
      </c>
      <c r="B4036" s="27" t="s">
        <v>864</v>
      </c>
      <c r="C4036" s="27" t="s">
        <v>749</v>
      </c>
      <c r="D4036" s="27" t="s">
        <v>687</v>
      </c>
      <c r="E4036" s="21">
        <f>IF(D4036="?OLD","!!!","")</f>
        <v/>
      </c>
      <c r="F4036" s="22" t="str">
        <f>IF(OR(E4036="",E4036="!!!"),"",IF(NOT(ISNA(VLOOKUP(E4036,E$1:E4035,1,FALSE()))),"OLD",IF(AND(E4036&lt;&gt;"",E4036&lt;&gt;"!!!"),"NEW","")))</f>
        <v> </v>
      </c>
      <c r="G4036" s="23" t="str">
        <f>IF(OR(E4036="",E4036="!!!"),"",IF(OR(J4036=0,AND(J4036=1,K4036=1),AND(J4036=1,I4036="SBJ"),AND(J4036=1,I4036=0)),"?IN_FOCUS",IF(J4036&lt;=2,"?ACTIVATED",IF(J4036&lt;&gt;"","?FAMILIAR",IF(F4036="NEW",IF(ISNA(VLOOKUP(E4036,#REF!,1,FALSE())),"?TYPE_IDENTIFIABLE","?REFERENTIAL"),"_")))))</f>
        <v> </v>
      </c>
      <c r="H4036" s="24" t="str">
        <f>IF(J4036&lt;&gt;1,"",IF(I4036="SBJ","CB","?"))</f>
        <v> </v>
      </c>
      <c r="I4036" s="25" t="str">
        <f>IF(OR(E4036="",E4036="!!!",F4036="NEW"),"",INDEX(B4035:B$2,-1+SUMPRODUCT(MAX(ROW(E4035:E$2)*(E4036=E4035:E$2)))))</f>
        <v> </v>
      </c>
      <c r="J4036" s="25" t="str">
        <f>IF(OR(E4036="",E4036="!!!",F4036="NEW"),"",COUNTBLANK(OFFSET(A$1,,,SUMPRODUCT(MAX(ROW(E$2:E4036)*(E4036=E$2:E4036)))))-COUNTBLANK(OFFSET(A$1,,,SUMPRODUCT(MAX(ROW(E$1:E4035)*(E2=E$1:E4035))))))</f>
        <v> </v>
      </c>
      <c r="K4036" s="25" t="str">
        <f>IF(OR(E4036="",E4036="!!!",F4036="NEW"),"",INDEX(J$1:J4035,SUMPRODUCT(MAX(ROW(E$1:E4035)*(E4036=E$1:E4035)))))</f>
        <v> </v>
      </c>
      <c r="L4036" s="26"/>
    </row>
    <row r="4037" spans="1:12">
      <c r="A4037" s="20" t="s">
        <v>838</v>
      </c>
      <c r="E4037" s="21">
        <f>IF(D4037="?OLD","!!!","")</f>
        <v/>
      </c>
      <c r="F4037" s="22" t="str">
        <f>IF(OR(E4037="",E4037="!!!"),"",IF(NOT(ISNA(VLOOKUP(E4037,E$1:E4036,1,FALSE()))),"OLD",IF(AND(E4037&lt;&gt;"",E4037&lt;&gt;"!!!"),"NEW","")))</f>
        <v> </v>
      </c>
      <c r="G4037" s="23" t="str">
        <f>IF(OR(E4037="",E4037="!!!"),"",IF(OR(J4037=0,AND(J4037=1,K4037=1),AND(J4037=1,I4037="SBJ"),AND(J4037=1,I4037=0)),"?IN_FOCUS",IF(J4037&lt;=2,"?ACTIVATED",IF(J4037&lt;&gt;"","?FAMILIAR",IF(F4037="NEW",IF(ISNA(VLOOKUP(E4037,#REF!,1,FALSE())),"?TYPE_IDENTIFIABLE","?REFERENTIAL"),"_")))))</f>
        <v> </v>
      </c>
      <c r="H4037" s="24" t="str">
        <f>IF(J4037&lt;&gt;1,"",IF(I4037="SBJ","CB","?"))</f>
        <v> </v>
      </c>
      <c r="I4037" s="25" t="str">
        <f>IF(OR(E4037="",E4037="!!!",F4037="NEW"),"",INDEX(B4036:B$2,-1+SUMPRODUCT(MAX(ROW(E4036:E$2)*(E4037=E4036:E$2)))))</f>
        <v> </v>
      </c>
      <c r="J4037" s="25" t="str">
        <f>IF(OR(E4037="",E4037="!!!",F4037="NEW"),"",COUNTBLANK(OFFSET(A$1,,,SUMPRODUCT(MAX(ROW(E$2:E4037)*(E4037=E$2:E4037)))))-COUNTBLANK(OFFSET(A$1,,,SUMPRODUCT(MAX(ROW(E$1:E4036)*(E2=E$1:E4036))))))</f>
        <v> </v>
      </c>
      <c r="K4037" s="25" t="str">
        <f>IF(OR(E4037="",E4037="!!!",F4037="NEW"),"",INDEX(J$1:J4036,SUMPRODUCT(MAX(ROW(E$1:E4036)*(E4037=E$1:E4036)))))</f>
        <v> </v>
      </c>
      <c r="L4037" s="26"/>
    </row>
    <row r="4038" spans="1:12">
      <c r="A4038" s="20" t="s">
        <v>306</v>
      </c>
      <c r="E4038" s="21">
        <f>IF(D4038="?OLD","!!!","")</f>
        <v/>
      </c>
      <c r="F4038" s="22" t="str">
        <f>IF(OR(E4038="",E4038="!!!"),"",IF(NOT(ISNA(VLOOKUP(E4038,E$1:E4037,1,FALSE()))),"OLD",IF(AND(E4038&lt;&gt;"",E4038&lt;&gt;"!!!"),"NEW","")))</f>
        <v> </v>
      </c>
      <c r="G4038" s="23" t="str">
        <f>IF(OR(E4038="",E4038="!!!"),"",IF(OR(J4038=0,AND(J4038=1,K4038=1),AND(J4038=1,I4038="SBJ"),AND(J4038=1,I4038=0)),"?IN_FOCUS",IF(J4038&lt;=2,"?ACTIVATED",IF(J4038&lt;&gt;"","?FAMILIAR",IF(F4038="NEW",IF(ISNA(VLOOKUP(E4038,#REF!,1,FALSE())),"?TYPE_IDENTIFIABLE","?REFERENTIAL"),"_")))))</f>
        <v> </v>
      </c>
      <c r="H4038" s="24" t="str">
        <f>IF(J4038&lt;&gt;1,"",IF(I4038="SBJ","CB","?"))</f>
        <v> </v>
      </c>
      <c r="I4038" s="25" t="str">
        <f>IF(OR(E4038="",E4038="!!!",F4038="NEW"),"",INDEX(B4037:B$2,-1+SUMPRODUCT(MAX(ROW(E4037:E$2)*(E4038=E4037:E$2)))))</f>
        <v> </v>
      </c>
      <c r="J4038" s="25" t="str">
        <f>IF(OR(E4038="",E4038="!!!",F4038="NEW"),"",COUNTBLANK(OFFSET(A$1,,,SUMPRODUCT(MAX(ROW(E$2:E4038)*(E4038=E$2:E4038)))))-COUNTBLANK(OFFSET(A$1,,,SUMPRODUCT(MAX(ROW(E$1:E4037)*(E2=E$1:E4037))))))</f>
        <v> </v>
      </c>
      <c r="K4038" s="25" t="str">
        <f>IF(OR(E4038="",E4038="!!!",F4038="NEW"),"",INDEX(J$1:J4037,SUMPRODUCT(MAX(ROW(E$1:E4037)*(E4038=E$1:E4037)))))</f>
        <v> </v>
      </c>
      <c r="L4038" s="26"/>
    </row>
    <row r="4039" spans="1:12">
      <c r="A4039" s="20" t="s">
        <v>170</v>
      </c>
      <c r="B4039" s="27" t="s">
        <v>812</v>
      </c>
      <c r="C4039" s="27" t="s">
        <v>693</v>
      </c>
      <c r="D4039" s="27" t="s">
        <v>687</v>
      </c>
      <c r="E4039" s="21">
        <f>IF(D4039="?OLD","!!!","")</f>
        <v/>
      </c>
      <c r="F4039" s="22" t="str">
        <f>IF(OR(E4039="",E4039="!!!"),"",IF(NOT(ISNA(VLOOKUP(E4039,E$1:E4038,1,FALSE()))),"OLD",IF(AND(E4039&lt;&gt;"",E4039&lt;&gt;"!!!"),"NEW","")))</f>
        <v> </v>
      </c>
      <c r="G4039" s="23" t="str">
        <f>IF(OR(E4039="",E4039="!!!"),"",IF(OR(J4039=0,AND(J4039=1,K4039=1),AND(J4039=1,I4039="SBJ"),AND(J4039=1,I4039=0)),"?IN_FOCUS",IF(J4039&lt;=2,"?ACTIVATED",IF(J4039&lt;&gt;"","?FAMILIAR",IF(F4039="NEW",IF(ISNA(VLOOKUP(E4039,#REF!,1,FALSE())),"?TYPE_IDENTIFIABLE","?REFERENTIAL"),"_")))))</f>
        <v> </v>
      </c>
      <c r="H4039" s="24" t="str">
        <f>IF(J4039&lt;&gt;1,"",IF(I4039="SBJ","CB","?"))</f>
        <v> </v>
      </c>
      <c r="I4039" s="25" t="str">
        <f>IF(OR(E4039="",E4039="!!!",F4039="NEW"),"",INDEX(B4038:B$2,-1+SUMPRODUCT(MAX(ROW(E4038:E$2)*(E4039=E4038:E$2)))))</f>
        <v> </v>
      </c>
      <c r="J4039" s="25" t="str">
        <f>IF(OR(E4039="",E4039="!!!",F4039="NEW"),"",COUNTBLANK(OFFSET(A$1,,,SUMPRODUCT(MAX(ROW(E$2:E4039)*(E4039=E$2:E4039)))))-COUNTBLANK(OFFSET(A$1,,,SUMPRODUCT(MAX(ROW(E$1:E4038)*(E2=E$1:E4038))))))</f>
        <v> </v>
      </c>
      <c r="K4039" s="25" t="str">
        <f>IF(OR(E4039="",E4039="!!!",F4039="NEW"),"",INDEX(J$1:J4038,SUMPRODUCT(MAX(ROW(E$1:E4038)*(E4039=E$1:E4038)))))</f>
        <v> </v>
      </c>
      <c r="L4039" s="26"/>
    </row>
    <row r="4040" spans="1:12">
      <c r="A4040" s="20" t="s">
        <v>1888</v>
      </c>
      <c r="E4040" s="21">
        <f>IF(D4040="?OLD","!!!","")</f>
        <v/>
      </c>
      <c r="F4040" s="22" t="str">
        <f>IF(OR(E4040="",E4040="!!!"),"",IF(NOT(ISNA(VLOOKUP(E4040,E$1:E4039,1,FALSE()))),"OLD",IF(AND(E4040&lt;&gt;"",E4040&lt;&gt;"!!!"),"NEW","")))</f>
        <v> </v>
      </c>
      <c r="G4040" s="23" t="str">
        <f>IF(OR(E4040="",E4040="!!!"),"",IF(OR(J4040=0,AND(J4040=1,K4040=1),AND(J4040=1,I4040="SBJ"),AND(J4040=1,I4040=0)),"?IN_FOCUS",IF(J4040&lt;=2,"?ACTIVATED",IF(J4040&lt;&gt;"","?FAMILIAR",IF(F4040="NEW",IF(ISNA(VLOOKUP(E4040,#REF!,1,FALSE())),"?TYPE_IDENTIFIABLE","?REFERENTIAL"),"_")))))</f>
        <v> </v>
      </c>
      <c r="H4040" s="24" t="str">
        <f>IF(J4040&lt;&gt;1,"",IF(I4040="SBJ","CB","?"))</f>
        <v> </v>
      </c>
      <c r="I4040" s="25" t="str">
        <f>IF(OR(E4040="",E4040="!!!",F4040="NEW"),"",INDEX(B4039:B$2,-1+SUMPRODUCT(MAX(ROW(E4039:E$2)*(E4040=E4039:E$2)))))</f>
        <v> </v>
      </c>
      <c r="J4040" s="25" t="str">
        <f>IF(OR(E4040="",E4040="!!!",F4040="NEW"),"",COUNTBLANK(OFFSET(A$1,,,SUMPRODUCT(MAX(ROW(E$2:E4040)*(E4040=E$2:E4040)))))-COUNTBLANK(OFFSET(A$1,,,SUMPRODUCT(MAX(ROW(E$1:E4039)*(E2=E$1:E4039))))))</f>
        <v> </v>
      </c>
      <c r="K4040" s="25" t="str">
        <f>IF(OR(E4040="",E4040="!!!",F4040="NEW"),"",INDEX(J$1:J4039,SUMPRODUCT(MAX(ROW(E$1:E4039)*(E4040=E$1:E4039)))))</f>
        <v> </v>
      </c>
      <c r="L4040" s="26"/>
    </row>
    <row r="4041" spans="1:12">
      <c r="A4041" s="20" t="s">
        <v>682</v>
      </c>
      <c r="E4041" s="21">
        <f>IF(D4041="?OLD","!!!","")</f>
        <v/>
      </c>
      <c r="F4041" s="22" t="str">
        <f>IF(OR(E4041="",E4041="!!!"),"",IF(NOT(ISNA(VLOOKUP(E4041,E$1:E4040,1,FALSE()))),"OLD",IF(AND(E4041&lt;&gt;"",E4041&lt;&gt;"!!!"),"NEW","")))</f>
        <v> </v>
      </c>
      <c r="G4041" s="23" t="str">
        <f>IF(OR(E4041="",E4041="!!!"),"",IF(OR(J4041=0,AND(J4041=1,K4041=1),AND(J4041=1,I4041="SBJ"),AND(J4041=1,I4041=0)),"?IN_FOCUS",IF(J4041&lt;=2,"?ACTIVATED",IF(J4041&lt;&gt;"","?FAMILIAR",IF(F4041="NEW",IF(ISNA(VLOOKUP(E4041,#REF!,1,FALSE())),"?TYPE_IDENTIFIABLE","?REFERENTIAL"),"_")))))</f>
        <v> </v>
      </c>
      <c r="H4041" s="24" t="str">
        <f>IF(J4041&lt;&gt;1,"",IF(I4041="SBJ","CB","?"))</f>
        <v> </v>
      </c>
      <c r="I4041" s="25" t="str">
        <f>IF(OR(E4041="",E4041="!!!",F4041="NEW"),"",INDEX(B4040:B$2,-1+SUMPRODUCT(MAX(ROW(E4040:E$2)*(E4041=E4040:E$2)))))</f>
        <v> </v>
      </c>
      <c r="J4041" s="25" t="str">
        <f>IF(OR(E4041="",E4041="!!!",F4041="NEW"),"",COUNTBLANK(OFFSET(A$1,,,SUMPRODUCT(MAX(ROW(E$2:E4041)*(E4041=E$2:E4041)))))-COUNTBLANK(OFFSET(A$1,,,SUMPRODUCT(MAX(ROW(E$1:E4040)*(E2=E$1:E4040))))))</f>
        <v> </v>
      </c>
      <c r="K4041" s="25" t="str">
        <f>IF(OR(E4041="",E4041="!!!",F4041="NEW"),"",INDEX(J$1:J4040,SUMPRODUCT(MAX(ROW(E$1:E4040)*(E4041=E$1:E4040)))))</f>
        <v> </v>
      </c>
      <c r="L4041" s="26"/>
    </row>
    <row r="4042" spans="1:12">
      <c r="A4042" s="20" t="s">
        <v>703</v>
      </c>
      <c r="E4042" s="21">
        <f>IF(D4042="?OLD","!!!","")</f>
        <v/>
      </c>
      <c r="F4042" s="22" t="str">
        <f>IF(OR(E4042="",E4042="!!!"),"",IF(NOT(ISNA(VLOOKUP(E4042,E$1:E4041,1,FALSE()))),"OLD",IF(AND(E4042&lt;&gt;"",E4042&lt;&gt;"!!!"),"NEW","")))</f>
        <v> </v>
      </c>
      <c r="G4042" s="23" t="str">
        <f>IF(OR(E4042="",E4042="!!!"),"",IF(OR(J4042=0,AND(J4042=1,K4042=1),AND(J4042=1,I4042="SBJ"),AND(J4042=1,I4042=0)),"?IN_FOCUS",IF(J4042&lt;=2,"?ACTIVATED",IF(J4042&lt;&gt;"","?FAMILIAR",IF(F4042="NEW",IF(ISNA(VLOOKUP(E4042,#REF!,1,FALSE())),"?TYPE_IDENTIFIABLE","?REFERENTIAL"),"_")))))</f>
        <v> </v>
      </c>
      <c r="H4042" s="24" t="str">
        <f>IF(J4042&lt;&gt;1,"",IF(I4042="SBJ","CB","?"))</f>
        <v> </v>
      </c>
      <c r="I4042" s="25" t="str">
        <f>IF(OR(E4042="",E4042="!!!",F4042="NEW"),"",INDEX(B4041:B$2,-1+SUMPRODUCT(MAX(ROW(E4041:E$2)*(E4042=E4041:E$2)))))</f>
        <v> </v>
      </c>
      <c r="J4042" s="25" t="str">
        <f>IF(OR(E4042="",E4042="!!!",F4042="NEW"),"",COUNTBLANK(OFFSET(A$1,,,SUMPRODUCT(MAX(ROW(E$2:E4042)*(E4042=E$2:E4042)))))-COUNTBLANK(OFFSET(A$1,,,SUMPRODUCT(MAX(ROW(E$1:E4041)*(E2=E$1:E4041))))))</f>
        <v> </v>
      </c>
      <c r="K4042" s="25" t="str">
        <f>IF(OR(E4042="",E4042="!!!",F4042="NEW"),"",INDEX(J$1:J4041,SUMPRODUCT(MAX(ROW(E$1:E4041)*(E4042=E$1:E4041)))))</f>
        <v> </v>
      </c>
      <c r="L4042" s="26"/>
    </row>
    <row r="4043" spans="1:12">
      <c r="A4043" s="20" t="s">
        <v>683</v>
      </c>
      <c r="E4043" s="21">
        <f>IF(D4043="?OLD","!!!","")</f>
        <v/>
      </c>
      <c r="F4043" s="22" t="str">
        <f>IF(OR(E4043="",E4043="!!!"),"",IF(NOT(ISNA(VLOOKUP(E4043,E$1:E4042,1,FALSE()))),"OLD",IF(AND(E4043&lt;&gt;"",E4043&lt;&gt;"!!!"),"NEW","")))</f>
        <v> </v>
      </c>
      <c r="G4043" s="23" t="str">
        <f>IF(OR(E4043="",E4043="!!!"),"",IF(OR(J4043=0,AND(J4043=1,K4043=1),AND(J4043=1,I4043="SBJ"),AND(J4043=1,I4043=0)),"?IN_FOCUS",IF(J4043&lt;=2,"?ACTIVATED",IF(J4043&lt;&gt;"","?FAMILIAR",IF(F4043="NEW",IF(ISNA(VLOOKUP(E4043,#REF!,1,FALSE())),"?TYPE_IDENTIFIABLE","?REFERENTIAL"),"_")))))</f>
        <v> </v>
      </c>
      <c r="H4043" s="24" t="str">
        <f>IF(J4043&lt;&gt;1,"",IF(I4043="SBJ","CB","?"))</f>
        <v> </v>
      </c>
      <c r="I4043" s="25" t="str">
        <f>IF(OR(E4043="",E4043="!!!",F4043="NEW"),"",INDEX(B4042:B$2,-1+SUMPRODUCT(MAX(ROW(E4042:E$2)*(E4043=E4042:E$2)))))</f>
        <v> </v>
      </c>
      <c r="J4043" s="25" t="str">
        <f>IF(OR(E4043="",E4043="!!!",F4043="NEW"),"",COUNTBLANK(OFFSET(A$1,,,SUMPRODUCT(MAX(ROW(E$2:E4043)*(E4043=E$2:E4043)))))-COUNTBLANK(OFFSET(A$1,,,SUMPRODUCT(MAX(ROW(E$1:E4042)*(E2=E$1:E4042))))))</f>
        <v> </v>
      </c>
      <c r="K4043" s="25" t="str">
        <f>IF(OR(E4043="",E4043="!!!",F4043="NEW"),"",INDEX(J$1:J4042,SUMPRODUCT(MAX(ROW(E$1:E4042)*(E4043=E$1:E4042)))))</f>
        <v> </v>
      </c>
      <c r="L4043" s="26"/>
    </row>
    <row r="4044" spans="1:12">
      <c r="A4044" s="20" t="s">
        <v>1404</v>
      </c>
      <c r="B4044" s="27" t="s">
        <v>744</v>
      </c>
      <c r="C4044" s="27" t="s">
        <v>772</v>
      </c>
      <c r="D4044" s="27" t="s">
        <v>687</v>
      </c>
      <c r="E4044" s="21">
        <f>IF(D4044="?OLD","!!!","")</f>
        <v/>
      </c>
      <c r="F4044" s="22" t="str">
        <f>IF(OR(E4044="",E4044="!!!"),"",IF(NOT(ISNA(VLOOKUP(E4044,E$1:E4043,1,FALSE()))),"OLD",IF(AND(E4044&lt;&gt;"",E4044&lt;&gt;"!!!"),"NEW","")))</f>
        <v> </v>
      </c>
      <c r="G4044" s="23" t="str">
        <f>IF(OR(E4044="",E4044="!!!"),"",IF(OR(J4044=0,AND(J4044=1,K4044=1),AND(J4044=1,I4044="SBJ"),AND(J4044=1,I4044=0)),"?IN_FOCUS",IF(J4044&lt;=2,"?ACTIVATED",IF(J4044&lt;&gt;"","?FAMILIAR",IF(F4044="NEW",IF(ISNA(VLOOKUP(E4044,#REF!,1,FALSE())),"?TYPE_IDENTIFIABLE","?REFERENTIAL"),"_")))))</f>
        <v> </v>
      </c>
      <c r="H4044" s="24" t="str">
        <f>IF(J4044&lt;&gt;1,"",IF(I4044="SBJ","CB","?"))</f>
        <v> </v>
      </c>
      <c r="I4044" s="25" t="str">
        <f>IF(OR(E4044="",E4044="!!!",F4044="NEW"),"",INDEX(B4043:B$2,-1+SUMPRODUCT(MAX(ROW(E4043:E$2)*(E4044=E4043:E$2)))))</f>
        <v> </v>
      </c>
      <c r="J4044" s="25" t="str">
        <f>IF(OR(E4044="",E4044="!!!",F4044="NEW"),"",COUNTBLANK(OFFSET(A$1,,,SUMPRODUCT(MAX(ROW(E$2:E4044)*(E4044=E$2:E4044)))))-COUNTBLANK(OFFSET(A$1,,,SUMPRODUCT(MAX(ROW(E$1:E4043)*(E2=E$1:E4043))))))</f>
        <v> </v>
      </c>
      <c r="K4044" s="25" t="str">
        <f>IF(OR(E4044="",E4044="!!!",F4044="NEW"),"",INDEX(J$1:J4043,SUMPRODUCT(MAX(ROW(E$1:E4043)*(E4044=E$1:E4043)))))</f>
        <v> </v>
      </c>
      <c r="L4044" s="26"/>
    </row>
    <row r="4045" spans="1:12">
      <c r="A4045" s="20" t="s">
        <v>1902</v>
      </c>
      <c r="B4045" s="27" t="s">
        <v>1066</v>
      </c>
      <c r="C4045" s="27" t="s">
        <v>693</v>
      </c>
      <c r="D4045" s="27" t="s">
        <v>687</v>
      </c>
      <c r="E4045" s="21">
        <f>IF(D4045="?OLD","!!!","")</f>
        <v/>
      </c>
      <c r="F4045" s="22" t="str">
        <f>IF(OR(E4045="",E4045="!!!"),"",IF(NOT(ISNA(VLOOKUP(E4045,E$1:E4044,1,FALSE()))),"OLD",IF(AND(E4045&lt;&gt;"",E4045&lt;&gt;"!!!"),"NEW","")))</f>
        <v> </v>
      </c>
      <c r="G4045" s="23" t="str">
        <f>IF(OR(E4045="",E4045="!!!"),"",IF(OR(J4045=0,AND(J4045=1,K4045=1),AND(J4045=1,I4045="SBJ"),AND(J4045=1,I4045=0)),"?IN_FOCUS",IF(J4045&lt;=2,"?ACTIVATED",IF(J4045&lt;&gt;"","?FAMILIAR",IF(F4045="NEW",IF(ISNA(VLOOKUP(E4045,#REF!,1,FALSE())),"?TYPE_IDENTIFIABLE","?REFERENTIAL"),"_")))))</f>
        <v> </v>
      </c>
      <c r="H4045" s="24" t="str">
        <f>IF(J4045&lt;&gt;1,"",IF(I4045="SBJ","CB","?"))</f>
        <v> </v>
      </c>
      <c r="I4045" s="25" t="str">
        <f>IF(OR(E4045="",E4045="!!!",F4045="NEW"),"",INDEX(B4044:B$2,-1+SUMPRODUCT(MAX(ROW(E4044:E$2)*(E4045=E4044:E$2)))))</f>
        <v> </v>
      </c>
      <c r="J4045" s="25" t="str">
        <f>IF(OR(E4045="",E4045="!!!",F4045="NEW"),"",COUNTBLANK(OFFSET(A$1,,,SUMPRODUCT(MAX(ROW(E$2:E4045)*(E4045=E$2:E4045)))))-COUNTBLANK(OFFSET(A$1,,,SUMPRODUCT(MAX(ROW(E$1:E4044)*(E2=E$1:E4044))))))</f>
        <v> </v>
      </c>
      <c r="K4045" s="25" t="str">
        <f>IF(OR(E4045="",E4045="!!!",F4045="NEW"),"",INDEX(J$1:J4044,SUMPRODUCT(MAX(ROW(E$1:E4044)*(E4045=E$1:E4044)))))</f>
        <v> </v>
      </c>
      <c r="L4045" s="26"/>
    </row>
    <row r="4046" spans="1:12">
      <c r="A4046" s="20" t="s">
        <v>708</v>
      </c>
      <c r="E4046" s="21">
        <f>IF(D4046="?OLD","!!!","")</f>
        <v/>
      </c>
      <c r="F4046" s="22" t="str">
        <f>IF(OR(E4046="",E4046="!!!"),"",IF(NOT(ISNA(VLOOKUP(E4046,E$1:E4045,1,FALSE()))),"OLD",IF(AND(E4046&lt;&gt;"",E4046&lt;&gt;"!!!"),"NEW","")))</f>
        <v> </v>
      </c>
      <c r="G4046" s="23" t="str">
        <f>IF(OR(E4046="",E4046="!!!"),"",IF(OR(J4046=0,AND(J4046=1,K4046=1),AND(J4046=1,I4046="SBJ"),AND(J4046=1,I4046=0)),"?IN_FOCUS",IF(J4046&lt;=2,"?ACTIVATED",IF(J4046&lt;&gt;"","?FAMILIAR",IF(F4046="NEW",IF(ISNA(VLOOKUP(E4046,#REF!,1,FALSE())),"?TYPE_IDENTIFIABLE","?REFERENTIAL"),"_")))))</f>
        <v> </v>
      </c>
      <c r="H4046" s="24" t="str">
        <f>IF(J4046&lt;&gt;1,"",IF(I4046="SBJ","CB","?"))</f>
        <v> </v>
      </c>
      <c r="I4046" s="25" t="str">
        <f>IF(OR(E4046="",E4046="!!!",F4046="NEW"),"",INDEX(B4045:B$2,-1+SUMPRODUCT(MAX(ROW(E4045:E$2)*(E4046=E4045:E$2)))))</f>
        <v> </v>
      </c>
      <c r="J4046" s="25" t="str">
        <f>IF(OR(E4046="",E4046="!!!",F4046="NEW"),"",COUNTBLANK(OFFSET(A$1,,,SUMPRODUCT(MAX(ROW(E$2:E4046)*(E4046=E$2:E4046)))))-COUNTBLANK(OFFSET(A$1,,,SUMPRODUCT(MAX(ROW(E$1:E4045)*(E2=E$1:E4045))))))</f>
        <v> </v>
      </c>
      <c r="K4046" s="25" t="str">
        <f>IF(OR(E4046="",E4046="!!!",F4046="NEW"),"",INDEX(J$1:J4045,SUMPRODUCT(MAX(ROW(E$1:E4045)*(E4046=E$1:E4045)))))</f>
        <v> </v>
      </c>
      <c r="L4046" s="26"/>
    </row>
    <row r="4047" spans="1:12">
      <c r="A4047" s="20" t="s">
        <v>683</v>
      </c>
      <c r="E4047" s="21">
        <f>IF(D4047="?OLD","!!!","")</f>
        <v/>
      </c>
      <c r="F4047" s="22" t="str">
        <f>IF(OR(E4047="",E4047="!!!"),"",IF(NOT(ISNA(VLOOKUP(E4047,E$1:E4046,1,FALSE()))),"OLD",IF(AND(E4047&lt;&gt;"",E4047&lt;&gt;"!!!"),"NEW","")))</f>
        <v> </v>
      </c>
      <c r="G4047" s="23" t="str">
        <f>IF(OR(E4047="",E4047="!!!"),"",IF(OR(J4047=0,AND(J4047=1,K4047=1),AND(J4047=1,I4047="SBJ"),AND(J4047=1,I4047=0)),"?IN_FOCUS",IF(J4047&lt;=2,"?ACTIVATED",IF(J4047&lt;&gt;"","?FAMILIAR",IF(F4047="NEW",IF(ISNA(VLOOKUP(E4047,#REF!,1,FALSE())),"?TYPE_IDENTIFIABLE","?REFERENTIAL"),"_")))))</f>
        <v> </v>
      </c>
      <c r="H4047" s="24" t="str">
        <f>IF(J4047&lt;&gt;1,"",IF(I4047="SBJ","CB","?"))</f>
        <v> </v>
      </c>
      <c r="I4047" s="25" t="str">
        <f>IF(OR(E4047="",E4047="!!!",F4047="NEW"),"",INDEX(B4046:B$2,-1+SUMPRODUCT(MAX(ROW(E4046:E$2)*(E4047=E4046:E$2)))))</f>
        <v> </v>
      </c>
      <c r="J4047" s="25" t="str">
        <f>IF(OR(E4047="",E4047="!!!",F4047="NEW"),"",COUNTBLANK(OFFSET(A$1,,,SUMPRODUCT(MAX(ROW(E$2:E4047)*(E4047=E$2:E4047)))))-COUNTBLANK(OFFSET(A$1,,,SUMPRODUCT(MAX(ROW(E$1:E4046)*(E2=E$1:E4046))))))</f>
        <v> </v>
      </c>
      <c r="K4047" s="25" t="str">
        <f>IF(OR(E4047="",E4047="!!!",F4047="NEW"),"",INDEX(J$1:J4046,SUMPRODUCT(MAX(ROW(E$1:E4046)*(E4047=E$1:E4046)))))</f>
        <v> </v>
      </c>
      <c r="L4047" s="26"/>
    </row>
    <row r="4048" spans="1:12">
      <c r="A4048" s="20" t="s">
        <v>1574</v>
      </c>
      <c r="B4048" s="27" t="s">
        <v>744</v>
      </c>
      <c r="C4048" s="27" t="s">
        <v>686</v>
      </c>
      <c r="D4048" s="27" t="s">
        <v>687</v>
      </c>
      <c r="E4048" s="21">
        <f>IF(D4048="?OLD","!!!","")</f>
        <v/>
      </c>
      <c r="F4048" s="22" t="str">
        <f>IF(OR(E4048="",E4048="!!!"),"",IF(NOT(ISNA(VLOOKUP(E4048,E$1:E4047,1,FALSE()))),"OLD",IF(AND(E4048&lt;&gt;"",E4048&lt;&gt;"!!!"),"NEW","")))</f>
        <v> </v>
      </c>
      <c r="G4048" s="23" t="str">
        <f>IF(OR(E4048="",E4048="!!!"),"",IF(OR(J4048=0,AND(J4048=1,K4048=1),AND(J4048=1,I4048="SBJ"),AND(J4048=1,I4048=0)),"?IN_FOCUS",IF(J4048&lt;=2,"?ACTIVATED",IF(J4048&lt;&gt;"","?FAMILIAR",IF(F4048="NEW",IF(ISNA(VLOOKUP(E4048,#REF!,1,FALSE())),"?TYPE_IDENTIFIABLE","?REFERENTIAL"),"_")))))</f>
        <v> </v>
      </c>
      <c r="H4048" s="24" t="str">
        <f>IF(J4048&lt;&gt;1,"",IF(I4048="SBJ","CB","?"))</f>
        <v> </v>
      </c>
      <c r="I4048" s="25" t="str">
        <f>IF(OR(E4048="",E4048="!!!",F4048="NEW"),"",INDEX(B4047:B$2,-1+SUMPRODUCT(MAX(ROW(E4047:E$2)*(E4048=E4047:E$2)))))</f>
        <v> </v>
      </c>
      <c r="J4048" s="25" t="str">
        <f>IF(OR(E4048="",E4048="!!!",F4048="NEW"),"",COUNTBLANK(OFFSET(A$1,,,SUMPRODUCT(MAX(ROW(E$2:E4048)*(E4048=E$2:E4048)))))-COUNTBLANK(OFFSET(A$1,,,SUMPRODUCT(MAX(ROW(E$1:E4047)*(E2=E$1:E4047))))))</f>
        <v> </v>
      </c>
      <c r="K4048" s="25" t="str">
        <f>IF(OR(E4048="",E4048="!!!",F4048="NEW"),"",INDEX(J$1:J4047,SUMPRODUCT(MAX(ROW(E$1:E4047)*(E4048=E$1:E4047)))))</f>
        <v> </v>
      </c>
      <c r="L4048" s="26"/>
    </row>
    <row r="4049" spans="1:12">
      <c r="A4049" s="20" t="s">
        <v>1197</v>
      </c>
      <c r="E4049" s="21">
        <f>IF(D4049="?OLD","!!!","")</f>
        <v/>
      </c>
      <c r="F4049" s="22" t="str">
        <f>IF(OR(E4049="",E4049="!!!"),"",IF(NOT(ISNA(VLOOKUP(E4049,E$1:E4048,1,FALSE()))),"OLD",IF(AND(E4049&lt;&gt;"",E4049&lt;&gt;"!!!"),"NEW","")))</f>
        <v> </v>
      </c>
      <c r="G4049" s="23" t="str">
        <f>IF(OR(E4049="",E4049="!!!"),"",IF(OR(J4049=0,AND(J4049=1,K4049=1),AND(J4049=1,I4049="SBJ"),AND(J4049=1,I4049=0)),"?IN_FOCUS",IF(J4049&lt;=2,"?ACTIVATED",IF(J4049&lt;&gt;"","?FAMILIAR",IF(F4049="NEW",IF(ISNA(VLOOKUP(E4049,#REF!,1,FALSE())),"?TYPE_IDENTIFIABLE","?REFERENTIAL"),"_")))))</f>
        <v> </v>
      </c>
      <c r="H4049" s="24" t="str">
        <f>IF(J4049&lt;&gt;1,"",IF(I4049="SBJ","CB","?"))</f>
        <v> </v>
      </c>
      <c r="I4049" s="25" t="str">
        <f>IF(OR(E4049="",E4049="!!!",F4049="NEW"),"",INDEX(B4048:B$2,-1+SUMPRODUCT(MAX(ROW(E4048:E$2)*(E4049=E4048:E$2)))))</f>
        <v> </v>
      </c>
      <c r="J4049" s="25" t="str">
        <f>IF(OR(E4049="",E4049="!!!",F4049="NEW"),"",COUNTBLANK(OFFSET(A$1,,,SUMPRODUCT(MAX(ROW(E$2:E4049)*(E4049=E$2:E4049)))))-COUNTBLANK(OFFSET(A$1,,,SUMPRODUCT(MAX(ROW(E$1:E4048)*(E2=E$1:E4048))))))</f>
        <v> </v>
      </c>
      <c r="K4049" s="25" t="str">
        <f>IF(OR(E4049="",E4049="!!!",F4049="NEW"),"",INDEX(J$1:J4048,SUMPRODUCT(MAX(ROW(E$1:E4048)*(E4049=E$1:E4048)))))</f>
        <v> </v>
      </c>
      <c r="L4049" s="26"/>
    </row>
    <row r="4050" spans="1:12">
      <c r="A4050" s="20" t="s">
        <v>683</v>
      </c>
      <c r="E4050" s="21">
        <f>IF(D4050="?OLD","!!!","")</f>
        <v/>
      </c>
      <c r="F4050" s="22" t="str">
        <f>IF(OR(E4050="",E4050="!!!"),"",IF(NOT(ISNA(VLOOKUP(E4050,E$1:E4049,1,FALSE()))),"OLD",IF(AND(E4050&lt;&gt;"",E4050&lt;&gt;"!!!"),"NEW","")))</f>
        <v> </v>
      </c>
      <c r="G4050" s="23" t="str">
        <f>IF(OR(E4050="",E4050="!!!"),"",IF(OR(J4050=0,AND(J4050=1,K4050=1),AND(J4050=1,I4050="SBJ"),AND(J4050=1,I4050=0)),"?IN_FOCUS",IF(J4050&lt;=2,"?ACTIVATED",IF(J4050&lt;&gt;"","?FAMILIAR",IF(F4050="NEW",IF(ISNA(VLOOKUP(E4050,#REF!,1,FALSE())),"?TYPE_IDENTIFIABLE","?REFERENTIAL"),"_")))))</f>
        <v> </v>
      </c>
      <c r="H4050" s="24" t="str">
        <f>IF(J4050&lt;&gt;1,"",IF(I4050="SBJ","CB","?"))</f>
        <v> </v>
      </c>
      <c r="I4050" s="25" t="str">
        <f>IF(OR(E4050="",E4050="!!!",F4050="NEW"),"",INDEX(B4049:B$2,-1+SUMPRODUCT(MAX(ROW(E4049:E$2)*(E4050=E4049:E$2)))))</f>
        <v> </v>
      </c>
      <c r="J4050" s="25" t="str">
        <f>IF(OR(E4050="",E4050="!!!",F4050="NEW"),"",COUNTBLANK(OFFSET(A$1,,,SUMPRODUCT(MAX(ROW(E$2:E4050)*(E4050=E$2:E4050)))))-COUNTBLANK(OFFSET(A$1,,,SUMPRODUCT(MAX(ROW(E$1:E4049)*(E2=E$1:E4049))))))</f>
        <v> </v>
      </c>
      <c r="K4050" s="25" t="str">
        <f>IF(OR(E4050="",E4050="!!!",F4050="NEW"),"",INDEX(J$1:J4049,SUMPRODUCT(MAX(ROW(E$1:E4049)*(E4050=E$1:E4049)))))</f>
        <v> </v>
      </c>
      <c r="L4050" s="26"/>
    </row>
    <row r="4051" spans="1:12">
      <c r="A4051" s="20" t="s">
        <v>1903</v>
      </c>
      <c r="B4051" s="27" t="s">
        <v>843</v>
      </c>
      <c r="C4051" s="27" t="s">
        <v>745</v>
      </c>
      <c r="D4051" s="27" t="s">
        <v>687</v>
      </c>
      <c r="E4051" s="21">
        <f>IF(D4051="?OLD","!!!","")</f>
        <v/>
      </c>
      <c r="F4051" s="22" t="str">
        <f>IF(OR(E4051="",E4051="!!!"),"",IF(NOT(ISNA(VLOOKUP(E4051,E$1:E4050,1,FALSE()))),"OLD",IF(AND(E4051&lt;&gt;"",E4051&lt;&gt;"!!!"),"NEW","")))</f>
        <v> </v>
      </c>
      <c r="G4051" s="23" t="str">
        <f>IF(OR(E4051="",E4051="!!!"),"",IF(OR(J4051=0,AND(J4051=1,K4051=1),AND(J4051=1,I4051="SBJ"),AND(J4051=1,I4051=0)),"?IN_FOCUS",IF(J4051&lt;=2,"?ACTIVATED",IF(J4051&lt;&gt;"","?FAMILIAR",IF(F4051="NEW",IF(ISNA(VLOOKUP(E4051,#REF!,1,FALSE())),"?TYPE_IDENTIFIABLE","?REFERENTIAL"),"_")))))</f>
        <v> </v>
      </c>
      <c r="H4051" s="24" t="str">
        <f>IF(J4051&lt;&gt;1,"",IF(I4051="SBJ","CB","?"))</f>
        <v> </v>
      </c>
      <c r="I4051" s="25" t="str">
        <f>IF(OR(E4051="",E4051="!!!",F4051="NEW"),"",INDEX(B4050:B$2,-1+SUMPRODUCT(MAX(ROW(E4050:E$2)*(E4051=E4050:E$2)))))</f>
        <v> </v>
      </c>
      <c r="J4051" s="25" t="str">
        <f>IF(OR(E4051="",E4051="!!!",F4051="NEW"),"",COUNTBLANK(OFFSET(A$1,,,SUMPRODUCT(MAX(ROW(E$2:E4051)*(E4051=E$2:E4051)))))-COUNTBLANK(OFFSET(A$1,,,SUMPRODUCT(MAX(ROW(E$1:E4050)*(E2=E$1:E4050))))))</f>
        <v> </v>
      </c>
      <c r="K4051" s="25" t="str">
        <f>IF(OR(E4051="",E4051="!!!",F4051="NEW"),"",INDEX(J$1:J4050,SUMPRODUCT(MAX(ROW(E$1:E4050)*(E4051=E$1:E4050)))))</f>
        <v> </v>
      </c>
      <c r="L4051" s="26"/>
    </row>
    <row r="4052" spans="1:12">
      <c r="A4052" s="20" t="s">
        <v>682</v>
      </c>
      <c r="E4052" s="21">
        <f>IF(D4052="?OLD","!!!","")</f>
        <v/>
      </c>
      <c r="F4052" s="22" t="str">
        <f>IF(OR(E4052="",E4052="!!!"),"",IF(NOT(ISNA(VLOOKUP(E4052,E$1:E4051,1,FALSE()))),"OLD",IF(AND(E4052&lt;&gt;"",E4052&lt;&gt;"!!!"),"NEW","")))</f>
        <v> </v>
      </c>
      <c r="G4052" s="23" t="str">
        <f>IF(OR(E4052="",E4052="!!!"),"",IF(OR(J4052=0,AND(J4052=1,K4052=1),AND(J4052=1,I4052="SBJ"),AND(J4052=1,I4052=0)),"?IN_FOCUS",IF(J4052&lt;=2,"?ACTIVATED",IF(J4052&lt;&gt;"","?FAMILIAR",IF(F4052="NEW",IF(ISNA(VLOOKUP(E4052,#REF!,1,FALSE())),"?TYPE_IDENTIFIABLE","?REFERENTIAL"),"_")))))</f>
        <v> </v>
      </c>
      <c r="H4052" s="24" t="str">
        <f>IF(J4052&lt;&gt;1,"",IF(I4052="SBJ","CB","?"))</f>
        <v> </v>
      </c>
      <c r="I4052" s="25" t="str">
        <f>IF(OR(E4052="",E4052="!!!",F4052="NEW"),"",INDEX(B4051:B$2,-1+SUMPRODUCT(MAX(ROW(E4051:E$2)*(E4052=E4051:E$2)))))</f>
        <v> </v>
      </c>
      <c r="J4052" s="25" t="str">
        <f>IF(OR(E4052="",E4052="!!!",F4052="NEW"),"",COUNTBLANK(OFFSET(A$1,,,SUMPRODUCT(MAX(ROW(E$2:E4052)*(E4052=E$2:E4052)))))-COUNTBLANK(OFFSET(A$1,,,SUMPRODUCT(MAX(ROW(E$1:E4051)*(E2=E$1:E4051))))))</f>
        <v> </v>
      </c>
      <c r="K4052" s="25" t="str">
        <f>IF(OR(E4052="",E4052="!!!",F4052="NEW"),"",INDEX(J$1:J4051,SUMPRODUCT(MAX(ROW(E$1:E4051)*(E4052=E$1:E4051)))))</f>
        <v> </v>
      </c>
      <c r="L4052" s="26"/>
    </row>
    <row r="4053" spans="1:12">
      <c r="A4053" s="20" t="s">
        <v>683</v>
      </c>
      <c r="E4053" s="21">
        <f>IF(D4053="?OLD","!!!","")</f>
        <v/>
      </c>
      <c r="F4053" s="22" t="str">
        <f>IF(OR(E4053="",E4053="!!!"),"",IF(NOT(ISNA(VLOOKUP(E4053,E$1:E4052,1,FALSE()))),"OLD",IF(AND(E4053&lt;&gt;"",E4053&lt;&gt;"!!!"),"NEW","")))</f>
        <v> </v>
      </c>
      <c r="G4053" s="23" t="str">
        <f>IF(OR(E4053="",E4053="!!!"),"",IF(OR(J4053=0,AND(J4053=1,K4053=1),AND(J4053=1,I4053="SBJ"),AND(J4053=1,I4053=0)),"?IN_FOCUS",IF(J4053&lt;=2,"?ACTIVATED",IF(J4053&lt;&gt;"","?FAMILIAR",IF(F4053="NEW",IF(ISNA(VLOOKUP(E4053,#REF!,1,FALSE())),"?TYPE_IDENTIFIABLE","?REFERENTIAL"),"_")))))</f>
        <v> </v>
      </c>
      <c r="H4053" s="24" t="str">
        <f>IF(J4053&lt;&gt;1,"",IF(I4053="SBJ","CB","?"))</f>
        <v> </v>
      </c>
      <c r="I4053" s="25" t="str">
        <f>IF(OR(E4053="",E4053="!!!",F4053="NEW"),"",INDEX(B4052:B$2,-1+SUMPRODUCT(MAX(ROW(E4052:E$2)*(E4053=E4052:E$2)))))</f>
        <v> </v>
      </c>
      <c r="J4053" s="25" t="str">
        <f>IF(OR(E4053="",E4053="!!!",F4053="NEW"),"",COUNTBLANK(OFFSET(A$1,,,SUMPRODUCT(MAX(ROW(E$2:E4053)*(E4053=E$2:E4053)))))-COUNTBLANK(OFFSET(A$1,,,SUMPRODUCT(MAX(ROW(E$1:E4052)*(E2=E$1:E4052))))))</f>
        <v> </v>
      </c>
      <c r="K4053" s="25" t="str">
        <f>IF(OR(E4053="",E4053="!!!",F4053="NEW"),"",INDEX(J$1:J4052,SUMPRODUCT(MAX(ROW(E$1:E4052)*(E4053=E$1:E4052)))))</f>
        <v> </v>
      </c>
      <c r="L4053" s="26"/>
    </row>
    <row r="4054" spans="1:12">
      <c r="A4054" s="20" t="s">
        <v>795</v>
      </c>
      <c r="B4054" s="27" t="s">
        <v>843</v>
      </c>
      <c r="C4054" s="27" t="s">
        <v>693</v>
      </c>
      <c r="D4054" s="27" t="s">
        <v>687</v>
      </c>
      <c r="E4054" s="21">
        <f>IF(D4054="?OLD","!!!","")</f>
        <v/>
      </c>
      <c r="F4054" s="22" t="str">
        <f>IF(OR(E4054="",E4054="!!!"),"",IF(NOT(ISNA(VLOOKUP(E4054,E$1:E4053,1,FALSE()))),"OLD",IF(AND(E4054&lt;&gt;"",E4054&lt;&gt;"!!!"),"NEW","")))</f>
        <v> </v>
      </c>
      <c r="G4054" s="23" t="str">
        <f>IF(OR(E4054="",E4054="!!!"),"",IF(OR(J4054=0,AND(J4054=1,K4054=1),AND(J4054=1,I4054="SBJ"),AND(J4054=1,I4054=0)),"?IN_FOCUS",IF(J4054&lt;=2,"?ACTIVATED",IF(J4054&lt;&gt;"","?FAMILIAR",IF(F4054="NEW",IF(ISNA(VLOOKUP(E4054,#REF!,1,FALSE())),"?TYPE_IDENTIFIABLE","?REFERENTIAL"),"_")))))</f>
        <v> </v>
      </c>
      <c r="H4054" s="24" t="str">
        <f>IF(J4054&lt;&gt;1,"",IF(I4054="SBJ","CB","?"))</f>
        <v> </v>
      </c>
      <c r="I4054" s="25" t="str">
        <f>IF(OR(E4054="",E4054="!!!",F4054="NEW"),"",INDEX(B4053:B$2,-1+SUMPRODUCT(MAX(ROW(E4053:E$2)*(E4054=E4053:E$2)))))</f>
        <v> </v>
      </c>
      <c r="J4054" s="25" t="str">
        <f>IF(OR(E4054="",E4054="!!!",F4054="NEW"),"",COUNTBLANK(OFFSET(A$1,,,SUMPRODUCT(MAX(ROW(E$2:E4054)*(E4054=E$2:E4054)))))-COUNTBLANK(OFFSET(A$1,,,SUMPRODUCT(MAX(ROW(E$1:E4053)*(E2=E$1:E4053))))))</f>
        <v> </v>
      </c>
      <c r="K4054" s="25" t="str">
        <f>IF(OR(E4054="",E4054="!!!",F4054="NEW"),"",INDEX(J$1:J4053,SUMPRODUCT(MAX(ROW(E$1:E4053)*(E4054=E$1:E4053)))))</f>
        <v> </v>
      </c>
      <c r="L4054" s="26"/>
    </row>
    <row r="4055" spans="1:12">
      <c r="A4055" s="20" t="s">
        <v>1904</v>
      </c>
      <c r="E4055" s="21">
        <f>IF(D4055="?OLD","!!!","")</f>
        <v/>
      </c>
      <c r="F4055" s="22" t="str">
        <f>IF(OR(E4055="",E4055="!!!"),"",IF(NOT(ISNA(VLOOKUP(E4055,E$1:E4054,1,FALSE()))),"OLD",IF(AND(E4055&lt;&gt;"",E4055&lt;&gt;"!!!"),"NEW","")))</f>
        <v> </v>
      </c>
      <c r="G4055" s="23" t="str">
        <f>IF(OR(E4055="",E4055="!!!"),"",IF(OR(J4055=0,AND(J4055=1,K4055=1),AND(J4055=1,I4055="SBJ"),AND(J4055=1,I4055=0)),"?IN_FOCUS",IF(J4055&lt;=2,"?ACTIVATED",IF(J4055&lt;&gt;"","?FAMILIAR",IF(F4055="NEW",IF(ISNA(VLOOKUP(E4055,#REF!,1,FALSE())),"?TYPE_IDENTIFIABLE","?REFERENTIAL"),"_")))))</f>
        <v> </v>
      </c>
      <c r="H4055" s="24" t="str">
        <f>IF(J4055&lt;&gt;1,"",IF(I4055="SBJ","CB","?"))</f>
        <v> </v>
      </c>
      <c r="I4055" s="25" t="str">
        <f>IF(OR(E4055="",E4055="!!!",F4055="NEW"),"",INDEX(B4054:B$2,-1+SUMPRODUCT(MAX(ROW(E4054:E$2)*(E4055=E4054:E$2)))))</f>
        <v> </v>
      </c>
      <c r="J4055" s="25" t="str">
        <f>IF(OR(E4055="",E4055="!!!",F4055="NEW"),"",COUNTBLANK(OFFSET(A$1,,,SUMPRODUCT(MAX(ROW(E$2:E4055)*(E4055=E$2:E4055)))))-COUNTBLANK(OFFSET(A$1,,,SUMPRODUCT(MAX(ROW(E$1:E4054)*(E2=E$1:E4054))))))</f>
        <v> </v>
      </c>
      <c r="K4055" s="25" t="str">
        <f>IF(OR(E4055="",E4055="!!!",F4055="NEW"),"",INDEX(J$1:J4054,SUMPRODUCT(MAX(ROW(E$1:E4054)*(E4055=E$1:E4054)))))</f>
        <v> </v>
      </c>
      <c r="L4055" s="26"/>
    </row>
    <row r="4056" spans="1:12">
      <c r="A4056" s="20" t="s">
        <v>694</v>
      </c>
      <c r="E4056" s="21">
        <f>IF(D4056="?OLD","!!!","")</f>
        <v/>
      </c>
      <c r="F4056" s="22" t="str">
        <f>IF(OR(E4056="",E4056="!!!"),"",IF(NOT(ISNA(VLOOKUP(E4056,E$1:E4055,1,FALSE()))),"OLD",IF(AND(E4056&lt;&gt;"",E4056&lt;&gt;"!!!"),"NEW","")))</f>
        <v> </v>
      </c>
      <c r="G4056" s="23" t="str">
        <f>IF(OR(E4056="",E4056="!!!"),"",IF(OR(J4056=0,AND(J4056=1,K4056=1),AND(J4056=1,I4056="SBJ"),AND(J4056=1,I4056=0)),"?IN_FOCUS",IF(J4056&lt;=2,"?ACTIVATED",IF(J4056&lt;&gt;"","?FAMILIAR",IF(F4056="NEW",IF(ISNA(VLOOKUP(E4056,#REF!,1,FALSE())),"?TYPE_IDENTIFIABLE","?REFERENTIAL"),"_")))))</f>
        <v> </v>
      </c>
      <c r="H4056" s="24" t="str">
        <f>IF(J4056&lt;&gt;1,"",IF(I4056="SBJ","CB","?"))</f>
        <v> </v>
      </c>
      <c r="I4056" s="25" t="str">
        <f>IF(OR(E4056="",E4056="!!!",F4056="NEW"),"",INDEX(B4055:B$2,-1+SUMPRODUCT(MAX(ROW(E4055:E$2)*(E4056=E4055:E$2)))))</f>
        <v> </v>
      </c>
      <c r="J4056" s="25" t="str">
        <f>IF(OR(E4056="",E4056="!!!",F4056="NEW"),"",COUNTBLANK(OFFSET(A$1,,,SUMPRODUCT(MAX(ROW(E$2:E4056)*(E4056=E$2:E4056)))))-COUNTBLANK(OFFSET(A$1,,,SUMPRODUCT(MAX(ROW(E$1:E4055)*(E2=E$1:E4055))))))</f>
        <v> </v>
      </c>
      <c r="K4056" s="25" t="str">
        <f>IF(OR(E4056="",E4056="!!!",F4056="NEW"),"",INDEX(J$1:J4055,SUMPRODUCT(MAX(ROW(E$1:E4055)*(E4056=E$1:E4055)))))</f>
        <v> </v>
      </c>
      <c r="L4056" s="26"/>
    </row>
    <row r="4057" spans="1:12">
      <c r="A4057" s="20" t="s">
        <v>1905</v>
      </c>
      <c r="B4057" s="27" t="s">
        <v>728</v>
      </c>
      <c r="C4057" s="27" t="s">
        <v>745</v>
      </c>
      <c r="D4057" s="27" t="s">
        <v>687</v>
      </c>
      <c r="E4057" s="21">
        <f>IF(D4057="?OLD","!!!","")</f>
        <v/>
      </c>
      <c r="F4057" s="22" t="str">
        <f>IF(OR(E4057="",E4057="!!!"),"",IF(NOT(ISNA(VLOOKUP(E4057,E$1:E4056,1,FALSE()))),"OLD",IF(AND(E4057&lt;&gt;"",E4057&lt;&gt;"!!!"),"NEW","")))</f>
        <v> </v>
      </c>
      <c r="G4057" s="23" t="str">
        <f>IF(OR(E4057="",E4057="!!!"),"",IF(OR(J4057=0,AND(J4057=1,K4057=1),AND(J4057=1,I4057="SBJ"),AND(J4057=1,I4057=0)),"?IN_FOCUS",IF(J4057&lt;=2,"?ACTIVATED",IF(J4057&lt;&gt;"","?FAMILIAR",IF(F4057="NEW",IF(ISNA(VLOOKUP(E4057,#REF!,1,FALSE())),"?TYPE_IDENTIFIABLE","?REFERENTIAL"),"_")))))</f>
        <v> </v>
      </c>
      <c r="H4057" s="24" t="str">
        <f>IF(J4057&lt;&gt;1,"",IF(I4057="SBJ","CB","?"))</f>
        <v> </v>
      </c>
      <c r="I4057" s="25" t="str">
        <f>IF(OR(E4057="",E4057="!!!",F4057="NEW"),"",INDEX(B4056:B$2,-1+SUMPRODUCT(MAX(ROW(E4056:E$2)*(E4057=E4056:E$2)))))</f>
        <v> </v>
      </c>
      <c r="J4057" s="25" t="str">
        <f>IF(OR(E4057="",E4057="!!!",F4057="NEW"),"",COUNTBLANK(OFFSET(A$1,,,SUMPRODUCT(MAX(ROW(E$2:E4057)*(E4057=E$2:E4057)))))-COUNTBLANK(OFFSET(A$1,,,SUMPRODUCT(MAX(ROW(E$1:E4056)*(E2=E$1:E4056))))))</f>
        <v> </v>
      </c>
      <c r="K4057" s="25" t="str">
        <f>IF(OR(E4057="",E4057="!!!",F4057="NEW"),"",INDEX(J$1:J4056,SUMPRODUCT(MAX(ROW(E$1:E4056)*(E4057=E$1:E4056)))))</f>
        <v> </v>
      </c>
      <c r="L4057" s="26"/>
    </row>
    <row r="4058" spans="1:12">
      <c r="A4058" s="20" t="s">
        <v>703</v>
      </c>
      <c r="E4058" s="21">
        <f>IF(D4058="?OLD","!!!","")</f>
        <v/>
      </c>
      <c r="F4058" s="22" t="str">
        <f>IF(OR(E4058="",E4058="!!!"),"",IF(NOT(ISNA(VLOOKUP(E4058,E$1:E4057,1,FALSE()))),"OLD",IF(AND(E4058&lt;&gt;"",E4058&lt;&gt;"!!!"),"NEW","")))</f>
        <v> </v>
      </c>
      <c r="G4058" s="23" t="str">
        <f>IF(OR(E4058="",E4058="!!!"),"",IF(OR(J4058=0,AND(J4058=1,K4058=1),AND(J4058=1,I4058="SBJ"),AND(J4058=1,I4058=0)),"?IN_FOCUS",IF(J4058&lt;=2,"?ACTIVATED",IF(J4058&lt;&gt;"","?FAMILIAR",IF(F4058="NEW",IF(ISNA(VLOOKUP(E4058,#REF!,1,FALSE())),"?TYPE_IDENTIFIABLE","?REFERENTIAL"),"_")))))</f>
        <v> </v>
      </c>
      <c r="H4058" s="24" t="str">
        <f>IF(J4058&lt;&gt;1,"",IF(I4058="SBJ","CB","?"))</f>
        <v> </v>
      </c>
      <c r="I4058" s="25" t="str">
        <f>IF(OR(E4058="",E4058="!!!",F4058="NEW"),"",INDEX(B4057:B$2,-1+SUMPRODUCT(MAX(ROW(E4057:E$2)*(E4058=E4057:E$2)))))</f>
        <v> </v>
      </c>
      <c r="J4058" s="25" t="str">
        <f>IF(OR(E4058="",E4058="!!!",F4058="NEW"),"",COUNTBLANK(OFFSET(A$1,,,SUMPRODUCT(MAX(ROW(E$2:E4058)*(E4058=E$2:E4058)))))-COUNTBLANK(OFFSET(A$1,,,SUMPRODUCT(MAX(ROW(E$1:E4057)*(E2=E$1:E4057))))))</f>
        <v> </v>
      </c>
      <c r="K4058" s="25" t="str">
        <f>IF(OR(E4058="",E4058="!!!",F4058="NEW"),"",INDEX(J$1:J4057,SUMPRODUCT(MAX(ROW(E$1:E4057)*(E4058=E$1:E4057)))))</f>
        <v> </v>
      </c>
      <c r="L4058" s="26"/>
    </row>
    <row r="4059" spans="1:12">
      <c r="A4059" s="20" t="s">
        <v>1906</v>
      </c>
      <c r="B4059" s="27" t="s">
        <v>744</v>
      </c>
      <c r="C4059" s="27" t="s">
        <v>745</v>
      </c>
      <c r="D4059" s="27" t="s">
        <v>687</v>
      </c>
      <c r="E4059" s="21">
        <f>IF(D4059="?OLD","!!!","")</f>
        <v/>
      </c>
      <c r="F4059" s="22" t="str">
        <f>IF(OR(E4059="",E4059="!!!"),"",IF(NOT(ISNA(VLOOKUP(E4059,E$1:E4058,1,FALSE()))),"OLD",IF(AND(E4059&lt;&gt;"",E4059&lt;&gt;"!!!"),"NEW","")))</f>
        <v> </v>
      </c>
      <c r="G4059" s="23" t="str">
        <f>IF(OR(E4059="",E4059="!!!"),"",IF(OR(J4059=0,AND(J4059=1,K4059=1),AND(J4059=1,I4059="SBJ"),AND(J4059=1,I4059=0)),"?IN_FOCUS",IF(J4059&lt;=2,"?ACTIVATED",IF(J4059&lt;&gt;"","?FAMILIAR",IF(F4059="NEW",IF(ISNA(VLOOKUP(E4059,#REF!,1,FALSE())),"?TYPE_IDENTIFIABLE","?REFERENTIAL"),"_")))))</f>
        <v> </v>
      </c>
      <c r="H4059" s="24" t="str">
        <f>IF(J4059&lt;&gt;1,"",IF(I4059="SBJ","CB","?"))</f>
        <v> </v>
      </c>
      <c r="I4059" s="25" t="str">
        <f>IF(OR(E4059="",E4059="!!!",F4059="NEW"),"",INDEX(B4058:B$2,-1+SUMPRODUCT(MAX(ROW(E4058:E$2)*(E4059=E4058:E$2)))))</f>
        <v> </v>
      </c>
      <c r="J4059" s="25" t="str">
        <f>IF(OR(E4059="",E4059="!!!",F4059="NEW"),"",COUNTBLANK(OFFSET(A$1,,,SUMPRODUCT(MAX(ROW(E$2:E4059)*(E4059=E$2:E4059)))))-COUNTBLANK(OFFSET(A$1,,,SUMPRODUCT(MAX(ROW(E$1:E4058)*(E2=E$1:E4058))))))</f>
        <v> </v>
      </c>
      <c r="K4059" s="25" t="str">
        <f>IF(OR(E4059="",E4059="!!!",F4059="NEW"),"",INDEX(J$1:J4058,SUMPRODUCT(MAX(ROW(E$1:E4058)*(E4059=E$1:E4058)))))</f>
        <v> </v>
      </c>
      <c r="L4059" s="26"/>
    </row>
    <row r="4060" spans="1:12">
      <c r="A4060" s="20" t="s">
        <v>676</v>
      </c>
      <c r="E4060" s="21">
        <f>IF(D4060="?OLD","!!!","")</f>
        <v/>
      </c>
      <c r="F4060" s="22" t="str">
        <f>IF(OR(E4060="",E4060="!!!"),"",IF(NOT(ISNA(VLOOKUP(E4060,E$1:E4059,1,FALSE()))),"OLD",IF(AND(E4060&lt;&gt;"",E4060&lt;&gt;"!!!"),"NEW","")))</f>
        <v> </v>
      </c>
      <c r="G4060" s="23" t="str">
        <f>IF(OR(E4060="",E4060="!!!"),"",IF(OR(J4060=0,AND(J4060=1,K4060=1),AND(J4060=1,I4060="SBJ"),AND(J4060=1,I4060=0)),"?IN_FOCUS",IF(J4060&lt;=2,"?ACTIVATED",IF(J4060&lt;&gt;"","?FAMILIAR",IF(F4060="NEW",IF(ISNA(VLOOKUP(E4060,#REF!,1,FALSE())),"?TYPE_IDENTIFIABLE","?REFERENTIAL"),"_")))))</f>
        <v> </v>
      </c>
      <c r="H4060" s="24" t="str">
        <f>IF(J4060&lt;&gt;1,"",IF(I4060="SBJ","CB","?"))</f>
        <v> </v>
      </c>
      <c r="I4060" s="25" t="str">
        <f>IF(OR(E4060="",E4060="!!!",F4060="NEW"),"",INDEX(B4059:B$2,-1+SUMPRODUCT(MAX(ROW(E4059:E$2)*(E4060=E4059:E$2)))))</f>
        <v> </v>
      </c>
      <c r="J4060" s="25" t="str">
        <f>IF(OR(E4060="",E4060="!!!",F4060="NEW"),"",COUNTBLANK(OFFSET(A$1,,,SUMPRODUCT(MAX(ROW(E$2:E4060)*(E4060=E$2:E4060)))))-COUNTBLANK(OFFSET(A$1,,,SUMPRODUCT(MAX(ROW(E$1:E4059)*(E2=E$1:E4059))))))</f>
        <v> </v>
      </c>
      <c r="K4060" s="25" t="str">
        <f>IF(OR(E4060="",E4060="!!!",F4060="NEW"),"",INDEX(J$1:J4059,SUMPRODUCT(MAX(ROW(E$1:E4059)*(E4060=E$1:E4059)))))</f>
        <v> </v>
      </c>
      <c r="L4060" s="26"/>
    </row>
    <row r="4061" spans="1:12">
      <c r="A4061" s="20" t="s">
        <v>1891</v>
      </c>
      <c r="B4061" s="27" t="s">
        <v>728</v>
      </c>
      <c r="C4061" s="27" t="s">
        <v>745</v>
      </c>
      <c r="D4061" s="27" t="s">
        <v>687</v>
      </c>
      <c r="E4061" s="21">
        <f>IF(D4061="?OLD","!!!","")</f>
        <v/>
      </c>
      <c r="F4061" s="22" t="str">
        <f>IF(OR(E4061="",E4061="!!!"),"",IF(NOT(ISNA(VLOOKUP(E4061,E$1:E4060,1,FALSE()))),"OLD",IF(AND(E4061&lt;&gt;"",E4061&lt;&gt;"!!!"),"NEW","")))</f>
        <v> </v>
      </c>
      <c r="G4061" s="23" t="str">
        <f>IF(OR(E4061="",E4061="!!!"),"",IF(OR(J4061=0,AND(J4061=1,K4061=1),AND(J4061=1,I4061="SBJ"),AND(J4061=1,I4061=0)),"?IN_FOCUS",IF(J4061&lt;=2,"?ACTIVATED",IF(J4061&lt;&gt;"","?FAMILIAR",IF(F4061="NEW",IF(ISNA(VLOOKUP(E4061,#REF!,1,FALSE())),"?TYPE_IDENTIFIABLE","?REFERENTIAL"),"_")))))</f>
        <v> </v>
      </c>
      <c r="H4061" s="24" t="str">
        <f>IF(J4061&lt;&gt;1,"",IF(I4061="SBJ","CB","?"))</f>
        <v> </v>
      </c>
      <c r="I4061" s="25" t="str">
        <f>IF(OR(E4061="",E4061="!!!",F4061="NEW"),"",INDEX(B4060:B$2,-1+SUMPRODUCT(MAX(ROW(E4060:E$2)*(E4061=E4060:E$2)))))</f>
        <v> </v>
      </c>
      <c r="J4061" s="25" t="str">
        <f>IF(OR(E4061="",E4061="!!!",F4061="NEW"),"",COUNTBLANK(OFFSET(A$1,,,SUMPRODUCT(MAX(ROW(E$2:E4061)*(E4061=E$2:E4061)))))-COUNTBLANK(OFFSET(A$1,,,SUMPRODUCT(MAX(ROW(E$1:E4060)*(E2=E$1:E4060))))))</f>
        <v> </v>
      </c>
      <c r="K4061" s="25" t="str">
        <f>IF(OR(E4061="",E4061="!!!",F4061="NEW"),"",INDEX(J$1:J4060,SUMPRODUCT(MAX(ROW(E$1:E4060)*(E4061=E$1:E4060)))))</f>
        <v> </v>
      </c>
      <c r="L4061" s="26"/>
    </row>
    <row r="4062" spans="1:12">
      <c r="A4062" s="20" t="s">
        <v>698</v>
      </c>
      <c r="E4062" s="21">
        <f>IF(D4062="?OLD","!!!","")</f>
        <v/>
      </c>
      <c r="F4062" s="22" t="str">
        <f>IF(OR(E4062="",E4062="!!!"),"",IF(NOT(ISNA(VLOOKUP(E4062,E$1:E4061,1,FALSE()))),"OLD",IF(AND(E4062&lt;&gt;"",E4062&lt;&gt;"!!!"),"NEW","")))</f>
        <v> </v>
      </c>
      <c r="G4062" s="23" t="str">
        <f>IF(OR(E4062="",E4062="!!!"),"",IF(OR(J4062=0,AND(J4062=1,K4062=1),AND(J4062=1,I4062="SBJ"),AND(J4062=1,I4062=0)),"?IN_FOCUS",IF(J4062&lt;=2,"?ACTIVATED",IF(J4062&lt;&gt;"","?FAMILIAR",IF(F4062="NEW",IF(ISNA(VLOOKUP(E4062,#REF!,1,FALSE())),"?TYPE_IDENTIFIABLE","?REFERENTIAL"),"_")))))</f>
        <v> </v>
      </c>
      <c r="H4062" s="24" t="str">
        <f>IF(J4062&lt;&gt;1,"",IF(I4062="SBJ","CB","?"))</f>
        <v> </v>
      </c>
      <c r="I4062" s="25" t="str">
        <f>IF(OR(E4062="",E4062="!!!",F4062="NEW"),"",INDEX(B4061:B$2,-1+SUMPRODUCT(MAX(ROW(E4061:E$2)*(E4062=E4061:E$2)))))</f>
        <v> </v>
      </c>
      <c r="J4062" s="25" t="str">
        <f>IF(OR(E4062="",E4062="!!!",F4062="NEW"),"",COUNTBLANK(OFFSET(A$1,,,SUMPRODUCT(MAX(ROW(E$2:E4062)*(E4062=E$2:E4062)))))-COUNTBLANK(OFFSET(A$1,,,SUMPRODUCT(MAX(ROW(E$1:E4061)*(E2=E$1:E4061))))))</f>
        <v> </v>
      </c>
      <c r="K4062" s="25" t="str">
        <f>IF(OR(E4062="",E4062="!!!",F4062="NEW"),"",INDEX(J$1:J4061,SUMPRODUCT(MAX(ROW(E$1:E4061)*(E4062=E$1:E4061)))))</f>
        <v> </v>
      </c>
      <c r="L4062" s="26"/>
    </row>
    <row r="4063" spans="1:12">
      <c r="A4063" s="20"/>
    </row>
    <row r="4064" spans="1:12">
      <c r="A4064" s="20" t="s">
        <v>1907</v>
      </c>
    </row>
    <row r="4065" spans="1:12">
      <c r="A4065" s="20" t="s">
        <v>1579</v>
      </c>
      <c r="E4065" s="21">
        <f>IF(D4065="?OLD","!!!","")</f>
        <v/>
      </c>
      <c r="F4065" s="22" t="str">
        <f>IF(OR(E4065="",E4065="!!!"),"",IF(NOT(ISNA(VLOOKUP(E4065,E$1:E4064,1,FALSE()))),"OLD",IF(AND(E4065&lt;&gt;"",E4065&lt;&gt;"!!!"),"NEW","")))</f>
        <v> </v>
      </c>
      <c r="G4065" s="23" t="str">
        <f>IF(OR(E4065="",E4065="!!!"),"",IF(OR(J4065=0,AND(J4065=1,K4065=1),AND(J4065=1,I4065="SBJ"),AND(J4065=1,I4065=0)),"?IN_FOCUS",IF(J4065&lt;=2,"?ACTIVATED",IF(J4065&lt;&gt;"","?FAMILIAR",IF(F4065="NEW",IF(ISNA(VLOOKUP(E4065,#REF!,1,FALSE())),"?TYPE_IDENTIFIABLE","?REFERENTIAL"),"_")))))</f>
        <v> </v>
      </c>
      <c r="H4065" s="24" t="str">
        <f>IF(J4065&lt;&gt;1,"",IF(I4065="SBJ","CB","?"))</f>
        <v> </v>
      </c>
      <c r="I4065" s="25" t="str">
        <f>IF(OR(E4065="",E4065="!!!",F4065="NEW"),"",INDEX(B4064:B$2,-1+SUMPRODUCT(MAX(ROW(E4064:E$2)*(E4065=E4064:E$2)))))</f>
        <v> </v>
      </c>
      <c r="J4065" s="25" t="str">
        <f>IF(OR(E4065="",E4065="!!!",F4065="NEW"),"",COUNTBLANK(OFFSET(A$1,,,SUMPRODUCT(MAX(ROW(E$2:E4065)*(E4065=E$2:E4065)))))-COUNTBLANK(OFFSET(A$1,,,SUMPRODUCT(MAX(ROW(E$1:E4064)*(E2=E$1:E4064))))))</f>
        <v> </v>
      </c>
      <c r="K4065" s="25" t="str">
        <f>IF(OR(E4065="",E4065="!!!",F4065="NEW"),"",INDEX(J$1:J4064,SUMPRODUCT(MAX(ROW(E$1:E4064)*(E4065=E$1:E4064)))))</f>
        <v> </v>
      </c>
      <c r="L4065" s="26"/>
    </row>
    <row r="4066" spans="1:12">
      <c r="A4066" s="20" t="s">
        <v>682</v>
      </c>
      <c r="E4066" s="21">
        <f>IF(D4066="?OLD","!!!","")</f>
        <v/>
      </c>
      <c r="F4066" s="22" t="str">
        <f>IF(OR(E4066="",E4066="!!!"),"",IF(NOT(ISNA(VLOOKUP(E4066,E$1:E4065,1,FALSE()))),"OLD",IF(AND(E4066&lt;&gt;"",E4066&lt;&gt;"!!!"),"NEW","")))</f>
        <v> </v>
      </c>
      <c r="G4066" s="23" t="str">
        <f>IF(OR(E4066="",E4066="!!!"),"",IF(OR(J4066=0,AND(J4066=1,K4066=1),AND(J4066=1,I4066="SBJ"),AND(J4066=1,I4066=0)),"?IN_FOCUS",IF(J4066&lt;=2,"?ACTIVATED",IF(J4066&lt;&gt;"","?FAMILIAR",IF(F4066="NEW",IF(ISNA(VLOOKUP(E4066,#REF!,1,FALSE())),"?TYPE_IDENTIFIABLE","?REFERENTIAL"),"_")))))</f>
        <v> </v>
      </c>
      <c r="H4066" s="24" t="str">
        <f>IF(J4066&lt;&gt;1,"",IF(I4066="SBJ","CB","?"))</f>
        <v> </v>
      </c>
      <c r="I4066" s="25" t="str">
        <f>IF(OR(E4066="",E4066="!!!",F4066="NEW"),"",INDEX(B4065:B$2,-1+SUMPRODUCT(MAX(ROW(E4065:E$2)*(E4066=E4065:E$2)))))</f>
        <v> </v>
      </c>
      <c r="J4066" s="25" t="str">
        <f>IF(OR(E4066="",E4066="!!!",F4066="NEW"),"",COUNTBLANK(OFFSET(A$1,,,SUMPRODUCT(MAX(ROW(E$2:E4066)*(E4066=E$2:E4066)))))-COUNTBLANK(OFFSET(A$1,,,SUMPRODUCT(MAX(ROW(E$1:E4065)*(E2=E$1:E4065))))))</f>
        <v> </v>
      </c>
      <c r="K4066" s="25" t="str">
        <f>IF(OR(E4066="",E4066="!!!",F4066="NEW"),"",INDEX(J$1:J4065,SUMPRODUCT(MAX(ROW(E$1:E4065)*(E4066=E$1:E4065)))))</f>
        <v> </v>
      </c>
      <c r="L4066" s="26"/>
    </row>
    <row r="4067" spans="1:12">
      <c r="A4067" s="20" t="s">
        <v>1908</v>
      </c>
      <c r="E4067" s="21">
        <f>IF(D4067="?OLD","!!!","")</f>
        <v/>
      </c>
      <c r="F4067" s="22" t="str">
        <f>IF(OR(E4067="",E4067="!!!"),"",IF(NOT(ISNA(VLOOKUP(E4067,E$1:E4066,1,FALSE()))),"OLD",IF(AND(E4067&lt;&gt;"",E4067&lt;&gt;"!!!"),"NEW","")))</f>
        <v> </v>
      </c>
      <c r="G4067" s="23" t="str">
        <f>IF(OR(E4067="",E4067="!!!"),"",IF(OR(J4067=0,AND(J4067=1,K4067=1),AND(J4067=1,I4067="SBJ"),AND(J4067=1,I4067=0)),"?IN_FOCUS",IF(J4067&lt;=2,"?ACTIVATED",IF(J4067&lt;&gt;"","?FAMILIAR",IF(F4067="NEW",IF(ISNA(VLOOKUP(E4067,#REF!,1,FALSE())),"?TYPE_IDENTIFIABLE","?REFERENTIAL"),"_")))))</f>
        <v> </v>
      </c>
      <c r="H4067" s="24" t="str">
        <f>IF(J4067&lt;&gt;1,"",IF(I4067="SBJ","CB","?"))</f>
        <v> </v>
      </c>
      <c r="I4067" s="25" t="str">
        <f>IF(OR(E4067="",E4067="!!!",F4067="NEW"),"",INDEX(B4066:B$2,-1+SUMPRODUCT(MAX(ROW(E4066:E$2)*(E4067=E4066:E$2)))))</f>
        <v> </v>
      </c>
      <c r="J4067" s="25" t="str">
        <f>IF(OR(E4067="",E4067="!!!",F4067="NEW"),"",COUNTBLANK(OFFSET(A$1,,,SUMPRODUCT(MAX(ROW(E$2:E4067)*(E4067=E$2:E4067)))))-COUNTBLANK(OFFSET(A$1,,,SUMPRODUCT(MAX(ROW(E$1:E4066)*(E2=E$1:E4066))))))</f>
        <v> </v>
      </c>
      <c r="K4067" s="25" t="str">
        <f>IF(OR(E4067="",E4067="!!!",F4067="NEW"),"",INDEX(J$1:J4066,SUMPRODUCT(MAX(ROW(E$1:E4066)*(E4067=E$1:E4066)))))</f>
        <v> </v>
      </c>
      <c r="L4067" s="26"/>
    </row>
    <row r="4068" spans="1:12">
      <c r="A4068" s="20" t="s">
        <v>682</v>
      </c>
      <c r="E4068" s="21">
        <f>IF(D4068="?OLD","!!!","")</f>
        <v/>
      </c>
      <c r="F4068" s="22" t="str">
        <f>IF(OR(E4068="",E4068="!!!"),"",IF(NOT(ISNA(VLOOKUP(E4068,E$1:E4067,1,FALSE()))),"OLD",IF(AND(E4068&lt;&gt;"",E4068&lt;&gt;"!!!"),"NEW","")))</f>
        <v> </v>
      </c>
      <c r="G4068" s="23" t="str">
        <f>IF(OR(E4068="",E4068="!!!"),"",IF(OR(J4068=0,AND(J4068=1,K4068=1),AND(J4068=1,I4068="SBJ"),AND(J4068=1,I4068=0)),"?IN_FOCUS",IF(J4068&lt;=2,"?ACTIVATED",IF(J4068&lt;&gt;"","?FAMILIAR",IF(F4068="NEW",IF(ISNA(VLOOKUP(E4068,#REF!,1,FALSE())),"?TYPE_IDENTIFIABLE","?REFERENTIAL"),"_")))))</f>
        <v> </v>
      </c>
      <c r="H4068" s="24" t="str">
        <f>IF(J4068&lt;&gt;1,"",IF(I4068="SBJ","CB","?"))</f>
        <v> </v>
      </c>
      <c r="I4068" s="25" t="str">
        <f>IF(OR(E4068="",E4068="!!!",F4068="NEW"),"",INDEX(B4067:B$2,-1+SUMPRODUCT(MAX(ROW(E4067:E$2)*(E4068=E4067:E$2)))))</f>
        <v> </v>
      </c>
      <c r="J4068" s="25" t="str">
        <f>IF(OR(E4068="",E4068="!!!",F4068="NEW"),"",COUNTBLANK(OFFSET(A$1,,,SUMPRODUCT(MAX(ROW(E$2:E4068)*(E4068=E$2:E4068)))))-COUNTBLANK(OFFSET(A$1,,,SUMPRODUCT(MAX(ROW(E$1:E4067)*(E2=E$1:E4067))))))</f>
        <v> </v>
      </c>
      <c r="K4068" s="25" t="str">
        <f>IF(OR(E4068="",E4068="!!!",F4068="NEW"),"",INDEX(J$1:J4067,SUMPRODUCT(MAX(ROW(E$1:E4067)*(E4068=E$1:E4067)))))</f>
        <v> </v>
      </c>
      <c r="L4068" s="26"/>
    </row>
    <row r="4069" spans="1:12">
      <c r="A4069" s="20" t="s">
        <v>1037</v>
      </c>
      <c r="E4069" s="21">
        <f>IF(D4069="?OLD","!!!","")</f>
        <v/>
      </c>
      <c r="F4069" s="22" t="str">
        <f>IF(OR(E4069="",E4069="!!!"),"",IF(NOT(ISNA(VLOOKUP(E4069,E$1:E4068,1,FALSE()))),"OLD",IF(AND(E4069&lt;&gt;"",E4069&lt;&gt;"!!!"),"NEW","")))</f>
        <v> </v>
      </c>
      <c r="G4069" s="23" t="str">
        <f>IF(OR(E4069="",E4069="!!!"),"",IF(OR(J4069=0,AND(J4069=1,K4069=1),AND(J4069=1,I4069="SBJ"),AND(J4069=1,I4069=0)),"?IN_FOCUS",IF(J4069&lt;=2,"?ACTIVATED",IF(J4069&lt;&gt;"","?FAMILIAR",IF(F4069="NEW",IF(ISNA(VLOOKUP(E4069,#REF!,1,FALSE())),"?TYPE_IDENTIFIABLE","?REFERENTIAL"),"_")))))</f>
        <v> </v>
      </c>
      <c r="H4069" s="24" t="str">
        <f>IF(J4069&lt;&gt;1,"",IF(I4069="SBJ","CB","?"))</f>
        <v> </v>
      </c>
      <c r="I4069" s="25" t="str">
        <f>IF(OR(E4069="",E4069="!!!",F4069="NEW"),"",INDEX(B4068:B$2,-1+SUMPRODUCT(MAX(ROW(E4068:E$2)*(E4069=E4068:E$2)))))</f>
        <v> </v>
      </c>
      <c r="J4069" s="25" t="str">
        <f>IF(OR(E4069="",E4069="!!!",F4069="NEW"),"",COUNTBLANK(OFFSET(A$1,,,SUMPRODUCT(MAX(ROW(E$2:E4069)*(E4069=E$2:E4069)))))-COUNTBLANK(OFFSET(A$1,,,SUMPRODUCT(MAX(ROW(E$1:E4068)*(E2=E$1:E4068))))))</f>
        <v> </v>
      </c>
      <c r="K4069" s="25" t="str">
        <f>IF(OR(E4069="",E4069="!!!",F4069="NEW"),"",INDEX(J$1:J4068,SUMPRODUCT(MAX(ROW(E$1:E4068)*(E4069=E$1:E4068)))))</f>
        <v> </v>
      </c>
      <c r="L4069" s="26"/>
    </row>
    <row r="4070" spans="1:12">
      <c r="A4070" s="20" t="s">
        <v>1909</v>
      </c>
      <c r="E4070" s="21">
        <f>IF(D4070="?OLD","!!!","")</f>
        <v/>
      </c>
      <c r="F4070" s="22" t="str">
        <f>IF(OR(E4070="",E4070="!!!"),"",IF(NOT(ISNA(VLOOKUP(E4070,E$1:E4069,1,FALSE()))),"OLD",IF(AND(E4070&lt;&gt;"",E4070&lt;&gt;"!!!"),"NEW","")))</f>
        <v> </v>
      </c>
      <c r="G4070" s="23" t="str">
        <f>IF(OR(E4070="",E4070="!!!"),"",IF(OR(J4070=0,AND(J4070=1,K4070=1),AND(J4070=1,I4070="SBJ"),AND(J4070=1,I4070=0)),"?IN_FOCUS",IF(J4070&lt;=2,"?ACTIVATED",IF(J4070&lt;&gt;"","?FAMILIAR",IF(F4070="NEW",IF(ISNA(VLOOKUP(E4070,#REF!,1,FALSE())),"?TYPE_IDENTIFIABLE","?REFERENTIAL"),"_")))))</f>
        <v> </v>
      </c>
      <c r="H4070" s="24" t="str">
        <f>IF(J4070&lt;&gt;1,"",IF(I4070="SBJ","CB","?"))</f>
        <v> </v>
      </c>
      <c r="I4070" s="25" t="str">
        <f>IF(OR(E4070="",E4070="!!!",F4070="NEW"),"",INDEX(B4069:B$2,-1+SUMPRODUCT(MAX(ROW(E4069:E$2)*(E4070=E4069:E$2)))))</f>
        <v> </v>
      </c>
      <c r="J4070" s="25" t="str">
        <f>IF(OR(E4070="",E4070="!!!",F4070="NEW"),"",COUNTBLANK(OFFSET(A$1,,,SUMPRODUCT(MAX(ROW(E$2:E4070)*(E4070=E$2:E4070)))))-COUNTBLANK(OFFSET(A$1,,,SUMPRODUCT(MAX(ROW(E$1:E4069)*(E2=E$1:E4069))))))</f>
        <v> </v>
      </c>
      <c r="K4070" s="25" t="str">
        <f>IF(OR(E4070="",E4070="!!!",F4070="NEW"),"",INDEX(J$1:J4069,SUMPRODUCT(MAX(ROW(E$1:E4069)*(E4070=E$1:E4069)))))</f>
        <v> </v>
      </c>
      <c r="L4070" s="26"/>
    </row>
    <row r="4071" spans="1:12">
      <c r="A4071" s="20" t="s">
        <v>1039</v>
      </c>
      <c r="B4071" s="27" t="s">
        <v>678</v>
      </c>
      <c r="C4071" s="27" t="s">
        <v>693</v>
      </c>
      <c r="D4071" s="27" t="s">
        <v>687</v>
      </c>
      <c r="E4071" s="21">
        <f>IF(D4071="?OLD","!!!","")</f>
        <v/>
      </c>
      <c r="F4071" s="22" t="str">
        <f>IF(OR(E4071="",E4071="!!!"),"",IF(NOT(ISNA(VLOOKUP(E4071,E$1:E4070,1,FALSE()))),"OLD",IF(AND(E4071&lt;&gt;"",E4071&lt;&gt;"!!!"),"NEW","")))</f>
        <v> </v>
      </c>
      <c r="G4071" s="23" t="str">
        <f>IF(OR(E4071="",E4071="!!!"),"",IF(OR(J4071=0,AND(J4071=1,K4071=1),AND(J4071=1,I4071="SBJ"),AND(J4071=1,I4071=0)),"?IN_FOCUS",IF(J4071&lt;=2,"?ACTIVATED",IF(J4071&lt;&gt;"","?FAMILIAR",IF(F4071="NEW",IF(ISNA(VLOOKUP(E4071,#REF!,1,FALSE())),"?TYPE_IDENTIFIABLE","?REFERENTIAL"),"_")))))</f>
        <v> </v>
      </c>
      <c r="H4071" s="24" t="str">
        <f>IF(J4071&lt;&gt;1,"",IF(I4071="SBJ","CB","?"))</f>
        <v> </v>
      </c>
      <c r="I4071" s="25" t="str">
        <f>IF(OR(E4071="",E4071="!!!",F4071="NEW"),"",INDEX(B4070:B$2,-1+SUMPRODUCT(MAX(ROW(E4070:E$2)*(E4071=E4070:E$2)))))</f>
        <v> </v>
      </c>
      <c r="J4071" s="25" t="str">
        <f>IF(OR(E4071="",E4071="!!!",F4071="NEW"),"",COUNTBLANK(OFFSET(A$1,,,SUMPRODUCT(MAX(ROW(E$2:E4071)*(E4071=E$2:E4071)))))-COUNTBLANK(OFFSET(A$1,,,SUMPRODUCT(MAX(ROW(E$1:E4070)*(E2=E$1:E4070))))))</f>
        <v> </v>
      </c>
      <c r="K4071" s="25" t="str">
        <f>IF(OR(E4071="",E4071="!!!",F4071="NEW"),"",INDEX(J$1:J4070,SUMPRODUCT(MAX(ROW(E$1:E4070)*(E4071=E$1:E4070)))))</f>
        <v> </v>
      </c>
      <c r="L4071" s="26"/>
    </row>
    <row r="4072" spans="1:12">
      <c r="A4072" s="20" t="s">
        <v>694</v>
      </c>
      <c r="E4072" s="21">
        <f>IF(D4072="?OLD","!!!","")</f>
        <v/>
      </c>
      <c r="F4072" s="22" t="str">
        <f>IF(OR(E4072="",E4072="!!!"),"",IF(NOT(ISNA(VLOOKUP(E4072,E$1:E4071,1,FALSE()))),"OLD",IF(AND(E4072&lt;&gt;"",E4072&lt;&gt;"!!!"),"NEW","")))</f>
        <v> </v>
      </c>
      <c r="G4072" s="23" t="str">
        <f>IF(OR(E4072="",E4072="!!!"),"",IF(OR(J4072=0,AND(J4072=1,K4072=1),AND(J4072=1,I4072="SBJ"),AND(J4072=1,I4072=0)),"?IN_FOCUS",IF(J4072&lt;=2,"?ACTIVATED",IF(J4072&lt;&gt;"","?FAMILIAR",IF(F4072="NEW",IF(ISNA(VLOOKUP(E4072,#REF!,1,FALSE())),"?TYPE_IDENTIFIABLE","?REFERENTIAL"),"_")))))</f>
        <v> </v>
      </c>
      <c r="H4072" s="24" t="str">
        <f>IF(J4072&lt;&gt;1,"",IF(I4072="SBJ","CB","?"))</f>
        <v> </v>
      </c>
      <c r="I4072" s="25" t="str">
        <f>IF(OR(E4072="",E4072="!!!",F4072="NEW"),"",INDEX(B4071:B$2,-1+SUMPRODUCT(MAX(ROW(E4071:E$2)*(E4072=E4071:E$2)))))</f>
        <v> </v>
      </c>
      <c r="J4072" s="25" t="str">
        <f>IF(OR(E4072="",E4072="!!!",F4072="NEW"),"",COUNTBLANK(OFFSET(A$1,,,SUMPRODUCT(MAX(ROW(E$2:E4072)*(E4072=E$2:E4072)))))-COUNTBLANK(OFFSET(A$1,,,SUMPRODUCT(MAX(ROW(E$1:E4071)*(E2=E$1:E4071))))))</f>
        <v> </v>
      </c>
      <c r="K4072" s="25" t="str">
        <f>IF(OR(E4072="",E4072="!!!",F4072="NEW"),"",INDEX(J$1:J4071,SUMPRODUCT(MAX(ROW(E$1:E4071)*(E4072=E$1:E4071)))))</f>
        <v> </v>
      </c>
      <c r="L4072" s="26"/>
    </row>
    <row r="4073" spans="1:12">
      <c r="A4073" s="20" t="s">
        <v>1308</v>
      </c>
      <c r="E4073" s="21">
        <f>IF(D4073="?OLD","!!!","")</f>
        <v/>
      </c>
      <c r="F4073" s="22" t="str">
        <f>IF(OR(E4073="",E4073="!!!"),"",IF(NOT(ISNA(VLOOKUP(E4073,E$1:E4072,1,FALSE()))),"OLD",IF(AND(E4073&lt;&gt;"",E4073&lt;&gt;"!!!"),"NEW","")))</f>
        <v> </v>
      </c>
      <c r="G4073" s="23" t="str">
        <f>IF(OR(E4073="",E4073="!!!"),"",IF(OR(J4073=0,AND(J4073=1,K4073=1),AND(J4073=1,I4073="SBJ"),AND(J4073=1,I4073=0)),"?IN_FOCUS",IF(J4073&lt;=2,"?ACTIVATED",IF(J4073&lt;&gt;"","?FAMILIAR",IF(F4073="NEW",IF(ISNA(VLOOKUP(E4073,#REF!,1,FALSE())),"?TYPE_IDENTIFIABLE","?REFERENTIAL"),"_")))))</f>
        <v> </v>
      </c>
      <c r="H4073" s="24" t="str">
        <f>IF(J4073&lt;&gt;1,"",IF(I4073="SBJ","CB","?"))</f>
        <v> </v>
      </c>
      <c r="I4073" s="25" t="str">
        <f>IF(OR(E4073="",E4073="!!!",F4073="NEW"),"",INDEX(B4072:B$2,-1+SUMPRODUCT(MAX(ROW(E4072:E$2)*(E4073=E4072:E$2)))))</f>
        <v> </v>
      </c>
      <c r="J4073" s="25" t="str">
        <f>IF(OR(E4073="",E4073="!!!",F4073="NEW"),"",COUNTBLANK(OFFSET(A$1,,,SUMPRODUCT(MAX(ROW(E$2:E4073)*(E4073=E$2:E4073)))))-COUNTBLANK(OFFSET(A$1,,,SUMPRODUCT(MAX(ROW(E$1:E4072)*(E2=E$1:E4072))))))</f>
        <v> </v>
      </c>
      <c r="K4073" s="25" t="str">
        <f>IF(OR(E4073="",E4073="!!!",F4073="NEW"),"",INDEX(J$1:J4072,SUMPRODUCT(MAX(ROW(E$1:E4072)*(E4073=E$1:E4072)))))</f>
        <v> </v>
      </c>
      <c r="L4073" s="26"/>
    </row>
    <row r="4074" spans="1:12">
      <c r="A4074" s="20" t="s">
        <v>851</v>
      </c>
      <c r="B4074" s="27" t="s">
        <v>678</v>
      </c>
      <c r="C4074" s="27" t="s">
        <v>693</v>
      </c>
      <c r="D4074" s="27" t="s">
        <v>687</v>
      </c>
      <c r="E4074" s="21">
        <f>IF(D4074="?OLD","!!!","")</f>
        <v/>
      </c>
      <c r="F4074" s="22" t="str">
        <f>IF(OR(E4074="",E4074="!!!"),"",IF(NOT(ISNA(VLOOKUP(E4074,E$1:E4073,1,FALSE()))),"OLD",IF(AND(E4074&lt;&gt;"",E4074&lt;&gt;"!!!"),"NEW","")))</f>
        <v> </v>
      </c>
      <c r="G4074" s="23" t="str">
        <f>IF(OR(E4074="",E4074="!!!"),"",IF(OR(J4074=0,AND(J4074=1,K4074=1),AND(J4074=1,I4074="SBJ"),AND(J4074=1,I4074=0)),"?IN_FOCUS",IF(J4074&lt;=2,"?ACTIVATED",IF(J4074&lt;&gt;"","?FAMILIAR",IF(F4074="NEW",IF(ISNA(VLOOKUP(E4074,#REF!,1,FALSE())),"?TYPE_IDENTIFIABLE","?REFERENTIAL"),"_")))))</f>
        <v> </v>
      </c>
      <c r="H4074" s="24" t="str">
        <f>IF(J4074&lt;&gt;1,"",IF(I4074="SBJ","CB","?"))</f>
        <v> </v>
      </c>
      <c r="I4074" s="25" t="str">
        <f>IF(OR(E4074="",E4074="!!!",F4074="NEW"),"",INDEX(B4073:B$2,-1+SUMPRODUCT(MAX(ROW(E4073:E$2)*(E4074=E4073:E$2)))))</f>
        <v> </v>
      </c>
      <c r="J4074" s="25" t="str">
        <f>IF(OR(E4074="",E4074="!!!",F4074="NEW"),"",COUNTBLANK(OFFSET(A$1,,,SUMPRODUCT(MAX(ROW(E$2:E4074)*(E4074=E$2:E4074)))))-COUNTBLANK(OFFSET(A$1,,,SUMPRODUCT(MAX(ROW(E$1:E4073)*(E2=E$1:E4073))))))</f>
        <v> </v>
      </c>
      <c r="K4074" s="25" t="str">
        <f>IF(OR(E4074="",E4074="!!!",F4074="NEW"),"",INDEX(J$1:J4073,SUMPRODUCT(MAX(ROW(E$1:E4073)*(E4074=E$1:E4073)))))</f>
        <v> </v>
      </c>
      <c r="L4074" s="26"/>
    </row>
    <row r="4075" spans="1:12">
      <c r="A4075" s="20" t="s">
        <v>694</v>
      </c>
      <c r="E4075" s="21">
        <f>IF(D4075="?OLD","!!!","")</f>
        <v/>
      </c>
      <c r="F4075" s="22" t="str">
        <f>IF(OR(E4075="",E4075="!!!"),"",IF(NOT(ISNA(VLOOKUP(E4075,E$1:E4074,1,FALSE()))),"OLD",IF(AND(E4075&lt;&gt;"",E4075&lt;&gt;"!!!"),"NEW","")))</f>
        <v> </v>
      </c>
      <c r="G4075" s="23" t="str">
        <f>IF(OR(E4075="",E4075="!!!"),"",IF(OR(J4075=0,AND(J4075=1,K4075=1),AND(J4075=1,I4075="SBJ"),AND(J4075=1,I4075=0)),"?IN_FOCUS",IF(J4075&lt;=2,"?ACTIVATED",IF(J4075&lt;&gt;"","?FAMILIAR",IF(F4075="NEW",IF(ISNA(VLOOKUP(E4075,#REF!,1,FALSE())),"?TYPE_IDENTIFIABLE","?REFERENTIAL"),"_")))))</f>
        <v> </v>
      </c>
      <c r="H4075" s="24" t="str">
        <f>IF(J4075&lt;&gt;1,"",IF(I4075="SBJ","CB","?"))</f>
        <v> </v>
      </c>
      <c r="I4075" s="25" t="str">
        <f>IF(OR(E4075="",E4075="!!!",F4075="NEW"),"",INDEX(B4074:B$2,-1+SUMPRODUCT(MAX(ROW(E4074:E$2)*(E4075=E4074:E$2)))))</f>
        <v> </v>
      </c>
      <c r="J4075" s="25" t="str">
        <f>IF(OR(E4075="",E4075="!!!",F4075="NEW"),"",COUNTBLANK(OFFSET(A$1,,,SUMPRODUCT(MAX(ROW(E$2:E4075)*(E4075=E$2:E4075)))))-COUNTBLANK(OFFSET(A$1,,,SUMPRODUCT(MAX(ROW(E$1:E4074)*(E2=E$1:E4074))))))</f>
        <v> </v>
      </c>
      <c r="K4075" s="25" t="str">
        <f>IF(OR(E4075="",E4075="!!!",F4075="NEW"),"",INDEX(J$1:J4074,SUMPRODUCT(MAX(ROW(E$1:E4074)*(E4075=E$1:E4074)))))</f>
        <v> </v>
      </c>
      <c r="L4075" s="26"/>
    </row>
    <row r="4076" spans="1:12">
      <c r="A4076" s="20" t="s">
        <v>751</v>
      </c>
      <c r="E4076" s="21">
        <f>IF(D4076="?OLD","!!!","")</f>
        <v/>
      </c>
      <c r="F4076" s="22" t="str">
        <f>IF(OR(E4076="",E4076="!!!"),"",IF(NOT(ISNA(VLOOKUP(E4076,E$1:E4075,1,FALSE()))),"OLD",IF(AND(E4076&lt;&gt;"",E4076&lt;&gt;"!!!"),"NEW","")))</f>
        <v> </v>
      </c>
      <c r="G4076" s="23" t="str">
        <f>IF(OR(E4076="",E4076="!!!"),"",IF(OR(J4076=0,AND(J4076=1,K4076=1),AND(J4076=1,I4076="SBJ"),AND(J4076=1,I4076=0)),"?IN_FOCUS",IF(J4076&lt;=2,"?ACTIVATED",IF(J4076&lt;&gt;"","?FAMILIAR",IF(F4076="NEW",IF(ISNA(VLOOKUP(E4076,#REF!,1,FALSE())),"?TYPE_IDENTIFIABLE","?REFERENTIAL"),"_")))))</f>
        <v> </v>
      </c>
      <c r="H4076" s="24" t="str">
        <f>IF(J4076&lt;&gt;1,"",IF(I4076="SBJ","CB","?"))</f>
        <v> </v>
      </c>
      <c r="I4076" s="25" t="str">
        <f>IF(OR(E4076="",E4076="!!!",F4076="NEW"),"",INDEX(B4075:B$2,-1+SUMPRODUCT(MAX(ROW(E4075:E$2)*(E4076=E4075:E$2)))))</f>
        <v> </v>
      </c>
      <c r="J4076" s="25" t="str">
        <f>IF(OR(E4076="",E4076="!!!",F4076="NEW"),"",COUNTBLANK(OFFSET(A$1,,,SUMPRODUCT(MAX(ROW(E$2:E4076)*(E4076=E$2:E4076)))))-COUNTBLANK(OFFSET(A$1,,,SUMPRODUCT(MAX(ROW(E$1:E4075)*(E2=E$1:E4075))))))</f>
        <v> </v>
      </c>
      <c r="K4076" s="25" t="str">
        <f>IF(OR(E4076="",E4076="!!!",F4076="NEW"),"",INDEX(J$1:J4075,SUMPRODUCT(MAX(ROW(E$1:E4075)*(E4076=E$1:E4075)))))</f>
        <v> </v>
      </c>
      <c r="L4076" s="26"/>
    </row>
    <row r="4077" spans="1:12">
      <c r="A4077" s="20" t="s">
        <v>1910</v>
      </c>
      <c r="B4077" s="27" t="s">
        <v>696</v>
      </c>
      <c r="C4077" s="27" t="s">
        <v>754</v>
      </c>
      <c r="E4077" s="21">
        <f>IF(D4077="?OLD","!!!","")</f>
        <v/>
      </c>
      <c r="F4077" s="22" t="str">
        <f>IF(OR(E4077="",E4077="!!!"),"",IF(NOT(ISNA(VLOOKUP(E4077,E$1:E4076,1,FALSE()))),"OLD",IF(AND(E4077&lt;&gt;"",E4077&lt;&gt;"!!!"),"NEW","")))</f>
        <v> </v>
      </c>
      <c r="G4077" s="23" t="str">
        <f>IF(OR(E4077="",E4077="!!!"),"",IF(OR(J4077=0,AND(J4077=1,K4077=1),AND(J4077=1,I4077="SBJ"),AND(J4077=1,I4077=0)),"?IN_FOCUS",IF(J4077&lt;=2,"?ACTIVATED",IF(J4077&lt;&gt;"","?FAMILIAR",IF(F4077="NEW",IF(ISNA(VLOOKUP(E4077,#REF!,1,FALSE())),"?TYPE_IDENTIFIABLE","?REFERENTIAL"),"_")))))</f>
        <v> </v>
      </c>
      <c r="H4077" s="24" t="str">
        <f>IF(J4077&lt;&gt;1,"",IF(I4077="SBJ","CB","?"))</f>
        <v> </v>
      </c>
      <c r="I4077" s="25" t="str">
        <f>IF(OR(E4077="",E4077="!!!",F4077="NEW"),"",INDEX(B4076:B$2,-1+SUMPRODUCT(MAX(ROW(E4076:E$2)*(E4077=E4076:E$2)))))</f>
        <v> </v>
      </c>
      <c r="J4077" s="25" t="str">
        <f>IF(OR(E4077="",E4077="!!!",F4077="NEW"),"",COUNTBLANK(OFFSET(A$1,,,SUMPRODUCT(MAX(ROW(E$2:E4077)*(E4077=E$2:E4077)))))-COUNTBLANK(OFFSET(A$1,,,SUMPRODUCT(MAX(ROW(E$1:E4076)*(E2=E$1:E4076))))))</f>
        <v> </v>
      </c>
      <c r="K4077" s="25" t="str">
        <f>IF(OR(E4077="",E4077="!!!",F4077="NEW"),"",INDEX(J$1:J4076,SUMPRODUCT(MAX(ROW(E$1:E4076)*(E4077=E$1:E4076)))))</f>
        <v> </v>
      </c>
      <c r="L4077" s="26"/>
    </row>
    <row r="4078" spans="1:12">
      <c r="A4078" s="20" t="s">
        <v>698</v>
      </c>
      <c r="E4078" s="21">
        <f>IF(D4078="?OLD","!!!","")</f>
        <v/>
      </c>
      <c r="F4078" s="22" t="str">
        <f>IF(OR(E4078="",E4078="!!!"),"",IF(NOT(ISNA(VLOOKUP(E4078,E$1:E4077,1,FALSE()))),"OLD",IF(AND(E4078&lt;&gt;"",E4078&lt;&gt;"!!!"),"NEW","")))</f>
        <v> </v>
      </c>
      <c r="G4078" s="23" t="str">
        <f>IF(OR(E4078="",E4078="!!!"),"",IF(OR(J4078=0,AND(J4078=1,K4078=1),AND(J4078=1,I4078="SBJ"),AND(J4078=1,I4078=0)),"?IN_FOCUS",IF(J4078&lt;=2,"?ACTIVATED",IF(J4078&lt;&gt;"","?FAMILIAR",IF(F4078="NEW",IF(ISNA(VLOOKUP(E4078,#REF!,1,FALSE())),"?TYPE_IDENTIFIABLE","?REFERENTIAL"),"_")))))</f>
        <v> </v>
      </c>
      <c r="H4078" s="24" t="str">
        <f>IF(J4078&lt;&gt;1,"",IF(I4078="SBJ","CB","?"))</f>
        <v> </v>
      </c>
      <c r="I4078" s="25" t="str">
        <f>IF(OR(E4078="",E4078="!!!",F4078="NEW"),"",INDEX(B4077:B$2,-1+SUMPRODUCT(MAX(ROW(E4077:E$2)*(E4078=E4077:E$2)))))</f>
        <v> </v>
      </c>
      <c r="J4078" s="25" t="str">
        <f>IF(OR(E4078="",E4078="!!!",F4078="NEW"),"",COUNTBLANK(OFFSET(A$1,,,SUMPRODUCT(MAX(ROW(E$2:E4078)*(E4078=E$2:E4078)))))-COUNTBLANK(OFFSET(A$1,,,SUMPRODUCT(MAX(ROW(E$1:E4077)*(E2=E$1:E4077))))))</f>
        <v> </v>
      </c>
      <c r="K4078" s="25" t="str">
        <f>IF(OR(E4078="",E4078="!!!",F4078="NEW"),"",INDEX(J$1:J4077,SUMPRODUCT(MAX(ROW(E$1:E4077)*(E4078=E$1:E4077)))))</f>
        <v> </v>
      </c>
      <c r="L4078" s="26"/>
    </row>
    <row r="4079" spans="1:12">
      <c r="A4079" s="20"/>
    </row>
    <row r="4080" spans="1:12">
      <c r="A4080" s="20" t="s">
        <v>1911</v>
      </c>
    </row>
    <row r="4081" spans="1:12">
      <c r="A4081" s="20" t="s">
        <v>905</v>
      </c>
      <c r="E4081" s="21">
        <f>IF(D4081="?OLD","!!!","")</f>
        <v/>
      </c>
      <c r="F4081" s="22" t="str">
        <f>IF(OR(E4081="",E4081="!!!"),"",IF(NOT(ISNA(VLOOKUP(E4081,E$1:E4080,1,FALSE()))),"OLD",IF(AND(E4081&lt;&gt;"",E4081&lt;&gt;"!!!"),"NEW","")))</f>
        <v> </v>
      </c>
      <c r="G4081" s="23" t="str">
        <f>IF(OR(E4081="",E4081="!!!"),"",IF(OR(J4081=0,AND(J4081=1,K4081=1),AND(J4081=1,I4081="SBJ"),AND(J4081=1,I4081=0)),"?IN_FOCUS",IF(J4081&lt;=2,"?ACTIVATED",IF(J4081&lt;&gt;"","?FAMILIAR",IF(F4081="NEW",IF(ISNA(VLOOKUP(E4081,#REF!,1,FALSE())),"?TYPE_IDENTIFIABLE","?REFERENTIAL"),"_")))))</f>
        <v> </v>
      </c>
      <c r="H4081" s="24" t="str">
        <f>IF(J4081&lt;&gt;1,"",IF(I4081="SBJ","CB","?"))</f>
        <v> </v>
      </c>
      <c r="I4081" s="25" t="str">
        <f>IF(OR(E4081="",E4081="!!!",F4081="NEW"),"",INDEX(B4080:B$2,-1+SUMPRODUCT(MAX(ROW(E4080:E$2)*(E4081=E4080:E$2)))))</f>
        <v> </v>
      </c>
      <c r="J4081" s="25" t="str">
        <f>IF(OR(E4081="",E4081="!!!",F4081="NEW"),"",COUNTBLANK(OFFSET(A$1,,,SUMPRODUCT(MAX(ROW(E$2:E4081)*(E4081=E$2:E4081)))))-COUNTBLANK(OFFSET(A$1,,,SUMPRODUCT(MAX(ROW(E$1:E4080)*(E2=E$1:E4080))))))</f>
        <v> </v>
      </c>
      <c r="K4081" s="25" t="str">
        <f>IF(OR(E4081="",E4081="!!!",F4081="NEW"),"",INDEX(J$1:J4080,SUMPRODUCT(MAX(ROW(E$1:E4080)*(E4081=E$1:E4080)))))</f>
        <v> </v>
      </c>
      <c r="L4081" s="26"/>
    </row>
    <row r="4082" spans="1:12">
      <c r="A4082" s="20" t="s">
        <v>928</v>
      </c>
      <c r="B4082" s="27" t="s">
        <v>692</v>
      </c>
      <c r="C4082" s="27" t="s">
        <v>679</v>
      </c>
      <c r="E4082" s="21">
        <f>IF(D4082="?OLD","!!!","")</f>
        <v/>
      </c>
      <c r="F4082" s="22" t="str">
        <f>IF(OR(E4082="",E4082="!!!"),"",IF(NOT(ISNA(VLOOKUP(E4082,E$1:E4081,1,FALSE()))),"OLD",IF(AND(E4082&lt;&gt;"",E4082&lt;&gt;"!!!"),"NEW","")))</f>
        <v> </v>
      </c>
      <c r="G4082" s="23" t="str">
        <f>IF(OR(E4082="",E4082="!!!"),"",IF(OR(J4082=0,AND(J4082=1,K4082=1),AND(J4082=1,I4082="SBJ"),AND(J4082=1,I4082=0)),"?IN_FOCUS",IF(J4082&lt;=2,"?ACTIVATED",IF(J4082&lt;&gt;"","?FAMILIAR",IF(F4082="NEW",IF(ISNA(VLOOKUP(E4082,#REF!,1,FALSE())),"?TYPE_IDENTIFIABLE","?REFERENTIAL"),"_")))))</f>
        <v> </v>
      </c>
      <c r="H4082" s="24" t="str">
        <f>IF(J4082&lt;&gt;1,"",IF(I4082="SBJ","CB","?"))</f>
        <v> </v>
      </c>
      <c r="I4082" s="25" t="str">
        <f>IF(OR(E4082="",E4082="!!!",F4082="NEW"),"",INDEX(B4081:B$2,-1+SUMPRODUCT(MAX(ROW(E4081:E$2)*(E4082=E4081:E$2)))))</f>
        <v> </v>
      </c>
      <c r="J4082" s="25" t="str">
        <f>IF(OR(E4082="",E4082="!!!",F4082="NEW"),"",COUNTBLANK(OFFSET(A$1,,,SUMPRODUCT(MAX(ROW(E$2:E4082)*(E4082=E$2:E4082)))))-COUNTBLANK(OFFSET(A$1,,,SUMPRODUCT(MAX(ROW(E$1:E4081)*(E2=E$1:E4081))))))</f>
        <v> </v>
      </c>
      <c r="K4082" s="25" t="str">
        <f>IF(OR(E4082="",E4082="!!!",F4082="NEW"),"",INDEX(J$1:J4081,SUMPRODUCT(MAX(ROW(E$1:E4081)*(E4082=E$1:E4081)))))</f>
        <v> </v>
      </c>
      <c r="L4082" s="26"/>
    </row>
    <row r="4083" spans="1:12">
      <c r="A4083" s="20" t="s">
        <v>732</v>
      </c>
      <c r="B4083" s="27" t="s">
        <v>807</v>
      </c>
      <c r="E4083" s="21">
        <f>IF(D4083="?OLD","!!!","")</f>
        <v/>
      </c>
      <c r="F4083" s="22" t="str">
        <f>IF(OR(E4083="",E4083="!!!"),"",IF(NOT(ISNA(VLOOKUP(E4083,E$1:E4082,1,FALSE()))),"OLD",IF(AND(E4083&lt;&gt;"",E4083&lt;&gt;"!!!"),"NEW","")))</f>
        <v> </v>
      </c>
      <c r="G4083" s="23" t="str">
        <f>IF(OR(E4083="",E4083="!!!"),"",IF(OR(J4083=0,AND(J4083=1,K4083=1),AND(J4083=1,I4083="SBJ"),AND(J4083=1,I4083=0)),"?IN_FOCUS",IF(J4083&lt;=2,"?ACTIVATED",IF(J4083&lt;&gt;"","?FAMILIAR",IF(F4083="NEW",IF(ISNA(VLOOKUP(E4083,#REF!,1,FALSE())),"?TYPE_IDENTIFIABLE","?REFERENTIAL"),"_")))))</f>
        <v> </v>
      </c>
      <c r="H4083" s="24" t="str">
        <f>IF(J4083&lt;&gt;1,"",IF(I4083="SBJ","CB","?"))</f>
        <v> </v>
      </c>
      <c r="I4083" s="25" t="str">
        <f>IF(OR(E4083="",E4083="!!!",F4083="NEW"),"",INDEX(B4082:B$2,-1+SUMPRODUCT(MAX(ROW(E4082:E$2)*(E4083=E4082:E$2)))))</f>
        <v> </v>
      </c>
      <c r="J4083" s="25" t="str">
        <f>IF(OR(E4083="",E4083="!!!",F4083="NEW"),"",COUNTBLANK(OFFSET(A$1,,,SUMPRODUCT(MAX(ROW(E$2:E4083)*(E4083=E$2:E4083)))))-COUNTBLANK(OFFSET(A$1,,,SUMPRODUCT(MAX(ROW(E$1:E4082)*(E2=E$1:E4082))))))</f>
        <v> </v>
      </c>
      <c r="K4083" s="25" t="str">
        <f>IF(OR(E4083="",E4083="!!!",F4083="NEW"),"",INDEX(J$1:J4082,SUMPRODUCT(MAX(ROW(E$1:E4082)*(E4083=E$1:E4082)))))</f>
        <v> </v>
      </c>
      <c r="L4083" s="26"/>
    </row>
    <row r="4084" spans="1:12">
      <c r="A4084" s="20" t="s">
        <v>1912</v>
      </c>
      <c r="E4084" s="21">
        <f>IF(D4084="?OLD","!!!","")</f>
        <v/>
      </c>
      <c r="F4084" s="22" t="str">
        <f>IF(OR(E4084="",E4084="!!!"),"",IF(NOT(ISNA(VLOOKUP(E4084,E$1:E4083,1,FALSE()))),"OLD",IF(AND(E4084&lt;&gt;"",E4084&lt;&gt;"!!!"),"NEW","")))</f>
        <v> </v>
      </c>
      <c r="G4084" s="23" t="str">
        <f>IF(OR(E4084="",E4084="!!!"),"",IF(OR(J4084=0,AND(J4084=1,K4084=1),AND(J4084=1,I4084="SBJ"),AND(J4084=1,I4084=0)),"?IN_FOCUS",IF(J4084&lt;=2,"?ACTIVATED",IF(J4084&lt;&gt;"","?FAMILIAR",IF(F4084="NEW",IF(ISNA(VLOOKUP(E4084,#REF!,1,FALSE())),"?TYPE_IDENTIFIABLE","?REFERENTIAL"),"_")))))</f>
        <v> </v>
      </c>
      <c r="H4084" s="24" t="str">
        <f>IF(J4084&lt;&gt;1,"",IF(I4084="SBJ","CB","?"))</f>
        <v> </v>
      </c>
      <c r="I4084" s="25" t="str">
        <f>IF(OR(E4084="",E4084="!!!",F4084="NEW"),"",INDEX(B4083:B$2,-1+SUMPRODUCT(MAX(ROW(E4083:E$2)*(E4084=E4083:E$2)))))</f>
        <v> </v>
      </c>
      <c r="J4084" s="25" t="str">
        <f>IF(OR(E4084="",E4084="!!!",F4084="NEW"),"",COUNTBLANK(OFFSET(A$1,,,SUMPRODUCT(MAX(ROW(E$2:E4084)*(E4084=E$2:E4084)))))-COUNTBLANK(OFFSET(A$1,,,SUMPRODUCT(MAX(ROW(E$1:E4083)*(E2=E$1:E4083))))))</f>
        <v> </v>
      </c>
      <c r="K4084" s="25" t="str">
        <f>IF(OR(E4084="",E4084="!!!",F4084="NEW"),"",INDEX(J$1:J4083,SUMPRODUCT(MAX(ROW(E$1:E4083)*(E4084=E$1:E4083)))))</f>
        <v> </v>
      </c>
      <c r="L4084" s="26"/>
    </row>
    <row r="4085" spans="1:12">
      <c r="A4085" s="20" t="s">
        <v>732</v>
      </c>
      <c r="E4085" s="21">
        <f>IF(D4085="?OLD","!!!","")</f>
        <v/>
      </c>
      <c r="F4085" s="22" t="str">
        <f>IF(OR(E4085="",E4085="!!!"),"",IF(NOT(ISNA(VLOOKUP(E4085,E$1:E4084,1,FALSE()))),"OLD",IF(AND(E4085&lt;&gt;"",E4085&lt;&gt;"!!!"),"NEW","")))</f>
        <v> </v>
      </c>
      <c r="G4085" s="23" t="str">
        <f>IF(OR(E4085="",E4085="!!!"),"",IF(OR(J4085=0,AND(J4085=1,K4085=1),AND(J4085=1,I4085="SBJ"),AND(J4085=1,I4085=0)),"?IN_FOCUS",IF(J4085&lt;=2,"?ACTIVATED",IF(J4085&lt;&gt;"","?FAMILIAR",IF(F4085="NEW",IF(ISNA(VLOOKUP(E4085,#REF!,1,FALSE())),"?TYPE_IDENTIFIABLE","?REFERENTIAL"),"_")))))</f>
        <v> </v>
      </c>
      <c r="H4085" s="24" t="str">
        <f>IF(J4085&lt;&gt;1,"",IF(I4085="SBJ","CB","?"))</f>
        <v> </v>
      </c>
      <c r="I4085" s="25" t="str">
        <f>IF(OR(E4085="",E4085="!!!",F4085="NEW"),"",INDEX(B4084:B$2,-1+SUMPRODUCT(MAX(ROW(E4084:E$2)*(E4085=E4084:E$2)))))</f>
        <v> </v>
      </c>
      <c r="J4085" s="25" t="str">
        <f>IF(OR(E4085="",E4085="!!!",F4085="NEW"),"",COUNTBLANK(OFFSET(A$1,,,SUMPRODUCT(MAX(ROW(E$2:E4085)*(E4085=E$2:E4085)))))-COUNTBLANK(OFFSET(A$1,,,SUMPRODUCT(MAX(ROW(E$1:E4084)*(E2=E$1:E4084))))))</f>
        <v> </v>
      </c>
      <c r="K4085" s="25" t="str">
        <f>IF(OR(E4085="",E4085="!!!",F4085="NEW"),"",INDEX(J$1:J4084,SUMPRODUCT(MAX(ROW(E$1:E4084)*(E4085=E$1:E4084)))))</f>
        <v> </v>
      </c>
      <c r="L4085" s="26"/>
    </row>
    <row r="4086" spans="1:12">
      <c r="A4086" s="20" t="s">
        <v>683</v>
      </c>
      <c r="E4086" s="21">
        <f>IF(D4086="?OLD","!!!","")</f>
        <v/>
      </c>
      <c r="F4086" s="22" t="str">
        <f>IF(OR(E4086="",E4086="!!!"),"",IF(NOT(ISNA(VLOOKUP(E4086,E$1:E4085,1,FALSE()))),"OLD",IF(AND(E4086&lt;&gt;"",E4086&lt;&gt;"!!!"),"NEW","")))</f>
        <v> </v>
      </c>
      <c r="G4086" s="23" t="str">
        <f>IF(OR(E4086="",E4086="!!!"),"",IF(OR(J4086=0,AND(J4086=1,K4086=1),AND(J4086=1,I4086="SBJ"),AND(J4086=1,I4086=0)),"?IN_FOCUS",IF(J4086&lt;=2,"?ACTIVATED",IF(J4086&lt;&gt;"","?FAMILIAR",IF(F4086="NEW",IF(ISNA(VLOOKUP(E4086,#REF!,1,FALSE())),"?TYPE_IDENTIFIABLE","?REFERENTIAL"),"_")))))</f>
        <v> </v>
      </c>
      <c r="H4086" s="24" t="str">
        <f>IF(J4086&lt;&gt;1,"",IF(I4086="SBJ","CB","?"))</f>
        <v> </v>
      </c>
      <c r="I4086" s="25" t="str">
        <f>IF(OR(E4086="",E4086="!!!",F4086="NEW"),"",INDEX(B4085:B$2,-1+SUMPRODUCT(MAX(ROW(E4085:E$2)*(E4086=E4085:E$2)))))</f>
        <v> </v>
      </c>
      <c r="J4086" s="25" t="str">
        <f>IF(OR(E4086="",E4086="!!!",F4086="NEW"),"",COUNTBLANK(OFFSET(A$1,,,SUMPRODUCT(MAX(ROW(E$2:E4086)*(E4086=E$2:E4086)))))-COUNTBLANK(OFFSET(A$1,,,SUMPRODUCT(MAX(ROW(E$1:E4085)*(E2=E$1:E4085))))))</f>
        <v> </v>
      </c>
      <c r="K4086" s="25" t="str">
        <f>IF(OR(E4086="",E4086="!!!",F4086="NEW"),"",INDEX(J$1:J4085,SUMPRODUCT(MAX(ROW(E$1:E4085)*(E4086=E$1:E4085)))))</f>
        <v> </v>
      </c>
      <c r="L4086" s="26"/>
    </row>
    <row r="4087" spans="1:12">
      <c r="A4087" s="20" t="s">
        <v>1646</v>
      </c>
      <c r="B4087" s="27" t="s">
        <v>863</v>
      </c>
      <c r="C4087" s="27" t="s">
        <v>693</v>
      </c>
      <c r="D4087" s="27" t="s">
        <v>687</v>
      </c>
      <c r="E4087" s="21">
        <f>IF(D4087="?OLD","!!!","")</f>
        <v/>
      </c>
      <c r="F4087" s="22" t="str">
        <f>IF(OR(E4087="",E4087="!!!"),"",IF(NOT(ISNA(VLOOKUP(E4087,E$1:E4086,1,FALSE()))),"OLD",IF(AND(E4087&lt;&gt;"",E4087&lt;&gt;"!!!"),"NEW","")))</f>
        <v> </v>
      </c>
      <c r="G4087" s="23" t="str">
        <f>IF(OR(E4087="",E4087="!!!"),"",IF(OR(J4087=0,AND(J4087=1,K4087=1),AND(J4087=1,I4087="SBJ"),AND(J4087=1,I4087=0)),"?IN_FOCUS",IF(J4087&lt;=2,"?ACTIVATED",IF(J4087&lt;&gt;"","?FAMILIAR",IF(F4087="NEW",IF(ISNA(VLOOKUP(E4087,#REF!,1,FALSE())),"?TYPE_IDENTIFIABLE","?REFERENTIAL"),"_")))))</f>
        <v> </v>
      </c>
      <c r="H4087" s="24" t="str">
        <f>IF(J4087&lt;&gt;1,"",IF(I4087="SBJ","CB","?"))</f>
        <v> </v>
      </c>
      <c r="I4087" s="25" t="str">
        <f>IF(OR(E4087="",E4087="!!!",F4087="NEW"),"",INDEX(B4086:B$2,-1+SUMPRODUCT(MAX(ROW(E4086:E$2)*(E4087=E4086:E$2)))))</f>
        <v> </v>
      </c>
      <c r="J4087" s="25" t="str">
        <f>IF(OR(E4087="",E4087="!!!",F4087="NEW"),"",COUNTBLANK(OFFSET(A$1,,,SUMPRODUCT(MAX(ROW(E$2:E4087)*(E4087=E$2:E4087)))))-COUNTBLANK(OFFSET(A$1,,,SUMPRODUCT(MAX(ROW(E$1:E4086)*(E2=E$1:E4086))))))</f>
        <v> </v>
      </c>
      <c r="K4087" s="25" t="str">
        <f>IF(OR(E4087="",E4087="!!!",F4087="NEW"),"",INDEX(J$1:J4086,SUMPRODUCT(MAX(ROW(E$1:E4086)*(E4087=E$1:E4086)))))</f>
        <v> </v>
      </c>
      <c r="L4087" s="26"/>
    </row>
    <row r="4088" spans="1:12">
      <c r="A4088" s="20" t="s">
        <v>694</v>
      </c>
      <c r="E4088" s="21">
        <f>IF(D4088="?OLD","!!!","")</f>
        <v/>
      </c>
      <c r="F4088" s="22" t="str">
        <f>IF(OR(E4088="",E4088="!!!"),"",IF(NOT(ISNA(VLOOKUP(E4088,E$1:E4087,1,FALSE()))),"OLD",IF(AND(E4088&lt;&gt;"",E4088&lt;&gt;"!!!"),"NEW","")))</f>
        <v> </v>
      </c>
      <c r="G4088" s="23" t="str">
        <f>IF(OR(E4088="",E4088="!!!"),"",IF(OR(J4088=0,AND(J4088=1,K4088=1),AND(J4088=1,I4088="SBJ"),AND(J4088=1,I4088=0)),"?IN_FOCUS",IF(J4088&lt;=2,"?ACTIVATED",IF(J4088&lt;&gt;"","?FAMILIAR",IF(F4088="NEW",IF(ISNA(VLOOKUP(E4088,#REF!,1,FALSE())),"?TYPE_IDENTIFIABLE","?REFERENTIAL"),"_")))))</f>
        <v> </v>
      </c>
      <c r="H4088" s="24" t="str">
        <f>IF(J4088&lt;&gt;1,"",IF(I4088="SBJ","CB","?"))</f>
        <v> </v>
      </c>
      <c r="I4088" s="25" t="str">
        <f>IF(OR(E4088="",E4088="!!!",F4088="NEW"),"",INDEX(B4087:B$2,-1+SUMPRODUCT(MAX(ROW(E4087:E$2)*(E4088=E4087:E$2)))))</f>
        <v> </v>
      </c>
      <c r="J4088" s="25" t="str">
        <f>IF(OR(E4088="",E4088="!!!",F4088="NEW"),"",COUNTBLANK(OFFSET(A$1,,,SUMPRODUCT(MAX(ROW(E$2:E4088)*(E4088=E$2:E4088)))))-COUNTBLANK(OFFSET(A$1,,,SUMPRODUCT(MAX(ROW(E$1:E4087)*(E2=E$1:E4087))))))</f>
        <v> </v>
      </c>
      <c r="K4088" s="25" t="str">
        <f>IF(OR(E4088="",E4088="!!!",F4088="NEW"),"",INDEX(J$1:J4087,SUMPRODUCT(MAX(ROW(E$1:E4087)*(E4088=E$1:E4087)))))</f>
        <v> </v>
      </c>
      <c r="L4088" s="26"/>
    </row>
    <row r="4089" spans="1:12">
      <c r="A4089" s="20" t="s">
        <v>683</v>
      </c>
      <c r="E4089" s="21">
        <f>IF(D4089="?OLD","!!!","")</f>
        <v/>
      </c>
      <c r="F4089" s="22" t="str">
        <f>IF(OR(E4089="",E4089="!!!"),"",IF(NOT(ISNA(VLOOKUP(E4089,E$1:E4088,1,FALSE()))),"OLD",IF(AND(E4089&lt;&gt;"",E4089&lt;&gt;"!!!"),"NEW","")))</f>
        <v> </v>
      </c>
      <c r="G4089" s="23" t="str">
        <f>IF(OR(E4089="",E4089="!!!"),"",IF(OR(J4089=0,AND(J4089=1,K4089=1),AND(J4089=1,I4089="SBJ"),AND(J4089=1,I4089=0)),"?IN_FOCUS",IF(J4089&lt;=2,"?ACTIVATED",IF(J4089&lt;&gt;"","?FAMILIAR",IF(F4089="NEW",IF(ISNA(VLOOKUP(E4089,#REF!,1,FALSE())),"?TYPE_IDENTIFIABLE","?REFERENTIAL"),"_")))))</f>
        <v> </v>
      </c>
      <c r="H4089" s="24" t="str">
        <f>IF(J4089&lt;&gt;1,"",IF(I4089="SBJ","CB","?"))</f>
        <v> </v>
      </c>
      <c r="I4089" s="25" t="str">
        <f>IF(OR(E4089="",E4089="!!!",F4089="NEW"),"",INDEX(B4088:B$2,-1+SUMPRODUCT(MAX(ROW(E4088:E$2)*(E4089=E4088:E$2)))))</f>
        <v> </v>
      </c>
      <c r="J4089" s="25" t="str">
        <f>IF(OR(E4089="",E4089="!!!",F4089="NEW"),"",COUNTBLANK(OFFSET(A$1,,,SUMPRODUCT(MAX(ROW(E$2:E4089)*(E4089=E$2:E4089)))))-COUNTBLANK(OFFSET(A$1,,,SUMPRODUCT(MAX(ROW(E$1:E4088)*(E2=E$1:E4088))))))</f>
        <v> </v>
      </c>
      <c r="K4089" s="25" t="str">
        <f>IF(OR(E4089="",E4089="!!!",F4089="NEW"),"",INDEX(J$1:J4088,SUMPRODUCT(MAX(ROW(E$1:E4088)*(E4089=E$1:E4088)))))</f>
        <v> </v>
      </c>
      <c r="L4089" s="26"/>
    </row>
    <row r="4090" spans="1:12">
      <c r="A4090" s="20" t="s">
        <v>771</v>
      </c>
      <c r="B4090" s="27" t="s">
        <v>728</v>
      </c>
      <c r="C4090" s="27" t="s">
        <v>772</v>
      </c>
      <c r="D4090" s="27" t="s">
        <v>687</v>
      </c>
      <c r="E4090" s="21">
        <f>IF(D4090="?OLD","!!!","")</f>
        <v/>
      </c>
      <c r="F4090" s="22" t="str">
        <f>IF(OR(E4090="",E4090="!!!"),"",IF(NOT(ISNA(VLOOKUP(E4090,E$1:E4089,1,FALSE()))),"OLD",IF(AND(E4090&lt;&gt;"",E4090&lt;&gt;"!!!"),"NEW","")))</f>
        <v> </v>
      </c>
      <c r="G4090" s="23" t="str">
        <f>IF(OR(E4090="",E4090="!!!"),"",IF(OR(J4090=0,AND(J4090=1,K4090=1),AND(J4090=1,I4090="SBJ"),AND(J4090=1,I4090=0)),"?IN_FOCUS",IF(J4090&lt;=2,"?ACTIVATED",IF(J4090&lt;&gt;"","?FAMILIAR",IF(F4090="NEW",IF(ISNA(VLOOKUP(E4090,#REF!,1,FALSE())),"?TYPE_IDENTIFIABLE","?REFERENTIAL"),"_")))))</f>
        <v> </v>
      </c>
      <c r="H4090" s="24" t="str">
        <f>IF(J4090&lt;&gt;1,"",IF(I4090="SBJ","CB","?"))</f>
        <v> </v>
      </c>
      <c r="I4090" s="25" t="str">
        <f>IF(OR(E4090="",E4090="!!!",F4090="NEW"),"",INDEX(B4089:B$2,-1+SUMPRODUCT(MAX(ROW(E4089:E$2)*(E4090=E4089:E$2)))))</f>
        <v> </v>
      </c>
      <c r="J4090" s="25" t="str">
        <f>IF(OR(E4090="",E4090="!!!",F4090="NEW"),"",COUNTBLANK(OFFSET(A$1,,,SUMPRODUCT(MAX(ROW(E$2:E4090)*(E4090=E$2:E4090)))))-COUNTBLANK(OFFSET(A$1,,,SUMPRODUCT(MAX(ROW(E$1:E4089)*(E2=E$1:E4089))))))</f>
        <v> </v>
      </c>
      <c r="K4090" s="25" t="str">
        <f>IF(OR(E4090="",E4090="!!!",F4090="NEW"),"",INDEX(J$1:J4089,SUMPRODUCT(MAX(ROW(E$1:E4089)*(E4090=E$1:E4089)))))</f>
        <v> </v>
      </c>
      <c r="L4090" s="26"/>
    </row>
    <row r="4091" spans="1:12">
      <c r="A4091" s="20" t="s">
        <v>873</v>
      </c>
      <c r="B4091" s="27" t="s">
        <v>843</v>
      </c>
      <c r="C4091" s="27" t="s">
        <v>693</v>
      </c>
      <c r="D4091" s="27" t="s">
        <v>687</v>
      </c>
      <c r="E4091" s="21">
        <f>IF(D4091="?OLD","!!!","")</f>
        <v/>
      </c>
      <c r="F4091" s="22" t="str">
        <f>IF(OR(E4091="",E4091="!!!"),"",IF(NOT(ISNA(VLOOKUP(E4091,E$1:E4090,1,FALSE()))),"OLD",IF(AND(E4091&lt;&gt;"",E4091&lt;&gt;"!!!"),"NEW","")))</f>
        <v> </v>
      </c>
      <c r="G4091" s="23" t="str">
        <f>IF(OR(E4091="",E4091="!!!"),"",IF(OR(J4091=0,AND(J4091=1,K4091=1),AND(J4091=1,I4091="SBJ"),AND(J4091=1,I4091=0)),"?IN_FOCUS",IF(J4091&lt;=2,"?ACTIVATED",IF(J4091&lt;&gt;"","?FAMILIAR",IF(F4091="NEW",IF(ISNA(VLOOKUP(E4091,#REF!,1,FALSE())),"?TYPE_IDENTIFIABLE","?REFERENTIAL"),"_")))))</f>
        <v> </v>
      </c>
      <c r="H4091" s="24" t="str">
        <f>IF(J4091&lt;&gt;1,"",IF(I4091="SBJ","CB","?"))</f>
        <v> </v>
      </c>
      <c r="I4091" s="25" t="str">
        <f>IF(OR(E4091="",E4091="!!!",F4091="NEW"),"",INDEX(B4090:B$2,-1+SUMPRODUCT(MAX(ROW(E4090:E$2)*(E4091=E4090:E$2)))))</f>
        <v> </v>
      </c>
      <c r="J4091" s="25" t="str">
        <f>IF(OR(E4091="",E4091="!!!",F4091="NEW"),"",COUNTBLANK(OFFSET(A$1,,,SUMPRODUCT(MAX(ROW(E$2:E4091)*(E4091=E$2:E4091)))))-COUNTBLANK(OFFSET(A$1,,,SUMPRODUCT(MAX(ROW(E$1:E4090)*(E2=E$1:E4090))))))</f>
        <v> </v>
      </c>
      <c r="K4091" s="25" t="str">
        <f>IF(OR(E4091="",E4091="!!!",F4091="NEW"),"",INDEX(J$1:J4090,SUMPRODUCT(MAX(ROW(E$1:E4090)*(E4091=E$1:E4090)))))</f>
        <v> </v>
      </c>
      <c r="L4091" s="26"/>
    </row>
    <row r="4092" spans="1:12">
      <c r="A4092" s="20" t="s">
        <v>694</v>
      </c>
      <c r="E4092" s="21">
        <f>IF(D4092="?OLD","!!!","")</f>
        <v/>
      </c>
      <c r="F4092" s="22" t="str">
        <f>IF(OR(E4092="",E4092="!!!"),"",IF(NOT(ISNA(VLOOKUP(E4092,E$1:E4091,1,FALSE()))),"OLD",IF(AND(E4092&lt;&gt;"",E4092&lt;&gt;"!!!"),"NEW","")))</f>
        <v> </v>
      </c>
      <c r="G4092" s="23" t="str">
        <f>IF(OR(E4092="",E4092="!!!"),"",IF(OR(J4092=0,AND(J4092=1,K4092=1),AND(J4092=1,I4092="SBJ"),AND(J4092=1,I4092=0)),"?IN_FOCUS",IF(J4092&lt;=2,"?ACTIVATED",IF(J4092&lt;&gt;"","?FAMILIAR",IF(F4092="NEW",IF(ISNA(VLOOKUP(E4092,#REF!,1,FALSE())),"?TYPE_IDENTIFIABLE","?REFERENTIAL"),"_")))))</f>
        <v> </v>
      </c>
      <c r="H4092" s="24" t="str">
        <f>IF(J4092&lt;&gt;1,"",IF(I4092="SBJ","CB","?"))</f>
        <v> </v>
      </c>
      <c r="I4092" s="25" t="str">
        <f>IF(OR(E4092="",E4092="!!!",F4092="NEW"),"",INDEX(B4091:B$2,-1+SUMPRODUCT(MAX(ROW(E4091:E$2)*(E4092=E4091:E$2)))))</f>
        <v> </v>
      </c>
      <c r="J4092" s="25" t="str">
        <f>IF(OR(E4092="",E4092="!!!",F4092="NEW"),"",COUNTBLANK(OFFSET(A$1,,,SUMPRODUCT(MAX(ROW(E$2:E4092)*(E4092=E$2:E4092)))))-COUNTBLANK(OFFSET(A$1,,,SUMPRODUCT(MAX(ROW(E$1:E4091)*(E2=E$1:E4091))))))</f>
        <v> </v>
      </c>
      <c r="K4092" s="25" t="str">
        <f>IF(OR(E4092="",E4092="!!!",F4092="NEW"),"",INDEX(J$1:J4091,SUMPRODUCT(MAX(ROW(E$1:E4091)*(E4092=E$1:E4091)))))</f>
        <v> </v>
      </c>
      <c r="L4092" s="26"/>
    </row>
    <row r="4093" spans="1:12">
      <c r="A4093" s="20" t="s">
        <v>1913</v>
      </c>
      <c r="E4093" s="21">
        <f>IF(D4093="?OLD","!!!","")</f>
        <v/>
      </c>
      <c r="F4093" s="22" t="str">
        <f>IF(OR(E4093="",E4093="!!!"),"",IF(NOT(ISNA(VLOOKUP(E4093,E$1:E4092,1,FALSE()))),"OLD",IF(AND(E4093&lt;&gt;"",E4093&lt;&gt;"!!!"),"NEW","")))</f>
        <v> </v>
      </c>
      <c r="G4093" s="23" t="str">
        <f>IF(OR(E4093="",E4093="!!!"),"",IF(OR(J4093=0,AND(J4093=1,K4093=1),AND(J4093=1,I4093="SBJ"),AND(J4093=1,I4093=0)),"?IN_FOCUS",IF(J4093&lt;=2,"?ACTIVATED",IF(J4093&lt;&gt;"","?FAMILIAR",IF(F4093="NEW",IF(ISNA(VLOOKUP(E4093,#REF!,1,FALSE())),"?TYPE_IDENTIFIABLE","?REFERENTIAL"),"_")))))</f>
        <v> </v>
      </c>
      <c r="H4093" s="24" t="str">
        <f>IF(J4093&lt;&gt;1,"",IF(I4093="SBJ","CB","?"))</f>
        <v> </v>
      </c>
      <c r="I4093" s="25" t="str">
        <f>IF(OR(E4093="",E4093="!!!",F4093="NEW"),"",INDEX(B4092:B$2,-1+SUMPRODUCT(MAX(ROW(E4092:E$2)*(E4093=E4092:E$2)))))</f>
        <v> </v>
      </c>
      <c r="J4093" s="25" t="str">
        <f>IF(OR(E4093="",E4093="!!!",F4093="NEW"),"",COUNTBLANK(OFFSET(A$1,,,SUMPRODUCT(MAX(ROW(E$2:E4093)*(E4093=E$2:E4093)))))-COUNTBLANK(OFFSET(A$1,,,SUMPRODUCT(MAX(ROW(E$1:E4092)*(E2=E$1:E4092))))))</f>
        <v> </v>
      </c>
      <c r="K4093" s="25" t="str">
        <f>IF(OR(E4093="",E4093="!!!",F4093="NEW"),"",INDEX(J$1:J4092,SUMPRODUCT(MAX(ROW(E$1:E4092)*(E4093=E$1:E4092)))))</f>
        <v> </v>
      </c>
      <c r="L4093" s="26"/>
    </row>
    <row r="4094" spans="1:12">
      <c r="A4094" s="20" t="s">
        <v>1495</v>
      </c>
      <c r="B4094" s="27" t="s">
        <v>728</v>
      </c>
      <c r="C4094" s="27" t="s">
        <v>1049</v>
      </c>
      <c r="E4094" s="21">
        <f>IF(D4094="?OLD","!!!","")</f>
        <v/>
      </c>
      <c r="F4094" s="22" t="str">
        <f>IF(OR(E4094="",E4094="!!!"),"",IF(NOT(ISNA(VLOOKUP(E4094,E$1:E4093,1,FALSE()))),"OLD",IF(AND(E4094&lt;&gt;"",E4094&lt;&gt;"!!!"),"NEW","")))</f>
        <v> </v>
      </c>
      <c r="G4094" s="23" t="str">
        <f>IF(OR(E4094="",E4094="!!!"),"",IF(OR(J4094=0,AND(J4094=1,K4094=1),AND(J4094=1,I4094="SBJ"),AND(J4094=1,I4094=0)),"?IN_FOCUS",IF(J4094&lt;=2,"?ACTIVATED",IF(J4094&lt;&gt;"","?FAMILIAR",IF(F4094="NEW",IF(ISNA(VLOOKUP(E4094,#REF!,1,FALSE())),"?TYPE_IDENTIFIABLE","?REFERENTIAL"),"_")))))</f>
        <v> </v>
      </c>
      <c r="H4094" s="24" t="str">
        <f>IF(J4094&lt;&gt;1,"",IF(I4094="SBJ","CB","?"))</f>
        <v> </v>
      </c>
      <c r="I4094" s="25" t="str">
        <f>IF(OR(E4094="",E4094="!!!",F4094="NEW"),"",INDEX(B4093:B$2,-1+SUMPRODUCT(MAX(ROW(E4093:E$2)*(E4094=E4093:E$2)))))</f>
        <v> </v>
      </c>
      <c r="J4094" s="25" t="str">
        <f>IF(OR(E4094="",E4094="!!!",F4094="NEW"),"",COUNTBLANK(OFFSET(A$1,,,SUMPRODUCT(MAX(ROW(E$2:E4094)*(E4094=E$2:E4094)))))-COUNTBLANK(OFFSET(A$1,,,SUMPRODUCT(MAX(ROW(E$1:E4093)*(E2=E$1:E4093))))))</f>
        <v> </v>
      </c>
      <c r="K4094" s="25" t="str">
        <f>IF(OR(E4094="",E4094="!!!",F4094="NEW"),"",INDEX(J$1:J4093,SUMPRODUCT(MAX(ROW(E$1:E4093)*(E4094=E$1:E4093)))))</f>
        <v> </v>
      </c>
      <c r="L4094" s="26"/>
    </row>
    <row r="4095" spans="1:12">
      <c r="A4095" s="20" t="s">
        <v>1914</v>
      </c>
      <c r="E4095" s="21">
        <f>IF(D4095="?OLD","!!!","")</f>
        <v/>
      </c>
      <c r="F4095" s="22" t="str">
        <f>IF(OR(E4095="",E4095="!!!"),"",IF(NOT(ISNA(VLOOKUP(E4095,E$1:E4094,1,FALSE()))),"OLD",IF(AND(E4095&lt;&gt;"",E4095&lt;&gt;"!!!"),"NEW","")))</f>
        <v> </v>
      </c>
      <c r="G4095" s="23" t="str">
        <f>IF(OR(E4095="",E4095="!!!"),"",IF(OR(J4095=0,AND(J4095=1,K4095=1),AND(J4095=1,I4095="SBJ"),AND(J4095=1,I4095=0)),"?IN_FOCUS",IF(J4095&lt;=2,"?ACTIVATED",IF(J4095&lt;&gt;"","?FAMILIAR",IF(F4095="NEW",IF(ISNA(VLOOKUP(E4095,#REF!,1,FALSE())),"?TYPE_IDENTIFIABLE","?REFERENTIAL"),"_")))))</f>
        <v> </v>
      </c>
      <c r="H4095" s="24" t="str">
        <f>IF(J4095&lt;&gt;1,"",IF(I4095="SBJ","CB","?"))</f>
        <v> </v>
      </c>
      <c r="I4095" s="25" t="str">
        <f>IF(OR(E4095="",E4095="!!!",F4095="NEW"),"",INDEX(B4094:B$2,-1+SUMPRODUCT(MAX(ROW(E4094:E$2)*(E4095=E4094:E$2)))))</f>
        <v> </v>
      </c>
      <c r="J4095" s="25" t="str">
        <f>IF(OR(E4095="",E4095="!!!",F4095="NEW"),"",COUNTBLANK(OFFSET(A$1,,,SUMPRODUCT(MAX(ROW(E$2:E4095)*(E4095=E$2:E4095)))))-COUNTBLANK(OFFSET(A$1,,,SUMPRODUCT(MAX(ROW(E$1:E4094)*(E2=E$1:E4094))))))</f>
        <v> </v>
      </c>
      <c r="K4095" s="25" t="str">
        <f>IF(OR(E4095="",E4095="!!!",F4095="NEW"),"",INDEX(J$1:J4094,SUMPRODUCT(MAX(ROW(E$1:E4094)*(E4095=E$1:E4094)))))</f>
        <v> </v>
      </c>
      <c r="L4095" s="26"/>
    </row>
    <row r="4096" spans="1:12">
      <c r="A4096" s="20" t="s">
        <v>682</v>
      </c>
      <c r="E4096" s="21">
        <f>IF(D4096="?OLD","!!!","")</f>
        <v/>
      </c>
      <c r="F4096" s="22" t="str">
        <f>IF(OR(E4096="",E4096="!!!"),"",IF(NOT(ISNA(VLOOKUP(E4096,E$1:E4095,1,FALSE()))),"OLD",IF(AND(E4096&lt;&gt;"",E4096&lt;&gt;"!!!"),"NEW","")))</f>
        <v> </v>
      </c>
      <c r="G4096" s="23" t="str">
        <f>IF(OR(E4096="",E4096="!!!"),"",IF(OR(J4096=0,AND(J4096=1,K4096=1),AND(J4096=1,I4096="SBJ"),AND(J4096=1,I4096=0)),"?IN_FOCUS",IF(J4096&lt;=2,"?ACTIVATED",IF(J4096&lt;&gt;"","?FAMILIAR",IF(F4096="NEW",IF(ISNA(VLOOKUP(E4096,#REF!,1,FALSE())),"?TYPE_IDENTIFIABLE","?REFERENTIAL"),"_")))))</f>
        <v> </v>
      </c>
      <c r="H4096" s="24" t="str">
        <f>IF(J4096&lt;&gt;1,"",IF(I4096="SBJ","CB","?"))</f>
        <v> </v>
      </c>
      <c r="I4096" s="25" t="str">
        <f>IF(OR(E4096="",E4096="!!!",F4096="NEW"),"",INDEX(B4095:B$2,-1+SUMPRODUCT(MAX(ROW(E4095:E$2)*(E4096=E4095:E$2)))))</f>
        <v> </v>
      </c>
      <c r="J4096" s="25" t="str">
        <f>IF(OR(E4096="",E4096="!!!",F4096="NEW"),"",COUNTBLANK(OFFSET(A$1,,,SUMPRODUCT(MAX(ROW(E$2:E4096)*(E4096=E$2:E4096)))))-COUNTBLANK(OFFSET(A$1,,,SUMPRODUCT(MAX(ROW(E$1:E4095)*(E2=E$1:E4095))))))</f>
        <v> </v>
      </c>
      <c r="K4096" s="25" t="str">
        <f>IF(OR(E4096="",E4096="!!!",F4096="NEW"),"",INDEX(J$1:J4095,SUMPRODUCT(MAX(ROW(E$1:E4095)*(E4096=E$1:E4095)))))</f>
        <v> </v>
      </c>
      <c r="L4096" s="26"/>
    </row>
    <row r="4097" spans="1:12">
      <c r="A4097" s="20" t="s">
        <v>1915</v>
      </c>
      <c r="E4097" s="21">
        <f>IF(D4097="?OLD","!!!","")</f>
        <v/>
      </c>
      <c r="F4097" s="22" t="str">
        <f>IF(OR(E4097="",E4097="!!!"),"",IF(NOT(ISNA(VLOOKUP(E4097,E$1:E4096,1,FALSE()))),"OLD",IF(AND(E4097&lt;&gt;"",E4097&lt;&gt;"!!!"),"NEW","")))</f>
        <v> </v>
      </c>
      <c r="G4097" s="23" t="str">
        <f>IF(OR(E4097="",E4097="!!!"),"",IF(OR(J4097=0,AND(J4097=1,K4097=1),AND(J4097=1,I4097="SBJ"),AND(J4097=1,I4097=0)),"?IN_FOCUS",IF(J4097&lt;=2,"?ACTIVATED",IF(J4097&lt;&gt;"","?FAMILIAR",IF(F4097="NEW",IF(ISNA(VLOOKUP(E4097,#REF!,1,FALSE())),"?TYPE_IDENTIFIABLE","?REFERENTIAL"),"_")))))</f>
        <v> </v>
      </c>
      <c r="H4097" s="24" t="str">
        <f>IF(J4097&lt;&gt;1,"",IF(I4097="SBJ","CB","?"))</f>
        <v> </v>
      </c>
      <c r="I4097" s="25" t="str">
        <f>IF(OR(E4097="",E4097="!!!",F4097="NEW"),"",INDEX(B4096:B$2,-1+SUMPRODUCT(MAX(ROW(E4096:E$2)*(E4097=E4096:E$2)))))</f>
        <v> </v>
      </c>
      <c r="J4097" s="25" t="str">
        <f>IF(OR(E4097="",E4097="!!!",F4097="NEW"),"",COUNTBLANK(OFFSET(A$1,,,SUMPRODUCT(MAX(ROW(E$2:E4097)*(E4097=E$2:E4097)))))-COUNTBLANK(OFFSET(A$1,,,SUMPRODUCT(MAX(ROW(E$1:E4096)*(E2=E$1:E4096))))))</f>
        <v> </v>
      </c>
      <c r="K4097" s="25" t="str">
        <f>IF(OR(E4097="",E4097="!!!",F4097="NEW"),"",INDEX(J$1:J4096,SUMPRODUCT(MAX(ROW(E$1:E4096)*(E4097=E$1:E4096)))))</f>
        <v> </v>
      </c>
      <c r="L4097" s="26"/>
    </row>
    <row r="4098" spans="1:12">
      <c r="A4098" s="20" t="s">
        <v>986</v>
      </c>
      <c r="E4098" s="21">
        <f>IF(D4098="?OLD","!!!","")</f>
        <v/>
      </c>
      <c r="F4098" s="22" t="str">
        <f>IF(OR(E4098="",E4098="!!!"),"",IF(NOT(ISNA(VLOOKUP(E4098,E$1:E4097,1,FALSE()))),"OLD",IF(AND(E4098&lt;&gt;"",E4098&lt;&gt;"!!!"),"NEW","")))</f>
        <v> </v>
      </c>
      <c r="G4098" s="23" t="str">
        <f>IF(OR(E4098="",E4098="!!!"),"",IF(OR(J4098=0,AND(J4098=1,K4098=1),AND(J4098=1,I4098="SBJ"),AND(J4098=1,I4098=0)),"?IN_FOCUS",IF(J4098&lt;=2,"?ACTIVATED",IF(J4098&lt;&gt;"","?FAMILIAR",IF(F4098="NEW",IF(ISNA(VLOOKUP(E4098,#REF!,1,FALSE())),"?TYPE_IDENTIFIABLE","?REFERENTIAL"),"_")))))</f>
        <v> </v>
      </c>
      <c r="H4098" s="24" t="str">
        <f>IF(J4098&lt;&gt;1,"",IF(I4098="SBJ","CB","?"))</f>
        <v> </v>
      </c>
      <c r="I4098" s="25" t="str">
        <f>IF(OR(E4098="",E4098="!!!",F4098="NEW"),"",INDEX(B4097:B$2,-1+SUMPRODUCT(MAX(ROW(E4097:E$2)*(E4098=E4097:E$2)))))</f>
        <v> </v>
      </c>
      <c r="J4098" s="25" t="str">
        <f>IF(OR(E4098="",E4098="!!!",F4098="NEW"),"",COUNTBLANK(OFFSET(A$1,,,SUMPRODUCT(MAX(ROW(E$2:E4098)*(E4098=E$2:E4098)))))-COUNTBLANK(OFFSET(A$1,,,SUMPRODUCT(MAX(ROW(E$1:E4097)*(E2=E$1:E4097))))))</f>
        <v> </v>
      </c>
      <c r="K4098" s="25" t="str">
        <f>IF(OR(E4098="",E4098="!!!",F4098="NEW"),"",INDEX(J$1:J4097,SUMPRODUCT(MAX(ROW(E$1:E4097)*(E4098=E$1:E4097)))))</f>
        <v> </v>
      </c>
      <c r="L4098" s="26"/>
    </row>
    <row r="4099" spans="1:12">
      <c r="A4099" s="20" t="s">
        <v>1916</v>
      </c>
      <c r="E4099" s="21">
        <f>IF(D4099="?OLD","!!!","")</f>
        <v/>
      </c>
      <c r="F4099" s="22" t="str">
        <f>IF(OR(E4099="",E4099="!!!"),"",IF(NOT(ISNA(VLOOKUP(E4099,E$1:E4098,1,FALSE()))),"OLD",IF(AND(E4099&lt;&gt;"",E4099&lt;&gt;"!!!"),"NEW","")))</f>
        <v> </v>
      </c>
      <c r="G4099" s="23" t="str">
        <f>IF(OR(E4099="",E4099="!!!"),"",IF(OR(J4099=0,AND(J4099=1,K4099=1),AND(J4099=1,I4099="SBJ"),AND(J4099=1,I4099=0)),"?IN_FOCUS",IF(J4099&lt;=2,"?ACTIVATED",IF(J4099&lt;&gt;"","?FAMILIAR",IF(F4099="NEW",IF(ISNA(VLOOKUP(E4099,#REF!,1,FALSE())),"?TYPE_IDENTIFIABLE","?REFERENTIAL"),"_")))))</f>
        <v> </v>
      </c>
      <c r="H4099" s="24" t="str">
        <f>IF(J4099&lt;&gt;1,"",IF(I4099="SBJ","CB","?"))</f>
        <v> </v>
      </c>
      <c r="I4099" s="25" t="str">
        <f>IF(OR(E4099="",E4099="!!!",F4099="NEW"),"",INDEX(B4098:B$2,-1+SUMPRODUCT(MAX(ROW(E4098:E$2)*(E4099=E4098:E$2)))))</f>
        <v> </v>
      </c>
      <c r="J4099" s="25" t="str">
        <f>IF(OR(E4099="",E4099="!!!",F4099="NEW"),"",COUNTBLANK(OFFSET(A$1,,,SUMPRODUCT(MAX(ROW(E$2:E4099)*(E4099=E$2:E4099)))))-COUNTBLANK(OFFSET(A$1,,,SUMPRODUCT(MAX(ROW(E$1:E4098)*(E2=E$1:E4098))))))</f>
        <v> </v>
      </c>
      <c r="K4099" s="25" t="str">
        <f>IF(OR(E4099="",E4099="!!!",F4099="NEW"),"",INDEX(J$1:J4098,SUMPRODUCT(MAX(ROW(E$1:E4098)*(E4099=E$1:E4098)))))</f>
        <v> </v>
      </c>
      <c r="L4099" s="26"/>
    </row>
    <row r="4100" spans="1:12">
      <c r="A4100" s="20" t="s">
        <v>683</v>
      </c>
      <c r="E4100" s="21">
        <f>IF(D4100="?OLD","!!!","")</f>
        <v/>
      </c>
      <c r="F4100" s="22" t="str">
        <f>IF(OR(E4100="",E4100="!!!"),"",IF(NOT(ISNA(VLOOKUP(E4100,E$1:E4099,1,FALSE()))),"OLD",IF(AND(E4100&lt;&gt;"",E4100&lt;&gt;"!!!"),"NEW","")))</f>
        <v> </v>
      </c>
      <c r="G4100" s="23" t="str">
        <f>IF(OR(E4100="",E4100="!!!"),"",IF(OR(J4100=0,AND(J4100=1,K4100=1),AND(J4100=1,I4100="SBJ"),AND(J4100=1,I4100=0)),"?IN_FOCUS",IF(J4100&lt;=2,"?ACTIVATED",IF(J4100&lt;&gt;"","?FAMILIAR",IF(F4100="NEW",IF(ISNA(VLOOKUP(E4100,#REF!,1,FALSE())),"?TYPE_IDENTIFIABLE","?REFERENTIAL"),"_")))))</f>
        <v> </v>
      </c>
      <c r="H4100" s="24" t="str">
        <f>IF(J4100&lt;&gt;1,"",IF(I4100="SBJ","CB","?"))</f>
        <v> </v>
      </c>
      <c r="I4100" s="25" t="str">
        <f>IF(OR(E4100="",E4100="!!!",F4100="NEW"),"",INDEX(B4099:B$2,-1+SUMPRODUCT(MAX(ROW(E4099:E$2)*(E4100=E4099:E$2)))))</f>
        <v> </v>
      </c>
      <c r="J4100" s="25" t="str">
        <f>IF(OR(E4100="",E4100="!!!",F4100="NEW"),"",COUNTBLANK(OFFSET(A$1,,,SUMPRODUCT(MAX(ROW(E$2:E4100)*(E4100=E$2:E4100)))))-COUNTBLANK(OFFSET(A$1,,,SUMPRODUCT(MAX(ROW(E$1:E4099)*(E2=E$1:E4099))))))</f>
        <v> </v>
      </c>
      <c r="K4100" s="25" t="str">
        <f>IF(OR(E4100="",E4100="!!!",F4100="NEW"),"",INDEX(J$1:J4099,SUMPRODUCT(MAX(ROW(E$1:E4099)*(E4100=E$1:E4099)))))</f>
        <v> </v>
      </c>
      <c r="L4100" s="26"/>
    </row>
    <row r="4101" spans="1:12">
      <c r="A4101" s="20" t="s">
        <v>1000</v>
      </c>
      <c r="B4101" s="27" t="s">
        <v>843</v>
      </c>
      <c r="C4101" s="27" t="s">
        <v>772</v>
      </c>
      <c r="D4101" s="27" t="s">
        <v>687</v>
      </c>
      <c r="E4101" s="21">
        <f>IF(D4101="?OLD","!!!","")</f>
        <v/>
      </c>
      <c r="F4101" s="22" t="str">
        <f>IF(OR(E4101="",E4101="!!!"),"",IF(NOT(ISNA(VLOOKUP(E4101,E$1:E4100,1,FALSE()))),"OLD",IF(AND(E4101&lt;&gt;"",E4101&lt;&gt;"!!!"),"NEW","")))</f>
        <v> </v>
      </c>
      <c r="G4101" s="23" t="str">
        <f>IF(OR(E4101="",E4101="!!!"),"",IF(OR(J4101=0,AND(J4101=1,K4101=1),AND(J4101=1,I4101="SBJ"),AND(J4101=1,I4101=0)),"?IN_FOCUS",IF(J4101&lt;=2,"?ACTIVATED",IF(J4101&lt;&gt;"","?FAMILIAR",IF(F4101="NEW",IF(ISNA(VLOOKUP(E4101,#REF!,1,FALSE())),"?TYPE_IDENTIFIABLE","?REFERENTIAL"),"_")))))</f>
        <v> </v>
      </c>
      <c r="H4101" s="24" t="str">
        <f>IF(J4101&lt;&gt;1,"",IF(I4101="SBJ","CB","?"))</f>
        <v> </v>
      </c>
      <c r="I4101" s="25" t="str">
        <f>IF(OR(E4101="",E4101="!!!",F4101="NEW"),"",INDEX(B4100:B$2,-1+SUMPRODUCT(MAX(ROW(E4100:E$2)*(E4101=E4100:E$2)))))</f>
        <v> </v>
      </c>
      <c r="J4101" s="25" t="str">
        <f>IF(OR(E4101="",E4101="!!!",F4101="NEW"),"",COUNTBLANK(OFFSET(A$1,,,SUMPRODUCT(MAX(ROW(E$2:E4101)*(E4101=E$2:E4101)))))-COUNTBLANK(OFFSET(A$1,,,SUMPRODUCT(MAX(ROW(E$1:E4100)*(E2=E$1:E4100))))))</f>
        <v> </v>
      </c>
      <c r="K4101" s="25" t="str">
        <f>IF(OR(E4101="",E4101="!!!",F4101="NEW"),"",INDEX(J$1:J4100,SUMPRODUCT(MAX(ROW(E$1:E4100)*(E4101=E$1:E4100)))))</f>
        <v> </v>
      </c>
      <c r="L4101" s="26"/>
    </row>
    <row r="4102" spans="1:12">
      <c r="A4102" s="20" t="s">
        <v>873</v>
      </c>
      <c r="B4102" s="27" t="s">
        <v>821</v>
      </c>
      <c r="C4102" s="27" t="s">
        <v>686</v>
      </c>
      <c r="D4102" s="27" t="s">
        <v>687</v>
      </c>
      <c r="E4102" s="21">
        <f>IF(D4102="?OLD","!!!","")</f>
        <v/>
      </c>
      <c r="F4102" s="22" t="str">
        <f>IF(OR(E4102="",E4102="!!!"),"",IF(NOT(ISNA(VLOOKUP(E4102,E$1:E4101,1,FALSE()))),"OLD",IF(AND(E4102&lt;&gt;"",E4102&lt;&gt;"!!!"),"NEW","")))</f>
        <v> </v>
      </c>
      <c r="G4102" s="23" t="str">
        <f>IF(OR(E4102="",E4102="!!!"),"",IF(OR(J4102=0,AND(J4102=1,K4102=1),AND(J4102=1,I4102="SBJ"),AND(J4102=1,I4102=0)),"?IN_FOCUS",IF(J4102&lt;=2,"?ACTIVATED",IF(J4102&lt;&gt;"","?FAMILIAR",IF(F4102="NEW",IF(ISNA(VLOOKUP(E4102,#REF!,1,FALSE())),"?TYPE_IDENTIFIABLE","?REFERENTIAL"),"_")))))</f>
        <v> </v>
      </c>
      <c r="H4102" s="24" t="str">
        <f>IF(J4102&lt;&gt;1,"",IF(I4102="SBJ","CB","?"))</f>
        <v> </v>
      </c>
      <c r="I4102" s="25" t="str">
        <f>IF(OR(E4102="",E4102="!!!",F4102="NEW"),"",INDEX(B4101:B$2,-1+SUMPRODUCT(MAX(ROW(E4101:E$2)*(E4102=E4101:E$2)))))</f>
        <v> </v>
      </c>
      <c r="J4102" s="25" t="str">
        <f>IF(OR(E4102="",E4102="!!!",F4102="NEW"),"",COUNTBLANK(OFFSET(A$1,,,SUMPRODUCT(MAX(ROW(E$2:E4102)*(E4102=E$2:E4102)))))-COUNTBLANK(OFFSET(A$1,,,SUMPRODUCT(MAX(ROW(E$1:E4101)*(E2=E$1:E4101))))))</f>
        <v> </v>
      </c>
      <c r="K4102" s="25" t="str">
        <f>IF(OR(E4102="",E4102="!!!",F4102="NEW"),"",INDEX(J$1:J4101,SUMPRODUCT(MAX(ROW(E$1:E4101)*(E4102=E$1:E4101)))))</f>
        <v> </v>
      </c>
      <c r="L4102" s="26"/>
    </row>
    <row r="4103" spans="1:12">
      <c r="A4103" s="20" t="s">
        <v>698</v>
      </c>
      <c r="E4103" s="21">
        <f>IF(D4103="?OLD","!!!","")</f>
        <v/>
      </c>
      <c r="F4103" s="22" t="str">
        <f>IF(OR(E4103="",E4103="!!!"),"",IF(NOT(ISNA(VLOOKUP(E4103,E$1:E4102,1,FALSE()))),"OLD",IF(AND(E4103&lt;&gt;"",E4103&lt;&gt;"!!!"),"NEW","")))</f>
        <v> </v>
      </c>
      <c r="G4103" s="23" t="str">
        <f>IF(OR(E4103="",E4103="!!!"),"",IF(OR(J4103=0,AND(J4103=1,K4103=1),AND(J4103=1,I4103="SBJ"),AND(J4103=1,I4103=0)),"?IN_FOCUS",IF(J4103&lt;=2,"?ACTIVATED",IF(J4103&lt;&gt;"","?FAMILIAR",IF(F4103="NEW",IF(ISNA(VLOOKUP(E4103,#REF!,1,FALSE())),"?TYPE_IDENTIFIABLE","?REFERENTIAL"),"_")))))</f>
        <v> </v>
      </c>
      <c r="H4103" s="24" t="str">
        <f>IF(J4103&lt;&gt;1,"",IF(I4103="SBJ","CB","?"))</f>
        <v> </v>
      </c>
      <c r="I4103" s="25" t="str">
        <f>IF(OR(E4103="",E4103="!!!",F4103="NEW"),"",INDEX(B4102:B$2,-1+SUMPRODUCT(MAX(ROW(E4102:E$2)*(E4103=E4102:E$2)))))</f>
        <v> </v>
      </c>
      <c r="J4103" s="25" t="str">
        <f>IF(OR(E4103="",E4103="!!!",F4103="NEW"),"",COUNTBLANK(OFFSET(A$1,,,SUMPRODUCT(MAX(ROW(E$2:E4103)*(E4103=E$2:E4103)))))-COUNTBLANK(OFFSET(A$1,,,SUMPRODUCT(MAX(ROW(E$1:E4102)*(E2=E$1:E4102))))))</f>
        <v> </v>
      </c>
      <c r="K4103" s="25" t="str">
        <f>IF(OR(E4103="",E4103="!!!",F4103="NEW"),"",INDEX(J$1:J4102,SUMPRODUCT(MAX(ROW(E$1:E4102)*(E4103=E$1:E4102)))))</f>
        <v> </v>
      </c>
      <c r="L4103" s="26"/>
    </row>
    <row r="4104" spans="1:12">
      <c r="A4104" s="20"/>
    </row>
    <row r="4105" spans="1:12">
      <c r="A4105" s="20" t="s">
        <v>1917</v>
      </c>
    </row>
    <row r="4106" spans="1:12">
      <c r="A4106" s="20" t="s">
        <v>827</v>
      </c>
      <c r="E4106" s="21">
        <f>IF(D4106="?OLD","!!!","")</f>
        <v/>
      </c>
      <c r="F4106" s="22" t="str">
        <f>IF(OR(E4106="",E4106="!!!"),"",IF(NOT(ISNA(VLOOKUP(E4106,E$1:E4105,1,FALSE()))),"OLD",IF(AND(E4106&lt;&gt;"",E4106&lt;&gt;"!!!"),"NEW","")))</f>
        <v> </v>
      </c>
      <c r="G4106" s="23" t="str">
        <f>IF(OR(E4106="",E4106="!!!"),"",IF(OR(J4106=0,AND(J4106=1,K4106=1),AND(J4106=1,I4106="SBJ"),AND(J4106=1,I4106=0)),"?IN_FOCUS",IF(J4106&lt;=2,"?ACTIVATED",IF(J4106&lt;&gt;"","?FAMILIAR",IF(F4106="NEW",IF(ISNA(VLOOKUP(E4106,#REF!,1,FALSE())),"?TYPE_IDENTIFIABLE","?REFERENTIAL"),"_")))))</f>
        <v> </v>
      </c>
      <c r="H4106" s="24" t="str">
        <f>IF(J4106&lt;&gt;1,"",IF(I4106="SBJ","CB","?"))</f>
        <v> </v>
      </c>
      <c r="I4106" s="25" t="str">
        <f>IF(OR(E4106="",E4106="!!!",F4106="NEW"),"",INDEX(B4105:B$2,-1+SUMPRODUCT(MAX(ROW(E4105:E$2)*(E4106=E4105:E$2)))))</f>
        <v> </v>
      </c>
      <c r="J4106" s="25" t="str">
        <f>IF(OR(E4106="",E4106="!!!",F4106="NEW"),"",COUNTBLANK(OFFSET(A$1,,,SUMPRODUCT(MAX(ROW(E$2:E4106)*(E4106=E$2:E4106)))))-COUNTBLANK(OFFSET(A$1,,,SUMPRODUCT(MAX(ROW(E$1:E4105)*(E2=E$1:E4105))))))</f>
        <v> </v>
      </c>
      <c r="K4106" s="25" t="str">
        <f>IF(OR(E4106="",E4106="!!!",F4106="NEW"),"",INDEX(J$1:J4105,SUMPRODUCT(MAX(ROW(E$1:E4105)*(E4106=E$1:E4105)))))</f>
        <v> </v>
      </c>
      <c r="L4106" s="26"/>
    </row>
    <row r="4107" spans="1:12">
      <c r="A4107" s="20" t="s">
        <v>1083</v>
      </c>
      <c r="E4107" s="21">
        <f>IF(D4107="?OLD","!!!","")</f>
        <v/>
      </c>
      <c r="F4107" s="22" t="str">
        <f>IF(OR(E4107="",E4107="!!!"),"",IF(NOT(ISNA(VLOOKUP(E4107,E$1:E4106,1,FALSE()))),"OLD",IF(AND(E4107&lt;&gt;"",E4107&lt;&gt;"!!!"),"NEW","")))</f>
        <v> </v>
      </c>
      <c r="G4107" s="23" t="str">
        <f>IF(OR(E4107="",E4107="!!!"),"",IF(OR(J4107=0,AND(J4107=1,K4107=1),AND(J4107=1,I4107="SBJ"),AND(J4107=1,I4107=0)),"?IN_FOCUS",IF(J4107&lt;=2,"?ACTIVATED",IF(J4107&lt;&gt;"","?FAMILIAR",IF(F4107="NEW",IF(ISNA(VLOOKUP(E4107,#REF!,1,FALSE())),"?TYPE_IDENTIFIABLE","?REFERENTIAL"),"_")))))</f>
        <v> </v>
      </c>
      <c r="H4107" s="24" t="str">
        <f>IF(J4107&lt;&gt;1,"",IF(I4107="SBJ","CB","?"))</f>
        <v> </v>
      </c>
      <c r="I4107" s="25" t="str">
        <f>IF(OR(E4107="",E4107="!!!",F4107="NEW"),"",INDEX(B4106:B$2,-1+SUMPRODUCT(MAX(ROW(E4106:E$2)*(E4107=E4106:E$2)))))</f>
        <v> </v>
      </c>
      <c r="J4107" s="25" t="str">
        <f>IF(OR(E4107="",E4107="!!!",F4107="NEW"),"",COUNTBLANK(OFFSET(A$1,,,SUMPRODUCT(MAX(ROW(E$2:E4107)*(E4107=E$2:E4107)))))-COUNTBLANK(OFFSET(A$1,,,SUMPRODUCT(MAX(ROW(E$1:E4106)*(E2=E$1:E4106))))))</f>
        <v> </v>
      </c>
      <c r="K4107" s="25" t="str">
        <f>IF(OR(E4107="",E4107="!!!",F4107="NEW"),"",INDEX(J$1:J4106,SUMPRODUCT(MAX(ROW(E$1:E4106)*(E4107=E$1:E4106)))))</f>
        <v> </v>
      </c>
      <c r="L4107" s="26"/>
    </row>
    <row r="4108" spans="1:12">
      <c r="A4108" s="20" t="s">
        <v>928</v>
      </c>
      <c r="B4108" s="27" t="s">
        <v>692</v>
      </c>
      <c r="C4108" s="27" t="s">
        <v>679</v>
      </c>
      <c r="E4108" s="21">
        <f>IF(D4108="?OLD","!!!","")</f>
        <v/>
      </c>
      <c r="F4108" s="22" t="str">
        <f>IF(OR(E4108="",E4108="!!!"),"",IF(NOT(ISNA(VLOOKUP(E4108,E$1:E4107,1,FALSE()))),"OLD",IF(AND(E4108&lt;&gt;"",E4108&lt;&gt;"!!!"),"NEW","")))</f>
        <v> </v>
      </c>
      <c r="G4108" s="23" t="str">
        <f>IF(OR(E4108="",E4108="!!!"),"",IF(OR(J4108=0,AND(J4108=1,K4108=1),AND(J4108=1,I4108="SBJ"),AND(J4108=1,I4108=0)),"?IN_FOCUS",IF(J4108&lt;=2,"?ACTIVATED",IF(J4108&lt;&gt;"","?FAMILIAR",IF(F4108="NEW",IF(ISNA(VLOOKUP(E4108,#REF!,1,FALSE())),"?TYPE_IDENTIFIABLE","?REFERENTIAL"),"_")))))</f>
        <v> </v>
      </c>
      <c r="H4108" s="24" t="str">
        <f>IF(J4108&lt;&gt;1,"",IF(I4108="SBJ","CB","?"))</f>
        <v> </v>
      </c>
      <c r="I4108" s="25" t="str">
        <f>IF(OR(E4108="",E4108="!!!",F4108="NEW"),"",INDEX(B4107:B$2,-1+SUMPRODUCT(MAX(ROW(E4107:E$2)*(E4108=E4107:E$2)))))</f>
        <v> </v>
      </c>
      <c r="J4108" s="25" t="str">
        <f>IF(OR(E4108="",E4108="!!!",F4108="NEW"),"",COUNTBLANK(OFFSET(A$1,,,SUMPRODUCT(MAX(ROW(E$2:E4108)*(E4108=E$2:E4108)))))-COUNTBLANK(OFFSET(A$1,,,SUMPRODUCT(MAX(ROW(E$1:E4107)*(E2=E$1:E4107))))))</f>
        <v> </v>
      </c>
      <c r="K4108" s="25" t="str">
        <f>IF(OR(E4108="",E4108="!!!",F4108="NEW"),"",INDEX(J$1:J4107,SUMPRODUCT(MAX(ROW(E$1:E4107)*(E4108=E$1:E4107)))))</f>
        <v> </v>
      </c>
      <c r="L4108" s="26"/>
    </row>
    <row r="4109" spans="1:12">
      <c r="A4109" s="20" t="s">
        <v>732</v>
      </c>
      <c r="B4109" s="27" t="s">
        <v>807</v>
      </c>
      <c r="E4109" s="21">
        <f>IF(D4109="?OLD","!!!","")</f>
        <v/>
      </c>
      <c r="F4109" s="22" t="str">
        <f>IF(OR(E4109="",E4109="!!!"),"",IF(NOT(ISNA(VLOOKUP(E4109,E$1:E4108,1,FALSE()))),"OLD",IF(AND(E4109&lt;&gt;"",E4109&lt;&gt;"!!!"),"NEW","")))</f>
        <v> </v>
      </c>
      <c r="G4109" s="23" t="str">
        <f>IF(OR(E4109="",E4109="!!!"),"",IF(OR(J4109=0,AND(J4109=1,K4109=1),AND(J4109=1,I4109="SBJ"),AND(J4109=1,I4109=0)),"?IN_FOCUS",IF(J4109&lt;=2,"?ACTIVATED",IF(J4109&lt;&gt;"","?FAMILIAR",IF(F4109="NEW",IF(ISNA(VLOOKUP(E4109,#REF!,1,FALSE())),"?TYPE_IDENTIFIABLE","?REFERENTIAL"),"_")))))</f>
        <v> </v>
      </c>
      <c r="H4109" s="24" t="str">
        <f>IF(J4109&lt;&gt;1,"",IF(I4109="SBJ","CB","?"))</f>
        <v> </v>
      </c>
      <c r="I4109" s="25" t="str">
        <f>IF(OR(E4109="",E4109="!!!",F4109="NEW"),"",INDEX(B4108:B$2,-1+SUMPRODUCT(MAX(ROW(E4108:E$2)*(E4109=E4108:E$2)))))</f>
        <v> </v>
      </c>
      <c r="J4109" s="25" t="str">
        <f>IF(OR(E4109="",E4109="!!!",F4109="NEW"),"",COUNTBLANK(OFFSET(A$1,,,SUMPRODUCT(MAX(ROW(E$2:E4109)*(E4109=E$2:E4109)))))-COUNTBLANK(OFFSET(A$1,,,SUMPRODUCT(MAX(ROW(E$1:E4108)*(E2=E$1:E4108))))))</f>
        <v> </v>
      </c>
      <c r="K4109" s="25" t="str">
        <f>IF(OR(E4109="",E4109="!!!",F4109="NEW"),"",INDEX(J$1:J4108,SUMPRODUCT(MAX(ROW(E$1:E4108)*(E4109=E$1:E4108)))))</f>
        <v> </v>
      </c>
      <c r="L4109" s="26"/>
    </row>
    <row r="4110" spans="1:12">
      <c r="A4110" s="20" t="s">
        <v>1912</v>
      </c>
      <c r="E4110" s="21">
        <f>IF(D4110="?OLD","!!!","")</f>
        <v/>
      </c>
      <c r="F4110" s="22" t="str">
        <f>IF(OR(E4110="",E4110="!!!"),"",IF(NOT(ISNA(VLOOKUP(E4110,E$1:E4109,1,FALSE()))),"OLD",IF(AND(E4110&lt;&gt;"",E4110&lt;&gt;"!!!"),"NEW","")))</f>
        <v> </v>
      </c>
      <c r="G4110" s="23" t="str">
        <f>IF(OR(E4110="",E4110="!!!"),"",IF(OR(J4110=0,AND(J4110=1,K4110=1),AND(J4110=1,I4110="SBJ"),AND(J4110=1,I4110=0)),"?IN_FOCUS",IF(J4110&lt;=2,"?ACTIVATED",IF(J4110&lt;&gt;"","?FAMILIAR",IF(F4110="NEW",IF(ISNA(VLOOKUP(E4110,#REF!,1,FALSE())),"?TYPE_IDENTIFIABLE","?REFERENTIAL"),"_")))))</f>
        <v> </v>
      </c>
      <c r="H4110" s="24" t="str">
        <f>IF(J4110&lt;&gt;1,"",IF(I4110="SBJ","CB","?"))</f>
        <v> </v>
      </c>
      <c r="I4110" s="25" t="str">
        <f>IF(OR(E4110="",E4110="!!!",F4110="NEW"),"",INDEX(B4109:B$2,-1+SUMPRODUCT(MAX(ROW(E4109:E$2)*(E4110=E4109:E$2)))))</f>
        <v> </v>
      </c>
      <c r="J4110" s="25" t="str">
        <f>IF(OR(E4110="",E4110="!!!",F4110="NEW"),"",COUNTBLANK(OFFSET(A$1,,,SUMPRODUCT(MAX(ROW(E$2:E4110)*(E4110=E$2:E4110)))))-COUNTBLANK(OFFSET(A$1,,,SUMPRODUCT(MAX(ROW(E$1:E4109)*(E2=E$1:E4109))))))</f>
        <v> </v>
      </c>
      <c r="K4110" s="25" t="str">
        <f>IF(OR(E4110="",E4110="!!!",F4110="NEW"),"",INDEX(J$1:J4109,SUMPRODUCT(MAX(ROW(E$1:E4109)*(E4110=E$1:E4109)))))</f>
        <v> </v>
      </c>
      <c r="L4110" s="26"/>
    </row>
    <row r="4111" spans="1:12">
      <c r="A4111" s="20" t="s">
        <v>732</v>
      </c>
      <c r="E4111" s="21">
        <f>IF(D4111="?OLD","!!!","")</f>
        <v/>
      </c>
      <c r="F4111" s="22" t="str">
        <f>IF(OR(E4111="",E4111="!!!"),"",IF(NOT(ISNA(VLOOKUP(E4111,E$1:E4110,1,FALSE()))),"OLD",IF(AND(E4111&lt;&gt;"",E4111&lt;&gt;"!!!"),"NEW","")))</f>
        <v> </v>
      </c>
      <c r="G4111" s="23" t="str">
        <f>IF(OR(E4111="",E4111="!!!"),"",IF(OR(J4111=0,AND(J4111=1,K4111=1),AND(J4111=1,I4111="SBJ"),AND(J4111=1,I4111=0)),"?IN_FOCUS",IF(J4111&lt;=2,"?ACTIVATED",IF(J4111&lt;&gt;"","?FAMILIAR",IF(F4111="NEW",IF(ISNA(VLOOKUP(E4111,#REF!,1,FALSE())),"?TYPE_IDENTIFIABLE","?REFERENTIAL"),"_")))))</f>
        <v> </v>
      </c>
      <c r="H4111" s="24" t="str">
        <f>IF(J4111&lt;&gt;1,"",IF(I4111="SBJ","CB","?"))</f>
        <v> </v>
      </c>
      <c r="I4111" s="25" t="str">
        <f>IF(OR(E4111="",E4111="!!!",F4111="NEW"),"",INDEX(B4110:B$2,-1+SUMPRODUCT(MAX(ROW(E4110:E$2)*(E4111=E4110:E$2)))))</f>
        <v> </v>
      </c>
      <c r="J4111" s="25" t="str">
        <f>IF(OR(E4111="",E4111="!!!",F4111="NEW"),"",COUNTBLANK(OFFSET(A$1,,,SUMPRODUCT(MAX(ROW(E$2:E4111)*(E4111=E$2:E4111)))))-COUNTBLANK(OFFSET(A$1,,,SUMPRODUCT(MAX(ROW(E$1:E4110)*(E2=E$1:E4110))))))</f>
        <v> </v>
      </c>
      <c r="K4111" s="25" t="str">
        <f>IF(OR(E4111="",E4111="!!!",F4111="NEW"),"",INDEX(J$1:J4110,SUMPRODUCT(MAX(ROW(E$1:E4110)*(E4111=E$1:E4110)))))</f>
        <v> </v>
      </c>
      <c r="L4111" s="26"/>
    </row>
    <row r="4112" spans="1:12">
      <c r="A4112" s="20" t="s">
        <v>1677</v>
      </c>
      <c r="B4112" s="27" t="s">
        <v>863</v>
      </c>
      <c r="C4112" s="27" t="s">
        <v>679</v>
      </c>
      <c r="E4112" s="21">
        <f>IF(D4112="?OLD","!!!","")</f>
        <v/>
      </c>
      <c r="F4112" s="22" t="str">
        <f>IF(OR(E4112="",E4112="!!!"),"",IF(NOT(ISNA(VLOOKUP(E4112,E$1:E4111,1,FALSE()))),"OLD",IF(AND(E4112&lt;&gt;"",E4112&lt;&gt;"!!!"),"NEW","")))</f>
        <v> </v>
      </c>
      <c r="G4112" s="23" t="str">
        <f>IF(OR(E4112="",E4112="!!!"),"",IF(OR(J4112=0,AND(J4112=1,K4112=1),AND(J4112=1,I4112="SBJ"),AND(J4112=1,I4112=0)),"?IN_FOCUS",IF(J4112&lt;=2,"?ACTIVATED",IF(J4112&lt;&gt;"","?FAMILIAR",IF(F4112="NEW",IF(ISNA(VLOOKUP(E4112,#REF!,1,FALSE())),"?TYPE_IDENTIFIABLE","?REFERENTIAL"),"_")))))</f>
        <v> </v>
      </c>
      <c r="H4112" s="24" t="str">
        <f>IF(J4112&lt;&gt;1,"",IF(I4112="SBJ","CB","?"))</f>
        <v> </v>
      </c>
      <c r="I4112" s="25" t="str">
        <f>IF(OR(E4112="",E4112="!!!",F4112="NEW"),"",INDEX(B4111:B$2,-1+SUMPRODUCT(MAX(ROW(E4111:E$2)*(E4112=E4111:E$2)))))</f>
        <v> </v>
      </c>
      <c r="J4112" s="25" t="str">
        <f>IF(OR(E4112="",E4112="!!!",F4112="NEW"),"",COUNTBLANK(OFFSET(A$1,,,SUMPRODUCT(MAX(ROW(E$2:E4112)*(E4112=E$2:E4112)))))-COUNTBLANK(OFFSET(A$1,,,SUMPRODUCT(MAX(ROW(E$1:E4111)*(E2=E$1:E4111))))))</f>
        <v> </v>
      </c>
      <c r="K4112" s="25" t="str">
        <f>IF(OR(E4112="",E4112="!!!",F4112="NEW"),"",INDEX(J$1:J4111,SUMPRODUCT(MAX(ROW(E$1:E4111)*(E4112=E$1:E4111)))))</f>
        <v> </v>
      </c>
      <c r="L4112" s="26"/>
    </row>
    <row r="4113" spans="1:12">
      <c r="A4113" s="20" t="s">
        <v>721</v>
      </c>
      <c r="E4113" s="21">
        <f>IF(D4113="?OLD","!!!","")</f>
        <v/>
      </c>
      <c r="F4113" s="22" t="str">
        <f>IF(OR(E4113="",E4113="!!!"),"",IF(NOT(ISNA(VLOOKUP(E4113,E$1:E4112,1,FALSE()))),"OLD",IF(AND(E4113&lt;&gt;"",E4113&lt;&gt;"!!!"),"NEW","")))</f>
        <v> </v>
      </c>
      <c r="G4113" s="23" t="str">
        <f>IF(OR(E4113="",E4113="!!!"),"",IF(OR(J4113=0,AND(J4113=1,K4113=1),AND(J4113=1,I4113="SBJ"),AND(J4113=1,I4113=0)),"?IN_FOCUS",IF(J4113&lt;=2,"?ACTIVATED",IF(J4113&lt;&gt;"","?FAMILIAR",IF(F4113="NEW",IF(ISNA(VLOOKUP(E4113,#REF!,1,FALSE())),"?TYPE_IDENTIFIABLE","?REFERENTIAL"),"_")))))</f>
        <v> </v>
      </c>
      <c r="H4113" s="24" t="str">
        <f>IF(J4113&lt;&gt;1,"",IF(I4113="SBJ","CB","?"))</f>
        <v> </v>
      </c>
      <c r="I4113" s="25" t="str">
        <f>IF(OR(E4113="",E4113="!!!",F4113="NEW"),"",INDEX(B4112:B$2,-1+SUMPRODUCT(MAX(ROW(E4112:E$2)*(E4113=E4112:E$2)))))</f>
        <v> </v>
      </c>
      <c r="J4113" s="25" t="str">
        <f>IF(OR(E4113="",E4113="!!!",F4113="NEW"),"",COUNTBLANK(OFFSET(A$1,,,SUMPRODUCT(MAX(ROW(E$2:E4113)*(E4113=E$2:E4113)))))-COUNTBLANK(OFFSET(A$1,,,SUMPRODUCT(MAX(ROW(E$1:E4112)*(E2=E$1:E4112))))))</f>
        <v> </v>
      </c>
      <c r="K4113" s="25" t="str">
        <f>IF(OR(E4113="",E4113="!!!",F4113="NEW"),"",INDEX(J$1:J4112,SUMPRODUCT(MAX(ROW(E$1:E4112)*(E4113=E$1:E4112)))))</f>
        <v> </v>
      </c>
      <c r="L4113" s="26"/>
    </row>
    <row r="4114" spans="1:12">
      <c r="A4114" s="20" t="s">
        <v>683</v>
      </c>
      <c r="E4114" s="21">
        <f>IF(D4114="?OLD","!!!","")</f>
        <v/>
      </c>
      <c r="F4114" s="22" t="str">
        <f>IF(OR(E4114="",E4114="!!!"),"",IF(NOT(ISNA(VLOOKUP(E4114,E$1:E4113,1,FALSE()))),"OLD",IF(AND(E4114&lt;&gt;"",E4114&lt;&gt;"!!!"),"NEW","")))</f>
        <v> </v>
      </c>
      <c r="G4114" s="23" t="str">
        <f>IF(OR(E4114="",E4114="!!!"),"",IF(OR(J4114=0,AND(J4114=1,K4114=1),AND(J4114=1,I4114="SBJ"),AND(J4114=1,I4114=0)),"?IN_FOCUS",IF(J4114&lt;=2,"?ACTIVATED",IF(J4114&lt;&gt;"","?FAMILIAR",IF(F4114="NEW",IF(ISNA(VLOOKUP(E4114,#REF!,1,FALSE())),"?TYPE_IDENTIFIABLE","?REFERENTIAL"),"_")))))</f>
        <v> </v>
      </c>
      <c r="H4114" s="24" t="str">
        <f>IF(J4114&lt;&gt;1,"",IF(I4114="SBJ","CB","?"))</f>
        <v> </v>
      </c>
      <c r="I4114" s="25" t="str">
        <f>IF(OR(E4114="",E4114="!!!",F4114="NEW"),"",INDEX(B4113:B$2,-1+SUMPRODUCT(MAX(ROW(E4113:E$2)*(E4114=E4113:E$2)))))</f>
        <v> </v>
      </c>
      <c r="J4114" s="25" t="str">
        <f>IF(OR(E4114="",E4114="!!!",F4114="NEW"),"",COUNTBLANK(OFFSET(A$1,,,SUMPRODUCT(MAX(ROW(E$2:E4114)*(E4114=E$2:E4114)))))-COUNTBLANK(OFFSET(A$1,,,SUMPRODUCT(MAX(ROW(E$1:E4113)*(E2=E$1:E4113))))))</f>
        <v> </v>
      </c>
      <c r="K4114" s="25" t="str">
        <f>IF(OR(E4114="",E4114="!!!",F4114="NEW"),"",INDEX(J$1:J4113,SUMPRODUCT(MAX(ROW(E$1:E4113)*(E4114=E$1:E4113)))))</f>
        <v> </v>
      </c>
      <c r="L4114" s="26"/>
    </row>
    <row r="4115" spans="1:12">
      <c r="A4115" s="20" t="s">
        <v>771</v>
      </c>
      <c r="B4115" s="27" t="s">
        <v>864</v>
      </c>
      <c r="C4115" s="27" t="s">
        <v>772</v>
      </c>
      <c r="D4115" s="27" t="s">
        <v>687</v>
      </c>
      <c r="E4115" s="21">
        <f>IF(D4115="?OLD","!!!","")</f>
        <v/>
      </c>
      <c r="F4115" s="22" t="str">
        <f>IF(OR(E4115="",E4115="!!!"),"",IF(NOT(ISNA(VLOOKUP(E4115,E$1:E4114,1,FALSE()))),"OLD",IF(AND(E4115&lt;&gt;"",E4115&lt;&gt;"!!!"),"NEW","")))</f>
        <v> </v>
      </c>
      <c r="G4115" s="23" t="str">
        <f>IF(OR(E4115="",E4115="!!!"),"",IF(OR(J4115=0,AND(J4115=1,K4115=1),AND(J4115=1,I4115="SBJ"),AND(J4115=1,I4115=0)),"?IN_FOCUS",IF(J4115&lt;=2,"?ACTIVATED",IF(J4115&lt;&gt;"","?FAMILIAR",IF(F4115="NEW",IF(ISNA(VLOOKUP(E4115,#REF!,1,FALSE())),"?TYPE_IDENTIFIABLE","?REFERENTIAL"),"_")))))</f>
        <v> </v>
      </c>
      <c r="H4115" s="24" t="str">
        <f>IF(J4115&lt;&gt;1,"",IF(I4115="SBJ","CB","?"))</f>
        <v> </v>
      </c>
      <c r="I4115" s="25" t="str">
        <f>IF(OR(E4115="",E4115="!!!",F4115="NEW"),"",INDEX(B4114:B$2,-1+SUMPRODUCT(MAX(ROW(E4114:E$2)*(E4115=E4114:E$2)))))</f>
        <v> </v>
      </c>
      <c r="J4115" s="25" t="str">
        <f>IF(OR(E4115="",E4115="!!!",F4115="NEW"),"",COUNTBLANK(OFFSET(A$1,,,SUMPRODUCT(MAX(ROW(E$2:E4115)*(E4115=E$2:E4115)))))-COUNTBLANK(OFFSET(A$1,,,SUMPRODUCT(MAX(ROW(E$1:E4114)*(E2=E$1:E4114))))))</f>
        <v> </v>
      </c>
      <c r="K4115" s="25" t="str">
        <f>IF(OR(E4115="",E4115="!!!",F4115="NEW"),"",INDEX(J$1:J4114,SUMPRODUCT(MAX(ROW(E$1:E4114)*(E4115=E$1:E4114)))))</f>
        <v> </v>
      </c>
      <c r="L4115" s="26"/>
    </row>
    <row r="4116" spans="1:12">
      <c r="A4116" s="20" t="s">
        <v>717</v>
      </c>
      <c r="E4116" s="21">
        <f>IF(D4116="?OLD","!!!","")</f>
        <v/>
      </c>
      <c r="F4116" s="22" t="str">
        <f>IF(OR(E4116="",E4116="!!!"),"",IF(NOT(ISNA(VLOOKUP(E4116,E$1:E4115,1,FALSE()))),"OLD",IF(AND(E4116&lt;&gt;"",E4116&lt;&gt;"!!!"),"NEW","")))</f>
        <v> </v>
      </c>
      <c r="G4116" s="23" t="str">
        <f>IF(OR(E4116="",E4116="!!!"),"",IF(OR(J4116=0,AND(J4116=1,K4116=1),AND(J4116=1,I4116="SBJ"),AND(J4116=1,I4116=0)),"?IN_FOCUS",IF(J4116&lt;=2,"?ACTIVATED",IF(J4116&lt;&gt;"","?FAMILIAR",IF(F4116="NEW",IF(ISNA(VLOOKUP(E4116,#REF!,1,FALSE())),"?TYPE_IDENTIFIABLE","?REFERENTIAL"),"_")))))</f>
        <v> </v>
      </c>
      <c r="H4116" s="24" t="str">
        <f>IF(J4116&lt;&gt;1,"",IF(I4116="SBJ","CB","?"))</f>
        <v> </v>
      </c>
      <c r="I4116" s="25" t="str">
        <f>IF(OR(E4116="",E4116="!!!",F4116="NEW"),"",INDEX(B4115:B$2,-1+SUMPRODUCT(MAX(ROW(E4115:E$2)*(E4116=E4115:E$2)))))</f>
        <v> </v>
      </c>
      <c r="J4116" s="25" t="str">
        <f>IF(OR(E4116="",E4116="!!!",F4116="NEW"),"",COUNTBLANK(OFFSET(A$1,,,SUMPRODUCT(MAX(ROW(E$2:E4116)*(E4116=E$2:E4116)))))-COUNTBLANK(OFFSET(A$1,,,SUMPRODUCT(MAX(ROW(E$1:E4115)*(E2=E$1:E4115))))))</f>
        <v> </v>
      </c>
      <c r="K4116" s="25" t="str">
        <f>IF(OR(E4116="",E4116="!!!",F4116="NEW"),"",INDEX(J$1:J4115,SUMPRODUCT(MAX(ROW(E$1:E4115)*(E4116=E$1:E4115)))))</f>
        <v> </v>
      </c>
      <c r="L4116" s="26"/>
    </row>
    <row r="4117" spans="1:12">
      <c r="A4117" s="20" t="s">
        <v>1918</v>
      </c>
      <c r="E4117" s="21">
        <f>IF(D4117="?OLD","!!!","")</f>
        <v/>
      </c>
      <c r="F4117" s="22" t="str">
        <f>IF(OR(E4117="",E4117="!!!"),"",IF(NOT(ISNA(VLOOKUP(E4117,E$1:E4116,1,FALSE()))),"OLD",IF(AND(E4117&lt;&gt;"",E4117&lt;&gt;"!!!"),"NEW","")))</f>
        <v> </v>
      </c>
      <c r="G4117" s="23" t="str">
        <f>IF(OR(E4117="",E4117="!!!"),"",IF(OR(J4117=0,AND(J4117=1,K4117=1),AND(J4117=1,I4117="SBJ"),AND(J4117=1,I4117=0)),"?IN_FOCUS",IF(J4117&lt;=2,"?ACTIVATED",IF(J4117&lt;&gt;"","?FAMILIAR",IF(F4117="NEW",IF(ISNA(VLOOKUP(E4117,#REF!,1,FALSE())),"?TYPE_IDENTIFIABLE","?REFERENTIAL"),"_")))))</f>
        <v> </v>
      </c>
      <c r="H4117" s="24" t="str">
        <f>IF(J4117&lt;&gt;1,"",IF(I4117="SBJ","CB","?"))</f>
        <v> </v>
      </c>
      <c r="I4117" s="25" t="str">
        <f>IF(OR(E4117="",E4117="!!!",F4117="NEW"),"",INDEX(B4116:B$2,-1+SUMPRODUCT(MAX(ROW(E4116:E$2)*(E4117=E4116:E$2)))))</f>
        <v> </v>
      </c>
      <c r="J4117" s="25" t="str">
        <f>IF(OR(E4117="",E4117="!!!",F4117="NEW"),"",COUNTBLANK(OFFSET(A$1,,,SUMPRODUCT(MAX(ROW(E$2:E4117)*(E4117=E$2:E4117)))))-COUNTBLANK(OFFSET(A$1,,,SUMPRODUCT(MAX(ROW(E$1:E4116)*(E2=E$1:E4116))))))</f>
        <v> </v>
      </c>
      <c r="K4117" s="25" t="str">
        <f>IF(OR(E4117="",E4117="!!!",F4117="NEW"),"",INDEX(J$1:J4116,SUMPRODUCT(MAX(ROW(E$1:E4116)*(E4117=E$1:E4116)))))</f>
        <v> </v>
      </c>
      <c r="L4117" s="26"/>
    </row>
    <row r="4118" spans="1:12">
      <c r="A4118" s="20" t="s">
        <v>725</v>
      </c>
      <c r="E4118" s="21">
        <f>IF(D4118="?OLD","!!!","")</f>
        <v/>
      </c>
      <c r="F4118" s="22" t="str">
        <f>IF(OR(E4118="",E4118="!!!"),"",IF(NOT(ISNA(VLOOKUP(E4118,E$1:E4117,1,FALSE()))),"OLD",IF(AND(E4118&lt;&gt;"",E4118&lt;&gt;"!!!"),"NEW","")))</f>
        <v> </v>
      </c>
      <c r="G4118" s="23" t="str">
        <f>IF(OR(E4118="",E4118="!!!"),"",IF(OR(J4118=0,AND(J4118=1,K4118=1),AND(J4118=1,I4118="SBJ"),AND(J4118=1,I4118=0)),"?IN_FOCUS",IF(J4118&lt;=2,"?ACTIVATED",IF(J4118&lt;&gt;"","?FAMILIAR",IF(F4118="NEW",IF(ISNA(VLOOKUP(E4118,#REF!,1,FALSE())),"?TYPE_IDENTIFIABLE","?REFERENTIAL"),"_")))))</f>
        <v> </v>
      </c>
      <c r="H4118" s="24" t="str">
        <f>IF(J4118&lt;&gt;1,"",IF(I4118="SBJ","CB","?"))</f>
        <v> </v>
      </c>
      <c r="I4118" s="25" t="str">
        <f>IF(OR(E4118="",E4118="!!!",F4118="NEW"),"",INDEX(B4117:B$2,-1+SUMPRODUCT(MAX(ROW(E4117:E$2)*(E4118=E4117:E$2)))))</f>
        <v> </v>
      </c>
      <c r="J4118" s="25" t="str">
        <f>IF(OR(E4118="",E4118="!!!",F4118="NEW"),"",COUNTBLANK(OFFSET(A$1,,,SUMPRODUCT(MAX(ROW(E$2:E4118)*(E4118=E$2:E4118)))))-COUNTBLANK(OFFSET(A$1,,,SUMPRODUCT(MAX(ROW(E$1:E4117)*(E2=E$1:E4117))))))</f>
        <v> </v>
      </c>
      <c r="K4118" s="25" t="str">
        <f>IF(OR(E4118="",E4118="!!!",F4118="NEW"),"",INDEX(J$1:J4117,SUMPRODUCT(MAX(ROW(E$1:E4117)*(E4118=E$1:E4117)))))</f>
        <v> </v>
      </c>
      <c r="L4118" s="26"/>
    </row>
    <row r="4119" spans="1:12">
      <c r="A4119" s="20" t="s">
        <v>1919</v>
      </c>
      <c r="E4119" s="21">
        <f>IF(D4119="?OLD","!!!","")</f>
        <v/>
      </c>
      <c r="F4119" s="22" t="str">
        <f>IF(OR(E4119="",E4119="!!!"),"",IF(NOT(ISNA(VLOOKUP(E4119,E$1:E4118,1,FALSE()))),"OLD",IF(AND(E4119&lt;&gt;"",E4119&lt;&gt;"!!!"),"NEW","")))</f>
        <v> </v>
      </c>
      <c r="G4119" s="23" t="str">
        <f>IF(OR(E4119="",E4119="!!!"),"",IF(OR(J4119=0,AND(J4119=1,K4119=1),AND(J4119=1,I4119="SBJ"),AND(J4119=1,I4119=0)),"?IN_FOCUS",IF(J4119&lt;=2,"?ACTIVATED",IF(J4119&lt;&gt;"","?FAMILIAR",IF(F4119="NEW",IF(ISNA(VLOOKUP(E4119,#REF!,1,FALSE())),"?TYPE_IDENTIFIABLE","?REFERENTIAL"),"_")))))</f>
        <v> </v>
      </c>
      <c r="H4119" s="24" t="str">
        <f>IF(J4119&lt;&gt;1,"",IF(I4119="SBJ","CB","?"))</f>
        <v> </v>
      </c>
      <c r="I4119" s="25" t="str">
        <f>IF(OR(E4119="",E4119="!!!",F4119="NEW"),"",INDEX(B4118:B$2,-1+SUMPRODUCT(MAX(ROW(E4118:E$2)*(E4119=E4118:E$2)))))</f>
        <v> </v>
      </c>
      <c r="J4119" s="25" t="str">
        <f>IF(OR(E4119="",E4119="!!!",F4119="NEW"),"",COUNTBLANK(OFFSET(A$1,,,SUMPRODUCT(MAX(ROW(E$2:E4119)*(E4119=E$2:E4119)))))-COUNTBLANK(OFFSET(A$1,,,SUMPRODUCT(MAX(ROW(E$1:E4118)*(E2=E$1:E4118))))))</f>
        <v> </v>
      </c>
      <c r="K4119" s="25" t="str">
        <f>IF(OR(E4119="",E4119="!!!",F4119="NEW"),"",INDEX(J$1:J4118,SUMPRODUCT(MAX(ROW(E$1:E4118)*(E4119=E$1:E4118)))))</f>
        <v> </v>
      </c>
      <c r="L4119" s="26"/>
    </row>
    <row r="4120" spans="1:12">
      <c r="A4120" s="20" t="s">
        <v>683</v>
      </c>
      <c r="E4120" s="21">
        <f>IF(D4120="?OLD","!!!","")</f>
        <v/>
      </c>
      <c r="F4120" s="22" t="str">
        <f>IF(OR(E4120="",E4120="!!!"),"",IF(NOT(ISNA(VLOOKUP(E4120,E$1:E4119,1,FALSE()))),"OLD",IF(AND(E4120&lt;&gt;"",E4120&lt;&gt;"!!!"),"NEW","")))</f>
        <v> </v>
      </c>
      <c r="G4120" s="23" t="str">
        <f>IF(OR(E4120="",E4120="!!!"),"",IF(OR(J4120=0,AND(J4120=1,K4120=1),AND(J4120=1,I4120="SBJ"),AND(J4120=1,I4120=0)),"?IN_FOCUS",IF(J4120&lt;=2,"?ACTIVATED",IF(J4120&lt;&gt;"","?FAMILIAR",IF(F4120="NEW",IF(ISNA(VLOOKUP(E4120,#REF!,1,FALSE())),"?TYPE_IDENTIFIABLE","?REFERENTIAL"),"_")))))</f>
        <v> </v>
      </c>
      <c r="H4120" s="24" t="str">
        <f>IF(J4120&lt;&gt;1,"",IF(I4120="SBJ","CB","?"))</f>
        <v> </v>
      </c>
      <c r="I4120" s="25" t="str">
        <f>IF(OR(E4120="",E4120="!!!",F4120="NEW"),"",INDEX(B4119:B$2,-1+SUMPRODUCT(MAX(ROW(E4119:E$2)*(E4120=E4119:E$2)))))</f>
        <v> </v>
      </c>
      <c r="J4120" s="25" t="str">
        <f>IF(OR(E4120="",E4120="!!!",F4120="NEW"),"",COUNTBLANK(OFFSET(A$1,,,SUMPRODUCT(MAX(ROW(E$2:E4120)*(E4120=E$2:E4120)))))-COUNTBLANK(OFFSET(A$1,,,SUMPRODUCT(MAX(ROW(E$1:E4119)*(E2=E$1:E4119))))))</f>
        <v> </v>
      </c>
      <c r="K4120" s="25" t="str">
        <f>IF(OR(E4120="",E4120="!!!",F4120="NEW"),"",INDEX(J$1:J4119,SUMPRODUCT(MAX(ROW(E$1:E4119)*(E4120=E$1:E4119)))))</f>
        <v> </v>
      </c>
      <c r="L4120" s="26"/>
    </row>
    <row r="4121" spans="1:12">
      <c r="A4121" s="20" t="s">
        <v>1654</v>
      </c>
      <c r="E4121" s="21">
        <f>IF(D4121="?OLD","!!!","")</f>
        <v/>
      </c>
      <c r="F4121" s="22" t="str">
        <f>IF(OR(E4121="",E4121="!!!"),"",IF(NOT(ISNA(VLOOKUP(E4121,E$1:E4120,1,FALSE()))),"OLD",IF(AND(E4121&lt;&gt;"",E4121&lt;&gt;"!!!"),"NEW","")))</f>
        <v> </v>
      </c>
      <c r="G4121" s="23" t="str">
        <f>IF(OR(E4121="",E4121="!!!"),"",IF(OR(J4121=0,AND(J4121=1,K4121=1),AND(J4121=1,I4121="SBJ"),AND(J4121=1,I4121=0)),"?IN_FOCUS",IF(J4121&lt;=2,"?ACTIVATED",IF(J4121&lt;&gt;"","?FAMILIAR",IF(F4121="NEW",IF(ISNA(VLOOKUP(E4121,#REF!,1,FALSE())),"?TYPE_IDENTIFIABLE","?REFERENTIAL"),"_")))))</f>
        <v> </v>
      </c>
      <c r="H4121" s="24" t="str">
        <f>IF(J4121&lt;&gt;1,"",IF(I4121="SBJ","CB","?"))</f>
        <v> </v>
      </c>
      <c r="I4121" s="25" t="str">
        <f>IF(OR(E4121="",E4121="!!!",F4121="NEW"),"",INDEX(B4120:B$2,-1+SUMPRODUCT(MAX(ROW(E4120:E$2)*(E4121=E4120:E$2)))))</f>
        <v> </v>
      </c>
      <c r="J4121" s="25" t="str">
        <f>IF(OR(E4121="",E4121="!!!",F4121="NEW"),"",COUNTBLANK(OFFSET(A$1,,,SUMPRODUCT(MAX(ROW(E$2:E4121)*(E4121=E$2:E4121)))))-COUNTBLANK(OFFSET(A$1,,,SUMPRODUCT(MAX(ROW(E$1:E4120)*(E2=E$1:E4120))))))</f>
        <v> </v>
      </c>
      <c r="K4121" s="25" t="str">
        <f>IF(OR(E4121="",E4121="!!!",F4121="NEW"),"",INDEX(J$1:J4120,SUMPRODUCT(MAX(ROW(E$1:E4120)*(E4121=E$1:E4120)))))</f>
        <v> </v>
      </c>
      <c r="L4121" s="26"/>
    </row>
    <row r="4122" spans="1:12">
      <c r="A4122" s="20" t="s">
        <v>698</v>
      </c>
      <c r="E4122" s="21">
        <f>IF(D4122="?OLD","!!!","")</f>
        <v/>
      </c>
      <c r="F4122" s="22" t="str">
        <f>IF(OR(E4122="",E4122="!!!"),"",IF(NOT(ISNA(VLOOKUP(E4122,E$1:E4121,1,FALSE()))),"OLD",IF(AND(E4122&lt;&gt;"",E4122&lt;&gt;"!!!"),"NEW","")))</f>
        <v> </v>
      </c>
      <c r="G4122" s="23" t="str">
        <f>IF(OR(E4122="",E4122="!!!"),"",IF(OR(J4122=0,AND(J4122=1,K4122=1),AND(J4122=1,I4122="SBJ"),AND(J4122=1,I4122=0)),"?IN_FOCUS",IF(J4122&lt;=2,"?ACTIVATED",IF(J4122&lt;&gt;"","?FAMILIAR",IF(F4122="NEW",IF(ISNA(VLOOKUP(E4122,#REF!,1,FALSE())),"?TYPE_IDENTIFIABLE","?REFERENTIAL"),"_")))))</f>
        <v> </v>
      </c>
      <c r="H4122" s="24" t="str">
        <f>IF(J4122&lt;&gt;1,"",IF(I4122="SBJ","CB","?"))</f>
        <v> </v>
      </c>
      <c r="I4122" s="25" t="str">
        <f>IF(OR(E4122="",E4122="!!!",F4122="NEW"),"",INDEX(B4121:B$2,-1+SUMPRODUCT(MAX(ROW(E4121:E$2)*(E4122=E4121:E$2)))))</f>
        <v> </v>
      </c>
      <c r="J4122" s="25" t="str">
        <f>IF(OR(E4122="",E4122="!!!",F4122="NEW"),"",COUNTBLANK(OFFSET(A$1,,,SUMPRODUCT(MAX(ROW(E$2:E4122)*(E4122=E$2:E4122)))))-COUNTBLANK(OFFSET(A$1,,,SUMPRODUCT(MAX(ROW(E$1:E4121)*(E2=E$1:E4121))))))</f>
        <v> </v>
      </c>
      <c r="K4122" s="25" t="str">
        <f>IF(OR(E4122="",E4122="!!!",F4122="NEW"),"",INDEX(J$1:J4121,SUMPRODUCT(MAX(ROW(E$1:E4121)*(E4122=E$1:E4121)))))</f>
        <v> </v>
      </c>
      <c r="L4122" s="26"/>
    </row>
    <row r="4123" spans="1:12">
      <c r="A4123" s="20"/>
    </row>
    <row r="4124" spans="1:12">
      <c r="A4124" s="20" t="s">
        <v>1920</v>
      </c>
    </row>
    <row r="4125" spans="1:12">
      <c r="A4125" s="20" t="s">
        <v>1154</v>
      </c>
      <c r="B4125" s="27" t="s">
        <v>685</v>
      </c>
      <c r="C4125" s="27" t="s">
        <v>749</v>
      </c>
      <c r="D4125" s="27" t="s">
        <v>687</v>
      </c>
      <c r="E4125" s="21">
        <f>IF(D4125="?OLD","!!!","")</f>
        <v/>
      </c>
      <c r="F4125" s="22" t="str">
        <f>IF(OR(E4125="",E4125="!!!"),"",IF(NOT(ISNA(VLOOKUP(E4125,E$1:E4124,1,FALSE()))),"OLD",IF(AND(E4125&lt;&gt;"",E4125&lt;&gt;"!!!"),"NEW","")))</f>
        <v> </v>
      </c>
      <c r="G4125" s="23" t="str">
        <f>IF(OR(E4125="",E4125="!!!"),"",IF(OR(J4125=0,AND(J4125=1,K4125=1),AND(J4125=1,I4125="SBJ"),AND(J4125=1,I4125=0)),"?IN_FOCUS",IF(J4125&lt;=2,"?ACTIVATED",IF(J4125&lt;&gt;"","?FAMILIAR",IF(F4125="NEW",IF(ISNA(VLOOKUP(E4125,#REF!,1,FALSE())),"?TYPE_IDENTIFIABLE","?REFERENTIAL"),"_")))))</f>
        <v> </v>
      </c>
      <c r="H4125" s="24" t="str">
        <f>IF(J4125&lt;&gt;1,"",IF(I4125="SBJ","CB","?"))</f>
        <v> </v>
      </c>
      <c r="I4125" s="25" t="str">
        <f>IF(OR(E4125="",E4125="!!!",F4125="NEW"),"",INDEX(B4124:B$2,-1+SUMPRODUCT(MAX(ROW(E4124:E$2)*(E4125=E4124:E$2)))))</f>
        <v> </v>
      </c>
      <c r="J4125" s="25" t="str">
        <f>IF(OR(E4125="",E4125="!!!",F4125="NEW"),"",COUNTBLANK(OFFSET(A$1,,,SUMPRODUCT(MAX(ROW(E$2:E4125)*(E4125=E$2:E4125)))))-COUNTBLANK(OFFSET(A$1,,,SUMPRODUCT(MAX(ROW(E$1:E4124)*(E2=E$1:E4124))))))</f>
        <v> </v>
      </c>
      <c r="K4125" s="25" t="str">
        <f>IF(OR(E4125="",E4125="!!!",F4125="NEW"),"",INDEX(J$1:J4124,SUMPRODUCT(MAX(ROW(E$1:E4124)*(E4125=E$1:E4124)))))</f>
        <v> </v>
      </c>
      <c r="L4125" s="26"/>
    </row>
    <row r="4126" spans="1:12">
      <c r="A4126" s="20" t="s">
        <v>717</v>
      </c>
      <c r="E4126" s="21">
        <f>IF(D4126="?OLD","!!!","")</f>
        <v/>
      </c>
      <c r="F4126" s="22" t="str">
        <f>IF(OR(E4126="",E4126="!!!"),"",IF(NOT(ISNA(VLOOKUP(E4126,E$1:E4125,1,FALSE()))),"OLD",IF(AND(E4126&lt;&gt;"",E4126&lt;&gt;"!!!"),"NEW","")))</f>
        <v> </v>
      </c>
      <c r="G4126" s="23" t="str">
        <f>IF(OR(E4126="",E4126="!!!"),"",IF(OR(J4126=0,AND(J4126=1,K4126=1),AND(J4126=1,I4126="SBJ"),AND(J4126=1,I4126=0)),"?IN_FOCUS",IF(J4126&lt;=2,"?ACTIVATED",IF(J4126&lt;&gt;"","?FAMILIAR",IF(F4126="NEW",IF(ISNA(VLOOKUP(E4126,#REF!,1,FALSE())),"?TYPE_IDENTIFIABLE","?REFERENTIAL"),"_")))))</f>
        <v> </v>
      </c>
      <c r="H4126" s="24" t="str">
        <f>IF(J4126&lt;&gt;1,"",IF(I4126="SBJ","CB","?"))</f>
        <v> </v>
      </c>
      <c r="I4126" s="25" t="str">
        <f>IF(OR(E4126="",E4126="!!!",F4126="NEW"),"",INDEX(B4125:B$2,-1+SUMPRODUCT(MAX(ROW(E4125:E$2)*(E4126=E4125:E$2)))))</f>
        <v> </v>
      </c>
      <c r="J4126" s="25" t="str">
        <f>IF(OR(E4126="",E4126="!!!",F4126="NEW"),"",COUNTBLANK(OFFSET(A$1,,,SUMPRODUCT(MAX(ROW(E$2:E4126)*(E4126=E$2:E4126)))))-COUNTBLANK(OFFSET(A$1,,,SUMPRODUCT(MAX(ROW(E$1:E4125)*(E2=E$1:E4125))))))</f>
        <v> </v>
      </c>
      <c r="K4126" s="25" t="str">
        <f>IF(OR(E4126="",E4126="!!!",F4126="NEW"),"",INDEX(J$1:J4125,SUMPRODUCT(MAX(ROW(E$1:E4125)*(E4126=E$1:E4125)))))</f>
        <v> </v>
      </c>
      <c r="L4126" s="26"/>
    </row>
    <row r="4127" spans="1:12">
      <c r="A4127" s="20" t="s">
        <v>1921</v>
      </c>
      <c r="E4127" s="21">
        <f>IF(D4127="?OLD","!!!","")</f>
        <v/>
      </c>
      <c r="F4127" s="22" t="str">
        <f>IF(OR(E4127="",E4127="!!!"),"",IF(NOT(ISNA(VLOOKUP(E4127,E$1:E4126,1,FALSE()))),"OLD",IF(AND(E4127&lt;&gt;"",E4127&lt;&gt;"!!!"),"NEW","")))</f>
        <v> </v>
      </c>
      <c r="G4127" s="23" t="str">
        <f>IF(OR(E4127="",E4127="!!!"),"",IF(OR(J4127=0,AND(J4127=1,K4127=1),AND(J4127=1,I4127="SBJ"),AND(J4127=1,I4127=0)),"?IN_FOCUS",IF(J4127&lt;=2,"?ACTIVATED",IF(J4127&lt;&gt;"","?FAMILIAR",IF(F4127="NEW",IF(ISNA(VLOOKUP(E4127,#REF!,1,FALSE())),"?TYPE_IDENTIFIABLE","?REFERENTIAL"),"_")))))</f>
        <v> </v>
      </c>
      <c r="H4127" s="24" t="str">
        <f>IF(J4127&lt;&gt;1,"",IF(I4127="SBJ","CB","?"))</f>
        <v> </v>
      </c>
      <c r="I4127" s="25" t="str">
        <f>IF(OR(E4127="",E4127="!!!",F4127="NEW"),"",INDEX(B4126:B$2,-1+SUMPRODUCT(MAX(ROW(E4126:E$2)*(E4127=E4126:E$2)))))</f>
        <v> </v>
      </c>
      <c r="J4127" s="25" t="str">
        <f>IF(OR(E4127="",E4127="!!!",F4127="NEW"),"",COUNTBLANK(OFFSET(A$1,,,SUMPRODUCT(MAX(ROW(E$2:E4127)*(E4127=E$2:E4127)))))-COUNTBLANK(OFFSET(A$1,,,SUMPRODUCT(MAX(ROW(E$1:E4126)*(E2=E$1:E4126))))))</f>
        <v> </v>
      </c>
      <c r="K4127" s="25" t="str">
        <f>IF(OR(E4127="",E4127="!!!",F4127="NEW"),"",INDEX(J$1:J4126,SUMPRODUCT(MAX(ROW(E$1:E4126)*(E4127=E$1:E4126)))))</f>
        <v> </v>
      </c>
      <c r="L4127" s="26"/>
    </row>
    <row r="4128" spans="1:12">
      <c r="A4128" s="20" t="s">
        <v>1922</v>
      </c>
      <c r="B4128" s="27" t="s">
        <v>692</v>
      </c>
      <c r="C4128" s="27" t="s">
        <v>693</v>
      </c>
      <c r="D4128" s="27" t="s">
        <v>687</v>
      </c>
      <c r="E4128" s="21">
        <f>IF(D4128="?OLD","!!!","")</f>
        <v/>
      </c>
      <c r="F4128" s="22" t="str">
        <f>IF(OR(E4128="",E4128="!!!"),"",IF(NOT(ISNA(VLOOKUP(E4128,E$1:E4127,1,FALSE()))),"OLD",IF(AND(E4128&lt;&gt;"",E4128&lt;&gt;"!!!"),"NEW","")))</f>
        <v> </v>
      </c>
      <c r="G4128" s="23" t="str">
        <f>IF(OR(E4128="",E4128="!!!"),"",IF(OR(J4128=0,AND(J4128=1,K4128=1),AND(J4128=1,I4128="SBJ"),AND(J4128=1,I4128=0)),"?IN_FOCUS",IF(J4128&lt;=2,"?ACTIVATED",IF(J4128&lt;&gt;"","?FAMILIAR",IF(F4128="NEW",IF(ISNA(VLOOKUP(E4128,#REF!,1,FALSE())),"?TYPE_IDENTIFIABLE","?REFERENTIAL"),"_")))))</f>
        <v> </v>
      </c>
      <c r="H4128" s="24" t="str">
        <f>IF(J4128&lt;&gt;1,"",IF(I4128="SBJ","CB","?"))</f>
        <v> </v>
      </c>
      <c r="I4128" s="25" t="str">
        <f>IF(OR(E4128="",E4128="!!!",F4128="NEW"),"",INDEX(B4127:B$2,-1+SUMPRODUCT(MAX(ROW(E4127:E$2)*(E4128=E4127:E$2)))))</f>
        <v> </v>
      </c>
      <c r="J4128" s="25" t="str">
        <f>IF(OR(E4128="",E4128="!!!",F4128="NEW"),"",COUNTBLANK(OFFSET(A$1,,,SUMPRODUCT(MAX(ROW(E$2:E4128)*(E4128=E$2:E4128)))))-COUNTBLANK(OFFSET(A$1,,,SUMPRODUCT(MAX(ROW(E$1:E4127)*(E2=E$1:E4127))))))</f>
        <v> </v>
      </c>
      <c r="K4128" s="25" t="str">
        <f>IF(OR(E4128="",E4128="!!!",F4128="NEW"),"",INDEX(J$1:J4127,SUMPRODUCT(MAX(ROW(E$1:E4127)*(E4128=E$1:E4127)))))</f>
        <v> </v>
      </c>
      <c r="L4128" s="26"/>
    </row>
    <row r="4129" spans="1:12">
      <c r="A4129" s="20" t="s">
        <v>1923</v>
      </c>
      <c r="E4129" s="21">
        <f>IF(D4129="?OLD","!!!","")</f>
        <v/>
      </c>
      <c r="F4129" s="22" t="str">
        <f>IF(OR(E4129="",E4129="!!!"),"",IF(NOT(ISNA(VLOOKUP(E4129,E$1:E4128,1,FALSE()))),"OLD",IF(AND(E4129&lt;&gt;"",E4129&lt;&gt;"!!!"),"NEW","")))</f>
        <v> </v>
      </c>
      <c r="G4129" s="23" t="str">
        <f>IF(OR(E4129="",E4129="!!!"),"",IF(OR(J4129=0,AND(J4129=1,K4129=1),AND(J4129=1,I4129="SBJ"),AND(J4129=1,I4129=0)),"?IN_FOCUS",IF(J4129&lt;=2,"?ACTIVATED",IF(J4129&lt;&gt;"","?FAMILIAR",IF(F4129="NEW",IF(ISNA(VLOOKUP(E4129,#REF!,1,FALSE())),"?TYPE_IDENTIFIABLE","?REFERENTIAL"),"_")))))</f>
        <v> </v>
      </c>
      <c r="H4129" s="24" t="str">
        <f>IF(J4129&lt;&gt;1,"",IF(I4129="SBJ","CB","?"))</f>
        <v> </v>
      </c>
      <c r="I4129" s="25" t="str">
        <f>IF(OR(E4129="",E4129="!!!",F4129="NEW"),"",INDEX(B4128:B$2,-1+SUMPRODUCT(MAX(ROW(E4128:E$2)*(E4129=E4128:E$2)))))</f>
        <v> </v>
      </c>
      <c r="J4129" s="25" t="str">
        <f>IF(OR(E4129="",E4129="!!!",F4129="NEW"),"",COUNTBLANK(OFFSET(A$1,,,SUMPRODUCT(MAX(ROW(E$2:E4129)*(E4129=E$2:E4129)))))-COUNTBLANK(OFFSET(A$1,,,SUMPRODUCT(MAX(ROW(E$1:E4128)*(E2=E$1:E4128))))))</f>
        <v> </v>
      </c>
      <c r="K4129" s="25" t="str">
        <f>IF(OR(E4129="",E4129="!!!",F4129="NEW"),"",INDEX(J$1:J4128,SUMPRODUCT(MAX(ROW(E$1:E4128)*(E4129=E$1:E4128)))))</f>
        <v> </v>
      </c>
      <c r="L4129" s="26"/>
    </row>
    <row r="4130" spans="1:12">
      <c r="A4130" s="20" t="s">
        <v>694</v>
      </c>
      <c r="E4130" s="21">
        <f>IF(D4130="?OLD","!!!","")</f>
        <v/>
      </c>
      <c r="F4130" s="22" t="str">
        <f>IF(OR(E4130="",E4130="!!!"),"",IF(NOT(ISNA(VLOOKUP(E4130,E$1:E4129,1,FALSE()))),"OLD",IF(AND(E4130&lt;&gt;"",E4130&lt;&gt;"!!!"),"NEW","")))</f>
        <v> </v>
      </c>
      <c r="G4130" s="23" t="str">
        <f>IF(OR(E4130="",E4130="!!!"),"",IF(OR(J4130=0,AND(J4130=1,K4130=1),AND(J4130=1,I4130="SBJ"),AND(J4130=1,I4130=0)),"?IN_FOCUS",IF(J4130&lt;=2,"?ACTIVATED",IF(J4130&lt;&gt;"","?FAMILIAR",IF(F4130="NEW",IF(ISNA(VLOOKUP(E4130,#REF!,1,FALSE())),"?TYPE_IDENTIFIABLE","?REFERENTIAL"),"_")))))</f>
        <v> </v>
      </c>
      <c r="H4130" s="24" t="str">
        <f>IF(J4130&lt;&gt;1,"",IF(I4130="SBJ","CB","?"))</f>
        <v> </v>
      </c>
      <c r="I4130" s="25" t="str">
        <f>IF(OR(E4130="",E4130="!!!",F4130="NEW"),"",INDEX(B4129:B$2,-1+SUMPRODUCT(MAX(ROW(E4129:E$2)*(E4130=E4129:E$2)))))</f>
        <v> </v>
      </c>
      <c r="J4130" s="25" t="str">
        <f>IF(OR(E4130="",E4130="!!!",F4130="NEW"),"",COUNTBLANK(OFFSET(A$1,,,SUMPRODUCT(MAX(ROW(E$2:E4130)*(E4130=E$2:E4130)))))-COUNTBLANK(OFFSET(A$1,,,SUMPRODUCT(MAX(ROW(E$1:E4129)*(E2=E$1:E4129))))))</f>
        <v> </v>
      </c>
      <c r="K4130" s="25" t="str">
        <f>IF(OR(E4130="",E4130="!!!",F4130="NEW"),"",INDEX(J$1:J4129,SUMPRODUCT(MAX(ROW(E$1:E4129)*(E4130=E$1:E4129)))))</f>
        <v> </v>
      </c>
      <c r="L4130" s="26"/>
    </row>
    <row r="4131" spans="1:12">
      <c r="A4131" s="20" t="s">
        <v>848</v>
      </c>
      <c r="B4131" s="27" t="s">
        <v>696</v>
      </c>
      <c r="C4131" s="27" t="s">
        <v>679</v>
      </c>
      <c r="E4131" s="21">
        <f>IF(D4131="?OLD","!!!","")</f>
        <v/>
      </c>
      <c r="F4131" s="22" t="str">
        <f>IF(OR(E4131="",E4131="!!!"),"",IF(NOT(ISNA(VLOOKUP(E4131,E$1:E4130,1,FALSE()))),"OLD",IF(AND(E4131&lt;&gt;"",E4131&lt;&gt;"!!!"),"NEW","")))</f>
        <v> </v>
      </c>
      <c r="G4131" s="23" t="str">
        <f>IF(OR(E4131="",E4131="!!!"),"",IF(OR(J4131=0,AND(J4131=1,K4131=1),AND(J4131=1,I4131="SBJ"),AND(J4131=1,I4131=0)),"?IN_FOCUS",IF(J4131&lt;=2,"?ACTIVATED",IF(J4131&lt;&gt;"","?FAMILIAR",IF(F4131="NEW",IF(ISNA(VLOOKUP(E4131,#REF!,1,FALSE())),"?TYPE_IDENTIFIABLE","?REFERENTIAL"),"_")))))</f>
        <v> </v>
      </c>
      <c r="H4131" s="24" t="str">
        <f>IF(J4131&lt;&gt;1,"",IF(I4131="SBJ","CB","?"))</f>
        <v> </v>
      </c>
      <c r="I4131" s="25" t="str">
        <f>IF(OR(E4131="",E4131="!!!",F4131="NEW"),"",INDEX(B4130:B$2,-1+SUMPRODUCT(MAX(ROW(E4130:E$2)*(E4131=E4130:E$2)))))</f>
        <v> </v>
      </c>
      <c r="J4131" s="25" t="str">
        <f>IF(OR(E4131="",E4131="!!!",F4131="NEW"),"",COUNTBLANK(OFFSET(A$1,,,SUMPRODUCT(MAX(ROW(E$2:E4131)*(E4131=E$2:E4131)))))-COUNTBLANK(OFFSET(A$1,,,SUMPRODUCT(MAX(ROW(E$1:E4130)*(E2=E$1:E4130))))))</f>
        <v> </v>
      </c>
      <c r="K4131" s="25" t="str">
        <f>IF(OR(E4131="",E4131="!!!",F4131="NEW"),"",INDEX(J$1:J4130,SUMPRODUCT(MAX(ROW(E$1:E4130)*(E4131=E$1:E4130)))))</f>
        <v> </v>
      </c>
      <c r="L4131" s="26"/>
    </row>
    <row r="4132" spans="1:12">
      <c r="A4132" s="20" t="s">
        <v>682</v>
      </c>
      <c r="E4132" s="21">
        <f>IF(D4132="?OLD","!!!","")</f>
        <v/>
      </c>
      <c r="F4132" s="22" t="str">
        <f>IF(OR(E4132="",E4132="!!!"),"",IF(NOT(ISNA(VLOOKUP(E4132,E$1:E4131,1,FALSE()))),"OLD",IF(AND(E4132&lt;&gt;"",E4132&lt;&gt;"!!!"),"NEW","")))</f>
        <v> </v>
      </c>
      <c r="G4132" s="23" t="str">
        <f>IF(OR(E4132="",E4132="!!!"),"",IF(OR(J4132=0,AND(J4132=1,K4132=1),AND(J4132=1,I4132="SBJ"),AND(J4132=1,I4132=0)),"?IN_FOCUS",IF(J4132&lt;=2,"?ACTIVATED",IF(J4132&lt;&gt;"","?FAMILIAR",IF(F4132="NEW",IF(ISNA(VLOOKUP(E4132,#REF!,1,FALSE())),"?TYPE_IDENTIFIABLE","?REFERENTIAL"),"_")))))</f>
        <v> </v>
      </c>
      <c r="H4132" s="24" t="str">
        <f>IF(J4132&lt;&gt;1,"",IF(I4132="SBJ","CB","?"))</f>
        <v> </v>
      </c>
      <c r="I4132" s="25" t="str">
        <f>IF(OR(E4132="",E4132="!!!",F4132="NEW"),"",INDEX(B4131:B$2,-1+SUMPRODUCT(MAX(ROW(E4131:E$2)*(E4132=E4131:E$2)))))</f>
        <v> </v>
      </c>
      <c r="J4132" s="25" t="str">
        <f>IF(OR(E4132="",E4132="!!!",F4132="NEW"),"",COUNTBLANK(OFFSET(A$1,,,SUMPRODUCT(MAX(ROW(E$2:E4132)*(E4132=E$2:E4132)))))-COUNTBLANK(OFFSET(A$1,,,SUMPRODUCT(MAX(ROW(E$1:E4131)*(E2=E$1:E4131))))))</f>
        <v> </v>
      </c>
      <c r="K4132" s="25" t="str">
        <f>IF(OR(E4132="",E4132="!!!",F4132="NEW"),"",INDEX(J$1:J4131,SUMPRODUCT(MAX(ROW(E$1:E4131)*(E4132=E$1:E4131)))))</f>
        <v> </v>
      </c>
      <c r="L4132" s="26"/>
    </row>
    <row r="4133" spans="1:12">
      <c r="A4133" s="20" t="s">
        <v>1392</v>
      </c>
      <c r="E4133" s="21">
        <f>IF(D4133="?OLD","!!!","")</f>
        <v/>
      </c>
      <c r="F4133" s="22" t="str">
        <f>IF(OR(E4133="",E4133="!!!"),"",IF(NOT(ISNA(VLOOKUP(E4133,E$1:E4132,1,FALSE()))),"OLD",IF(AND(E4133&lt;&gt;"",E4133&lt;&gt;"!!!"),"NEW","")))</f>
        <v> </v>
      </c>
      <c r="G4133" s="23" t="str">
        <f>IF(OR(E4133="",E4133="!!!"),"",IF(OR(J4133=0,AND(J4133=1,K4133=1),AND(J4133=1,I4133="SBJ"),AND(J4133=1,I4133=0)),"?IN_FOCUS",IF(J4133&lt;=2,"?ACTIVATED",IF(J4133&lt;&gt;"","?FAMILIAR",IF(F4133="NEW",IF(ISNA(VLOOKUP(E4133,#REF!,1,FALSE())),"?TYPE_IDENTIFIABLE","?REFERENTIAL"),"_")))))</f>
        <v> </v>
      </c>
      <c r="H4133" s="24" t="str">
        <f>IF(J4133&lt;&gt;1,"",IF(I4133="SBJ","CB","?"))</f>
        <v> </v>
      </c>
      <c r="I4133" s="25" t="str">
        <f>IF(OR(E4133="",E4133="!!!",F4133="NEW"),"",INDEX(B4132:B$2,-1+SUMPRODUCT(MAX(ROW(E4132:E$2)*(E4133=E4132:E$2)))))</f>
        <v> </v>
      </c>
      <c r="J4133" s="25" t="str">
        <f>IF(OR(E4133="",E4133="!!!",F4133="NEW"),"",COUNTBLANK(OFFSET(A$1,,,SUMPRODUCT(MAX(ROW(E$2:E4133)*(E4133=E$2:E4133)))))-COUNTBLANK(OFFSET(A$1,,,SUMPRODUCT(MAX(ROW(E$1:E4132)*(E2=E$1:E4132))))))</f>
        <v> </v>
      </c>
      <c r="K4133" s="25" t="str">
        <f>IF(OR(E4133="",E4133="!!!",F4133="NEW"),"",INDEX(J$1:J4132,SUMPRODUCT(MAX(ROW(E$1:E4132)*(E4133=E$1:E4132)))))</f>
        <v> </v>
      </c>
      <c r="L4133" s="26"/>
    </row>
    <row r="4134" spans="1:12">
      <c r="A4134" s="20" t="s">
        <v>1922</v>
      </c>
      <c r="B4134" s="27" t="s">
        <v>678</v>
      </c>
      <c r="C4134" s="27" t="s">
        <v>679</v>
      </c>
      <c r="E4134" s="21">
        <f>IF(D4134="?OLD","!!!","")</f>
        <v/>
      </c>
      <c r="F4134" s="22" t="str">
        <f>IF(OR(E4134="",E4134="!!!"),"",IF(NOT(ISNA(VLOOKUP(E4134,E$1:E4133,1,FALSE()))),"OLD",IF(AND(E4134&lt;&gt;"",E4134&lt;&gt;"!!!"),"NEW","")))</f>
        <v> </v>
      </c>
      <c r="G4134" s="23" t="str">
        <f>IF(OR(E4134="",E4134="!!!"),"",IF(OR(J4134=0,AND(J4134=1,K4134=1),AND(J4134=1,I4134="SBJ"),AND(J4134=1,I4134=0)),"?IN_FOCUS",IF(J4134&lt;=2,"?ACTIVATED",IF(J4134&lt;&gt;"","?FAMILIAR",IF(F4134="NEW",IF(ISNA(VLOOKUP(E4134,#REF!,1,FALSE())),"?TYPE_IDENTIFIABLE","?REFERENTIAL"),"_")))))</f>
        <v> </v>
      </c>
      <c r="H4134" s="24" t="str">
        <f>IF(J4134&lt;&gt;1,"",IF(I4134="SBJ","CB","?"))</f>
        <v> </v>
      </c>
      <c r="I4134" s="25" t="str">
        <f>IF(OR(E4134="",E4134="!!!",F4134="NEW"),"",INDEX(B4133:B$2,-1+SUMPRODUCT(MAX(ROW(E4133:E$2)*(E4134=E4133:E$2)))))</f>
        <v> </v>
      </c>
      <c r="J4134" s="25" t="str">
        <f>IF(OR(E4134="",E4134="!!!",F4134="NEW"),"",COUNTBLANK(OFFSET(A$1,,,SUMPRODUCT(MAX(ROW(E$2:E4134)*(E4134=E$2:E4134)))))-COUNTBLANK(OFFSET(A$1,,,SUMPRODUCT(MAX(ROW(E$1:E4133)*(E2=E$1:E4133))))))</f>
        <v> </v>
      </c>
      <c r="K4134" s="25" t="str">
        <f>IF(OR(E4134="",E4134="!!!",F4134="NEW"),"",INDEX(J$1:J4133,SUMPRODUCT(MAX(ROW(E$1:E4133)*(E4134=E$1:E4133)))))</f>
        <v> </v>
      </c>
      <c r="L4134" s="26"/>
    </row>
    <row r="4135" spans="1:12">
      <c r="A4135" s="20" t="s">
        <v>1924</v>
      </c>
      <c r="E4135" s="21">
        <f>IF(D4135="?OLD","!!!","")</f>
        <v/>
      </c>
      <c r="F4135" s="22" t="str">
        <f>IF(OR(E4135="",E4135="!!!"),"",IF(NOT(ISNA(VLOOKUP(E4135,E$1:E4134,1,FALSE()))),"OLD",IF(AND(E4135&lt;&gt;"",E4135&lt;&gt;"!!!"),"NEW","")))</f>
        <v> </v>
      </c>
      <c r="G4135" s="23" t="str">
        <f>IF(OR(E4135="",E4135="!!!"),"",IF(OR(J4135=0,AND(J4135=1,K4135=1),AND(J4135=1,I4135="SBJ"),AND(J4135=1,I4135=0)),"?IN_FOCUS",IF(J4135&lt;=2,"?ACTIVATED",IF(J4135&lt;&gt;"","?FAMILIAR",IF(F4135="NEW",IF(ISNA(VLOOKUP(E4135,#REF!,1,FALSE())),"?TYPE_IDENTIFIABLE","?REFERENTIAL"),"_")))))</f>
        <v> </v>
      </c>
      <c r="H4135" s="24" t="str">
        <f>IF(J4135&lt;&gt;1,"",IF(I4135="SBJ","CB","?"))</f>
        <v> </v>
      </c>
      <c r="I4135" s="25" t="str">
        <f>IF(OR(E4135="",E4135="!!!",F4135="NEW"),"",INDEX(B4134:B$2,-1+SUMPRODUCT(MAX(ROW(E4134:E$2)*(E4135=E4134:E$2)))))</f>
        <v> </v>
      </c>
      <c r="J4135" s="25" t="str">
        <f>IF(OR(E4135="",E4135="!!!",F4135="NEW"),"",COUNTBLANK(OFFSET(A$1,,,SUMPRODUCT(MAX(ROW(E$2:E4135)*(E4135=E$2:E4135)))))-COUNTBLANK(OFFSET(A$1,,,SUMPRODUCT(MAX(ROW(E$1:E4134)*(E2=E$1:E4134))))))</f>
        <v> </v>
      </c>
      <c r="K4135" s="25" t="str">
        <f>IF(OR(E4135="",E4135="!!!",F4135="NEW"),"",INDEX(J$1:J4134,SUMPRODUCT(MAX(ROW(E$1:E4134)*(E4135=E$1:E4134)))))</f>
        <v> </v>
      </c>
      <c r="L4135" s="26"/>
    </row>
    <row r="4136" spans="1:12">
      <c r="A4136" s="20" t="s">
        <v>698</v>
      </c>
      <c r="E4136" s="21">
        <f>IF(D4136="?OLD","!!!","")</f>
        <v/>
      </c>
      <c r="F4136" s="22" t="str">
        <f>IF(OR(E4136="",E4136="!!!"),"",IF(NOT(ISNA(VLOOKUP(E4136,E$1:E4135,1,FALSE()))),"OLD",IF(AND(E4136&lt;&gt;"",E4136&lt;&gt;"!!!"),"NEW","")))</f>
        <v> </v>
      </c>
      <c r="G4136" s="23" t="str">
        <f>IF(OR(E4136="",E4136="!!!"),"",IF(OR(J4136=0,AND(J4136=1,K4136=1),AND(J4136=1,I4136="SBJ"),AND(J4136=1,I4136=0)),"?IN_FOCUS",IF(J4136&lt;=2,"?ACTIVATED",IF(J4136&lt;&gt;"","?FAMILIAR",IF(F4136="NEW",IF(ISNA(VLOOKUP(E4136,#REF!,1,FALSE())),"?TYPE_IDENTIFIABLE","?REFERENTIAL"),"_")))))</f>
        <v> </v>
      </c>
      <c r="H4136" s="24" t="str">
        <f>IF(J4136&lt;&gt;1,"",IF(I4136="SBJ","CB","?"))</f>
        <v> </v>
      </c>
      <c r="I4136" s="25" t="str">
        <f>IF(OR(E4136="",E4136="!!!",F4136="NEW"),"",INDEX(B4135:B$2,-1+SUMPRODUCT(MAX(ROW(E4135:E$2)*(E4136=E4135:E$2)))))</f>
        <v> </v>
      </c>
      <c r="J4136" s="25" t="str">
        <f>IF(OR(E4136="",E4136="!!!",F4136="NEW"),"",COUNTBLANK(OFFSET(A$1,,,SUMPRODUCT(MAX(ROW(E$2:E4136)*(E4136=E$2:E4136)))))-COUNTBLANK(OFFSET(A$1,,,SUMPRODUCT(MAX(ROW(E$1:E4135)*(E2=E$1:E4135))))))</f>
        <v> </v>
      </c>
      <c r="K4136" s="25" t="str">
        <f>IF(OR(E4136="",E4136="!!!",F4136="NEW"),"",INDEX(J$1:J4135,SUMPRODUCT(MAX(ROW(E$1:E4135)*(E4136=E$1:E4135)))))</f>
        <v> </v>
      </c>
      <c r="L4136" s="26"/>
    </row>
    <row r="4137" spans="1:12">
      <c r="A4137" s="20"/>
    </row>
    <row r="4138" spans="1:12">
      <c r="A4138" s="20" t="s">
        <v>1925</v>
      </c>
    </row>
    <row r="4139" spans="1:12">
      <c r="A4139" s="20" t="s">
        <v>827</v>
      </c>
      <c r="E4139" s="21">
        <f>IF(D4139="?OLD","!!!","")</f>
        <v/>
      </c>
      <c r="F4139" s="22" t="str">
        <f>IF(OR(E4139="",E4139="!!!"),"",IF(NOT(ISNA(VLOOKUP(E4139,E$1:E4138,1,FALSE()))),"OLD",IF(AND(E4139&lt;&gt;"",E4139&lt;&gt;"!!!"),"NEW","")))</f>
        <v> </v>
      </c>
      <c r="G4139" s="23" t="str">
        <f>IF(OR(E4139="",E4139="!!!"),"",IF(OR(J4139=0,AND(J4139=1,K4139=1),AND(J4139=1,I4139="SBJ"),AND(J4139=1,I4139=0)),"?IN_FOCUS",IF(J4139&lt;=2,"?ACTIVATED",IF(J4139&lt;&gt;"","?FAMILIAR",IF(F4139="NEW",IF(ISNA(VLOOKUP(E4139,#REF!,1,FALSE())),"?TYPE_IDENTIFIABLE","?REFERENTIAL"),"_")))))</f>
        <v> </v>
      </c>
      <c r="H4139" s="24" t="str">
        <f>IF(J4139&lt;&gt;1,"",IF(I4139="SBJ","CB","?"))</f>
        <v> </v>
      </c>
      <c r="I4139" s="25" t="str">
        <f>IF(OR(E4139="",E4139="!!!",F4139="NEW"),"",INDEX(B4138:B$2,-1+SUMPRODUCT(MAX(ROW(E4138:E$2)*(E4139=E4138:E$2)))))</f>
        <v> </v>
      </c>
      <c r="J4139" s="25" t="str">
        <f>IF(OR(E4139="",E4139="!!!",F4139="NEW"),"",COUNTBLANK(OFFSET(A$1,,,SUMPRODUCT(MAX(ROW(E$2:E4139)*(E4139=E$2:E4139)))))-COUNTBLANK(OFFSET(A$1,,,SUMPRODUCT(MAX(ROW(E$1:E4138)*(E2=E$1:E4138))))))</f>
        <v> </v>
      </c>
      <c r="K4139" s="25" t="str">
        <f>IF(OR(E4139="",E4139="!!!",F4139="NEW"),"",INDEX(J$1:J4138,SUMPRODUCT(MAX(ROW(E$1:E4138)*(E4139=E$1:E4138)))))</f>
        <v> </v>
      </c>
      <c r="L4139" s="26"/>
    </row>
    <row r="4140" spans="1:12">
      <c r="A4140" s="20" t="s">
        <v>1581</v>
      </c>
      <c r="E4140" s="21">
        <f>IF(D4140="?OLD","!!!","")</f>
        <v/>
      </c>
      <c r="F4140" s="22" t="str">
        <f>IF(OR(E4140="",E4140="!!!"),"",IF(NOT(ISNA(VLOOKUP(E4140,E$1:E4139,1,FALSE()))),"OLD",IF(AND(E4140&lt;&gt;"",E4140&lt;&gt;"!!!"),"NEW","")))</f>
        <v> </v>
      </c>
      <c r="G4140" s="23" t="str">
        <f>IF(OR(E4140="",E4140="!!!"),"",IF(OR(J4140=0,AND(J4140=1,K4140=1),AND(J4140=1,I4140="SBJ"),AND(J4140=1,I4140=0)),"?IN_FOCUS",IF(J4140&lt;=2,"?ACTIVATED",IF(J4140&lt;&gt;"","?FAMILIAR",IF(F4140="NEW",IF(ISNA(VLOOKUP(E4140,#REF!,1,FALSE())),"?TYPE_IDENTIFIABLE","?REFERENTIAL"),"_")))))</f>
        <v> </v>
      </c>
      <c r="H4140" s="24" t="str">
        <f>IF(J4140&lt;&gt;1,"",IF(I4140="SBJ","CB","?"))</f>
        <v> </v>
      </c>
      <c r="I4140" s="25" t="str">
        <f>IF(OR(E4140="",E4140="!!!",F4140="NEW"),"",INDEX(B4139:B$2,-1+SUMPRODUCT(MAX(ROW(E4139:E$2)*(E4140=E4139:E$2)))))</f>
        <v> </v>
      </c>
      <c r="J4140" s="25" t="str">
        <f>IF(OR(E4140="",E4140="!!!",F4140="NEW"),"",COUNTBLANK(OFFSET(A$1,,,SUMPRODUCT(MAX(ROW(E$2:E4140)*(E4140=E$2:E4140)))))-COUNTBLANK(OFFSET(A$1,,,SUMPRODUCT(MAX(ROW(E$1:E4139)*(E2=E$1:E4139))))))</f>
        <v> </v>
      </c>
      <c r="K4140" s="25" t="str">
        <f>IF(OR(E4140="",E4140="!!!",F4140="NEW"),"",INDEX(J$1:J4139,SUMPRODUCT(MAX(ROW(E$1:E4139)*(E4140=E$1:E4139)))))</f>
        <v> </v>
      </c>
      <c r="L4140" s="26"/>
    </row>
    <row r="4141" spans="1:12">
      <c r="A4141" s="20" t="s">
        <v>732</v>
      </c>
      <c r="E4141" s="21">
        <f>IF(D4141="?OLD","!!!","")</f>
        <v/>
      </c>
      <c r="F4141" s="22" t="str">
        <f>IF(OR(E4141="",E4141="!!!"),"",IF(NOT(ISNA(VLOOKUP(E4141,E$1:E4140,1,FALSE()))),"OLD",IF(AND(E4141&lt;&gt;"",E4141&lt;&gt;"!!!"),"NEW","")))</f>
        <v> </v>
      </c>
      <c r="G4141" s="23" t="str">
        <f>IF(OR(E4141="",E4141="!!!"),"",IF(OR(J4141=0,AND(J4141=1,K4141=1),AND(J4141=1,I4141="SBJ"),AND(J4141=1,I4141=0)),"?IN_FOCUS",IF(J4141&lt;=2,"?ACTIVATED",IF(J4141&lt;&gt;"","?FAMILIAR",IF(F4141="NEW",IF(ISNA(VLOOKUP(E4141,#REF!,1,FALSE())),"?TYPE_IDENTIFIABLE","?REFERENTIAL"),"_")))))</f>
        <v> </v>
      </c>
      <c r="H4141" s="24" t="str">
        <f>IF(J4141&lt;&gt;1,"",IF(I4141="SBJ","CB","?"))</f>
        <v> </v>
      </c>
      <c r="I4141" s="25" t="str">
        <f>IF(OR(E4141="",E4141="!!!",F4141="NEW"),"",INDEX(B4140:B$2,-1+SUMPRODUCT(MAX(ROW(E4140:E$2)*(E4141=E4140:E$2)))))</f>
        <v> </v>
      </c>
      <c r="J4141" s="25" t="str">
        <f>IF(OR(E4141="",E4141="!!!",F4141="NEW"),"",COUNTBLANK(OFFSET(A$1,,,SUMPRODUCT(MAX(ROW(E$2:E4141)*(E4141=E$2:E4141)))))-COUNTBLANK(OFFSET(A$1,,,SUMPRODUCT(MAX(ROW(E$1:E4140)*(E2=E$1:E4140))))))</f>
        <v> </v>
      </c>
      <c r="K4141" s="25" t="str">
        <f>IF(OR(E4141="",E4141="!!!",F4141="NEW"),"",INDEX(J$1:J4140,SUMPRODUCT(MAX(ROW(E$1:E4140)*(E4141=E$1:E4140)))))</f>
        <v> </v>
      </c>
      <c r="L4141" s="26"/>
    </row>
    <row r="4142" spans="1:12">
      <c r="A4142" s="20" t="s">
        <v>715</v>
      </c>
      <c r="E4142" s="21">
        <f>IF(D4142="?OLD","!!!","")</f>
        <v/>
      </c>
      <c r="F4142" s="22" t="str">
        <f>IF(OR(E4142="",E4142="!!!"),"",IF(NOT(ISNA(VLOOKUP(E4142,E$1:E4141,1,FALSE()))),"OLD",IF(AND(E4142&lt;&gt;"",E4142&lt;&gt;"!!!"),"NEW","")))</f>
        <v> </v>
      </c>
      <c r="G4142" s="23" t="str">
        <f>IF(OR(E4142="",E4142="!!!"),"",IF(OR(J4142=0,AND(J4142=1,K4142=1),AND(J4142=1,I4142="SBJ"),AND(J4142=1,I4142=0)),"?IN_FOCUS",IF(J4142&lt;=2,"?ACTIVATED",IF(J4142&lt;&gt;"","?FAMILIAR",IF(F4142="NEW",IF(ISNA(VLOOKUP(E4142,#REF!,1,FALSE())),"?TYPE_IDENTIFIABLE","?REFERENTIAL"),"_")))))</f>
        <v> </v>
      </c>
      <c r="H4142" s="24" t="str">
        <f>IF(J4142&lt;&gt;1,"",IF(I4142="SBJ","CB","?"))</f>
        <v> </v>
      </c>
      <c r="I4142" s="25" t="str">
        <f>IF(OR(E4142="",E4142="!!!",F4142="NEW"),"",INDEX(B4141:B$2,-1+SUMPRODUCT(MAX(ROW(E4141:E$2)*(E4142=E4141:E$2)))))</f>
        <v> </v>
      </c>
      <c r="J4142" s="25" t="str">
        <f>IF(OR(E4142="",E4142="!!!",F4142="NEW"),"",COUNTBLANK(OFFSET(A$1,,,SUMPRODUCT(MAX(ROW(E$2:E4142)*(E4142=E$2:E4142)))))-COUNTBLANK(OFFSET(A$1,,,SUMPRODUCT(MAX(ROW(E$1:E4141)*(E2=E$1:E4141))))))</f>
        <v> </v>
      </c>
      <c r="K4142" s="25" t="str">
        <f>IF(OR(E4142="",E4142="!!!",F4142="NEW"),"",INDEX(J$1:J4141,SUMPRODUCT(MAX(ROW(E$1:E4141)*(E4142=E$1:E4141)))))</f>
        <v> </v>
      </c>
      <c r="L4142" s="26"/>
    </row>
    <row r="4143" spans="1:12">
      <c r="A4143" s="20" t="s">
        <v>721</v>
      </c>
      <c r="E4143" s="21">
        <f>IF(D4143="?OLD","!!!","")</f>
        <v/>
      </c>
      <c r="F4143" s="22" t="str">
        <f>IF(OR(E4143="",E4143="!!!"),"",IF(NOT(ISNA(VLOOKUP(E4143,E$1:E4142,1,FALSE()))),"OLD",IF(AND(E4143&lt;&gt;"",E4143&lt;&gt;"!!!"),"NEW","")))</f>
        <v> </v>
      </c>
      <c r="G4143" s="23" t="str">
        <f>IF(OR(E4143="",E4143="!!!"),"",IF(OR(J4143=0,AND(J4143=1,K4143=1),AND(J4143=1,I4143="SBJ"),AND(J4143=1,I4143=0)),"?IN_FOCUS",IF(J4143&lt;=2,"?ACTIVATED",IF(J4143&lt;&gt;"","?FAMILIAR",IF(F4143="NEW",IF(ISNA(VLOOKUP(E4143,#REF!,1,FALSE())),"?TYPE_IDENTIFIABLE","?REFERENTIAL"),"_")))))</f>
        <v> </v>
      </c>
      <c r="H4143" s="24" t="str">
        <f>IF(J4143&lt;&gt;1,"",IF(I4143="SBJ","CB","?"))</f>
        <v> </v>
      </c>
      <c r="I4143" s="25" t="str">
        <f>IF(OR(E4143="",E4143="!!!",F4143="NEW"),"",INDEX(B4142:B$2,-1+SUMPRODUCT(MAX(ROW(E4142:E$2)*(E4143=E4142:E$2)))))</f>
        <v> </v>
      </c>
      <c r="J4143" s="25" t="str">
        <f>IF(OR(E4143="",E4143="!!!",F4143="NEW"),"",COUNTBLANK(OFFSET(A$1,,,SUMPRODUCT(MAX(ROW(E$2:E4143)*(E4143=E$2:E4143)))))-COUNTBLANK(OFFSET(A$1,,,SUMPRODUCT(MAX(ROW(E$1:E4142)*(E2=E$1:E4142))))))</f>
        <v> </v>
      </c>
      <c r="K4143" s="25" t="str">
        <f>IF(OR(E4143="",E4143="!!!",F4143="NEW"),"",INDEX(J$1:J4142,SUMPRODUCT(MAX(ROW(E$1:E4142)*(E4143=E$1:E4142)))))</f>
        <v> </v>
      </c>
      <c r="L4143" s="26"/>
    </row>
    <row r="4144" spans="1:12">
      <c r="A4144" s="20" t="s">
        <v>1926</v>
      </c>
      <c r="E4144" s="21">
        <f>IF(D4144="?OLD","!!!","")</f>
        <v/>
      </c>
      <c r="F4144" s="22" t="str">
        <f>IF(OR(E4144="",E4144="!!!"),"",IF(NOT(ISNA(VLOOKUP(E4144,E$1:E4143,1,FALSE()))),"OLD",IF(AND(E4144&lt;&gt;"",E4144&lt;&gt;"!!!"),"NEW","")))</f>
        <v> </v>
      </c>
      <c r="G4144" s="23" t="str">
        <f>IF(OR(E4144="",E4144="!!!"),"",IF(OR(J4144=0,AND(J4144=1,K4144=1),AND(J4144=1,I4144="SBJ"),AND(J4144=1,I4144=0)),"?IN_FOCUS",IF(J4144&lt;=2,"?ACTIVATED",IF(J4144&lt;&gt;"","?FAMILIAR",IF(F4144="NEW",IF(ISNA(VLOOKUP(E4144,#REF!,1,FALSE())),"?TYPE_IDENTIFIABLE","?REFERENTIAL"),"_")))))</f>
        <v> </v>
      </c>
      <c r="H4144" s="24" t="str">
        <f>IF(J4144&lt;&gt;1,"",IF(I4144="SBJ","CB","?"))</f>
        <v> </v>
      </c>
      <c r="I4144" s="25" t="str">
        <f>IF(OR(E4144="",E4144="!!!",F4144="NEW"),"",INDEX(B4143:B$2,-1+SUMPRODUCT(MAX(ROW(E4143:E$2)*(E4144=E4143:E$2)))))</f>
        <v> </v>
      </c>
      <c r="J4144" s="25" t="str">
        <f>IF(OR(E4144="",E4144="!!!",F4144="NEW"),"",COUNTBLANK(OFFSET(A$1,,,SUMPRODUCT(MAX(ROW(E$2:E4144)*(E4144=E$2:E4144)))))-COUNTBLANK(OFFSET(A$1,,,SUMPRODUCT(MAX(ROW(E$1:E4143)*(E2=E$1:E4143))))))</f>
        <v> </v>
      </c>
      <c r="K4144" s="25" t="str">
        <f>IF(OR(E4144="",E4144="!!!",F4144="NEW"),"",INDEX(J$1:J4143,SUMPRODUCT(MAX(ROW(E$1:E4143)*(E4144=E$1:E4143)))))</f>
        <v> </v>
      </c>
      <c r="L4144" s="26"/>
    </row>
    <row r="4145" spans="1:12">
      <c r="A4145" s="20" t="s">
        <v>694</v>
      </c>
      <c r="E4145" s="21">
        <f>IF(D4145="?OLD","!!!","")</f>
        <v/>
      </c>
      <c r="F4145" s="22" t="str">
        <f>IF(OR(E4145="",E4145="!!!"),"",IF(NOT(ISNA(VLOOKUP(E4145,E$1:E4144,1,FALSE()))),"OLD",IF(AND(E4145&lt;&gt;"",E4145&lt;&gt;"!!!"),"NEW","")))</f>
        <v> </v>
      </c>
      <c r="G4145" s="23" t="str">
        <f>IF(OR(E4145="",E4145="!!!"),"",IF(OR(J4145=0,AND(J4145=1,K4145=1),AND(J4145=1,I4145="SBJ"),AND(J4145=1,I4145=0)),"?IN_FOCUS",IF(J4145&lt;=2,"?ACTIVATED",IF(J4145&lt;&gt;"","?FAMILIAR",IF(F4145="NEW",IF(ISNA(VLOOKUP(E4145,#REF!,1,FALSE())),"?TYPE_IDENTIFIABLE","?REFERENTIAL"),"_")))))</f>
        <v> </v>
      </c>
      <c r="H4145" s="24" t="str">
        <f>IF(J4145&lt;&gt;1,"",IF(I4145="SBJ","CB","?"))</f>
        <v> </v>
      </c>
      <c r="I4145" s="25" t="str">
        <f>IF(OR(E4145="",E4145="!!!",F4145="NEW"),"",INDEX(B4144:B$2,-1+SUMPRODUCT(MAX(ROW(E4144:E$2)*(E4145=E4144:E$2)))))</f>
        <v> </v>
      </c>
      <c r="J4145" s="25" t="str">
        <f>IF(OR(E4145="",E4145="!!!",F4145="NEW"),"",COUNTBLANK(OFFSET(A$1,,,SUMPRODUCT(MAX(ROW(E$2:E4145)*(E4145=E$2:E4145)))))-COUNTBLANK(OFFSET(A$1,,,SUMPRODUCT(MAX(ROW(E$1:E4144)*(E2=E$1:E4144))))))</f>
        <v> </v>
      </c>
      <c r="K4145" s="25" t="str">
        <f>IF(OR(E4145="",E4145="!!!",F4145="NEW"),"",INDEX(J$1:J4144,SUMPRODUCT(MAX(ROW(E$1:E4144)*(E4145=E$1:E4144)))))</f>
        <v> </v>
      </c>
      <c r="L4145" s="26"/>
    </row>
    <row r="4146" spans="1:12">
      <c r="A4146" s="20" t="s">
        <v>1927</v>
      </c>
      <c r="B4146" s="27" t="s">
        <v>696</v>
      </c>
      <c r="C4146" s="27" t="s">
        <v>693</v>
      </c>
      <c r="D4146" s="27" t="s">
        <v>687</v>
      </c>
      <c r="E4146" s="21">
        <f>IF(D4146="?OLD","!!!","")</f>
        <v/>
      </c>
      <c r="F4146" s="22" t="str">
        <f>IF(OR(E4146="",E4146="!!!"),"",IF(NOT(ISNA(VLOOKUP(E4146,E$1:E4145,1,FALSE()))),"OLD",IF(AND(E4146&lt;&gt;"",E4146&lt;&gt;"!!!"),"NEW","")))</f>
        <v> </v>
      </c>
      <c r="G4146" s="23" t="str">
        <f>IF(OR(E4146="",E4146="!!!"),"",IF(OR(J4146=0,AND(J4146=1,K4146=1),AND(J4146=1,I4146="SBJ"),AND(J4146=1,I4146=0)),"?IN_FOCUS",IF(J4146&lt;=2,"?ACTIVATED",IF(J4146&lt;&gt;"","?FAMILIAR",IF(F4146="NEW",IF(ISNA(VLOOKUP(E4146,#REF!,1,FALSE())),"?TYPE_IDENTIFIABLE","?REFERENTIAL"),"_")))))</f>
        <v> </v>
      </c>
      <c r="H4146" s="24" t="str">
        <f>IF(J4146&lt;&gt;1,"",IF(I4146="SBJ","CB","?"))</f>
        <v> </v>
      </c>
      <c r="I4146" s="25" t="str">
        <f>IF(OR(E4146="",E4146="!!!",F4146="NEW"),"",INDEX(B4145:B$2,-1+SUMPRODUCT(MAX(ROW(E4145:E$2)*(E4146=E4145:E$2)))))</f>
        <v> </v>
      </c>
      <c r="J4146" s="25" t="str">
        <f>IF(OR(E4146="",E4146="!!!",F4146="NEW"),"",COUNTBLANK(OFFSET(A$1,,,SUMPRODUCT(MAX(ROW(E$2:E4146)*(E4146=E$2:E4146)))))-COUNTBLANK(OFFSET(A$1,,,SUMPRODUCT(MAX(ROW(E$1:E4145)*(E2=E$1:E4145))))))</f>
        <v> </v>
      </c>
      <c r="K4146" s="25" t="str">
        <f>IF(OR(E4146="",E4146="!!!",F4146="NEW"),"",INDEX(J$1:J4145,SUMPRODUCT(MAX(ROW(E$1:E4145)*(E4146=E$1:E4145)))))</f>
        <v> </v>
      </c>
      <c r="L4146" s="26"/>
    </row>
    <row r="4147" spans="1:12">
      <c r="A4147" s="20" t="s">
        <v>694</v>
      </c>
      <c r="E4147" s="21">
        <f>IF(D4147="?OLD","!!!","")</f>
        <v/>
      </c>
      <c r="F4147" s="22" t="str">
        <f>IF(OR(E4147="",E4147="!!!"),"",IF(NOT(ISNA(VLOOKUP(E4147,E$1:E4146,1,FALSE()))),"OLD",IF(AND(E4147&lt;&gt;"",E4147&lt;&gt;"!!!"),"NEW","")))</f>
        <v> </v>
      </c>
      <c r="G4147" s="23" t="str">
        <f>IF(OR(E4147="",E4147="!!!"),"",IF(OR(J4147=0,AND(J4147=1,K4147=1),AND(J4147=1,I4147="SBJ"),AND(J4147=1,I4147=0)),"?IN_FOCUS",IF(J4147&lt;=2,"?ACTIVATED",IF(J4147&lt;&gt;"","?FAMILIAR",IF(F4147="NEW",IF(ISNA(VLOOKUP(E4147,#REF!,1,FALSE())),"?TYPE_IDENTIFIABLE","?REFERENTIAL"),"_")))))</f>
        <v> </v>
      </c>
      <c r="H4147" s="24" t="str">
        <f>IF(J4147&lt;&gt;1,"",IF(I4147="SBJ","CB","?"))</f>
        <v> </v>
      </c>
      <c r="I4147" s="25" t="str">
        <f>IF(OR(E4147="",E4147="!!!",F4147="NEW"),"",INDEX(B4146:B$2,-1+SUMPRODUCT(MAX(ROW(E4146:E$2)*(E4147=E4146:E$2)))))</f>
        <v> </v>
      </c>
      <c r="J4147" s="25" t="str">
        <f>IF(OR(E4147="",E4147="!!!",F4147="NEW"),"",COUNTBLANK(OFFSET(A$1,,,SUMPRODUCT(MAX(ROW(E$2:E4147)*(E4147=E$2:E4147)))))-COUNTBLANK(OFFSET(A$1,,,SUMPRODUCT(MAX(ROW(E$1:E4146)*(E2=E$1:E4146))))))</f>
        <v> </v>
      </c>
      <c r="K4147" s="25" t="str">
        <f>IF(OR(E4147="",E4147="!!!",F4147="NEW"),"",INDEX(J$1:J4146,SUMPRODUCT(MAX(ROW(E$1:E4146)*(E4147=E$1:E4146)))))</f>
        <v> </v>
      </c>
      <c r="L4147" s="26"/>
    </row>
    <row r="4148" spans="1:12">
      <c r="A4148" s="20" t="s">
        <v>1928</v>
      </c>
      <c r="B4148" s="27" t="s">
        <v>724</v>
      </c>
      <c r="C4148" s="27" t="s">
        <v>679</v>
      </c>
      <c r="E4148" s="21">
        <f>IF(D4148="?OLD","!!!","")</f>
        <v/>
      </c>
      <c r="F4148" s="22" t="str">
        <f>IF(OR(E4148="",E4148="!!!"),"",IF(NOT(ISNA(VLOOKUP(E4148,E$1:E4147,1,FALSE()))),"OLD",IF(AND(E4148&lt;&gt;"",E4148&lt;&gt;"!!!"),"NEW","")))</f>
        <v> </v>
      </c>
      <c r="G4148" s="23" t="str">
        <f>IF(OR(E4148="",E4148="!!!"),"",IF(OR(J4148=0,AND(J4148=1,K4148=1),AND(J4148=1,I4148="SBJ"),AND(J4148=1,I4148=0)),"?IN_FOCUS",IF(J4148&lt;=2,"?ACTIVATED",IF(J4148&lt;&gt;"","?FAMILIAR",IF(F4148="NEW",IF(ISNA(VLOOKUP(E4148,#REF!,1,FALSE())),"?TYPE_IDENTIFIABLE","?REFERENTIAL"),"_")))))</f>
        <v> </v>
      </c>
      <c r="H4148" s="24" t="str">
        <f>IF(J4148&lt;&gt;1,"",IF(I4148="SBJ","CB","?"))</f>
        <v> </v>
      </c>
      <c r="I4148" s="25" t="str">
        <f>IF(OR(E4148="",E4148="!!!",F4148="NEW"),"",INDEX(B4147:B$2,-1+SUMPRODUCT(MAX(ROW(E4147:E$2)*(E4148=E4147:E$2)))))</f>
        <v> </v>
      </c>
      <c r="J4148" s="25" t="str">
        <f>IF(OR(E4148="",E4148="!!!",F4148="NEW"),"",COUNTBLANK(OFFSET(A$1,,,SUMPRODUCT(MAX(ROW(E$2:E4148)*(E4148=E$2:E4148)))))-COUNTBLANK(OFFSET(A$1,,,SUMPRODUCT(MAX(ROW(E$1:E4147)*(E2=E$1:E4147))))))</f>
        <v> </v>
      </c>
      <c r="K4148" s="25" t="str">
        <f>IF(OR(E4148="",E4148="!!!",F4148="NEW"),"",INDEX(J$1:J4147,SUMPRODUCT(MAX(ROW(E$1:E4147)*(E4148=E$1:E4147)))))</f>
        <v> </v>
      </c>
      <c r="L4148" s="26"/>
    </row>
    <row r="4149" spans="1:12">
      <c r="A4149" s="20" t="s">
        <v>708</v>
      </c>
      <c r="E4149" s="21">
        <f>IF(D4149="?OLD","!!!","")</f>
        <v/>
      </c>
      <c r="F4149" s="22" t="str">
        <f>IF(OR(E4149="",E4149="!!!"),"",IF(NOT(ISNA(VLOOKUP(E4149,E$1:E4148,1,FALSE()))),"OLD",IF(AND(E4149&lt;&gt;"",E4149&lt;&gt;"!!!"),"NEW","")))</f>
        <v> </v>
      </c>
      <c r="G4149" s="23" t="str">
        <f>IF(OR(E4149="",E4149="!!!"),"",IF(OR(J4149=0,AND(J4149=1,K4149=1),AND(J4149=1,I4149="SBJ"),AND(J4149=1,I4149=0)),"?IN_FOCUS",IF(J4149&lt;=2,"?ACTIVATED",IF(J4149&lt;&gt;"","?FAMILIAR",IF(F4149="NEW",IF(ISNA(VLOOKUP(E4149,#REF!,1,FALSE())),"?TYPE_IDENTIFIABLE","?REFERENTIAL"),"_")))))</f>
        <v> </v>
      </c>
      <c r="H4149" s="24" t="str">
        <f>IF(J4149&lt;&gt;1,"",IF(I4149="SBJ","CB","?"))</f>
        <v> </v>
      </c>
      <c r="I4149" s="25" t="str">
        <f>IF(OR(E4149="",E4149="!!!",F4149="NEW"),"",INDEX(B4148:B$2,-1+SUMPRODUCT(MAX(ROW(E4148:E$2)*(E4149=E4148:E$2)))))</f>
        <v> </v>
      </c>
      <c r="J4149" s="25" t="str">
        <f>IF(OR(E4149="",E4149="!!!",F4149="NEW"),"",COUNTBLANK(OFFSET(A$1,,,SUMPRODUCT(MAX(ROW(E$2:E4149)*(E4149=E$2:E4149)))))-COUNTBLANK(OFFSET(A$1,,,SUMPRODUCT(MAX(ROW(E$1:E4148)*(E2=E$1:E4148))))))</f>
        <v> </v>
      </c>
      <c r="K4149" s="25" t="str">
        <f>IF(OR(E4149="",E4149="!!!",F4149="NEW"),"",INDEX(J$1:J4148,SUMPRODUCT(MAX(ROW(E$1:E4148)*(E4149=E$1:E4148)))))</f>
        <v> </v>
      </c>
      <c r="L4149" s="26"/>
    </row>
    <row r="4150" spans="1:12">
      <c r="A4150" s="20" t="s">
        <v>1122</v>
      </c>
      <c r="E4150" s="21">
        <f>IF(D4150="?OLD","!!!","")</f>
        <v/>
      </c>
      <c r="F4150" s="22" t="str">
        <f>IF(OR(E4150="",E4150="!!!"),"",IF(NOT(ISNA(VLOOKUP(E4150,E$1:E4149,1,FALSE()))),"OLD",IF(AND(E4150&lt;&gt;"",E4150&lt;&gt;"!!!"),"NEW","")))</f>
        <v> </v>
      </c>
      <c r="G4150" s="23" t="str">
        <f>IF(OR(E4150="",E4150="!!!"),"",IF(OR(J4150=0,AND(J4150=1,K4150=1),AND(J4150=1,I4150="SBJ"),AND(J4150=1,I4150=0)),"?IN_FOCUS",IF(J4150&lt;=2,"?ACTIVATED",IF(J4150&lt;&gt;"","?FAMILIAR",IF(F4150="NEW",IF(ISNA(VLOOKUP(E4150,#REF!,1,FALSE())),"?TYPE_IDENTIFIABLE","?REFERENTIAL"),"_")))))</f>
        <v> </v>
      </c>
      <c r="H4150" s="24" t="str">
        <f>IF(J4150&lt;&gt;1,"",IF(I4150="SBJ","CB","?"))</f>
        <v> </v>
      </c>
      <c r="I4150" s="25" t="str">
        <f>IF(OR(E4150="",E4150="!!!",F4150="NEW"),"",INDEX(B4149:B$2,-1+SUMPRODUCT(MAX(ROW(E4149:E$2)*(E4150=E4149:E$2)))))</f>
        <v> </v>
      </c>
      <c r="J4150" s="25" t="str">
        <f>IF(OR(E4150="",E4150="!!!",F4150="NEW"),"",COUNTBLANK(OFFSET(A$1,,,SUMPRODUCT(MAX(ROW(E$2:E4150)*(E4150=E$2:E4150)))))-COUNTBLANK(OFFSET(A$1,,,SUMPRODUCT(MAX(ROW(E$1:E4149)*(E2=E$1:E4149))))))</f>
        <v> </v>
      </c>
      <c r="K4150" s="25" t="str">
        <f>IF(OR(E4150="",E4150="!!!",F4150="NEW"),"",INDEX(J$1:J4149,SUMPRODUCT(MAX(ROW(E$1:E4149)*(E4150=E$1:E4149)))))</f>
        <v> </v>
      </c>
      <c r="L4150" s="26"/>
    </row>
    <row r="4151" spans="1:12">
      <c r="A4151" s="20" t="s">
        <v>732</v>
      </c>
      <c r="E4151" s="21">
        <f>IF(D4151="?OLD","!!!","")</f>
        <v/>
      </c>
      <c r="F4151" s="22" t="str">
        <f>IF(OR(E4151="",E4151="!!!"),"",IF(NOT(ISNA(VLOOKUP(E4151,E$1:E4150,1,FALSE()))),"OLD",IF(AND(E4151&lt;&gt;"",E4151&lt;&gt;"!!!"),"NEW","")))</f>
        <v> </v>
      </c>
      <c r="G4151" s="23" t="str">
        <f>IF(OR(E4151="",E4151="!!!"),"",IF(OR(J4151=0,AND(J4151=1,K4151=1),AND(J4151=1,I4151="SBJ"),AND(J4151=1,I4151=0)),"?IN_FOCUS",IF(J4151&lt;=2,"?ACTIVATED",IF(J4151&lt;&gt;"","?FAMILIAR",IF(F4151="NEW",IF(ISNA(VLOOKUP(E4151,#REF!,1,FALSE())),"?TYPE_IDENTIFIABLE","?REFERENTIAL"),"_")))))</f>
        <v> </v>
      </c>
      <c r="H4151" s="24" t="str">
        <f>IF(J4151&lt;&gt;1,"",IF(I4151="SBJ","CB","?"))</f>
        <v> </v>
      </c>
      <c r="I4151" s="25" t="str">
        <f>IF(OR(E4151="",E4151="!!!",F4151="NEW"),"",INDEX(B4150:B$2,-1+SUMPRODUCT(MAX(ROW(E4150:E$2)*(E4151=E4150:E$2)))))</f>
        <v> </v>
      </c>
      <c r="J4151" s="25" t="str">
        <f>IF(OR(E4151="",E4151="!!!",F4151="NEW"),"",COUNTBLANK(OFFSET(A$1,,,SUMPRODUCT(MAX(ROW(E$2:E4151)*(E4151=E$2:E4151)))))-COUNTBLANK(OFFSET(A$1,,,SUMPRODUCT(MAX(ROW(E$1:E4150)*(E2=E$1:E4150))))))</f>
        <v> </v>
      </c>
      <c r="K4151" s="25" t="str">
        <f>IF(OR(E4151="",E4151="!!!",F4151="NEW"),"",INDEX(J$1:J4150,SUMPRODUCT(MAX(ROW(E$1:E4150)*(E4151=E$1:E4150)))))</f>
        <v> </v>
      </c>
      <c r="L4151" s="26"/>
    </row>
    <row r="4152" spans="1:12">
      <c r="A4152" s="20" t="s">
        <v>306</v>
      </c>
      <c r="E4152" s="21">
        <f>IF(D4152="?OLD","!!!","")</f>
        <v/>
      </c>
      <c r="F4152" s="22" t="str">
        <f>IF(OR(E4152="",E4152="!!!"),"",IF(NOT(ISNA(VLOOKUP(E4152,E$1:E4151,1,FALSE()))),"OLD",IF(AND(E4152&lt;&gt;"",E4152&lt;&gt;"!!!"),"NEW","")))</f>
        <v> </v>
      </c>
      <c r="G4152" s="23" t="str">
        <f>IF(OR(E4152="",E4152="!!!"),"",IF(OR(J4152=0,AND(J4152=1,K4152=1),AND(J4152=1,I4152="SBJ"),AND(J4152=1,I4152=0)),"?IN_FOCUS",IF(J4152&lt;=2,"?ACTIVATED",IF(J4152&lt;&gt;"","?FAMILIAR",IF(F4152="NEW",IF(ISNA(VLOOKUP(E4152,#REF!,1,FALSE())),"?TYPE_IDENTIFIABLE","?REFERENTIAL"),"_")))))</f>
        <v> </v>
      </c>
      <c r="H4152" s="24" t="str">
        <f>IF(J4152&lt;&gt;1,"",IF(I4152="SBJ","CB","?"))</f>
        <v> </v>
      </c>
      <c r="I4152" s="25" t="str">
        <f>IF(OR(E4152="",E4152="!!!",F4152="NEW"),"",INDEX(B4151:B$2,-1+SUMPRODUCT(MAX(ROW(E4151:E$2)*(E4152=E4151:E$2)))))</f>
        <v> </v>
      </c>
      <c r="J4152" s="25" t="str">
        <f>IF(OR(E4152="",E4152="!!!",F4152="NEW"),"",COUNTBLANK(OFFSET(A$1,,,SUMPRODUCT(MAX(ROW(E$2:E4152)*(E4152=E$2:E4152)))))-COUNTBLANK(OFFSET(A$1,,,SUMPRODUCT(MAX(ROW(E$1:E4151)*(E2=E$1:E4151))))))</f>
        <v> </v>
      </c>
      <c r="K4152" s="25" t="str">
        <f>IF(OR(E4152="",E4152="!!!",F4152="NEW"),"",INDEX(J$1:J4151,SUMPRODUCT(MAX(ROW(E$1:E4151)*(E4152=E$1:E4151)))))</f>
        <v> </v>
      </c>
      <c r="L4152" s="26"/>
    </row>
    <row r="4153" spans="1:12">
      <c r="A4153" s="20" t="s">
        <v>1929</v>
      </c>
      <c r="B4153" s="27" t="s">
        <v>864</v>
      </c>
      <c r="C4153" s="27" t="s">
        <v>686</v>
      </c>
      <c r="D4153" s="27" t="s">
        <v>687</v>
      </c>
      <c r="E4153" s="21">
        <f>IF(D4153="?OLD","!!!","")</f>
        <v/>
      </c>
      <c r="F4153" s="22" t="str">
        <f>IF(OR(E4153="",E4153="!!!"),"",IF(NOT(ISNA(VLOOKUP(E4153,E$1:E4152,1,FALSE()))),"OLD",IF(AND(E4153&lt;&gt;"",E4153&lt;&gt;"!!!"),"NEW","")))</f>
        <v> </v>
      </c>
      <c r="G4153" s="23" t="str">
        <f>IF(OR(E4153="",E4153="!!!"),"",IF(OR(J4153=0,AND(J4153=1,K4153=1),AND(J4153=1,I4153="SBJ"),AND(J4153=1,I4153=0)),"?IN_FOCUS",IF(J4153&lt;=2,"?ACTIVATED",IF(J4153&lt;&gt;"","?FAMILIAR",IF(F4153="NEW",IF(ISNA(VLOOKUP(E4153,#REF!,1,FALSE())),"?TYPE_IDENTIFIABLE","?REFERENTIAL"),"_")))))</f>
        <v> </v>
      </c>
      <c r="H4153" s="24" t="str">
        <f>IF(J4153&lt;&gt;1,"",IF(I4153="SBJ","CB","?"))</f>
        <v> </v>
      </c>
      <c r="I4153" s="25" t="str">
        <f>IF(OR(E4153="",E4153="!!!",F4153="NEW"),"",INDEX(B4152:B$2,-1+SUMPRODUCT(MAX(ROW(E4152:E$2)*(E4153=E4152:E$2)))))</f>
        <v> </v>
      </c>
      <c r="J4153" s="25" t="str">
        <f>IF(OR(E4153="",E4153="!!!",F4153="NEW"),"",COUNTBLANK(OFFSET(A$1,,,SUMPRODUCT(MAX(ROW(E$2:E4153)*(E4153=E$2:E4153)))))-COUNTBLANK(OFFSET(A$1,,,SUMPRODUCT(MAX(ROW(E$1:E4152)*(E2=E$1:E4152))))))</f>
        <v> </v>
      </c>
      <c r="K4153" s="25" t="str">
        <f>IF(OR(E4153="",E4153="!!!",F4153="NEW"),"",INDEX(J$1:J4152,SUMPRODUCT(MAX(ROW(E$1:E4152)*(E4153=E$1:E4152)))))</f>
        <v> </v>
      </c>
      <c r="L4153" s="26"/>
    </row>
    <row r="4154" spans="1:12">
      <c r="A4154" s="20" t="s">
        <v>1930</v>
      </c>
      <c r="E4154" s="21">
        <f>IF(D4154="?OLD","!!!","")</f>
        <v/>
      </c>
      <c r="F4154" s="22" t="str">
        <f>IF(OR(E4154="",E4154="!!!"),"",IF(NOT(ISNA(VLOOKUP(E4154,E$1:E4153,1,FALSE()))),"OLD",IF(AND(E4154&lt;&gt;"",E4154&lt;&gt;"!!!"),"NEW","")))</f>
        <v> </v>
      </c>
      <c r="G4154" s="23" t="str">
        <f>IF(OR(E4154="",E4154="!!!"),"",IF(OR(J4154=0,AND(J4154=1,K4154=1),AND(J4154=1,I4154="SBJ"),AND(J4154=1,I4154=0)),"?IN_FOCUS",IF(J4154&lt;=2,"?ACTIVATED",IF(J4154&lt;&gt;"","?FAMILIAR",IF(F4154="NEW",IF(ISNA(VLOOKUP(E4154,#REF!,1,FALSE())),"?TYPE_IDENTIFIABLE","?REFERENTIAL"),"_")))))</f>
        <v> </v>
      </c>
      <c r="H4154" s="24" t="str">
        <f>IF(J4154&lt;&gt;1,"",IF(I4154="SBJ","CB","?"))</f>
        <v> </v>
      </c>
      <c r="I4154" s="25" t="str">
        <f>IF(OR(E4154="",E4154="!!!",F4154="NEW"),"",INDEX(B4153:B$2,-1+SUMPRODUCT(MAX(ROW(E4153:E$2)*(E4154=E4153:E$2)))))</f>
        <v> </v>
      </c>
      <c r="J4154" s="25" t="str">
        <f>IF(OR(E4154="",E4154="!!!",F4154="NEW"),"",COUNTBLANK(OFFSET(A$1,,,SUMPRODUCT(MAX(ROW(E$2:E4154)*(E4154=E$2:E4154)))))-COUNTBLANK(OFFSET(A$1,,,SUMPRODUCT(MAX(ROW(E$1:E4153)*(E2=E$1:E4153))))))</f>
        <v> </v>
      </c>
      <c r="K4154" s="25" t="str">
        <f>IF(OR(E4154="",E4154="!!!",F4154="NEW"),"",INDEX(J$1:J4153,SUMPRODUCT(MAX(ROW(E$1:E4153)*(E4154=E$1:E4153)))))</f>
        <v> </v>
      </c>
      <c r="L4154" s="26"/>
    </row>
    <row r="4155" spans="1:12">
      <c r="A4155" s="20" t="s">
        <v>1931</v>
      </c>
      <c r="E4155" s="21">
        <f>IF(D4155="?OLD","!!!","")</f>
        <v/>
      </c>
      <c r="F4155" s="22" t="str">
        <f>IF(OR(E4155="",E4155="!!!"),"",IF(NOT(ISNA(VLOOKUP(E4155,E$1:E4154,1,FALSE()))),"OLD",IF(AND(E4155&lt;&gt;"",E4155&lt;&gt;"!!!"),"NEW","")))</f>
        <v> </v>
      </c>
      <c r="G4155" s="23" t="str">
        <f>IF(OR(E4155="",E4155="!!!"),"",IF(OR(J4155=0,AND(J4155=1,K4155=1),AND(J4155=1,I4155="SBJ"),AND(J4155=1,I4155=0)),"?IN_FOCUS",IF(J4155&lt;=2,"?ACTIVATED",IF(J4155&lt;&gt;"","?FAMILIAR",IF(F4155="NEW",IF(ISNA(VLOOKUP(E4155,#REF!,1,FALSE())),"?TYPE_IDENTIFIABLE","?REFERENTIAL"),"_")))))</f>
        <v> </v>
      </c>
      <c r="H4155" s="24" t="str">
        <f>IF(J4155&lt;&gt;1,"",IF(I4155="SBJ","CB","?"))</f>
        <v> </v>
      </c>
      <c r="I4155" s="25" t="str">
        <f>IF(OR(E4155="",E4155="!!!",F4155="NEW"),"",INDEX(B4154:B$2,-1+SUMPRODUCT(MAX(ROW(E4154:E$2)*(E4155=E4154:E$2)))))</f>
        <v> </v>
      </c>
      <c r="J4155" s="25" t="str">
        <f>IF(OR(E4155="",E4155="!!!",F4155="NEW"),"",COUNTBLANK(OFFSET(A$1,,,SUMPRODUCT(MAX(ROW(E$2:E4155)*(E4155=E$2:E4155)))))-COUNTBLANK(OFFSET(A$1,,,SUMPRODUCT(MAX(ROW(E$1:E4154)*(E2=E$1:E4154))))))</f>
        <v> </v>
      </c>
      <c r="K4155" s="25" t="str">
        <f>IF(OR(E4155="",E4155="!!!",F4155="NEW"),"",INDEX(J$1:J4154,SUMPRODUCT(MAX(ROW(E$1:E4154)*(E4155=E$1:E4154)))))</f>
        <v> </v>
      </c>
      <c r="L4155" s="26"/>
    </row>
    <row r="4156" spans="1:12">
      <c r="A4156" s="20" t="s">
        <v>683</v>
      </c>
      <c r="E4156" s="21">
        <f>IF(D4156="?OLD","!!!","")</f>
        <v/>
      </c>
      <c r="F4156" s="22" t="str">
        <f>IF(OR(E4156="",E4156="!!!"),"",IF(NOT(ISNA(VLOOKUP(E4156,E$1:E4155,1,FALSE()))),"OLD",IF(AND(E4156&lt;&gt;"",E4156&lt;&gt;"!!!"),"NEW","")))</f>
        <v> </v>
      </c>
      <c r="G4156" s="23" t="str">
        <f>IF(OR(E4156="",E4156="!!!"),"",IF(OR(J4156=0,AND(J4156=1,K4156=1),AND(J4156=1,I4156="SBJ"),AND(J4156=1,I4156=0)),"?IN_FOCUS",IF(J4156&lt;=2,"?ACTIVATED",IF(J4156&lt;&gt;"","?FAMILIAR",IF(F4156="NEW",IF(ISNA(VLOOKUP(E4156,#REF!,1,FALSE())),"?TYPE_IDENTIFIABLE","?REFERENTIAL"),"_")))))</f>
        <v> </v>
      </c>
      <c r="H4156" s="24" t="str">
        <f>IF(J4156&lt;&gt;1,"",IF(I4156="SBJ","CB","?"))</f>
        <v> </v>
      </c>
      <c r="I4156" s="25" t="str">
        <f>IF(OR(E4156="",E4156="!!!",F4156="NEW"),"",INDEX(B4155:B$2,-1+SUMPRODUCT(MAX(ROW(E4155:E$2)*(E4156=E4155:E$2)))))</f>
        <v> </v>
      </c>
      <c r="J4156" s="25" t="str">
        <f>IF(OR(E4156="",E4156="!!!",F4156="NEW"),"",COUNTBLANK(OFFSET(A$1,,,SUMPRODUCT(MAX(ROW(E$2:E4156)*(E4156=E$2:E4156)))))-COUNTBLANK(OFFSET(A$1,,,SUMPRODUCT(MAX(ROW(E$1:E4155)*(E2=E$1:E4155))))))</f>
        <v> </v>
      </c>
      <c r="K4156" s="25" t="str">
        <f>IF(OR(E4156="",E4156="!!!",F4156="NEW"),"",INDEX(J$1:J4155,SUMPRODUCT(MAX(ROW(E$1:E4155)*(E4156=E$1:E4155)))))</f>
        <v> </v>
      </c>
      <c r="L4156" s="26"/>
    </row>
    <row r="4157" spans="1:12">
      <c r="A4157" s="20" t="s">
        <v>1654</v>
      </c>
      <c r="E4157" s="21">
        <f>IF(D4157="?OLD","!!!","")</f>
        <v/>
      </c>
      <c r="F4157" s="22" t="str">
        <f>IF(OR(E4157="",E4157="!!!"),"",IF(NOT(ISNA(VLOOKUP(E4157,E$1:E4156,1,FALSE()))),"OLD",IF(AND(E4157&lt;&gt;"",E4157&lt;&gt;"!!!"),"NEW","")))</f>
        <v> </v>
      </c>
      <c r="G4157" s="23" t="str">
        <f>IF(OR(E4157="",E4157="!!!"),"",IF(OR(J4157=0,AND(J4157=1,K4157=1),AND(J4157=1,I4157="SBJ"),AND(J4157=1,I4157=0)),"?IN_FOCUS",IF(J4157&lt;=2,"?ACTIVATED",IF(J4157&lt;&gt;"","?FAMILIAR",IF(F4157="NEW",IF(ISNA(VLOOKUP(E4157,#REF!,1,FALSE())),"?TYPE_IDENTIFIABLE","?REFERENTIAL"),"_")))))</f>
        <v> </v>
      </c>
      <c r="H4157" s="24" t="str">
        <f>IF(J4157&lt;&gt;1,"",IF(I4157="SBJ","CB","?"))</f>
        <v> </v>
      </c>
      <c r="I4157" s="25" t="str">
        <f>IF(OR(E4157="",E4157="!!!",F4157="NEW"),"",INDEX(B4156:B$2,-1+SUMPRODUCT(MAX(ROW(E4156:E$2)*(E4157=E4156:E$2)))))</f>
        <v> </v>
      </c>
      <c r="J4157" s="25" t="str">
        <f>IF(OR(E4157="",E4157="!!!",F4157="NEW"),"",COUNTBLANK(OFFSET(A$1,,,SUMPRODUCT(MAX(ROW(E$2:E4157)*(E4157=E$2:E4157)))))-COUNTBLANK(OFFSET(A$1,,,SUMPRODUCT(MAX(ROW(E$1:E4156)*(E2=E$1:E4156))))))</f>
        <v> </v>
      </c>
      <c r="K4157" s="25" t="str">
        <f>IF(OR(E4157="",E4157="!!!",F4157="NEW"),"",INDEX(J$1:J4156,SUMPRODUCT(MAX(ROW(E$1:E4156)*(E4157=E$1:E4156)))))</f>
        <v> </v>
      </c>
      <c r="L4157" s="26"/>
    </row>
    <row r="4158" spans="1:12">
      <c r="A4158" s="20" t="s">
        <v>682</v>
      </c>
      <c r="E4158" s="21">
        <f>IF(D4158="?OLD","!!!","")</f>
        <v/>
      </c>
      <c r="F4158" s="22" t="str">
        <f>IF(OR(E4158="",E4158="!!!"),"",IF(NOT(ISNA(VLOOKUP(E4158,E$1:E4157,1,FALSE()))),"OLD",IF(AND(E4158&lt;&gt;"",E4158&lt;&gt;"!!!"),"NEW","")))</f>
        <v> </v>
      </c>
      <c r="G4158" s="23" t="str">
        <f>IF(OR(E4158="",E4158="!!!"),"",IF(OR(J4158=0,AND(J4158=1,K4158=1),AND(J4158=1,I4158="SBJ"),AND(J4158=1,I4158=0)),"?IN_FOCUS",IF(J4158&lt;=2,"?ACTIVATED",IF(J4158&lt;&gt;"","?FAMILIAR",IF(F4158="NEW",IF(ISNA(VLOOKUP(E4158,#REF!,1,FALSE())),"?TYPE_IDENTIFIABLE","?REFERENTIAL"),"_")))))</f>
        <v> </v>
      </c>
      <c r="H4158" s="24" t="str">
        <f>IF(J4158&lt;&gt;1,"",IF(I4158="SBJ","CB","?"))</f>
        <v> </v>
      </c>
      <c r="I4158" s="25" t="str">
        <f>IF(OR(E4158="",E4158="!!!",F4158="NEW"),"",INDEX(B4157:B$2,-1+SUMPRODUCT(MAX(ROW(E4157:E$2)*(E4158=E4157:E$2)))))</f>
        <v> </v>
      </c>
      <c r="J4158" s="25" t="str">
        <f>IF(OR(E4158="",E4158="!!!",F4158="NEW"),"",COUNTBLANK(OFFSET(A$1,,,SUMPRODUCT(MAX(ROW(E$2:E4158)*(E4158=E$2:E4158)))))-COUNTBLANK(OFFSET(A$1,,,SUMPRODUCT(MAX(ROW(E$1:E4157)*(E2=E$1:E4157))))))</f>
        <v> </v>
      </c>
      <c r="K4158" s="25" t="str">
        <f>IF(OR(E4158="",E4158="!!!",F4158="NEW"),"",INDEX(J$1:J4157,SUMPRODUCT(MAX(ROW(E$1:E4157)*(E4158=E$1:E4157)))))</f>
        <v> </v>
      </c>
      <c r="L4158" s="26"/>
    </row>
    <row r="4159" spans="1:12">
      <c r="A4159" s="20" t="s">
        <v>1527</v>
      </c>
      <c r="E4159" s="21">
        <f>IF(D4159="?OLD","!!!","")</f>
        <v/>
      </c>
      <c r="F4159" s="22" t="str">
        <f>IF(OR(E4159="",E4159="!!!"),"",IF(NOT(ISNA(VLOOKUP(E4159,E$1:E4158,1,FALSE()))),"OLD",IF(AND(E4159&lt;&gt;"",E4159&lt;&gt;"!!!"),"NEW","")))</f>
        <v> </v>
      </c>
      <c r="G4159" s="23" t="str">
        <f>IF(OR(E4159="",E4159="!!!"),"",IF(OR(J4159=0,AND(J4159=1,K4159=1),AND(J4159=1,I4159="SBJ"),AND(J4159=1,I4159=0)),"?IN_FOCUS",IF(J4159&lt;=2,"?ACTIVATED",IF(J4159&lt;&gt;"","?FAMILIAR",IF(F4159="NEW",IF(ISNA(VLOOKUP(E4159,#REF!,1,FALSE())),"?TYPE_IDENTIFIABLE","?REFERENTIAL"),"_")))))</f>
        <v> </v>
      </c>
      <c r="H4159" s="24" t="str">
        <f>IF(J4159&lt;&gt;1,"",IF(I4159="SBJ","CB","?"))</f>
        <v> </v>
      </c>
      <c r="I4159" s="25" t="str">
        <f>IF(OR(E4159="",E4159="!!!",F4159="NEW"),"",INDEX(B4158:B$2,-1+SUMPRODUCT(MAX(ROW(E4158:E$2)*(E4159=E4158:E$2)))))</f>
        <v> </v>
      </c>
      <c r="J4159" s="25" t="str">
        <f>IF(OR(E4159="",E4159="!!!",F4159="NEW"),"",COUNTBLANK(OFFSET(A$1,,,SUMPRODUCT(MAX(ROW(E$2:E4159)*(E4159=E$2:E4159)))))-COUNTBLANK(OFFSET(A$1,,,SUMPRODUCT(MAX(ROW(E$1:E4158)*(E2=E$1:E4158))))))</f>
        <v> </v>
      </c>
      <c r="K4159" s="25" t="str">
        <f>IF(OR(E4159="",E4159="!!!",F4159="NEW"),"",INDEX(J$1:J4158,SUMPRODUCT(MAX(ROW(E$1:E4158)*(E4159=E$1:E4158)))))</f>
        <v> </v>
      </c>
      <c r="L4159" s="26"/>
    </row>
    <row r="4160" spans="1:12">
      <c r="A4160" s="20" t="s">
        <v>1926</v>
      </c>
      <c r="E4160" s="21">
        <f>IF(D4160="?OLD","!!!","")</f>
        <v/>
      </c>
      <c r="F4160" s="22" t="str">
        <f>IF(OR(E4160="",E4160="!!!"),"",IF(NOT(ISNA(VLOOKUP(E4160,E$1:E4159,1,FALSE()))),"OLD",IF(AND(E4160&lt;&gt;"",E4160&lt;&gt;"!!!"),"NEW","")))</f>
        <v> </v>
      </c>
      <c r="G4160" s="23" t="str">
        <f>IF(OR(E4160="",E4160="!!!"),"",IF(OR(J4160=0,AND(J4160=1,K4160=1),AND(J4160=1,I4160="SBJ"),AND(J4160=1,I4160=0)),"?IN_FOCUS",IF(J4160&lt;=2,"?ACTIVATED",IF(J4160&lt;&gt;"","?FAMILIAR",IF(F4160="NEW",IF(ISNA(VLOOKUP(E4160,#REF!,1,FALSE())),"?TYPE_IDENTIFIABLE","?REFERENTIAL"),"_")))))</f>
        <v> </v>
      </c>
      <c r="H4160" s="24" t="str">
        <f>IF(J4160&lt;&gt;1,"",IF(I4160="SBJ","CB","?"))</f>
        <v> </v>
      </c>
      <c r="I4160" s="25" t="str">
        <f>IF(OR(E4160="",E4160="!!!",F4160="NEW"),"",INDEX(B4159:B$2,-1+SUMPRODUCT(MAX(ROW(E4159:E$2)*(E4160=E4159:E$2)))))</f>
        <v> </v>
      </c>
      <c r="J4160" s="25" t="str">
        <f>IF(OR(E4160="",E4160="!!!",F4160="NEW"),"",COUNTBLANK(OFFSET(A$1,,,SUMPRODUCT(MAX(ROW(E$2:E4160)*(E4160=E$2:E4160)))))-COUNTBLANK(OFFSET(A$1,,,SUMPRODUCT(MAX(ROW(E$1:E4159)*(E2=E$1:E4159))))))</f>
        <v> </v>
      </c>
      <c r="K4160" s="25" t="str">
        <f>IF(OR(E4160="",E4160="!!!",F4160="NEW"),"",INDEX(J$1:J4159,SUMPRODUCT(MAX(ROW(E$1:E4159)*(E4160=E$1:E4159)))))</f>
        <v> </v>
      </c>
      <c r="L4160" s="26"/>
    </row>
    <row r="4161" spans="1:12">
      <c r="A4161" s="20" t="s">
        <v>694</v>
      </c>
      <c r="E4161" s="21">
        <f>IF(D4161="?OLD","!!!","")</f>
        <v/>
      </c>
      <c r="F4161" s="22" t="str">
        <f>IF(OR(E4161="",E4161="!!!"),"",IF(NOT(ISNA(VLOOKUP(E4161,E$1:E4160,1,FALSE()))),"OLD",IF(AND(E4161&lt;&gt;"",E4161&lt;&gt;"!!!"),"NEW","")))</f>
        <v> </v>
      </c>
      <c r="G4161" s="23" t="str">
        <f>IF(OR(E4161="",E4161="!!!"),"",IF(OR(J4161=0,AND(J4161=1,K4161=1),AND(J4161=1,I4161="SBJ"),AND(J4161=1,I4161=0)),"?IN_FOCUS",IF(J4161&lt;=2,"?ACTIVATED",IF(J4161&lt;&gt;"","?FAMILIAR",IF(F4161="NEW",IF(ISNA(VLOOKUP(E4161,#REF!,1,FALSE())),"?TYPE_IDENTIFIABLE","?REFERENTIAL"),"_")))))</f>
        <v> </v>
      </c>
      <c r="H4161" s="24" t="str">
        <f>IF(J4161&lt;&gt;1,"",IF(I4161="SBJ","CB","?"))</f>
        <v> </v>
      </c>
      <c r="I4161" s="25" t="str">
        <f>IF(OR(E4161="",E4161="!!!",F4161="NEW"),"",INDEX(B4160:B$2,-1+SUMPRODUCT(MAX(ROW(E4160:E$2)*(E4161=E4160:E$2)))))</f>
        <v> </v>
      </c>
      <c r="J4161" s="25" t="str">
        <f>IF(OR(E4161="",E4161="!!!",F4161="NEW"),"",COUNTBLANK(OFFSET(A$1,,,SUMPRODUCT(MAX(ROW(E$2:E4161)*(E4161=E$2:E4161)))))-COUNTBLANK(OFFSET(A$1,,,SUMPRODUCT(MAX(ROW(E$1:E4160)*(E2=E$1:E4160))))))</f>
        <v> </v>
      </c>
      <c r="K4161" s="25" t="str">
        <f>IF(OR(E4161="",E4161="!!!",F4161="NEW"),"",INDEX(J$1:J4160,SUMPRODUCT(MAX(ROW(E$1:E4160)*(E4161=E$1:E4160)))))</f>
        <v> </v>
      </c>
      <c r="L4161" s="26"/>
    </row>
    <row r="4162" spans="1:12">
      <c r="A4162" s="20" t="s">
        <v>1013</v>
      </c>
      <c r="E4162" s="21">
        <f>IF(D4162="?OLD","!!!","")</f>
        <v/>
      </c>
      <c r="F4162" s="22" t="str">
        <f>IF(OR(E4162="",E4162="!!!"),"",IF(NOT(ISNA(VLOOKUP(E4162,E$1:E4161,1,FALSE()))),"OLD",IF(AND(E4162&lt;&gt;"",E4162&lt;&gt;"!!!"),"NEW","")))</f>
        <v> </v>
      </c>
      <c r="G4162" s="23" t="str">
        <f>IF(OR(E4162="",E4162="!!!"),"",IF(OR(J4162=0,AND(J4162=1,K4162=1),AND(J4162=1,I4162="SBJ"),AND(J4162=1,I4162=0)),"?IN_FOCUS",IF(J4162&lt;=2,"?ACTIVATED",IF(J4162&lt;&gt;"","?FAMILIAR",IF(F4162="NEW",IF(ISNA(VLOOKUP(E4162,#REF!,1,FALSE())),"?TYPE_IDENTIFIABLE","?REFERENTIAL"),"_")))))</f>
        <v> </v>
      </c>
      <c r="H4162" s="24" t="str">
        <f>IF(J4162&lt;&gt;1,"",IF(I4162="SBJ","CB","?"))</f>
        <v> </v>
      </c>
      <c r="I4162" s="25" t="str">
        <f>IF(OR(E4162="",E4162="!!!",F4162="NEW"),"",INDEX(B4161:B$2,-1+SUMPRODUCT(MAX(ROW(E4161:E$2)*(E4162=E4161:E$2)))))</f>
        <v> </v>
      </c>
      <c r="J4162" s="25" t="str">
        <f>IF(OR(E4162="",E4162="!!!",F4162="NEW"),"",COUNTBLANK(OFFSET(A$1,,,SUMPRODUCT(MAX(ROW(E$2:E4162)*(E4162=E$2:E4162)))))-COUNTBLANK(OFFSET(A$1,,,SUMPRODUCT(MAX(ROW(E$1:E4161)*(E2=E$1:E4161))))))</f>
        <v> </v>
      </c>
      <c r="K4162" s="25" t="str">
        <f>IF(OR(E4162="",E4162="!!!",F4162="NEW"),"",INDEX(J$1:J4161,SUMPRODUCT(MAX(ROW(E$1:E4161)*(E4162=E$1:E4161)))))</f>
        <v> </v>
      </c>
      <c r="L4162" s="26"/>
    </row>
    <row r="4163" spans="1:12">
      <c r="A4163" s="20" t="s">
        <v>1927</v>
      </c>
      <c r="B4163" s="27" t="s">
        <v>742</v>
      </c>
      <c r="C4163" s="27" t="s">
        <v>899</v>
      </c>
      <c r="D4163" s="27" t="s">
        <v>687</v>
      </c>
      <c r="E4163" s="21">
        <f>IF(D4163="?OLD","!!!","")</f>
        <v/>
      </c>
      <c r="F4163" s="22" t="str">
        <f>IF(OR(E4163="",E4163="!!!"),"",IF(NOT(ISNA(VLOOKUP(E4163,E$1:E4162,1,FALSE()))),"OLD",IF(AND(E4163&lt;&gt;"",E4163&lt;&gt;"!!!"),"NEW","")))</f>
        <v> </v>
      </c>
      <c r="G4163" s="23" t="str">
        <f>IF(OR(E4163="",E4163="!!!"),"",IF(OR(J4163=0,AND(J4163=1,K4163=1),AND(J4163=1,I4163="SBJ"),AND(J4163=1,I4163=0)),"?IN_FOCUS",IF(J4163&lt;=2,"?ACTIVATED",IF(J4163&lt;&gt;"","?FAMILIAR",IF(F4163="NEW",IF(ISNA(VLOOKUP(E4163,#REF!,1,FALSE())),"?TYPE_IDENTIFIABLE","?REFERENTIAL"),"_")))))</f>
        <v> </v>
      </c>
      <c r="H4163" s="24" t="str">
        <f>IF(J4163&lt;&gt;1,"",IF(I4163="SBJ","CB","?"))</f>
        <v> </v>
      </c>
      <c r="I4163" s="25" t="str">
        <f>IF(OR(E4163="",E4163="!!!",F4163="NEW"),"",INDEX(B4162:B$2,-1+SUMPRODUCT(MAX(ROW(E4162:E$2)*(E4163=E4162:E$2)))))</f>
        <v> </v>
      </c>
      <c r="J4163" s="25" t="str">
        <f>IF(OR(E4163="",E4163="!!!",F4163="NEW"),"",COUNTBLANK(OFFSET(A$1,,,SUMPRODUCT(MAX(ROW(E$2:E4163)*(E4163=E$2:E4163)))))-COUNTBLANK(OFFSET(A$1,,,SUMPRODUCT(MAX(ROW(E$1:E4162)*(E2=E$1:E4162))))))</f>
        <v> </v>
      </c>
      <c r="K4163" s="25" t="str">
        <f>IF(OR(E4163="",E4163="!!!",F4163="NEW"),"",INDEX(J$1:J4162,SUMPRODUCT(MAX(ROW(E$1:E4162)*(E4163=E$1:E4162)))))</f>
        <v> </v>
      </c>
      <c r="L4163" s="26"/>
    </row>
    <row r="4164" spans="1:12">
      <c r="A4164" s="20" t="s">
        <v>694</v>
      </c>
      <c r="E4164" s="21">
        <f>IF(D4164="?OLD","!!!","")</f>
        <v/>
      </c>
      <c r="F4164" s="22" t="str">
        <f>IF(OR(E4164="",E4164="!!!"),"",IF(NOT(ISNA(VLOOKUP(E4164,E$1:E4163,1,FALSE()))),"OLD",IF(AND(E4164&lt;&gt;"",E4164&lt;&gt;"!!!"),"NEW","")))</f>
        <v> </v>
      </c>
      <c r="G4164" s="23" t="str">
        <f>IF(OR(E4164="",E4164="!!!"),"",IF(OR(J4164=0,AND(J4164=1,K4164=1),AND(J4164=1,I4164="SBJ"),AND(J4164=1,I4164=0)),"?IN_FOCUS",IF(J4164&lt;=2,"?ACTIVATED",IF(J4164&lt;&gt;"","?FAMILIAR",IF(F4164="NEW",IF(ISNA(VLOOKUP(E4164,#REF!,1,FALSE())),"?TYPE_IDENTIFIABLE","?REFERENTIAL"),"_")))))</f>
        <v> </v>
      </c>
      <c r="H4164" s="24" t="str">
        <f>IF(J4164&lt;&gt;1,"",IF(I4164="SBJ","CB","?"))</f>
        <v> </v>
      </c>
      <c r="I4164" s="25" t="str">
        <f>IF(OR(E4164="",E4164="!!!",F4164="NEW"),"",INDEX(B4163:B$2,-1+SUMPRODUCT(MAX(ROW(E4163:E$2)*(E4164=E4163:E$2)))))</f>
        <v> </v>
      </c>
      <c r="J4164" s="25" t="str">
        <f>IF(OR(E4164="",E4164="!!!",F4164="NEW"),"",COUNTBLANK(OFFSET(A$1,,,SUMPRODUCT(MAX(ROW(E$2:E4164)*(E4164=E$2:E4164)))))-COUNTBLANK(OFFSET(A$1,,,SUMPRODUCT(MAX(ROW(E$1:E4163)*(E2=E$1:E4163))))))</f>
        <v> </v>
      </c>
      <c r="K4164" s="25" t="str">
        <f>IF(OR(E4164="",E4164="!!!",F4164="NEW"),"",INDEX(J$1:J4163,SUMPRODUCT(MAX(ROW(E$1:E4163)*(E4164=E$1:E4163)))))</f>
        <v> </v>
      </c>
      <c r="L4164" s="26"/>
    </row>
    <row r="4165" spans="1:12">
      <c r="A4165" s="20" t="s">
        <v>1932</v>
      </c>
      <c r="B4165" s="27" t="s">
        <v>744</v>
      </c>
      <c r="C4165" s="27" t="s">
        <v>693</v>
      </c>
      <c r="D4165" s="27" t="s">
        <v>687</v>
      </c>
      <c r="E4165" s="21">
        <f>IF(D4165="?OLD","!!!","")</f>
        <v/>
      </c>
      <c r="F4165" s="22" t="str">
        <f>IF(OR(E4165="",E4165="!!!"),"",IF(NOT(ISNA(VLOOKUP(E4165,E$1:E4164,1,FALSE()))),"OLD",IF(AND(E4165&lt;&gt;"",E4165&lt;&gt;"!!!"),"NEW","")))</f>
        <v> </v>
      </c>
      <c r="G4165" s="23" t="str">
        <f>IF(OR(E4165="",E4165="!!!"),"",IF(OR(J4165=0,AND(J4165=1,K4165=1),AND(J4165=1,I4165="SBJ"),AND(J4165=1,I4165=0)),"?IN_FOCUS",IF(J4165&lt;=2,"?ACTIVATED",IF(J4165&lt;&gt;"","?FAMILIAR",IF(F4165="NEW",IF(ISNA(VLOOKUP(E4165,#REF!,1,FALSE())),"?TYPE_IDENTIFIABLE","?REFERENTIAL"),"_")))))</f>
        <v> </v>
      </c>
      <c r="H4165" s="24" t="str">
        <f>IF(J4165&lt;&gt;1,"",IF(I4165="SBJ","CB","?"))</f>
        <v> </v>
      </c>
      <c r="I4165" s="25" t="str">
        <f>IF(OR(E4165="",E4165="!!!",F4165="NEW"),"",INDEX(B4164:B$2,-1+SUMPRODUCT(MAX(ROW(E4164:E$2)*(E4165=E4164:E$2)))))</f>
        <v> </v>
      </c>
      <c r="J4165" s="25" t="str">
        <f>IF(OR(E4165="",E4165="!!!",F4165="NEW"),"",COUNTBLANK(OFFSET(A$1,,,SUMPRODUCT(MAX(ROW(E$2:E4165)*(E4165=E$2:E4165)))))-COUNTBLANK(OFFSET(A$1,,,SUMPRODUCT(MAX(ROW(E$1:E4164)*(E2=E$1:E4164))))))</f>
        <v> </v>
      </c>
      <c r="K4165" s="25" t="str">
        <f>IF(OR(E4165="",E4165="!!!",F4165="NEW"),"",INDEX(J$1:J4164,SUMPRODUCT(MAX(ROW(E$1:E4164)*(E4165=E$1:E4164)))))</f>
        <v> </v>
      </c>
      <c r="L4165" s="26"/>
    </row>
    <row r="4166" spans="1:12">
      <c r="A4166" s="20" t="s">
        <v>703</v>
      </c>
      <c r="E4166" s="21">
        <f>IF(D4166="?OLD","!!!","")</f>
        <v/>
      </c>
      <c r="F4166" s="22" t="str">
        <f>IF(OR(E4166="",E4166="!!!"),"",IF(NOT(ISNA(VLOOKUP(E4166,E$1:E4165,1,FALSE()))),"OLD",IF(AND(E4166&lt;&gt;"",E4166&lt;&gt;"!!!"),"NEW","")))</f>
        <v> </v>
      </c>
      <c r="G4166" s="23" t="str">
        <f>IF(OR(E4166="",E4166="!!!"),"",IF(OR(J4166=0,AND(J4166=1,K4166=1),AND(J4166=1,I4166="SBJ"),AND(J4166=1,I4166=0)),"?IN_FOCUS",IF(J4166&lt;=2,"?ACTIVATED",IF(J4166&lt;&gt;"","?FAMILIAR",IF(F4166="NEW",IF(ISNA(VLOOKUP(E4166,#REF!,1,FALSE())),"?TYPE_IDENTIFIABLE","?REFERENTIAL"),"_")))))</f>
        <v> </v>
      </c>
      <c r="H4166" s="24" t="str">
        <f>IF(J4166&lt;&gt;1,"",IF(I4166="SBJ","CB","?"))</f>
        <v> </v>
      </c>
      <c r="I4166" s="25" t="str">
        <f>IF(OR(E4166="",E4166="!!!",F4166="NEW"),"",INDEX(B4165:B$2,-1+SUMPRODUCT(MAX(ROW(E4165:E$2)*(E4166=E4165:E$2)))))</f>
        <v> </v>
      </c>
      <c r="J4166" s="25" t="str">
        <f>IF(OR(E4166="",E4166="!!!",F4166="NEW"),"",COUNTBLANK(OFFSET(A$1,,,SUMPRODUCT(MAX(ROW(E$2:E4166)*(E4166=E$2:E4166)))))-COUNTBLANK(OFFSET(A$1,,,SUMPRODUCT(MAX(ROW(E$1:E4165)*(E2=E$1:E4165))))))</f>
        <v> </v>
      </c>
      <c r="K4166" s="25" t="str">
        <f>IF(OR(E4166="",E4166="!!!",F4166="NEW"),"",INDEX(J$1:J4165,SUMPRODUCT(MAX(ROW(E$1:E4165)*(E4166=E$1:E4165)))))</f>
        <v> </v>
      </c>
      <c r="L4166" s="26"/>
    </row>
    <row r="4167" spans="1:12">
      <c r="A4167" s="20" t="s">
        <v>1927</v>
      </c>
      <c r="B4167" s="27" t="s">
        <v>735</v>
      </c>
      <c r="C4167" s="27" t="s">
        <v>679</v>
      </c>
      <c r="E4167" s="21">
        <f>IF(D4167="?OLD","!!!","")</f>
        <v/>
      </c>
      <c r="F4167" s="22" t="str">
        <f>IF(OR(E4167="",E4167="!!!"),"",IF(NOT(ISNA(VLOOKUP(E4167,E$1:E4166,1,FALSE()))),"OLD",IF(AND(E4167&lt;&gt;"",E4167&lt;&gt;"!!!"),"NEW","")))</f>
        <v> </v>
      </c>
      <c r="G4167" s="23" t="str">
        <f>IF(OR(E4167="",E4167="!!!"),"",IF(OR(J4167=0,AND(J4167=1,K4167=1),AND(J4167=1,I4167="SBJ"),AND(J4167=1,I4167=0)),"?IN_FOCUS",IF(J4167&lt;=2,"?ACTIVATED",IF(J4167&lt;&gt;"","?FAMILIAR",IF(F4167="NEW",IF(ISNA(VLOOKUP(E4167,#REF!,1,FALSE())),"?TYPE_IDENTIFIABLE","?REFERENTIAL"),"_")))))</f>
        <v> </v>
      </c>
      <c r="H4167" s="24" t="str">
        <f>IF(J4167&lt;&gt;1,"",IF(I4167="SBJ","CB","?"))</f>
        <v> </v>
      </c>
      <c r="I4167" s="25" t="str">
        <f>IF(OR(E4167="",E4167="!!!",F4167="NEW"),"",INDEX(B4166:B$2,-1+SUMPRODUCT(MAX(ROW(E4166:E$2)*(E4167=E4166:E$2)))))</f>
        <v> </v>
      </c>
      <c r="J4167" s="25" t="str">
        <f>IF(OR(E4167="",E4167="!!!",F4167="NEW"),"",COUNTBLANK(OFFSET(A$1,,,SUMPRODUCT(MAX(ROW(E$2:E4167)*(E4167=E$2:E4167)))))-COUNTBLANK(OFFSET(A$1,,,SUMPRODUCT(MAX(ROW(E$1:E4166)*(E2=E$1:E4166))))))</f>
        <v> </v>
      </c>
      <c r="K4167" s="25" t="str">
        <f>IF(OR(E4167="",E4167="!!!",F4167="NEW"),"",INDEX(J$1:J4166,SUMPRODUCT(MAX(ROW(E$1:E4166)*(E4167=E$1:E4166)))))</f>
        <v> </v>
      </c>
      <c r="L4167" s="26"/>
    </row>
    <row r="4168" spans="1:12">
      <c r="A4168" s="20" t="s">
        <v>694</v>
      </c>
      <c r="E4168" s="21">
        <f>IF(D4168="?OLD","!!!","")</f>
        <v/>
      </c>
      <c r="F4168" s="22" t="str">
        <f>IF(OR(E4168="",E4168="!!!"),"",IF(NOT(ISNA(VLOOKUP(E4168,E$1:E4167,1,FALSE()))),"OLD",IF(AND(E4168&lt;&gt;"",E4168&lt;&gt;"!!!"),"NEW","")))</f>
        <v> </v>
      </c>
      <c r="G4168" s="23" t="str">
        <f>IF(OR(E4168="",E4168="!!!"),"",IF(OR(J4168=0,AND(J4168=1,K4168=1),AND(J4168=1,I4168="SBJ"),AND(J4168=1,I4168=0)),"?IN_FOCUS",IF(J4168&lt;=2,"?ACTIVATED",IF(J4168&lt;&gt;"","?FAMILIAR",IF(F4168="NEW",IF(ISNA(VLOOKUP(E4168,#REF!,1,FALSE())),"?TYPE_IDENTIFIABLE","?REFERENTIAL"),"_")))))</f>
        <v> </v>
      </c>
      <c r="H4168" s="24" t="str">
        <f>IF(J4168&lt;&gt;1,"",IF(I4168="SBJ","CB","?"))</f>
        <v> </v>
      </c>
      <c r="I4168" s="25" t="str">
        <f>IF(OR(E4168="",E4168="!!!",F4168="NEW"),"",INDEX(B4167:B$2,-1+SUMPRODUCT(MAX(ROW(E4167:E$2)*(E4168=E4167:E$2)))))</f>
        <v> </v>
      </c>
      <c r="J4168" s="25" t="str">
        <f>IF(OR(E4168="",E4168="!!!",F4168="NEW"),"",COUNTBLANK(OFFSET(A$1,,,SUMPRODUCT(MAX(ROW(E$2:E4168)*(E4168=E$2:E4168)))))-COUNTBLANK(OFFSET(A$1,,,SUMPRODUCT(MAX(ROW(E$1:E4167)*(E2=E$1:E4167))))))</f>
        <v> </v>
      </c>
      <c r="K4168" s="25" t="str">
        <f>IF(OR(E4168="",E4168="!!!",F4168="NEW"),"",INDEX(J$1:J4167,SUMPRODUCT(MAX(ROW(E$1:E4167)*(E4168=E$1:E4167)))))</f>
        <v> </v>
      </c>
      <c r="L4168" s="26"/>
    </row>
    <row r="4169" spans="1:12">
      <c r="A4169" s="20" t="s">
        <v>1677</v>
      </c>
      <c r="B4169" s="27" t="s">
        <v>735</v>
      </c>
      <c r="C4169" s="27" t="s">
        <v>679</v>
      </c>
      <c r="E4169" s="21">
        <f>IF(D4169="?OLD","!!!","")</f>
        <v/>
      </c>
      <c r="F4169" s="22" t="str">
        <f>IF(OR(E4169="",E4169="!!!"),"",IF(NOT(ISNA(VLOOKUP(E4169,E$1:E4168,1,FALSE()))),"OLD",IF(AND(E4169&lt;&gt;"",E4169&lt;&gt;"!!!"),"NEW","")))</f>
        <v> </v>
      </c>
      <c r="G4169" s="23" t="str">
        <f>IF(OR(E4169="",E4169="!!!"),"",IF(OR(J4169=0,AND(J4169=1,K4169=1),AND(J4169=1,I4169="SBJ"),AND(J4169=1,I4169=0)),"?IN_FOCUS",IF(J4169&lt;=2,"?ACTIVATED",IF(J4169&lt;&gt;"","?FAMILIAR",IF(F4169="NEW",IF(ISNA(VLOOKUP(E4169,#REF!,1,FALSE())),"?TYPE_IDENTIFIABLE","?REFERENTIAL"),"_")))))</f>
        <v> </v>
      </c>
      <c r="H4169" s="24" t="str">
        <f>IF(J4169&lt;&gt;1,"",IF(I4169="SBJ","CB","?"))</f>
        <v> </v>
      </c>
      <c r="I4169" s="25" t="str">
        <f>IF(OR(E4169="",E4169="!!!",F4169="NEW"),"",INDEX(B4168:B$2,-1+SUMPRODUCT(MAX(ROW(E4168:E$2)*(E4169=E4168:E$2)))))</f>
        <v> </v>
      </c>
      <c r="J4169" s="25" t="str">
        <f>IF(OR(E4169="",E4169="!!!",F4169="NEW"),"",COUNTBLANK(OFFSET(A$1,,,SUMPRODUCT(MAX(ROW(E$2:E4169)*(E4169=E$2:E4169)))))-COUNTBLANK(OFFSET(A$1,,,SUMPRODUCT(MAX(ROW(E$1:E4168)*(E2=E$1:E4168))))))</f>
        <v> </v>
      </c>
      <c r="K4169" s="25" t="str">
        <f>IF(OR(E4169="",E4169="!!!",F4169="NEW"),"",INDEX(J$1:J4168,SUMPRODUCT(MAX(ROW(E$1:E4168)*(E4169=E$1:E4168)))))</f>
        <v> </v>
      </c>
      <c r="L4169" s="26"/>
    </row>
    <row r="4170" spans="1:12">
      <c r="A4170" s="20" t="s">
        <v>708</v>
      </c>
      <c r="E4170" s="21">
        <f>IF(D4170="?OLD","!!!","")</f>
        <v/>
      </c>
      <c r="F4170" s="22" t="str">
        <f>IF(OR(E4170="",E4170="!!!"),"",IF(NOT(ISNA(VLOOKUP(E4170,E$1:E4169,1,FALSE()))),"OLD",IF(AND(E4170&lt;&gt;"",E4170&lt;&gt;"!!!"),"NEW","")))</f>
        <v> </v>
      </c>
      <c r="G4170" s="23" t="str">
        <f>IF(OR(E4170="",E4170="!!!"),"",IF(OR(J4170=0,AND(J4170=1,K4170=1),AND(J4170=1,I4170="SBJ"),AND(J4170=1,I4170=0)),"?IN_FOCUS",IF(J4170&lt;=2,"?ACTIVATED",IF(J4170&lt;&gt;"","?FAMILIAR",IF(F4170="NEW",IF(ISNA(VLOOKUP(E4170,#REF!,1,FALSE())),"?TYPE_IDENTIFIABLE","?REFERENTIAL"),"_")))))</f>
        <v> </v>
      </c>
      <c r="H4170" s="24" t="str">
        <f>IF(J4170&lt;&gt;1,"",IF(I4170="SBJ","CB","?"))</f>
        <v> </v>
      </c>
      <c r="I4170" s="25" t="str">
        <f>IF(OR(E4170="",E4170="!!!",F4170="NEW"),"",INDEX(B4169:B$2,-1+SUMPRODUCT(MAX(ROW(E4169:E$2)*(E4170=E4169:E$2)))))</f>
        <v> </v>
      </c>
      <c r="J4170" s="25" t="str">
        <f>IF(OR(E4170="",E4170="!!!",F4170="NEW"),"",COUNTBLANK(OFFSET(A$1,,,SUMPRODUCT(MAX(ROW(E$2:E4170)*(E4170=E$2:E4170)))))-COUNTBLANK(OFFSET(A$1,,,SUMPRODUCT(MAX(ROW(E$1:E4169)*(E2=E$1:E4169))))))</f>
        <v> </v>
      </c>
      <c r="K4170" s="25" t="str">
        <f>IF(OR(E4170="",E4170="!!!",F4170="NEW"),"",INDEX(J$1:J4169,SUMPRODUCT(MAX(ROW(E$1:E4169)*(E4170=E$1:E4169)))))</f>
        <v> </v>
      </c>
      <c r="L4170" s="26"/>
    </row>
    <row r="4171" spans="1:12">
      <c r="A4171" s="20" t="s">
        <v>1933</v>
      </c>
      <c r="E4171" s="21">
        <f>IF(D4171="?OLD","!!!","")</f>
        <v/>
      </c>
      <c r="F4171" s="22" t="str">
        <f>IF(OR(E4171="",E4171="!!!"),"",IF(NOT(ISNA(VLOOKUP(E4171,E$1:E4170,1,FALSE()))),"OLD",IF(AND(E4171&lt;&gt;"",E4171&lt;&gt;"!!!"),"NEW","")))</f>
        <v> </v>
      </c>
      <c r="G4171" s="23" t="str">
        <f>IF(OR(E4171="",E4171="!!!"),"",IF(OR(J4171=0,AND(J4171=1,K4171=1),AND(J4171=1,I4171="SBJ"),AND(J4171=1,I4171=0)),"?IN_FOCUS",IF(J4171&lt;=2,"?ACTIVATED",IF(J4171&lt;&gt;"","?FAMILIAR",IF(F4171="NEW",IF(ISNA(VLOOKUP(E4171,#REF!,1,FALSE())),"?TYPE_IDENTIFIABLE","?REFERENTIAL"),"_")))))</f>
        <v> </v>
      </c>
      <c r="H4171" s="24" t="str">
        <f>IF(J4171&lt;&gt;1,"",IF(I4171="SBJ","CB","?"))</f>
        <v> </v>
      </c>
      <c r="I4171" s="25" t="str">
        <f>IF(OR(E4171="",E4171="!!!",F4171="NEW"),"",INDEX(B4170:B$2,-1+SUMPRODUCT(MAX(ROW(E4170:E$2)*(E4171=E4170:E$2)))))</f>
        <v> </v>
      </c>
      <c r="J4171" s="25" t="str">
        <f>IF(OR(E4171="",E4171="!!!",F4171="NEW"),"",COUNTBLANK(OFFSET(A$1,,,SUMPRODUCT(MAX(ROW(E$2:E4171)*(E4171=E$2:E4171)))))-COUNTBLANK(OFFSET(A$1,,,SUMPRODUCT(MAX(ROW(E$1:E4170)*(E2=E$1:E4170))))))</f>
        <v> </v>
      </c>
      <c r="K4171" s="25" t="str">
        <f>IF(OR(E4171="",E4171="!!!",F4171="NEW"),"",INDEX(J$1:J4170,SUMPRODUCT(MAX(ROW(E$1:E4170)*(E4171=E$1:E4170)))))</f>
        <v> </v>
      </c>
      <c r="L4171" s="26"/>
    </row>
    <row r="4172" spans="1:12">
      <c r="A4172" s="20" t="s">
        <v>683</v>
      </c>
      <c r="E4172" s="21">
        <f>IF(D4172="?OLD","!!!","")</f>
        <v/>
      </c>
      <c r="F4172" s="22" t="str">
        <f>IF(OR(E4172="",E4172="!!!"),"",IF(NOT(ISNA(VLOOKUP(E4172,E$1:E4171,1,FALSE()))),"OLD",IF(AND(E4172&lt;&gt;"",E4172&lt;&gt;"!!!"),"NEW","")))</f>
        <v> </v>
      </c>
      <c r="G4172" s="23" t="str">
        <f>IF(OR(E4172="",E4172="!!!"),"",IF(OR(J4172=0,AND(J4172=1,K4172=1),AND(J4172=1,I4172="SBJ"),AND(J4172=1,I4172=0)),"?IN_FOCUS",IF(J4172&lt;=2,"?ACTIVATED",IF(J4172&lt;&gt;"","?FAMILIAR",IF(F4172="NEW",IF(ISNA(VLOOKUP(E4172,#REF!,1,FALSE())),"?TYPE_IDENTIFIABLE","?REFERENTIAL"),"_")))))</f>
        <v> </v>
      </c>
      <c r="H4172" s="24" t="str">
        <f>IF(J4172&lt;&gt;1,"",IF(I4172="SBJ","CB","?"))</f>
        <v> </v>
      </c>
      <c r="I4172" s="25" t="str">
        <f>IF(OR(E4172="",E4172="!!!",F4172="NEW"),"",INDEX(B4171:B$2,-1+SUMPRODUCT(MAX(ROW(E4171:E$2)*(E4172=E4171:E$2)))))</f>
        <v> </v>
      </c>
      <c r="J4172" s="25" t="str">
        <f>IF(OR(E4172="",E4172="!!!",F4172="NEW"),"",COUNTBLANK(OFFSET(A$1,,,SUMPRODUCT(MAX(ROW(E$2:E4172)*(E4172=E$2:E4172)))))-COUNTBLANK(OFFSET(A$1,,,SUMPRODUCT(MAX(ROW(E$1:E4171)*(E2=E$1:E4171))))))</f>
        <v> </v>
      </c>
      <c r="K4172" s="25" t="str">
        <f>IF(OR(E4172="",E4172="!!!",F4172="NEW"),"",INDEX(J$1:J4171,SUMPRODUCT(MAX(ROW(E$1:E4171)*(E4172=E$1:E4171)))))</f>
        <v> </v>
      </c>
      <c r="L4172" s="26"/>
    </row>
    <row r="4173" spans="1:12">
      <c r="A4173" s="20" t="s">
        <v>1934</v>
      </c>
      <c r="B4173" s="27" t="s">
        <v>1779</v>
      </c>
      <c r="C4173" s="27" t="s">
        <v>693</v>
      </c>
      <c r="D4173" s="27" t="s">
        <v>687</v>
      </c>
      <c r="E4173" s="21">
        <f>IF(D4173="?OLD","!!!","")</f>
        <v/>
      </c>
      <c r="F4173" s="22" t="str">
        <f>IF(OR(E4173="",E4173="!!!"),"",IF(NOT(ISNA(VLOOKUP(E4173,E$1:E4172,1,FALSE()))),"OLD",IF(AND(E4173&lt;&gt;"",E4173&lt;&gt;"!!!"),"NEW","")))</f>
        <v> </v>
      </c>
      <c r="G4173" s="23" t="str">
        <f>IF(OR(E4173="",E4173="!!!"),"",IF(OR(J4173=0,AND(J4173=1,K4173=1),AND(J4173=1,I4173="SBJ"),AND(J4173=1,I4173=0)),"?IN_FOCUS",IF(J4173&lt;=2,"?ACTIVATED",IF(J4173&lt;&gt;"","?FAMILIAR",IF(F4173="NEW",IF(ISNA(VLOOKUP(E4173,#REF!,1,FALSE())),"?TYPE_IDENTIFIABLE","?REFERENTIAL"),"_")))))</f>
        <v> </v>
      </c>
      <c r="H4173" s="24" t="str">
        <f>IF(J4173&lt;&gt;1,"",IF(I4173="SBJ","CB","?"))</f>
        <v> </v>
      </c>
      <c r="I4173" s="25" t="str">
        <f>IF(OR(E4173="",E4173="!!!",F4173="NEW"),"",INDEX(B4172:B$2,-1+SUMPRODUCT(MAX(ROW(E4172:E$2)*(E4173=E4172:E$2)))))</f>
        <v> </v>
      </c>
      <c r="J4173" s="25" t="str">
        <f>IF(OR(E4173="",E4173="!!!",F4173="NEW"),"",COUNTBLANK(OFFSET(A$1,,,SUMPRODUCT(MAX(ROW(E$2:E4173)*(E4173=E$2:E4173)))))-COUNTBLANK(OFFSET(A$1,,,SUMPRODUCT(MAX(ROW(E$1:E4172)*(E2=E$1:E4172))))))</f>
        <v> </v>
      </c>
      <c r="K4173" s="25" t="str">
        <f>IF(OR(E4173="",E4173="!!!",F4173="NEW"),"",INDEX(J$1:J4172,SUMPRODUCT(MAX(ROW(E$1:E4172)*(E4173=E$1:E4172)))))</f>
        <v> </v>
      </c>
      <c r="L4173" s="26"/>
    </row>
    <row r="4174" spans="1:12">
      <c r="A4174" s="20" t="s">
        <v>694</v>
      </c>
      <c r="E4174" s="21">
        <f>IF(D4174="?OLD","!!!","")</f>
        <v/>
      </c>
      <c r="F4174" s="22" t="str">
        <f>IF(OR(E4174="",E4174="!!!"),"",IF(NOT(ISNA(VLOOKUP(E4174,E$1:E4173,1,FALSE()))),"OLD",IF(AND(E4174&lt;&gt;"",E4174&lt;&gt;"!!!"),"NEW","")))</f>
        <v> </v>
      </c>
      <c r="G4174" s="23" t="str">
        <f>IF(OR(E4174="",E4174="!!!"),"",IF(OR(J4174=0,AND(J4174=1,K4174=1),AND(J4174=1,I4174="SBJ"),AND(J4174=1,I4174=0)),"?IN_FOCUS",IF(J4174&lt;=2,"?ACTIVATED",IF(J4174&lt;&gt;"","?FAMILIAR",IF(F4174="NEW",IF(ISNA(VLOOKUP(E4174,#REF!,1,FALSE())),"?TYPE_IDENTIFIABLE","?REFERENTIAL"),"_")))))</f>
        <v> </v>
      </c>
      <c r="H4174" s="24" t="str">
        <f>IF(J4174&lt;&gt;1,"",IF(I4174="SBJ","CB","?"))</f>
        <v> </v>
      </c>
      <c r="I4174" s="25" t="str">
        <f>IF(OR(E4174="",E4174="!!!",F4174="NEW"),"",INDEX(B4173:B$2,-1+SUMPRODUCT(MAX(ROW(E4173:E$2)*(E4174=E4173:E$2)))))</f>
        <v> </v>
      </c>
      <c r="J4174" s="25" t="str">
        <f>IF(OR(E4174="",E4174="!!!",F4174="NEW"),"",COUNTBLANK(OFFSET(A$1,,,SUMPRODUCT(MAX(ROW(E$2:E4174)*(E4174=E$2:E4174)))))-COUNTBLANK(OFFSET(A$1,,,SUMPRODUCT(MAX(ROW(E$1:E4173)*(E2=E$1:E4173))))))</f>
        <v> </v>
      </c>
      <c r="K4174" s="25" t="str">
        <f>IF(OR(E4174="",E4174="!!!",F4174="NEW"),"",INDEX(J$1:J4173,SUMPRODUCT(MAX(ROW(E$1:E4173)*(E4174=E$1:E4173)))))</f>
        <v> </v>
      </c>
      <c r="L4174" s="26"/>
    </row>
    <row r="4175" spans="1:12">
      <c r="A4175" s="20" t="s">
        <v>683</v>
      </c>
      <c r="E4175" s="21">
        <f>IF(D4175="?OLD","!!!","")</f>
        <v/>
      </c>
      <c r="F4175" s="22" t="str">
        <f>IF(OR(E4175="",E4175="!!!"),"",IF(NOT(ISNA(VLOOKUP(E4175,E$1:E4174,1,FALSE()))),"OLD",IF(AND(E4175&lt;&gt;"",E4175&lt;&gt;"!!!"),"NEW","")))</f>
        <v> </v>
      </c>
      <c r="G4175" s="23" t="str">
        <f>IF(OR(E4175="",E4175="!!!"),"",IF(OR(J4175=0,AND(J4175=1,K4175=1),AND(J4175=1,I4175="SBJ"),AND(J4175=1,I4175=0)),"?IN_FOCUS",IF(J4175&lt;=2,"?ACTIVATED",IF(J4175&lt;&gt;"","?FAMILIAR",IF(F4175="NEW",IF(ISNA(VLOOKUP(E4175,#REF!,1,FALSE())),"?TYPE_IDENTIFIABLE","?REFERENTIAL"),"_")))))</f>
        <v> </v>
      </c>
      <c r="H4175" s="24" t="str">
        <f>IF(J4175&lt;&gt;1,"",IF(I4175="SBJ","CB","?"))</f>
        <v> </v>
      </c>
      <c r="I4175" s="25" t="str">
        <f>IF(OR(E4175="",E4175="!!!",F4175="NEW"),"",INDEX(B4174:B$2,-1+SUMPRODUCT(MAX(ROW(E4174:E$2)*(E4175=E4174:E$2)))))</f>
        <v> </v>
      </c>
      <c r="J4175" s="25" t="str">
        <f>IF(OR(E4175="",E4175="!!!",F4175="NEW"),"",COUNTBLANK(OFFSET(A$1,,,SUMPRODUCT(MAX(ROW(E$2:E4175)*(E4175=E$2:E4175)))))-COUNTBLANK(OFFSET(A$1,,,SUMPRODUCT(MAX(ROW(E$1:E4174)*(E2=E$1:E4174))))))</f>
        <v> </v>
      </c>
      <c r="K4175" s="25" t="str">
        <f>IF(OR(E4175="",E4175="!!!",F4175="NEW"),"",INDEX(J$1:J4174,SUMPRODUCT(MAX(ROW(E$1:E4174)*(E4175=E$1:E4174)))))</f>
        <v> </v>
      </c>
      <c r="L4175" s="26"/>
    </row>
    <row r="4176" spans="1:12">
      <c r="A4176" s="20" t="s">
        <v>1935</v>
      </c>
      <c r="B4176" s="27" t="s">
        <v>1454</v>
      </c>
      <c r="C4176" s="27" t="s">
        <v>686</v>
      </c>
      <c r="D4176" s="27" t="s">
        <v>687</v>
      </c>
      <c r="E4176" s="21">
        <f>IF(D4176="?OLD","!!!","")</f>
        <v/>
      </c>
      <c r="F4176" s="22" t="str">
        <f>IF(OR(E4176="",E4176="!!!"),"",IF(NOT(ISNA(VLOOKUP(E4176,E$1:E4175,1,FALSE()))),"OLD",IF(AND(E4176&lt;&gt;"",E4176&lt;&gt;"!!!"),"NEW","")))</f>
        <v> </v>
      </c>
      <c r="G4176" s="23" t="str">
        <f>IF(OR(E4176="",E4176="!!!"),"",IF(OR(J4176=0,AND(J4176=1,K4176=1),AND(J4176=1,I4176="SBJ"),AND(J4176=1,I4176=0)),"?IN_FOCUS",IF(J4176&lt;=2,"?ACTIVATED",IF(J4176&lt;&gt;"","?FAMILIAR",IF(F4176="NEW",IF(ISNA(VLOOKUP(E4176,#REF!,1,FALSE())),"?TYPE_IDENTIFIABLE","?REFERENTIAL"),"_")))))</f>
        <v> </v>
      </c>
      <c r="H4176" s="24" t="str">
        <f>IF(J4176&lt;&gt;1,"",IF(I4176="SBJ","CB","?"))</f>
        <v> </v>
      </c>
      <c r="I4176" s="25" t="str">
        <f>IF(OR(E4176="",E4176="!!!",F4176="NEW"),"",INDEX(B4175:B$2,-1+SUMPRODUCT(MAX(ROW(E4175:E$2)*(E4176=E4175:E$2)))))</f>
        <v> </v>
      </c>
      <c r="J4176" s="25" t="str">
        <f>IF(OR(E4176="",E4176="!!!",F4176="NEW"),"",COUNTBLANK(OFFSET(A$1,,,SUMPRODUCT(MAX(ROW(E$2:E4176)*(E4176=E$2:E4176)))))-COUNTBLANK(OFFSET(A$1,,,SUMPRODUCT(MAX(ROW(E$1:E4175)*(E2=E$1:E4175))))))</f>
        <v> </v>
      </c>
      <c r="K4176" s="25" t="str">
        <f>IF(OR(E4176="",E4176="!!!",F4176="NEW"),"",INDEX(J$1:J4175,SUMPRODUCT(MAX(ROW(E$1:E4175)*(E4176=E$1:E4175)))))</f>
        <v> </v>
      </c>
      <c r="L4176" s="26"/>
    </row>
    <row r="4177" spans="1:12">
      <c r="A4177" s="20" t="s">
        <v>698</v>
      </c>
      <c r="E4177" s="21">
        <f>IF(D4177="?OLD","!!!","")</f>
        <v/>
      </c>
      <c r="F4177" s="22" t="str">
        <f>IF(OR(E4177="",E4177="!!!"),"",IF(NOT(ISNA(VLOOKUP(E4177,E$1:E4176,1,FALSE()))),"OLD",IF(AND(E4177&lt;&gt;"",E4177&lt;&gt;"!!!"),"NEW","")))</f>
        <v> </v>
      </c>
      <c r="G4177" s="23" t="str">
        <f>IF(OR(E4177="",E4177="!!!"),"",IF(OR(J4177=0,AND(J4177=1,K4177=1),AND(J4177=1,I4177="SBJ"),AND(J4177=1,I4177=0)),"?IN_FOCUS",IF(J4177&lt;=2,"?ACTIVATED",IF(J4177&lt;&gt;"","?FAMILIAR",IF(F4177="NEW",IF(ISNA(VLOOKUP(E4177,#REF!,1,FALSE())),"?TYPE_IDENTIFIABLE","?REFERENTIAL"),"_")))))</f>
        <v> </v>
      </c>
      <c r="H4177" s="24" t="str">
        <f>IF(J4177&lt;&gt;1,"",IF(I4177="SBJ","CB","?"))</f>
        <v> </v>
      </c>
      <c r="I4177" s="25" t="str">
        <f>IF(OR(E4177="",E4177="!!!",F4177="NEW"),"",INDEX(B4176:B$2,-1+SUMPRODUCT(MAX(ROW(E4176:E$2)*(E4177=E4176:E$2)))))</f>
        <v> </v>
      </c>
      <c r="J4177" s="25" t="str">
        <f>IF(OR(E4177="",E4177="!!!",F4177="NEW"),"",COUNTBLANK(OFFSET(A$1,,,SUMPRODUCT(MAX(ROW(E$2:E4177)*(E4177=E$2:E4177)))))-COUNTBLANK(OFFSET(A$1,,,SUMPRODUCT(MAX(ROW(E$1:E4176)*(E2=E$1:E4176))))))</f>
        <v> </v>
      </c>
      <c r="K4177" s="25" t="str">
        <f>IF(OR(E4177="",E4177="!!!",F4177="NEW"),"",INDEX(J$1:J4176,SUMPRODUCT(MAX(ROW(E$1:E4176)*(E4177=E$1:E4176)))))</f>
        <v> </v>
      </c>
      <c r="L4177" s="26"/>
    </row>
    <row r="4178" spans="1:12">
      <c r="A4178" s="20"/>
    </row>
    <row r="4179" spans="1:12">
      <c r="A4179" s="20" t="s">
        <v>1936</v>
      </c>
    </row>
    <row r="4180" spans="1:12">
      <c r="A4180" s="20" t="s">
        <v>756</v>
      </c>
      <c r="E4180" s="21">
        <f>IF(D4180="?OLD","!!!","")</f>
        <v/>
      </c>
      <c r="F4180" s="22" t="str">
        <f>IF(OR(E4180="",E4180="!!!"),"",IF(NOT(ISNA(VLOOKUP(E4180,E$1:E4179,1,FALSE()))),"OLD",IF(AND(E4180&lt;&gt;"",E4180&lt;&gt;"!!!"),"NEW","")))</f>
        <v> </v>
      </c>
      <c r="G4180" s="23" t="str">
        <f>IF(OR(E4180="",E4180="!!!"),"",IF(OR(J4180=0,AND(J4180=1,K4180=1),AND(J4180=1,I4180="SBJ"),AND(J4180=1,I4180=0)),"?IN_FOCUS",IF(J4180&lt;=2,"?ACTIVATED",IF(J4180&lt;&gt;"","?FAMILIAR",IF(F4180="NEW",IF(ISNA(VLOOKUP(E4180,#REF!,1,FALSE())),"?TYPE_IDENTIFIABLE","?REFERENTIAL"),"_")))))</f>
        <v> </v>
      </c>
      <c r="H4180" s="24" t="str">
        <f>IF(J4180&lt;&gt;1,"",IF(I4180="SBJ","CB","?"))</f>
        <v> </v>
      </c>
      <c r="I4180" s="25" t="str">
        <f>IF(OR(E4180="",E4180="!!!",F4180="NEW"),"",INDEX(B4179:B$2,-1+SUMPRODUCT(MAX(ROW(E4179:E$2)*(E4180=E4179:E$2)))))</f>
        <v> </v>
      </c>
      <c r="J4180" s="25" t="str">
        <f>IF(OR(E4180="",E4180="!!!",F4180="NEW"),"",COUNTBLANK(OFFSET(A$1,,,SUMPRODUCT(MAX(ROW(E$2:E4180)*(E4180=E$2:E4180)))))-COUNTBLANK(OFFSET(A$1,,,SUMPRODUCT(MAX(ROW(E$1:E4179)*(E2=E$1:E4179))))))</f>
        <v> </v>
      </c>
      <c r="K4180" s="25" t="str">
        <f>IF(OR(E4180="",E4180="!!!",F4180="NEW"),"",INDEX(J$1:J4179,SUMPRODUCT(MAX(ROW(E$1:E4179)*(E4180=E$1:E4179)))))</f>
        <v> </v>
      </c>
      <c r="L4180" s="26"/>
    </row>
    <row r="4181" spans="1:12">
      <c r="A4181" s="20" t="s">
        <v>306</v>
      </c>
      <c r="E4181" s="21">
        <f>IF(D4181="?OLD","!!!","")</f>
        <v/>
      </c>
      <c r="F4181" s="22" t="str">
        <f>IF(OR(E4181="",E4181="!!!"),"",IF(NOT(ISNA(VLOOKUP(E4181,E$1:E4180,1,FALSE()))),"OLD",IF(AND(E4181&lt;&gt;"",E4181&lt;&gt;"!!!"),"NEW","")))</f>
        <v> </v>
      </c>
      <c r="G4181" s="23" t="str">
        <f>IF(OR(E4181="",E4181="!!!"),"",IF(OR(J4181=0,AND(J4181=1,K4181=1),AND(J4181=1,I4181="SBJ"),AND(J4181=1,I4181=0)),"?IN_FOCUS",IF(J4181&lt;=2,"?ACTIVATED",IF(J4181&lt;&gt;"","?FAMILIAR",IF(F4181="NEW",IF(ISNA(VLOOKUP(E4181,#REF!,1,FALSE())),"?TYPE_IDENTIFIABLE","?REFERENTIAL"),"_")))))</f>
        <v> </v>
      </c>
      <c r="H4181" s="24" t="str">
        <f>IF(J4181&lt;&gt;1,"",IF(I4181="SBJ","CB","?"))</f>
        <v> </v>
      </c>
      <c r="I4181" s="25" t="str">
        <f>IF(OR(E4181="",E4181="!!!",F4181="NEW"),"",INDEX(B4180:B$2,-1+SUMPRODUCT(MAX(ROW(E4180:E$2)*(E4181=E4180:E$2)))))</f>
        <v> </v>
      </c>
      <c r="J4181" s="25" t="str">
        <f>IF(OR(E4181="",E4181="!!!",F4181="NEW"),"",COUNTBLANK(OFFSET(A$1,,,SUMPRODUCT(MAX(ROW(E$2:E4181)*(E4181=E$2:E4181)))))-COUNTBLANK(OFFSET(A$1,,,SUMPRODUCT(MAX(ROW(E$1:E4180)*(E2=E$1:E4180))))))</f>
        <v> </v>
      </c>
      <c r="K4181" s="25" t="str">
        <f>IF(OR(E4181="",E4181="!!!",F4181="NEW"),"",INDEX(J$1:J4180,SUMPRODUCT(MAX(ROW(E$1:E4180)*(E4181=E$1:E4180)))))</f>
        <v> </v>
      </c>
      <c r="L4181" s="26"/>
    </row>
    <row r="4182" spans="1:12">
      <c r="A4182" s="20" t="s">
        <v>1288</v>
      </c>
      <c r="B4182" s="27" t="s">
        <v>678</v>
      </c>
      <c r="C4182" s="27" t="s">
        <v>686</v>
      </c>
      <c r="D4182" s="27" t="s">
        <v>687</v>
      </c>
      <c r="E4182" s="21">
        <f>IF(D4182="?OLD","!!!","")</f>
        <v/>
      </c>
      <c r="F4182" s="22" t="str">
        <f>IF(OR(E4182="",E4182="!!!"),"",IF(NOT(ISNA(VLOOKUP(E4182,E$1:E4181,1,FALSE()))),"OLD",IF(AND(E4182&lt;&gt;"",E4182&lt;&gt;"!!!"),"NEW","")))</f>
        <v> </v>
      </c>
      <c r="G4182" s="23" t="str">
        <f>IF(OR(E4182="",E4182="!!!"),"",IF(OR(J4182=0,AND(J4182=1,K4182=1),AND(J4182=1,I4182="SBJ"),AND(J4182=1,I4182=0)),"?IN_FOCUS",IF(J4182&lt;=2,"?ACTIVATED",IF(J4182&lt;&gt;"","?FAMILIAR",IF(F4182="NEW",IF(ISNA(VLOOKUP(E4182,#REF!,1,FALSE())),"?TYPE_IDENTIFIABLE","?REFERENTIAL"),"_")))))</f>
        <v> </v>
      </c>
      <c r="H4182" s="24" t="str">
        <f>IF(J4182&lt;&gt;1,"",IF(I4182="SBJ","CB","?"))</f>
        <v> </v>
      </c>
      <c r="I4182" s="25" t="str">
        <f>IF(OR(E4182="",E4182="!!!",F4182="NEW"),"",INDEX(B4181:B$2,-1+SUMPRODUCT(MAX(ROW(E4181:E$2)*(E4182=E4181:E$2)))))</f>
        <v> </v>
      </c>
      <c r="J4182" s="25" t="str">
        <f>IF(OR(E4182="",E4182="!!!",F4182="NEW"),"",COUNTBLANK(OFFSET(A$1,,,SUMPRODUCT(MAX(ROW(E$2:E4182)*(E4182=E$2:E4182)))))-COUNTBLANK(OFFSET(A$1,,,SUMPRODUCT(MAX(ROW(E$1:E4181)*(E2=E$1:E4181))))))</f>
        <v> </v>
      </c>
      <c r="K4182" s="25" t="str">
        <f>IF(OR(E4182="",E4182="!!!",F4182="NEW"),"",INDEX(J$1:J4181,SUMPRODUCT(MAX(ROW(E$1:E4181)*(E4182=E$1:E4181)))))</f>
        <v> </v>
      </c>
      <c r="L4182" s="26"/>
    </row>
    <row r="4183" spans="1:12">
      <c r="A4183" s="20" t="s">
        <v>683</v>
      </c>
      <c r="E4183" s="21">
        <f>IF(D4183="?OLD","!!!","")</f>
        <v/>
      </c>
      <c r="F4183" s="22" t="str">
        <f>IF(OR(E4183="",E4183="!!!"),"",IF(NOT(ISNA(VLOOKUP(E4183,E$1:E4182,1,FALSE()))),"OLD",IF(AND(E4183&lt;&gt;"",E4183&lt;&gt;"!!!"),"NEW","")))</f>
        <v> </v>
      </c>
      <c r="G4183" s="23" t="str">
        <f>IF(OR(E4183="",E4183="!!!"),"",IF(OR(J4183=0,AND(J4183=1,K4183=1),AND(J4183=1,I4183="SBJ"),AND(J4183=1,I4183=0)),"?IN_FOCUS",IF(J4183&lt;=2,"?ACTIVATED",IF(J4183&lt;&gt;"","?FAMILIAR",IF(F4183="NEW",IF(ISNA(VLOOKUP(E4183,#REF!,1,FALSE())),"?TYPE_IDENTIFIABLE","?REFERENTIAL"),"_")))))</f>
        <v> </v>
      </c>
      <c r="H4183" s="24" t="str">
        <f>IF(J4183&lt;&gt;1,"",IF(I4183="SBJ","CB","?"))</f>
        <v> </v>
      </c>
      <c r="I4183" s="25" t="str">
        <f>IF(OR(E4183="",E4183="!!!",F4183="NEW"),"",INDEX(B4182:B$2,-1+SUMPRODUCT(MAX(ROW(E4182:E$2)*(E4183=E4182:E$2)))))</f>
        <v> </v>
      </c>
      <c r="J4183" s="25" t="str">
        <f>IF(OR(E4183="",E4183="!!!",F4183="NEW"),"",COUNTBLANK(OFFSET(A$1,,,SUMPRODUCT(MAX(ROW(E$2:E4183)*(E4183=E$2:E4183)))))-COUNTBLANK(OFFSET(A$1,,,SUMPRODUCT(MAX(ROW(E$1:E4182)*(E2=E$1:E4182))))))</f>
        <v> </v>
      </c>
      <c r="K4183" s="25" t="str">
        <f>IF(OR(E4183="",E4183="!!!",F4183="NEW"),"",INDEX(J$1:J4182,SUMPRODUCT(MAX(ROW(E$1:E4182)*(E4183=E$1:E4182)))))</f>
        <v> </v>
      </c>
      <c r="L4183" s="26"/>
    </row>
    <row r="4184" spans="1:12">
      <c r="A4184" s="20" t="s">
        <v>1937</v>
      </c>
      <c r="E4184" s="21">
        <f>IF(D4184="?OLD","!!!","")</f>
        <v/>
      </c>
      <c r="F4184" s="22" t="str">
        <f>IF(OR(E4184="",E4184="!!!"),"",IF(NOT(ISNA(VLOOKUP(E4184,E$1:E4183,1,FALSE()))),"OLD",IF(AND(E4184&lt;&gt;"",E4184&lt;&gt;"!!!"),"NEW","")))</f>
        <v> </v>
      </c>
      <c r="G4184" s="23" t="str">
        <f>IF(OR(E4184="",E4184="!!!"),"",IF(OR(J4184=0,AND(J4184=1,K4184=1),AND(J4184=1,I4184="SBJ"),AND(J4184=1,I4184=0)),"?IN_FOCUS",IF(J4184&lt;=2,"?ACTIVATED",IF(J4184&lt;&gt;"","?FAMILIAR",IF(F4184="NEW",IF(ISNA(VLOOKUP(E4184,#REF!,1,FALSE())),"?TYPE_IDENTIFIABLE","?REFERENTIAL"),"_")))))</f>
        <v> </v>
      </c>
      <c r="H4184" s="24" t="str">
        <f>IF(J4184&lt;&gt;1,"",IF(I4184="SBJ","CB","?"))</f>
        <v> </v>
      </c>
      <c r="I4184" s="25" t="str">
        <f>IF(OR(E4184="",E4184="!!!",F4184="NEW"),"",INDEX(B4183:B$2,-1+SUMPRODUCT(MAX(ROW(E4183:E$2)*(E4184=E4183:E$2)))))</f>
        <v> </v>
      </c>
      <c r="J4184" s="25" t="str">
        <f>IF(OR(E4184="",E4184="!!!",F4184="NEW"),"",COUNTBLANK(OFFSET(A$1,,,SUMPRODUCT(MAX(ROW(E$2:E4184)*(E4184=E$2:E4184)))))-COUNTBLANK(OFFSET(A$1,,,SUMPRODUCT(MAX(ROW(E$1:E4183)*(E2=E$1:E4183))))))</f>
        <v> </v>
      </c>
      <c r="K4184" s="25" t="str">
        <f>IF(OR(E4184="",E4184="!!!",F4184="NEW"),"",INDEX(J$1:J4183,SUMPRODUCT(MAX(ROW(E$1:E4183)*(E4184=E$1:E4183)))))</f>
        <v> </v>
      </c>
      <c r="L4184" s="26"/>
    </row>
    <row r="4185" spans="1:12">
      <c r="A4185" s="20" t="s">
        <v>683</v>
      </c>
      <c r="E4185" s="21">
        <f>IF(D4185="?OLD","!!!","")</f>
        <v/>
      </c>
      <c r="F4185" s="22" t="str">
        <f>IF(OR(E4185="",E4185="!!!"),"",IF(NOT(ISNA(VLOOKUP(E4185,E$1:E4184,1,FALSE()))),"OLD",IF(AND(E4185&lt;&gt;"",E4185&lt;&gt;"!!!"),"NEW","")))</f>
        <v> </v>
      </c>
      <c r="G4185" s="23" t="str">
        <f>IF(OR(E4185="",E4185="!!!"),"",IF(OR(J4185=0,AND(J4185=1,K4185=1),AND(J4185=1,I4185="SBJ"),AND(J4185=1,I4185=0)),"?IN_FOCUS",IF(J4185&lt;=2,"?ACTIVATED",IF(J4185&lt;&gt;"","?FAMILIAR",IF(F4185="NEW",IF(ISNA(VLOOKUP(E4185,#REF!,1,FALSE())),"?TYPE_IDENTIFIABLE","?REFERENTIAL"),"_")))))</f>
        <v> </v>
      </c>
      <c r="H4185" s="24" t="str">
        <f>IF(J4185&lt;&gt;1,"",IF(I4185="SBJ","CB","?"))</f>
        <v> </v>
      </c>
      <c r="I4185" s="25" t="str">
        <f>IF(OR(E4185="",E4185="!!!",F4185="NEW"),"",INDEX(B4184:B$2,-1+SUMPRODUCT(MAX(ROW(E4184:E$2)*(E4185=E4184:E$2)))))</f>
        <v> </v>
      </c>
      <c r="J4185" s="25" t="str">
        <f>IF(OR(E4185="",E4185="!!!",F4185="NEW"),"",COUNTBLANK(OFFSET(A$1,,,SUMPRODUCT(MAX(ROW(E$2:E4185)*(E4185=E$2:E4185)))))-COUNTBLANK(OFFSET(A$1,,,SUMPRODUCT(MAX(ROW(E$1:E4184)*(E2=E$1:E4184))))))</f>
        <v> </v>
      </c>
      <c r="K4185" s="25" t="str">
        <f>IF(OR(E4185="",E4185="!!!",F4185="NEW"),"",INDEX(J$1:J4184,SUMPRODUCT(MAX(ROW(E$1:E4184)*(E4185=E$1:E4184)))))</f>
        <v> </v>
      </c>
      <c r="L4185" s="26"/>
    </row>
    <row r="4186" spans="1:12">
      <c r="A4186" s="20" t="s">
        <v>306</v>
      </c>
      <c r="E4186" s="21">
        <f>IF(D4186="?OLD","!!!","")</f>
        <v/>
      </c>
      <c r="F4186" s="22" t="str">
        <f>IF(OR(E4186="",E4186="!!!"),"",IF(NOT(ISNA(VLOOKUP(E4186,E$1:E4185,1,FALSE()))),"OLD",IF(AND(E4186&lt;&gt;"",E4186&lt;&gt;"!!!"),"NEW","")))</f>
        <v> </v>
      </c>
      <c r="G4186" s="23" t="str">
        <f>IF(OR(E4186="",E4186="!!!"),"",IF(OR(J4186=0,AND(J4186=1,K4186=1),AND(J4186=1,I4186="SBJ"),AND(J4186=1,I4186=0)),"?IN_FOCUS",IF(J4186&lt;=2,"?ACTIVATED",IF(J4186&lt;&gt;"","?FAMILIAR",IF(F4186="NEW",IF(ISNA(VLOOKUP(E4186,#REF!,1,FALSE())),"?TYPE_IDENTIFIABLE","?REFERENTIAL"),"_")))))</f>
        <v> </v>
      </c>
      <c r="H4186" s="24" t="str">
        <f>IF(J4186&lt;&gt;1,"",IF(I4186="SBJ","CB","?"))</f>
        <v> </v>
      </c>
      <c r="I4186" s="25" t="str">
        <f>IF(OR(E4186="",E4186="!!!",F4186="NEW"),"",INDEX(B4185:B$2,-1+SUMPRODUCT(MAX(ROW(E4185:E$2)*(E4186=E4185:E$2)))))</f>
        <v> </v>
      </c>
      <c r="J4186" s="25" t="str">
        <f>IF(OR(E4186="",E4186="!!!",F4186="NEW"),"",COUNTBLANK(OFFSET(A$1,,,SUMPRODUCT(MAX(ROW(E$2:E4186)*(E4186=E$2:E4186)))))-COUNTBLANK(OFFSET(A$1,,,SUMPRODUCT(MAX(ROW(E$1:E4185)*(E2=E$1:E4185))))))</f>
        <v> </v>
      </c>
      <c r="K4186" s="25" t="str">
        <f>IF(OR(E4186="",E4186="!!!",F4186="NEW"),"",INDEX(J$1:J4185,SUMPRODUCT(MAX(ROW(E$1:E4185)*(E4186=E$1:E4185)))))</f>
        <v> </v>
      </c>
      <c r="L4186" s="26"/>
    </row>
    <row r="4187" spans="1:12">
      <c r="A4187" s="20" t="s">
        <v>1938</v>
      </c>
      <c r="B4187" s="27" t="s">
        <v>696</v>
      </c>
      <c r="C4187" s="27" t="s">
        <v>693</v>
      </c>
      <c r="D4187" s="27" t="s">
        <v>687</v>
      </c>
      <c r="E4187" s="21">
        <f>IF(D4187="?OLD","!!!","")</f>
        <v/>
      </c>
      <c r="F4187" s="22" t="str">
        <f>IF(OR(E4187="",E4187="!!!"),"",IF(NOT(ISNA(VLOOKUP(E4187,E$1:E4186,1,FALSE()))),"OLD",IF(AND(E4187&lt;&gt;"",E4187&lt;&gt;"!!!"),"NEW","")))</f>
        <v> </v>
      </c>
      <c r="G4187" s="23" t="str">
        <f>IF(OR(E4187="",E4187="!!!"),"",IF(OR(J4187=0,AND(J4187=1,K4187=1),AND(J4187=1,I4187="SBJ"),AND(J4187=1,I4187=0)),"?IN_FOCUS",IF(J4187&lt;=2,"?ACTIVATED",IF(J4187&lt;&gt;"","?FAMILIAR",IF(F4187="NEW",IF(ISNA(VLOOKUP(E4187,#REF!,1,FALSE())),"?TYPE_IDENTIFIABLE","?REFERENTIAL"),"_")))))</f>
        <v> </v>
      </c>
      <c r="H4187" s="24" t="str">
        <f>IF(J4187&lt;&gt;1,"",IF(I4187="SBJ","CB","?"))</f>
        <v> </v>
      </c>
      <c r="I4187" s="25" t="str">
        <f>IF(OR(E4187="",E4187="!!!",F4187="NEW"),"",INDEX(B4186:B$2,-1+SUMPRODUCT(MAX(ROW(E4186:E$2)*(E4187=E4186:E$2)))))</f>
        <v> </v>
      </c>
      <c r="J4187" s="25" t="str">
        <f>IF(OR(E4187="",E4187="!!!",F4187="NEW"),"",COUNTBLANK(OFFSET(A$1,,,SUMPRODUCT(MAX(ROW(E$2:E4187)*(E4187=E$2:E4187)))))-COUNTBLANK(OFFSET(A$1,,,SUMPRODUCT(MAX(ROW(E$1:E4186)*(E2=E$1:E4186))))))</f>
        <v> </v>
      </c>
      <c r="K4187" s="25" t="str">
        <f>IF(OR(E4187="",E4187="!!!",F4187="NEW"),"",INDEX(J$1:J4186,SUMPRODUCT(MAX(ROW(E$1:E4186)*(E4187=E$1:E4186)))))</f>
        <v> </v>
      </c>
      <c r="L4187" s="26"/>
    </row>
    <row r="4188" spans="1:12">
      <c r="A4188" s="20" t="s">
        <v>694</v>
      </c>
      <c r="E4188" s="21">
        <f>IF(D4188="?OLD","!!!","")</f>
        <v/>
      </c>
      <c r="F4188" s="22" t="str">
        <f>IF(OR(E4188="",E4188="!!!"),"",IF(NOT(ISNA(VLOOKUP(E4188,E$1:E4187,1,FALSE()))),"OLD",IF(AND(E4188&lt;&gt;"",E4188&lt;&gt;"!!!"),"NEW","")))</f>
        <v> </v>
      </c>
      <c r="G4188" s="23" t="str">
        <f>IF(OR(E4188="",E4188="!!!"),"",IF(OR(J4188=0,AND(J4188=1,K4188=1),AND(J4188=1,I4188="SBJ"),AND(J4188=1,I4188=0)),"?IN_FOCUS",IF(J4188&lt;=2,"?ACTIVATED",IF(J4188&lt;&gt;"","?FAMILIAR",IF(F4188="NEW",IF(ISNA(VLOOKUP(E4188,#REF!,1,FALSE())),"?TYPE_IDENTIFIABLE","?REFERENTIAL"),"_")))))</f>
        <v> </v>
      </c>
      <c r="H4188" s="24" t="str">
        <f>IF(J4188&lt;&gt;1,"",IF(I4188="SBJ","CB","?"))</f>
        <v> </v>
      </c>
      <c r="I4188" s="25" t="str">
        <f>IF(OR(E4188="",E4188="!!!",F4188="NEW"),"",INDEX(B4187:B$2,-1+SUMPRODUCT(MAX(ROW(E4187:E$2)*(E4188=E4187:E$2)))))</f>
        <v> </v>
      </c>
      <c r="J4188" s="25" t="str">
        <f>IF(OR(E4188="",E4188="!!!",F4188="NEW"),"",COUNTBLANK(OFFSET(A$1,,,SUMPRODUCT(MAX(ROW(E$2:E4188)*(E4188=E$2:E4188)))))-COUNTBLANK(OFFSET(A$1,,,SUMPRODUCT(MAX(ROW(E$1:E4187)*(E2=E$1:E4187))))))</f>
        <v> </v>
      </c>
      <c r="K4188" s="25" t="str">
        <f>IF(OR(E4188="",E4188="!!!",F4188="NEW"),"",INDEX(J$1:J4187,SUMPRODUCT(MAX(ROW(E$1:E4187)*(E4188=E$1:E4187)))))</f>
        <v> </v>
      </c>
      <c r="L4188" s="26"/>
    </row>
    <row r="4189" spans="1:12">
      <c r="A4189" s="20" t="s">
        <v>306</v>
      </c>
      <c r="E4189" s="21">
        <f>IF(D4189="?OLD","!!!","")</f>
        <v/>
      </c>
      <c r="F4189" s="22" t="str">
        <f>IF(OR(E4189="",E4189="!!!"),"",IF(NOT(ISNA(VLOOKUP(E4189,E$1:E4188,1,FALSE()))),"OLD",IF(AND(E4189&lt;&gt;"",E4189&lt;&gt;"!!!"),"NEW","")))</f>
        <v> </v>
      </c>
      <c r="G4189" s="23" t="str">
        <f>IF(OR(E4189="",E4189="!!!"),"",IF(OR(J4189=0,AND(J4189=1,K4189=1),AND(J4189=1,I4189="SBJ"),AND(J4189=1,I4189=0)),"?IN_FOCUS",IF(J4189&lt;=2,"?ACTIVATED",IF(J4189&lt;&gt;"","?FAMILIAR",IF(F4189="NEW",IF(ISNA(VLOOKUP(E4189,#REF!,1,FALSE())),"?TYPE_IDENTIFIABLE","?REFERENTIAL"),"_")))))</f>
        <v> </v>
      </c>
      <c r="H4189" s="24" t="str">
        <f>IF(J4189&lt;&gt;1,"",IF(I4189="SBJ","CB","?"))</f>
        <v> </v>
      </c>
      <c r="I4189" s="25" t="str">
        <f>IF(OR(E4189="",E4189="!!!",F4189="NEW"),"",INDEX(B4188:B$2,-1+SUMPRODUCT(MAX(ROW(E4188:E$2)*(E4189=E4188:E$2)))))</f>
        <v> </v>
      </c>
      <c r="J4189" s="25" t="str">
        <f>IF(OR(E4189="",E4189="!!!",F4189="NEW"),"",COUNTBLANK(OFFSET(A$1,,,SUMPRODUCT(MAX(ROW(E$2:E4189)*(E4189=E$2:E4189)))))-COUNTBLANK(OFFSET(A$1,,,SUMPRODUCT(MAX(ROW(E$1:E4188)*(E2=E$1:E4188))))))</f>
        <v> </v>
      </c>
      <c r="K4189" s="25" t="str">
        <f>IF(OR(E4189="",E4189="!!!",F4189="NEW"),"",INDEX(J$1:J4188,SUMPRODUCT(MAX(ROW(E$1:E4188)*(E4189=E$1:E4188)))))</f>
        <v> </v>
      </c>
      <c r="L4189" s="26"/>
    </row>
    <row r="4190" spans="1:12">
      <c r="A4190" s="20" t="s">
        <v>1115</v>
      </c>
      <c r="B4190" s="27" t="s">
        <v>812</v>
      </c>
      <c r="C4190" s="27" t="s">
        <v>772</v>
      </c>
      <c r="D4190" s="27" t="s">
        <v>687</v>
      </c>
      <c r="E4190" s="21">
        <f>IF(D4190="?OLD","!!!","")</f>
        <v/>
      </c>
      <c r="F4190" s="22" t="str">
        <f>IF(OR(E4190="",E4190="!!!"),"",IF(NOT(ISNA(VLOOKUP(E4190,E$1:E4189,1,FALSE()))),"OLD",IF(AND(E4190&lt;&gt;"",E4190&lt;&gt;"!!!"),"NEW","")))</f>
        <v> </v>
      </c>
      <c r="G4190" s="23" t="str">
        <f>IF(OR(E4190="",E4190="!!!"),"",IF(OR(J4190=0,AND(J4190=1,K4190=1),AND(J4190=1,I4190="SBJ"),AND(J4190=1,I4190=0)),"?IN_FOCUS",IF(J4190&lt;=2,"?ACTIVATED",IF(J4190&lt;&gt;"","?FAMILIAR",IF(F4190="NEW",IF(ISNA(VLOOKUP(E4190,#REF!,1,FALSE())),"?TYPE_IDENTIFIABLE","?REFERENTIAL"),"_")))))</f>
        <v> </v>
      </c>
      <c r="H4190" s="24" t="str">
        <f>IF(J4190&lt;&gt;1,"",IF(I4190="SBJ","CB","?"))</f>
        <v> </v>
      </c>
      <c r="I4190" s="25" t="str">
        <f>IF(OR(E4190="",E4190="!!!",F4190="NEW"),"",INDEX(B4189:B$2,-1+SUMPRODUCT(MAX(ROW(E4189:E$2)*(E4190=E4189:E$2)))))</f>
        <v> </v>
      </c>
      <c r="J4190" s="25" t="str">
        <f>IF(OR(E4190="",E4190="!!!",F4190="NEW"),"",COUNTBLANK(OFFSET(A$1,,,SUMPRODUCT(MAX(ROW(E$2:E4190)*(E4190=E$2:E4190)))))-COUNTBLANK(OFFSET(A$1,,,SUMPRODUCT(MAX(ROW(E$1:E4189)*(E2=E$1:E4189))))))</f>
        <v> </v>
      </c>
      <c r="K4190" s="25" t="str">
        <f>IF(OR(E4190="",E4190="!!!",F4190="NEW"),"",INDEX(J$1:J4189,SUMPRODUCT(MAX(ROW(E$1:E4189)*(E4190=E$1:E4189)))))</f>
        <v> </v>
      </c>
      <c r="L4190" s="26"/>
    </row>
    <row r="4191" spans="1:12">
      <c r="A4191" s="20" t="s">
        <v>379</v>
      </c>
      <c r="B4191" s="27" t="s">
        <v>724</v>
      </c>
      <c r="C4191" s="27" t="s">
        <v>686</v>
      </c>
      <c r="D4191" s="27" t="s">
        <v>687</v>
      </c>
      <c r="E4191" s="21">
        <f>IF(D4191="?OLD","!!!","")</f>
        <v/>
      </c>
      <c r="F4191" s="22" t="str">
        <f>IF(OR(E4191="",E4191="!!!"),"",IF(NOT(ISNA(VLOOKUP(E4191,E$1:E4190,1,FALSE()))),"OLD",IF(AND(E4191&lt;&gt;"",E4191&lt;&gt;"!!!"),"NEW","")))</f>
        <v> </v>
      </c>
      <c r="G4191" s="23" t="str">
        <f>IF(OR(E4191="",E4191="!!!"),"",IF(OR(J4191=0,AND(J4191=1,K4191=1),AND(J4191=1,I4191="SBJ"),AND(J4191=1,I4191=0)),"?IN_FOCUS",IF(J4191&lt;=2,"?ACTIVATED",IF(J4191&lt;&gt;"","?FAMILIAR",IF(F4191="NEW",IF(ISNA(VLOOKUP(E4191,#REF!,1,FALSE())),"?TYPE_IDENTIFIABLE","?REFERENTIAL"),"_")))))</f>
        <v> </v>
      </c>
      <c r="H4191" s="24" t="str">
        <f>IF(J4191&lt;&gt;1,"",IF(I4191="SBJ","CB","?"))</f>
        <v> </v>
      </c>
      <c r="I4191" s="25" t="str">
        <f>IF(OR(E4191="",E4191="!!!",F4191="NEW"),"",INDEX(B4190:B$2,-1+SUMPRODUCT(MAX(ROW(E4190:E$2)*(E4191=E4190:E$2)))))</f>
        <v> </v>
      </c>
      <c r="J4191" s="25" t="str">
        <f>IF(OR(E4191="",E4191="!!!",F4191="NEW"),"",COUNTBLANK(OFFSET(A$1,,,SUMPRODUCT(MAX(ROW(E$2:E4191)*(E4191=E$2:E4191)))))-COUNTBLANK(OFFSET(A$1,,,SUMPRODUCT(MAX(ROW(E$1:E4190)*(E2=E$1:E4190))))))</f>
        <v> </v>
      </c>
      <c r="K4191" s="25" t="str">
        <f>IF(OR(E4191="",E4191="!!!",F4191="NEW"),"",INDEX(J$1:J4190,SUMPRODUCT(MAX(ROW(E$1:E4190)*(E4191=E$1:E4190)))))</f>
        <v> </v>
      </c>
      <c r="L4191" s="26"/>
    </row>
    <row r="4192" spans="1:12">
      <c r="A4192" s="20" t="s">
        <v>682</v>
      </c>
      <c r="E4192" s="21">
        <f>IF(D4192="?OLD","!!!","")</f>
        <v/>
      </c>
      <c r="F4192" s="22" t="str">
        <f>IF(OR(E4192="",E4192="!!!"),"",IF(NOT(ISNA(VLOOKUP(E4192,E$1:E4191,1,FALSE()))),"OLD",IF(AND(E4192&lt;&gt;"",E4192&lt;&gt;"!!!"),"NEW","")))</f>
        <v> </v>
      </c>
      <c r="G4192" s="23" t="str">
        <f>IF(OR(E4192="",E4192="!!!"),"",IF(OR(J4192=0,AND(J4192=1,K4192=1),AND(J4192=1,I4192="SBJ"),AND(J4192=1,I4192=0)),"?IN_FOCUS",IF(J4192&lt;=2,"?ACTIVATED",IF(J4192&lt;&gt;"","?FAMILIAR",IF(F4192="NEW",IF(ISNA(VLOOKUP(E4192,#REF!,1,FALSE())),"?TYPE_IDENTIFIABLE","?REFERENTIAL"),"_")))))</f>
        <v> </v>
      </c>
      <c r="H4192" s="24" t="str">
        <f>IF(J4192&lt;&gt;1,"",IF(I4192="SBJ","CB","?"))</f>
        <v> </v>
      </c>
      <c r="I4192" s="25" t="str">
        <f>IF(OR(E4192="",E4192="!!!",F4192="NEW"),"",INDEX(B4191:B$2,-1+SUMPRODUCT(MAX(ROW(E4191:E$2)*(E4192=E4191:E$2)))))</f>
        <v> </v>
      </c>
      <c r="J4192" s="25" t="str">
        <f>IF(OR(E4192="",E4192="!!!",F4192="NEW"),"",COUNTBLANK(OFFSET(A$1,,,SUMPRODUCT(MAX(ROW(E$2:E4192)*(E4192=E$2:E4192)))))-COUNTBLANK(OFFSET(A$1,,,SUMPRODUCT(MAX(ROW(E$1:E4191)*(E2=E$1:E4191))))))</f>
        <v> </v>
      </c>
      <c r="K4192" s="25" t="str">
        <f>IF(OR(E4192="",E4192="!!!",F4192="NEW"),"",INDEX(J$1:J4191,SUMPRODUCT(MAX(ROW(E$1:E4191)*(E4192=E$1:E4191)))))</f>
        <v> </v>
      </c>
      <c r="L4192" s="26"/>
    </row>
    <row r="4193" spans="1:12">
      <c r="A4193" s="20" t="s">
        <v>683</v>
      </c>
      <c r="E4193" s="21">
        <f>IF(D4193="?OLD","!!!","")</f>
        <v/>
      </c>
      <c r="F4193" s="22" t="str">
        <f>IF(OR(E4193="",E4193="!!!"),"",IF(NOT(ISNA(VLOOKUP(E4193,E$1:E4192,1,FALSE()))),"OLD",IF(AND(E4193&lt;&gt;"",E4193&lt;&gt;"!!!"),"NEW","")))</f>
        <v> </v>
      </c>
      <c r="G4193" s="23" t="str">
        <f>IF(OR(E4193="",E4193="!!!"),"",IF(OR(J4193=0,AND(J4193=1,K4193=1),AND(J4193=1,I4193="SBJ"),AND(J4193=1,I4193=0)),"?IN_FOCUS",IF(J4193&lt;=2,"?ACTIVATED",IF(J4193&lt;&gt;"","?FAMILIAR",IF(F4193="NEW",IF(ISNA(VLOOKUP(E4193,#REF!,1,FALSE())),"?TYPE_IDENTIFIABLE","?REFERENTIAL"),"_")))))</f>
        <v> </v>
      </c>
      <c r="H4193" s="24" t="str">
        <f>IF(J4193&lt;&gt;1,"",IF(I4193="SBJ","CB","?"))</f>
        <v> </v>
      </c>
      <c r="I4193" s="25" t="str">
        <f>IF(OR(E4193="",E4193="!!!",F4193="NEW"),"",INDEX(B4192:B$2,-1+SUMPRODUCT(MAX(ROW(E4192:E$2)*(E4193=E4192:E$2)))))</f>
        <v> </v>
      </c>
      <c r="J4193" s="25" t="str">
        <f>IF(OR(E4193="",E4193="!!!",F4193="NEW"),"",COUNTBLANK(OFFSET(A$1,,,SUMPRODUCT(MAX(ROW(E$2:E4193)*(E4193=E$2:E4193)))))-COUNTBLANK(OFFSET(A$1,,,SUMPRODUCT(MAX(ROW(E$1:E4192)*(E2=E$1:E4192))))))</f>
        <v> </v>
      </c>
      <c r="K4193" s="25" t="str">
        <f>IF(OR(E4193="",E4193="!!!",F4193="NEW"),"",INDEX(J$1:J4192,SUMPRODUCT(MAX(ROW(E$1:E4192)*(E4193=E$1:E4192)))))</f>
        <v> </v>
      </c>
      <c r="L4193" s="26"/>
    </row>
    <row r="4194" spans="1:12">
      <c r="A4194" s="20" t="s">
        <v>1939</v>
      </c>
      <c r="B4194" s="27" t="s">
        <v>787</v>
      </c>
      <c r="C4194" s="27" t="s">
        <v>686</v>
      </c>
      <c r="D4194" s="27" t="s">
        <v>687</v>
      </c>
      <c r="E4194" s="21">
        <f>IF(D4194="?OLD","!!!","")</f>
        <v/>
      </c>
      <c r="F4194" s="22" t="str">
        <f>IF(OR(E4194="",E4194="!!!"),"",IF(NOT(ISNA(VLOOKUP(E4194,E$1:E4193,1,FALSE()))),"OLD",IF(AND(E4194&lt;&gt;"",E4194&lt;&gt;"!!!"),"NEW","")))</f>
        <v> </v>
      </c>
      <c r="G4194" s="23" t="str">
        <f>IF(OR(E4194="",E4194="!!!"),"",IF(OR(J4194=0,AND(J4194=1,K4194=1),AND(J4194=1,I4194="SBJ"),AND(J4194=1,I4194=0)),"?IN_FOCUS",IF(J4194&lt;=2,"?ACTIVATED",IF(J4194&lt;&gt;"","?FAMILIAR",IF(F4194="NEW",IF(ISNA(VLOOKUP(E4194,#REF!,1,FALSE())),"?TYPE_IDENTIFIABLE","?REFERENTIAL"),"_")))))</f>
        <v> </v>
      </c>
      <c r="H4194" s="24" t="str">
        <f>IF(J4194&lt;&gt;1,"",IF(I4194="SBJ","CB","?"))</f>
        <v> </v>
      </c>
      <c r="I4194" s="25" t="str">
        <f>IF(OR(E4194="",E4194="!!!",F4194="NEW"),"",INDEX(B4193:B$2,-1+SUMPRODUCT(MAX(ROW(E4193:E$2)*(E4194=E4193:E$2)))))</f>
        <v> </v>
      </c>
      <c r="J4194" s="25" t="str">
        <f>IF(OR(E4194="",E4194="!!!",F4194="NEW"),"",COUNTBLANK(OFFSET(A$1,,,SUMPRODUCT(MAX(ROW(E$2:E4194)*(E4194=E$2:E4194)))))-COUNTBLANK(OFFSET(A$1,,,SUMPRODUCT(MAX(ROW(E$1:E4193)*(E2=E$1:E4193))))))</f>
        <v> </v>
      </c>
      <c r="K4194" s="25" t="str">
        <f>IF(OR(E4194="",E4194="!!!",F4194="NEW"),"",INDEX(J$1:J4193,SUMPRODUCT(MAX(ROW(E$1:E4193)*(E4194=E$1:E4193)))))</f>
        <v> </v>
      </c>
      <c r="L4194" s="26"/>
    </row>
    <row r="4195" spans="1:12">
      <c r="A4195" s="20" t="s">
        <v>1940</v>
      </c>
      <c r="E4195" s="21">
        <f>IF(D4195="?OLD","!!!","")</f>
        <v/>
      </c>
      <c r="F4195" s="22" t="str">
        <f>IF(OR(E4195="",E4195="!!!"),"",IF(NOT(ISNA(VLOOKUP(E4195,E$1:E4194,1,FALSE()))),"OLD",IF(AND(E4195&lt;&gt;"",E4195&lt;&gt;"!!!"),"NEW","")))</f>
        <v> </v>
      </c>
      <c r="G4195" s="23" t="str">
        <f>IF(OR(E4195="",E4195="!!!"),"",IF(OR(J4195=0,AND(J4195=1,K4195=1),AND(J4195=1,I4195="SBJ"),AND(J4195=1,I4195=0)),"?IN_FOCUS",IF(J4195&lt;=2,"?ACTIVATED",IF(J4195&lt;&gt;"","?FAMILIAR",IF(F4195="NEW",IF(ISNA(VLOOKUP(E4195,#REF!,1,FALSE())),"?TYPE_IDENTIFIABLE","?REFERENTIAL"),"_")))))</f>
        <v> </v>
      </c>
      <c r="H4195" s="24" t="str">
        <f>IF(J4195&lt;&gt;1,"",IF(I4195="SBJ","CB","?"))</f>
        <v> </v>
      </c>
      <c r="I4195" s="25" t="str">
        <f>IF(OR(E4195="",E4195="!!!",F4195="NEW"),"",INDEX(B4194:B$2,-1+SUMPRODUCT(MAX(ROW(E4194:E$2)*(E4195=E4194:E$2)))))</f>
        <v> </v>
      </c>
      <c r="J4195" s="25" t="str">
        <f>IF(OR(E4195="",E4195="!!!",F4195="NEW"),"",COUNTBLANK(OFFSET(A$1,,,SUMPRODUCT(MAX(ROW(E$2:E4195)*(E4195=E$2:E4195)))))-COUNTBLANK(OFFSET(A$1,,,SUMPRODUCT(MAX(ROW(E$1:E4194)*(E2=E$1:E4194))))))</f>
        <v> </v>
      </c>
      <c r="K4195" s="25" t="str">
        <f>IF(OR(E4195="",E4195="!!!",F4195="NEW"),"",INDEX(J$1:J4194,SUMPRODUCT(MAX(ROW(E$1:E4194)*(E4195=E$1:E4194)))))</f>
        <v> </v>
      </c>
      <c r="L4195" s="26"/>
    </row>
    <row r="4196" spans="1:12">
      <c r="A4196" s="20" t="s">
        <v>676</v>
      </c>
      <c r="E4196" s="21">
        <f>IF(D4196="?OLD","!!!","")</f>
        <v/>
      </c>
      <c r="F4196" s="22" t="str">
        <f>IF(OR(E4196="",E4196="!!!"),"",IF(NOT(ISNA(VLOOKUP(E4196,E$1:E4195,1,FALSE()))),"OLD",IF(AND(E4196&lt;&gt;"",E4196&lt;&gt;"!!!"),"NEW","")))</f>
        <v> </v>
      </c>
      <c r="G4196" s="23" t="str">
        <f>IF(OR(E4196="",E4196="!!!"),"",IF(OR(J4196=0,AND(J4196=1,K4196=1),AND(J4196=1,I4196="SBJ"),AND(J4196=1,I4196=0)),"?IN_FOCUS",IF(J4196&lt;=2,"?ACTIVATED",IF(J4196&lt;&gt;"","?FAMILIAR",IF(F4196="NEW",IF(ISNA(VLOOKUP(E4196,#REF!,1,FALSE())),"?TYPE_IDENTIFIABLE","?REFERENTIAL"),"_")))))</f>
        <v> </v>
      </c>
      <c r="H4196" s="24" t="str">
        <f>IF(J4196&lt;&gt;1,"",IF(I4196="SBJ","CB","?"))</f>
        <v> </v>
      </c>
      <c r="I4196" s="25" t="str">
        <f>IF(OR(E4196="",E4196="!!!",F4196="NEW"),"",INDEX(B4195:B$2,-1+SUMPRODUCT(MAX(ROW(E4195:E$2)*(E4196=E4195:E$2)))))</f>
        <v> </v>
      </c>
      <c r="J4196" s="25" t="str">
        <f>IF(OR(E4196="",E4196="!!!",F4196="NEW"),"",COUNTBLANK(OFFSET(A$1,,,SUMPRODUCT(MAX(ROW(E$2:E4196)*(E4196=E$2:E4196)))))-COUNTBLANK(OFFSET(A$1,,,SUMPRODUCT(MAX(ROW(E$1:E4195)*(E2=E$1:E4195))))))</f>
        <v> </v>
      </c>
      <c r="K4196" s="25" t="str">
        <f>IF(OR(E4196="",E4196="!!!",F4196="NEW"),"",INDEX(J$1:J4195,SUMPRODUCT(MAX(ROW(E$1:E4195)*(E4196=E$1:E4195)))))</f>
        <v> </v>
      </c>
      <c r="L4196" s="26"/>
    </row>
    <row r="4197" spans="1:12">
      <c r="A4197" s="20" t="s">
        <v>306</v>
      </c>
      <c r="E4197" s="21">
        <f>IF(D4197="?OLD","!!!","")</f>
        <v/>
      </c>
      <c r="F4197" s="22" t="str">
        <f>IF(OR(E4197="",E4197="!!!"),"",IF(NOT(ISNA(VLOOKUP(E4197,E$1:E4196,1,FALSE()))),"OLD",IF(AND(E4197&lt;&gt;"",E4197&lt;&gt;"!!!"),"NEW","")))</f>
        <v> </v>
      </c>
      <c r="G4197" s="23" t="str">
        <f>IF(OR(E4197="",E4197="!!!"),"",IF(OR(J4197=0,AND(J4197=1,K4197=1),AND(J4197=1,I4197="SBJ"),AND(J4197=1,I4197=0)),"?IN_FOCUS",IF(J4197&lt;=2,"?ACTIVATED",IF(J4197&lt;&gt;"","?FAMILIAR",IF(F4197="NEW",IF(ISNA(VLOOKUP(E4197,#REF!,1,FALSE())),"?TYPE_IDENTIFIABLE","?REFERENTIAL"),"_")))))</f>
        <v> </v>
      </c>
      <c r="H4197" s="24" t="str">
        <f>IF(J4197&lt;&gt;1,"",IF(I4197="SBJ","CB","?"))</f>
        <v> </v>
      </c>
      <c r="I4197" s="25" t="str">
        <f>IF(OR(E4197="",E4197="!!!",F4197="NEW"),"",INDEX(B4196:B$2,-1+SUMPRODUCT(MAX(ROW(E4196:E$2)*(E4197=E4196:E$2)))))</f>
        <v> </v>
      </c>
      <c r="J4197" s="25" t="str">
        <f>IF(OR(E4197="",E4197="!!!",F4197="NEW"),"",COUNTBLANK(OFFSET(A$1,,,SUMPRODUCT(MAX(ROW(E$2:E4197)*(E4197=E$2:E4197)))))-COUNTBLANK(OFFSET(A$1,,,SUMPRODUCT(MAX(ROW(E$1:E4196)*(E2=E$1:E4196))))))</f>
        <v> </v>
      </c>
      <c r="K4197" s="25" t="str">
        <f>IF(OR(E4197="",E4197="!!!",F4197="NEW"),"",INDEX(J$1:J4196,SUMPRODUCT(MAX(ROW(E$1:E4196)*(E4197=E$1:E4196)))))</f>
        <v> </v>
      </c>
      <c r="L4197" s="26"/>
    </row>
    <row r="4198" spans="1:12">
      <c r="A4198" s="20" t="s">
        <v>1941</v>
      </c>
      <c r="B4198" s="27" t="s">
        <v>696</v>
      </c>
      <c r="C4198" s="27" t="s">
        <v>693</v>
      </c>
      <c r="D4198" s="27" t="s">
        <v>687</v>
      </c>
      <c r="E4198" s="21">
        <f>IF(D4198="?OLD","!!!","")</f>
        <v/>
      </c>
      <c r="F4198" s="22" t="str">
        <f>IF(OR(E4198="",E4198="!!!"),"",IF(NOT(ISNA(VLOOKUP(E4198,E$1:E4197,1,FALSE()))),"OLD",IF(AND(E4198&lt;&gt;"",E4198&lt;&gt;"!!!"),"NEW","")))</f>
        <v> </v>
      </c>
      <c r="G4198" s="23" t="str">
        <f>IF(OR(E4198="",E4198="!!!"),"",IF(OR(J4198=0,AND(J4198=1,K4198=1),AND(J4198=1,I4198="SBJ"),AND(J4198=1,I4198=0)),"?IN_FOCUS",IF(J4198&lt;=2,"?ACTIVATED",IF(J4198&lt;&gt;"","?FAMILIAR",IF(F4198="NEW",IF(ISNA(VLOOKUP(E4198,#REF!,1,FALSE())),"?TYPE_IDENTIFIABLE","?REFERENTIAL"),"_")))))</f>
        <v> </v>
      </c>
      <c r="H4198" s="24" t="str">
        <f>IF(J4198&lt;&gt;1,"",IF(I4198="SBJ","CB","?"))</f>
        <v> </v>
      </c>
      <c r="I4198" s="25" t="str">
        <f>IF(OR(E4198="",E4198="!!!",F4198="NEW"),"",INDEX(B4197:B$2,-1+SUMPRODUCT(MAX(ROW(E4197:E$2)*(E4198=E4197:E$2)))))</f>
        <v> </v>
      </c>
      <c r="J4198" s="25" t="str">
        <f>IF(OR(E4198="",E4198="!!!",F4198="NEW"),"",COUNTBLANK(OFFSET(A$1,,,SUMPRODUCT(MAX(ROW(E$2:E4198)*(E4198=E$2:E4198)))))-COUNTBLANK(OFFSET(A$1,,,SUMPRODUCT(MAX(ROW(E$1:E4197)*(E2=E$1:E4197))))))</f>
        <v> </v>
      </c>
      <c r="K4198" s="25" t="str">
        <f>IF(OR(E4198="",E4198="!!!",F4198="NEW"),"",INDEX(J$1:J4197,SUMPRODUCT(MAX(ROW(E$1:E4197)*(E4198=E$1:E4197)))))</f>
        <v> </v>
      </c>
      <c r="L4198" s="26"/>
    </row>
    <row r="4199" spans="1:12">
      <c r="A4199" s="20" t="s">
        <v>694</v>
      </c>
      <c r="E4199" s="21">
        <f>IF(D4199="?OLD","!!!","")</f>
        <v/>
      </c>
      <c r="F4199" s="22" t="str">
        <f>IF(OR(E4199="",E4199="!!!"),"",IF(NOT(ISNA(VLOOKUP(E4199,E$1:E4198,1,FALSE()))),"OLD",IF(AND(E4199&lt;&gt;"",E4199&lt;&gt;"!!!"),"NEW","")))</f>
        <v> </v>
      </c>
      <c r="G4199" s="23" t="str">
        <f>IF(OR(E4199="",E4199="!!!"),"",IF(OR(J4199=0,AND(J4199=1,K4199=1),AND(J4199=1,I4199="SBJ"),AND(J4199=1,I4199=0)),"?IN_FOCUS",IF(J4199&lt;=2,"?ACTIVATED",IF(J4199&lt;&gt;"","?FAMILIAR",IF(F4199="NEW",IF(ISNA(VLOOKUP(E4199,#REF!,1,FALSE())),"?TYPE_IDENTIFIABLE","?REFERENTIAL"),"_")))))</f>
        <v> </v>
      </c>
      <c r="H4199" s="24" t="str">
        <f>IF(J4199&lt;&gt;1,"",IF(I4199="SBJ","CB","?"))</f>
        <v> </v>
      </c>
      <c r="I4199" s="25" t="str">
        <f>IF(OR(E4199="",E4199="!!!",F4199="NEW"),"",INDEX(B4198:B$2,-1+SUMPRODUCT(MAX(ROW(E4198:E$2)*(E4199=E4198:E$2)))))</f>
        <v> </v>
      </c>
      <c r="J4199" s="25" t="str">
        <f>IF(OR(E4199="",E4199="!!!",F4199="NEW"),"",COUNTBLANK(OFFSET(A$1,,,SUMPRODUCT(MAX(ROW(E$2:E4199)*(E4199=E$2:E4199)))))-COUNTBLANK(OFFSET(A$1,,,SUMPRODUCT(MAX(ROW(E$1:E4198)*(E2=E$1:E4198))))))</f>
        <v> </v>
      </c>
      <c r="K4199" s="25" t="str">
        <f>IF(OR(E4199="",E4199="!!!",F4199="NEW"),"",INDEX(J$1:J4198,SUMPRODUCT(MAX(ROW(E$1:E4198)*(E4199=E$1:E4198)))))</f>
        <v> </v>
      </c>
      <c r="L4199" s="26"/>
    </row>
    <row r="4200" spans="1:12">
      <c r="A4200" s="20" t="s">
        <v>1222</v>
      </c>
      <c r="B4200" s="27" t="s">
        <v>724</v>
      </c>
      <c r="C4200" s="27" t="s">
        <v>679</v>
      </c>
      <c r="E4200" s="21">
        <f>IF(D4200="?OLD","!!!","")</f>
        <v/>
      </c>
      <c r="F4200" s="22" t="str">
        <f>IF(OR(E4200="",E4200="!!!"),"",IF(NOT(ISNA(VLOOKUP(E4200,E$1:E4199,1,FALSE()))),"OLD",IF(AND(E4200&lt;&gt;"",E4200&lt;&gt;"!!!"),"NEW","")))</f>
        <v> </v>
      </c>
      <c r="G4200" s="23" t="str">
        <f>IF(OR(E4200="",E4200="!!!"),"",IF(OR(J4200=0,AND(J4200=1,K4200=1),AND(J4200=1,I4200="SBJ"),AND(J4200=1,I4200=0)),"?IN_FOCUS",IF(J4200&lt;=2,"?ACTIVATED",IF(J4200&lt;&gt;"","?FAMILIAR",IF(F4200="NEW",IF(ISNA(VLOOKUP(E4200,#REF!,1,FALSE())),"?TYPE_IDENTIFIABLE","?REFERENTIAL"),"_")))))</f>
        <v> </v>
      </c>
      <c r="H4200" s="24" t="str">
        <f>IF(J4200&lt;&gt;1,"",IF(I4200="SBJ","CB","?"))</f>
        <v> </v>
      </c>
      <c r="I4200" s="25" t="str">
        <f>IF(OR(E4200="",E4200="!!!",F4200="NEW"),"",INDEX(B4199:B$2,-1+SUMPRODUCT(MAX(ROW(E4199:E$2)*(E4200=E4199:E$2)))))</f>
        <v> </v>
      </c>
      <c r="J4200" s="25" t="str">
        <f>IF(OR(E4200="",E4200="!!!",F4200="NEW"),"",COUNTBLANK(OFFSET(A$1,,,SUMPRODUCT(MAX(ROW(E$2:E4200)*(E4200=E$2:E4200)))))-COUNTBLANK(OFFSET(A$1,,,SUMPRODUCT(MAX(ROW(E$1:E4199)*(E2=E$1:E4199))))))</f>
        <v> </v>
      </c>
      <c r="K4200" s="25" t="str">
        <f>IF(OR(E4200="",E4200="!!!",F4200="NEW"),"",INDEX(J$1:J4199,SUMPRODUCT(MAX(ROW(E$1:E4199)*(E4200=E$1:E4199)))))</f>
        <v> </v>
      </c>
      <c r="L4200" s="26"/>
    </row>
    <row r="4201" spans="1:12">
      <c r="A4201" s="20" t="s">
        <v>703</v>
      </c>
      <c r="E4201" s="21">
        <f>IF(D4201="?OLD","!!!","")</f>
        <v/>
      </c>
      <c r="F4201" s="22" t="str">
        <f>IF(OR(E4201="",E4201="!!!"),"",IF(NOT(ISNA(VLOOKUP(E4201,E$1:E4200,1,FALSE()))),"OLD",IF(AND(E4201&lt;&gt;"",E4201&lt;&gt;"!!!"),"NEW","")))</f>
        <v> </v>
      </c>
      <c r="G4201" s="23" t="str">
        <f>IF(OR(E4201="",E4201="!!!"),"",IF(OR(J4201=0,AND(J4201=1,K4201=1),AND(J4201=1,I4201="SBJ"),AND(J4201=1,I4201=0)),"?IN_FOCUS",IF(J4201&lt;=2,"?ACTIVATED",IF(J4201&lt;&gt;"","?FAMILIAR",IF(F4201="NEW",IF(ISNA(VLOOKUP(E4201,#REF!,1,FALSE())),"?TYPE_IDENTIFIABLE","?REFERENTIAL"),"_")))))</f>
        <v> </v>
      </c>
      <c r="H4201" s="24" t="str">
        <f>IF(J4201&lt;&gt;1,"",IF(I4201="SBJ","CB","?"))</f>
        <v> </v>
      </c>
      <c r="I4201" s="25" t="str">
        <f>IF(OR(E4201="",E4201="!!!",F4201="NEW"),"",INDEX(B4200:B$2,-1+SUMPRODUCT(MAX(ROW(E4200:E$2)*(E4201=E4200:E$2)))))</f>
        <v> </v>
      </c>
      <c r="J4201" s="25" t="str">
        <f>IF(OR(E4201="",E4201="!!!",F4201="NEW"),"",COUNTBLANK(OFFSET(A$1,,,SUMPRODUCT(MAX(ROW(E$2:E4201)*(E4201=E$2:E4201)))))-COUNTBLANK(OFFSET(A$1,,,SUMPRODUCT(MAX(ROW(E$1:E4200)*(E2=E$1:E4200))))))</f>
        <v> </v>
      </c>
      <c r="K4201" s="25" t="str">
        <f>IF(OR(E4201="",E4201="!!!",F4201="NEW"),"",INDEX(J$1:J4200,SUMPRODUCT(MAX(ROW(E$1:E4200)*(E4201=E$1:E4200)))))</f>
        <v> </v>
      </c>
      <c r="L4201" s="26"/>
    </row>
    <row r="4202" spans="1:12">
      <c r="A4202" s="20" t="s">
        <v>803</v>
      </c>
      <c r="E4202" s="21">
        <f>IF(D4202="?OLD","!!!","")</f>
        <v/>
      </c>
      <c r="F4202" s="22" t="str">
        <f>IF(OR(E4202="",E4202="!!!"),"",IF(NOT(ISNA(VLOOKUP(E4202,E$1:E4201,1,FALSE()))),"OLD",IF(AND(E4202&lt;&gt;"",E4202&lt;&gt;"!!!"),"NEW","")))</f>
        <v> </v>
      </c>
      <c r="G4202" s="23" t="str">
        <f>IF(OR(E4202="",E4202="!!!"),"",IF(OR(J4202=0,AND(J4202=1,K4202=1),AND(J4202=1,I4202="SBJ"),AND(J4202=1,I4202=0)),"?IN_FOCUS",IF(J4202&lt;=2,"?ACTIVATED",IF(J4202&lt;&gt;"","?FAMILIAR",IF(F4202="NEW",IF(ISNA(VLOOKUP(E4202,#REF!,1,FALSE())),"?TYPE_IDENTIFIABLE","?REFERENTIAL"),"_")))))</f>
        <v> </v>
      </c>
      <c r="H4202" s="24" t="str">
        <f>IF(J4202&lt;&gt;1,"",IF(I4202="SBJ","CB","?"))</f>
        <v> </v>
      </c>
      <c r="I4202" s="25" t="str">
        <f>IF(OR(E4202="",E4202="!!!",F4202="NEW"),"",INDEX(B4201:B$2,-1+SUMPRODUCT(MAX(ROW(E4201:E$2)*(E4202=E4201:E$2)))))</f>
        <v> </v>
      </c>
      <c r="J4202" s="25" t="str">
        <f>IF(OR(E4202="",E4202="!!!",F4202="NEW"),"",COUNTBLANK(OFFSET(A$1,,,SUMPRODUCT(MAX(ROW(E$2:E4202)*(E4202=E$2:E4202)))))-COUNTBLANK(OFFSET(A$1,,,SUMPRODUCT(MAX(ROW(E$1:E4201)*(E2=E$1:E4201))))))</f>
        <v> </v>
      </c>
      <c r="K4202" s="25" t="str">
        <f>IF(OR(E4202="",E4202="!!!",F4202="NEW"),"",INDEX(J$1:J4201,SUMPRODUCT(MAX(ROW(E$1:E4201)*(E4202=E$1:E4201)))))</f>
        <v> </v>
      </c>
      <c r="L4202" s="26"/>
    </row>
    <row r="4203" spans="1:12">
      <c r="A4203" s="20" t="s">
        <v>732</v>
      </c>
      <c r="E4203" s="21">
        <f>IF(D4203="?OLD","!!!","")</f>
        <v/>
      </c>
      <c r="F4203" s="22" t="str">
        <f>IF(OR(E4203="",E4203="!!!"),"",IF(NOT(ISNA(VLOOKUP(E4203,E$1:E4202,1,FALSE()))),"OLD",IF(AND(E4203&lt;&gt;"",E4203&lt;&gt;"!!!"),"NEW","")))</f>
        <v> </v>
      </c>
      <c r="G4203" s="23" t="str">
        <f>IF(OR(E4203="",E4203="!!!"),"",IF(OR(J4203=0,AND(J4203=1,K4203=1),AND(J4203=1,I4203="SBJ"),AND(J4203=1,I4203=0)),"?IN_FOCUS",IF(J4203&lt;=2,"?ACTIVATED",IF(J4203&lt;&gt;"","?FAMILIAR",IF(F4203="NEW",IF(ISNA(VLOOKUP(E4203,#REF!,1,FALSE())),"?TYPE_IDENTIFIABLE","?REFERENTIAL"),"_")))))</f>
        <v> </v>
      </c>
      <c r="H4203" s="24" t="str">
        <f>IF(J4203&lt;&gt;1,"",IF(I4203="SBJ","CB","?"))</f>
        <v> </v>
      </c>
      <c r="I4203" s="25" t="str">
        <f>IF(OR(E4203="",E4203="!!!",F4203="NEW"),"",INDEX(B4202:B$2,-1+SUMPRODUCT(MAX(ROW(E4202:E$2)*(E4203=E4202:E$2)))))</f>
        <v> </v>
      </c>
      <c r="J4203" s="25" t="str">
        <f>IF(OR(E4203="",E4203="!!!",F4203="NEW"),"",COUNTBLANK(OFFSET(A$1,,,SUMPRODUCT(MAX(ROW(E$2:E4203)*(E4203=E$2:E4203)))))-COUNTBLANK(OFFSET(A$1,,,SUMPRODUCT(MAX(ROW(E$1:E4202)*(E2=E$1:E4202))))))</f>
        <v> </v>
      </c>
      <c r="K4203" s="25" t="str">
        <f>IF(OR(E4203="",E4203="!!!",F4203="NEW"),"",INDEX(J$1:J4202,SUMPRODUCT(MAX(ROW(E$1:E4202)*(E4203=E$1:E4202)))))</f>
        <v> </v>
      </c>
      <c r="L4203" s="26"/>
    </row>
    <row r="4204" spans="1:12">
      <c r="A4204" s="20" t="s">
        <v>1010</v>
      </c>
      <c r="E4204" s="21">
        <f>IF(D4204="?OLD","!!!","")</f>
        <v/>
      </c>
      <c r="F4204" s="22" t="str">
        <f>IF(OR(E4204="",E4204="!!!"),"",IF(NOT(ISNA(VLOOKUP(E4204,E$1:E4203,1,FALSE()))),"OLD",IF(AND(E4204&lt;&gt;"",E4204&lt;&gt;"!!!"),"NEW","")))</f>
        <v> </v>
      </c>
      <c r="G4204" s="23" t="str">
        <f>IF(OR(E4204="",E4204="!!!"),"",IF(OR(J4204=0,AND(J4204=1,K4204=1),AND(J4204=1,I4204="SBJ"),AND(J4204=1,I4204=0)),"?IN_FOCUS",IF(J4204&lt;=2,"?ACTIVATED",IF(J4204&lt;&gt;"","?FAMILIAR",IF(F4204="NEW",IF(ISNA(VLOOKUP(E4204,#REF!,1,FALSE())),"?TYPE_IDENTIFIABLE","?REFERENTIAL"),"_")))))</f>
        <v> </v>
      </c>
      <c r="H4204" s="24" t="str">
        <f>IF(J4204&lt;&gt;1,"",IF(I4204="SBJ","CB","?"))</f>
        <v> </v>
      </c>
      <c r="I4204" s="25" t="str">
        <f>IF(OR(E4204="",E4204="!!!",F4204="NEW"),"",INDEX(B4203:B$2,-1+SUMPRODUCT(MAX(ROW(E4203:E$2)*(E4204=E4203:E$2)))))</f>
        <v> </v>
      </c>
      <c r="J4204" s="25" t="str">
        <f>IF(OR(E4204="",E4204="!!!",F4204="NEW"),"",COUNTBLANK(OFFSET(A$1,,,SUMPRODUCT(MAX(ROW(E$2:E4204)*(E4204=E$2:E4204)))))-COUNTBLANK(OFFSET(A$1,,,SUMPRODUCT(MAX(ROW(E$1:E4203)*(E2=E$1:E4203))))))</f>
        <v> </v>
      </c>
      <c r="K4204" s="25" t="str">
        <f>IF(OR(E4204="",E4204="!!!",F4204="NEW"),"",INDEX(J$1:J4203,SUMPRODUCT(MAX(ROW(E$1:E4203)*(E4204=E$1:E4203)))))</f>
        <v> </v>
      </c>
      <c r="L4204" s="26"/>
    </row>
    <row r="4205" spans="1:12">
      <c r="A4205" s="20" t="s">
        <v>1942</v>
      </c>
      <c r="E4205" s="21">
        <f>IF(D4205="?OLD","!!!","")</f>
        <v/>
      </c>
      <c r="F4205" s="22" t="str">
        <f>IF(OR(E4205="",E4205="!!!"),"",IF(NOT(ISNA(VLOOKUP(E4205,E$1:E4204,1,FALSE()))),"OLD",IF(AND(E4205&lt;&gt;"",E4205&lt;&gt;"!!!"),"NEW","")))</f>
        <v> </v>
      </c>
      <c r="G4205" s="23" t="str">
        <f>IF(OR(E4205="",E4205="!!!"),"",IF(OR(J4205=0,AND(J4205=1,K4205=1),AND(J4205=1,I4205="SBJ"),AND(J4205=1,I4205=0)),"?IN_FOCUS",IF(J4205&lt;=2,"?ACTIVATED",IF(J4205&lt;&gt;"","?FAMILIAR",IF(F4205="NEW",IF(ISNA(VLOOKUP(E4205,#REF!,1,FALSE())),"?TYPE_IDENTIFIABLE","?REFERENTIAL"),"_")))))</f>
        <v> </v>
      </c>
      <c r="H4205" s="24" t="str">
        <f>IF(J4205&lt;&gt;1,"",IF(I4205="SBJ","CB","?"))</f>
        <v> </v>
      </c>
      <c r="I4205" s="25" t="str">
        <f>IF(OR(E4205="",E4205="!!!",F4205="NEW"),"",INDEX(B4204:B$2,-1+SUMPRODUCT(MAX(ROW(E4204:E$2)*(E4205=E4204:E$2)))))</f>
        <v> </v>
      </c>
      <c r="J4205" s="25" t="str">
        <f>IF(OR(E4205="",E4205="!!!",F4205="NEW"),"",COUNTBLANK(OFFSET(A$1,,,SUMPRODUCT(MAX(ROW(E$2:E4205)*(E4205=E$2:E4205)))))-COUNTBLANK(OFFSET(A$1,,,SUMPRODUCT(MAX(ROW(E$1:E4204)*(E2=E$1:E4204))))))</f>
        <v> </v>
      </c>
      <c r="K4205" s="25" t="str">
        <f>IF(OR(E4205="",E4205="!!!",F4205="NEW"),"",INDEX(J$1:J4204,SUMPRODUCT(MAX(ROW(E$1:E4204)*(E4205=E$1:E4204)))))</f>
        <v> </v>
      </c>
      <c r="L4205" s="26"/>
    </row>
    <row r="4206" spans="1:12">
      <c r="A4206" s="20" t="s">
        <v>698</v>
      </c>
      <c r="E4206" s="21">
        <f>IF(D4206="?OLD","!!!","")</f>
        <v/>
      </c>
      <c r="F4206" s="22" t="str">
        <f>IF(OR(E4206="",E4206="!!!"),"",IF(NOT(ISNA(VLOOKUP(E4206,E$1:E4205,1,FALSE()))),"OLD",IF(AND(E4206&lt;&gt;"",E4206&lt;&gt;"!!!"),"NEW","")))</f>
        <v> </v>
      </c>
      <c r="G4206" s="23" t="str">
        <f>IF(OR(E4206="",E4206="!!!"),"",IF(OR(J4206=0,AND(J4206=1,K4206=1),AND(J4206=1,I4206="SBJ"),AND(J4206=1,I4206=0)),"?IN_FOCUS",IF(J4206&lt;=2,"?ACTIVATED",IF(J4206&lt;&gt;"","?FAMILIAR",IF(F4206="NEW",IF(ISNA(VLOOKUP(E4206,#REF!,1,FALSE())),"?TYPE_IDENTIFIABLE","?REFERENTIAL"),"_")))))</f>
        <v> </v>
      </c>
      <c r="H4206" s="24" t="str">
        <f>IF(J4206&lt;&gt;1,"",IF(I4206="SBJ","CB","?"))</f>
        <v> </v>
      </c>
      <c r="I4206" s="25" t="str">
        <f>IF(OR(E4206="",E4206="!!!",F4206="NEW"),"",INDEX(B4205:B$2,-1+SUMPRODUCT(MAX(ROW(E4205:E$2)*(E4206=E4205:E$2)))))</f>
        <v> </v>
      </c>
      <c r="J4206" s="25" t="str">
        <f>IF(OR(E4206="",E4206="!!!",F4206="NEW"),"",COUNTBLANK(OFFSET(A$1,,,SUMPRODUCT(MAX(ROW(E$2:E4206)*(E4206=E$2:E4206)))))-COUNTBLANK(OFFSET(A$1,,,SUMPRODUCT(MAX(ROW(E$1:E4205)*(E2=E$1:E4205))))))</f>
        <v> </v>
      </c>
      <c r="K4206" s="25" t="str">
        <f>IF(OR(E4206="",E4206="!!!",F4206="NEW"),"",INDEX(J$1:J4205,SUMPRODUCT(MAX(ROW(E$1:E4205)*(E4206=E$1:E4205)))))</f>
        <v> </v>
      </c>
      <c r="L4206" s="26"/>
    </row>
    <row r="4207" spans="1:12">
      <c r="A4207" s="20"/>
    </row>
    <row r="4208" spans="1:12">
      <c r="A4208" s="20" t="s">
        <v>1943</v>
      </c>
    </row>
    <row r="4209" spans="1:12">
      <c r="A4209" s="20" t="s">
        <v>1944</v>
      </c>
      <c r="B4209" s="27" t="s">
        <v>787</v>
      </c>
      <c r="C4209" s="27" t="s">
        <v>749</v>
      </c>
      <c r="D4209" s="27" t="s">
        <v>687</v>
      </c>
      <c r="E4209" s="21">
        <f>IF(D4209="?OLD","!!!","")</f>
        <v/>
      </c>
      <c r="F4209" s="22" t="str">
        <f>IF(OR(E4209="",E4209="!!!"),"",IF(NOT(ISNA(VLOOKUP(E4209,E$1:E4208,1,FALSE()))),"OLD",IF(AND(E4209&lt;&gt;"",E4209&lt;&gt;"!!!"),"NEW","")))</f>
        <v> </v>
      </c>
      <c r="G4209" s="23" t="str">
        <f>IF(OR(E4209="",E4209="!!!"),"",IF(OR(J4209=0,AND(J4209=1,K4209=1),AND(J4209=1,I4209="SBJ"),AND(J4209=1,I4209=0)),"?IN_FOCUS",IF(J4209&lt;=2,"?ACTIVATED",IF(J4209&lt;&gt;"","?FAMILIAR",IF(F4209="NEW",IF(ISNA(VLOOKUP(E4209,#REF!,1,FALSE())),"?TYPE_IDENTIFIABLE","?REFERENTIAL"),"_")))))</f>
        <v> </v>
      </c>
      <c r="H4209" s="24" t="str">
        <f>IF(J4209&lt;&gt;1,"",IF(I4209="SBJ","CB","?"))</f>
        <v> </v>
      </c>
      <c r="I4209" s="25" t="str">
        <f>IF(OR(E4209="",E4209="!!!",F4209="NEW"),"",INDEX(B4208:B$2,-1+SUMPRODUCT(MAX(ROW(E4208:E$2)*(E4209=E4208:E$2)))))</f>
        <v> </v>
      </c>
      <c r="J4209" s="25" t="str">
        <f>IF(OR(E4209="",E4209="!!!",F4209="NEW"),"",COUNTBLANK(OFFSET(A$1,,,SUMPRODUCT(MAX(ROW(E$2:E4209)*(E4209=E$2:E4209)))))-COUNTBLANK(OFFSET(A$1,,,SUMPRODUCT(MAX(ROW(E$1:E4208)*(E2=E$1:E4208))))))</f>
        <v> </v>
      </c>
      <c r="K4209" s="25" t="str">
        <f>IF(OR(E4209="",E4209="!!!",F4209="NEW"),"",INDEX(J$1:J4208,SUMPRODUCT(MAX(ROW(E$1:E4208)*(E4209=E$1:E4208)))))</f>
        <v> </v>
      </c>
      <c r="L4209" s="26"/>
    </row>
    <row r="4210" spans="1:12">
      <c r="A4210" s="20" t="s">
        <v>717</v>
      </c>
      <c r="E4210" s="21">
        <f>IF(D4210="?OLD","!!!","")</f>
        <v/>
      </c>
      <c r="F4210" s="22" t="str">
        <f>IF(OR(E4210="",E4210="!!!"),"",IF(NOT(ISNA(VLOOKUP(E4210,E$1:E4209,1,FALSE()))),"OLD",IF(AND(E4210&lt;&gt;"",E4210&lt;&gt;"!!!"),"NEW","")))</f>
        <v> </v>
      </c>
      <c r="G4210" s="23" t="str">
        <f>IF(OR(E4210="",E4210="!!!"),"",IF(OR(J4210=0,AND(J4210=1,K4210=1),AND(J4210=1,I4210="SBJ"),AND(J4210=1,I4210=0)),"?IN_FOCUS",IF(J4210&lt;=2,"?ACTIVATED",IF(J4210&lt;&gt;"","?FAMILIAR",IF(F4210="NEW",IF(ISNA(VLOOKUP(E4210,#REF!,1,FALSE())),"?TYPE_IDENTIFIABLE","?REFERENTIAL"),"_")))))</f>
        <v> </v>
      </c>
      <c r="H4210" s="24" t="str">
        <f>IF(J4210&lt;&gt;1,"",IF(I4210="SBJ","CB","?"))</f>
        <v> </v>
      </c>
      <c r="I4210" s="25" t="str">
        <f>IF(OR(E4210="",E4210="!!!",F4210="NEW"),"",INDEX(B4209:B$2,-1+SUMPRODUCT(MAX(ROW(E4209:E$2)*(E4210=E4209:E$2)))))</f>
        <v> </v>
      </c>
      <c r="J4210" s="25" t="str">
        <f>IF(OR(E4210="",E4210="!!!",F4210="NEW"),"",COUNTBLANK(OFFSET(A$1,,,SUMPRODUCT(MAX(ROW(E$2:E4210)*(E4210=E$2:E4210)))))-COUNTBLANK(OFFSET(A$1,,,SUMPRODUCT(MAX(ROW(E$1:E4209)*(E2=E$1:E4209))))))</f>
        <v> </v>
      </c>
      <c r="K4210" s="25" t="str">
        <f>IF(OR(E4210="",E4210="!!!",F4210="NEW"),"",INDEX(J$1:J4209,SUMPRODUCT(MAX(ROW(E$1:E4209)*(E4210=E$1:E4209)))))</f>
        <v> </v>
      </c>
      <c r="L4210" s="26"/>
    </row>
    <row r="4211" spans="1:12">
      <c r="A4211" s="20" t="s">
        <v>1010</v>
      </c>
      <c r="E4211" s="21">
        <f>IF(D4211="?OLD","!!!","")</f>
        <v/>
      </c>
      <c r="F4211" s="22" t="str">
        <f>IF(OR(E4211="",E4211="!!!"),"",IF(NOT(ISNA(VLOOKUP(E4211,E$1:E4210,1,FALSE()))),"OLD",IF(AND(E4211&lt;&gt;"",E4211&lt;&gt;"!!!"),"NEW","")))</f>
        <v> </v>
      </c>
      <c r="G4211" s="23" t="str">
        <f>IF(OR(E4211="",E4211="!!!"),"",IF(OR(J4211=0,AND(J4211=1,K4211=1),AND(J4211=1,I4211="SBJ"),AND(J4211=1,I4211=0)),"?IN_FOCUS",IF(J4211&lt;=2,"?ACTIVATED",IF(J4211&lt;&gt;"","?FAMILIAR",IF(F4211="NEW",IF(ISNA(VLOOKUP(E4211,#REF!,1,FALSE())),"?TYPE_IDENTIFIABLE","?REFERENTIAL"),"_")))))</f>
        <v> </v>
      </c>
      <c r="H4211" s="24" t="str">
        <f>IF(J4211&lt;&gt;1,"",IF(I4211="SBJ","CB","?"))</f>
        <v> </v>
      </c>
      <c r="I4211" s="25" t="str">
        <f>IF(OR(E4211="",E4211="!!!",F4211="NEW"),"",INDEX(B4210:B$2,-1+SUMPRODUCT(MAX(ROW(E4210:E$2)*(E4211=E4210:E$2)))))</f>
        <v> </v>
      </c>
      <c r="J4211" s="25" t="str">
        <f>IF(OR(E4211="",E4211="!!!",F4211="NEW"),"",COUNTBLANK(OFFSET(A$1,,,SUMPRODUCT(MAX(ROW(E$2:E4211)*(E4211=E$2:E4211)))))-COUNTBLANK(OFFSET(A$1,,,SUMPRODUCT(MAX(ROW(E$1:E4210)*(E2=E$1:E4210))))))</f>
        <v> </v>
      </c>
      <c r="K4211" s="25" t="str">
        <f>IF(OR(E4211="",E4211="!!!",F4211="NEW"),"",INDEX(J$1:J4210,SUMPRODUCT(MAX(ROW(E$1:E4210)*(E4211=E$1:E4210)))))</f>
        <v> </v>
      </c>
      <c r="L4211" s="26"/>
    </row>
    <row r="4212" spans="1:12">
      <c r="A4212" s="20" t="s">
        <v>683</v>
      </c>
      <c r="E4212" s="21">
        <f>IF(D4212="?OLD","!!!","")</f>
        <v/>
      </c>
      <c r="F4212" s="22" t="str">
        <f>IF(OR(E4212="",E4212="!!!"),"",IF(NOT(ISNA(VLOOKUP(E4212,E$1:E4211,1,FALSE()))),"OLD",IF(AND(E4212&lt;&gt;"",E4212&lt;&gt;"!!!"),"NEW","")))</f>
        <v> </v>
      </c>
      <c r="G4212" s="23" t="str">
        <f>IF(OR(E4212="",E4212="!!!"),"",IF(OR(J4212=0,AND(J4212=1,K4212=1),AND(J4212=1,I4212="SBJ"),AND(J4212=1,I4212=0)),"?IN_FOCUS",IF(J4212&lt;=2,"?ACTIVATED",IF(J4212&lt;&gt;"","?FAMILIAR",IF(F4212="NEW",IF(ISNA(VLOOKUP(E4212,#REF!,1,FALSE())),"?TYPE_IDENTIFIABLE","?REFERENTIAL"),"_")))))</f>
        <v> </v>
      </c>
      <c r="H4212" s="24" t="str">
        <f>IF(J4212&lt;&gt;1,"",IF(I4212="SBJ","CB","?"))</f>
        <v> </v>
      </c>
      <c r="I4212" s="25" t="str">
        <f>IF(OR(E4212="",E4212="!!!",F4212="NEW"),"",INDEX(B4211:B$2,-1+SUMPRODUCT(MAX(ROW(E4211:E$2)*(E4212=E4211:E$2)))))</f>
        <v> </v>
      </c>
      <c r="J4212" s="25" t="str">
        <f>IF(OR(E4212="",E4212="!!!",F4212="NEW"),"",COUNTBLANK(OFFSET(A$1,,,SUMPRODUCT(MAX(ROW(E$2:E4212)*(E4212=E$2:E4212)))))-COUNTBLANK(OFFSET(A$1,,,SUMPRODUCT(MAX(ROW(E$1:E4211)*(E2=E$1:E4211))))))</f>
        <v> </v>
      </c>
      <c r="K4212" s="25" t="str">
        <f>IF(OR(E4212="",E4212="!!!",F4212="NEW"),"",INDEX(J$1:J4211,SUMPRODUCT(MAX(ROW(E$1:E4211)*(E4212=E$1:E4211)))))</f>
        <v> </v>
      </c>
      <c r="L4212" s="26"/>
    </row>
    <row r="4213" spans="1:12">
      <c r="A4213" s="20" t="s">
        <v>1945</v>
      </c>
      <c r="E4213" s="21">
        <f>IF(D4213="?OLD","!!!","")</f>
        <v/>
      </c>
      <c r="F4213" s="22" t="str">
        <f>IF(OR(E4213="",E4213="!!!"),"",IF(NOT(ISNA(VLOOKUP(E4213,E$1:E4212,1,FALSE()))),"OLD",IF(AND(E4213&lt;&gt;"",E4213&lt;&gt;"!!!"),"NEW","")))</f>
        <v> </v>
      </c>
      <c r="G4213" s="23" t="str">
        <f>IF(OR(E4213="",E4213="!!!"),"",IF(OR(J4213=0,AND(J4213=1,K4213=1),AND(J4213=1,I4213="SBJ"),AND(J4213=1,I4213=0)),"?IN_FOCUS",IF(J4213&lt;=2,"?ACTIVATED",IF(J4213&lt;&gt;"","?FAMILIAR",IF(F4213="NEW",IF(ISNA(VLOOKUP(E4213,#REF!,1,FALSE())),"?TYPE_IDENTIFIABLE","?REFERENTIAL"),"_")))))</f>
        <v> </v>
      </c>
      <c r="H4213" s="24" t="str">
        <f>IF(J4213&lt;&gt;1,"",IF(I4213="SBJ","CB","?"))</f>
        <v> </v>
      </c>
      <c r="I4213" s="25" t="str">
        <f>IF(OR(E4213="",E4213="!!!",F4213="NEW"),"",INDEX(B4212:B$2,-1+SUMPRODUCT(MAX(ROW(E4212:E$2)*(E4213=E4212:E$2)))))</f>
        <v> </v>
      </c>
      <c r="J4213" s="25" t="str">
        <f>IF(OR(E4213="",E4213="!!!",F4213="NEW"),"",COUNTBLANK(OFFSET(A$1,,,SUMPRODUCT(MAX(ROW(E$2:E4213)*(E4213=E$2:E4213)))))-COUNTBLANK(OFFSET(A$1,,,SUMPRODUCT(MAX(ROW(E$1:E4212)*(E2=E$1:E4212))))))</f>
        <v> </v>
      </c>
      <c r="K4213" s="25" t="str">
        <f>IF(OR(E4213="",E4213="!!!",F4213="NEW"),"",INDEX(J$1:J4212,SUMPRODUCT(MAX(ROW(E$1:E4212)*(E4213=E$1:E4212)))))</f>
        <v> </v>
      </c>
      <c r="L4213" s="26"/>
    </row>
    <row r="4214" spans="1:12">
      <c r="A4214" s="20" t="s">
        <v>958</v>
      </c>
      <c r="E4214" s="21">
        <f>IF(D4214="?OLD","!!!","")</f>
        <v/>
      </c>
      <c r="F4214" s="22" t="str">
        <f>IF(OR(E4214="",E4214="!!!"),"",IF(NOT(ISNA(VLOOKUP(E4214,E$1:E4213,1,FALSE()))),"OLD",IF(AND(E4214&lt;&gt;"",E4214&lt;&gt;"!!!"),"NEW","")))</f>
        <v> </v>
      </c>
      <c r="G4214" s="23" t="str">
        <f>IF(OR(E4214="",E4214="!!!"),"",IF(OR(J4214=0,AND(J4214=1,K4214=1),AND(J4214=1,I4214="SBJ"),AND(J4214=1,I4214=0)),"?IN_FOCUS",IF(J4214&lt;=2,"?ACTIVATED",IF(J4214&lt;&gt;"","?FAMILIAR",IF(F4214="NEW",IF(ISNA(VLOOKUP(E4214,#REF!,1,FALSE())),"?TYPE_IDENTIFIABLE","?REFERENTIAL"),"_")))))</f>
        <v> </v>
      </c>
      <c r="H4214" s="24" t="str">
        <f>IF(J4214&lt;&gt;1,"",IF(I4214="SBJ","CB","?"))</f>
        <v> </v>
      </c>
      <c r="I4214" s="25" t="str">
        <f>IF(OR(E4214="",E4214="!!!",F4214="NEW"),"",INDEX(B4213:B$2,-1+SUMPRODUCT(MAX(ROW(E4213:E$2)*(E4214=E4213:E$2)))))</f>
        <v> </v>
      </c>
      <c r="J4214" s="25" t="str">
        <f>IF(OR(E4214="",E4214="!!!",F4214="NEW"),"",COUNTBLANK(OFFSET(A$1,,,SUMPRODUCT(MAX(ROW(E$2:E4214)*(E4214=E$2:E4214)))))-COUNTBLANK(OFFSET(A$1,,,SUMPRODUCT(MAX(ROW(E$1:E4213)*(E2=E$1:E4213))))))</f>
        <v> </v>
      </c>
      <c r="K4214" s="25" t="str">
        <f>IF(OR(E4214="",E4214="!!!",F4214="NEW"),"",INDEX(J$1:J4213,SUMPRODUCT(MAX(ROW(E$1:E4213)*(E4214=E$1:E4213)))))</f>
        <v> </v>
      </c>
      <c r="L4214" s="26"/>
    </row>
    <row r="4215" spans="1:12">
      <c r="A4215" s="20" t="s">
        <v>1946</v>
      </c>
      <c r="B4215" s="27" t="s">
        <v>791</v>
      </c>
      <c r="C4215" s="27" t="s">
        <v>686</v>
      </c>
      <c r="D4215" s="27" t="s">
        <v>687</v>
      </c>
      <c r="E4215" s="21">
        <f>IF(D4215="?OLD","!!!","")</f>
        <v/>
      </c>
      <c r="F4215" s="22" t="str">
        <f>IF(OR(E4215="",E4215="!!!"),"",IF(NOT(ISNA(VLOOKUP(E4215,E$1:E4214,1,FALSE()))),"OLD",IF(AND(E4215&lt;&gt;"",E4215&lt;&gt;"!!!"),"NEW","")))</f>
        <v> </v>
      </c>
      <c r="G4215" s="23" t="str">
        <f>IF(OR(E4215="",E4215="!!!"),"",IF(OR(J4215=0,AND(J4215=1,K4215=1),AND(J4215=1,I4215="SBJ"),AND(J4215=1,I4215=0)),"?IN_FOCUS",IF(J4215&lt;=2,"?ACTIVATED",IF(J4215&lt;&gt;"","?FAMILIAR",IF(F4215="NEW",IF(ISNA(VLOOKUP(E4215,#REF!,1,FALSE())),"?TYPE_IDENTIFIABLE","?REFERENTIAL"),"_")))))</f>
        <v> </v>
      </c>
      <c r="H4215" s="24" t="str">
        <f>IF(J4215&lt;&gt;1,"",IF(I4215="SBJ","CB","?"))</f>
        <v> </v>
      </c>
      <c r="I4215" s="25" t="str">
        <f>IF(OR(E4215="",E4215="!!!",F4215="NEW"),"",INDEX(B4214:B$2,-1+SUMPRODUCT(MAX(ROW(E4214:E$2)*(E4215=E4214:E$2)))))</f>
        <v> </v>
      </c>
      <c r="J4215" s="25" t="str">
        <f>IF(OR(E4215="",E4215="!!!",F4215="NEW"),"",COUNTBLANK(OFFSET(A$1,,,SUMPRODUCT(MAX(ROW(E$2:E4215)*(E4215=E$2:E4215)))))-COUNTBLANK(OFFSET(A$1,,,SUMPRODUCT(MAX(ROW(E$1:E4214)*(E2=E$1:E4214))))))</f>
        <v> </v>
      </c>
      <c r="K4215" s="25" t="str">
        <f>IF(OR(E4215="",E4215="!!!",F4215="NEW"),"",INDEX(J$1:J4214,SUMPRODUCT(MAX(ROW(E$1:E4214)*(E4215=E$1:E4214)))))</f>
        <v> </v>
      </c>
      <c r="L4215" s="26"/>
    </row>
    <row r="4216" spans="1:12">
      <c r="A4216" s="20" t="s">
        <v>1947</v>
      </c>
      <c r="E4216" s="21">
        <f>IF(D4216="?OLD","!!!","")</f>
        <v/>
      </c>
      <c r="F4216" s="22" t="str">
        <f>IF(OR(E4216="",E4216="!!!"),"",IF(NOT(ISNA(VLOOKUP(E4216,E$1:E4215,1,FALSE()))),"OLD",IF(AND(E4216&lt;&gt;"",E4216&lt;&gt;"!!!"),"NEW","")))</f>
        <v> </v>
      </c>
      <c r="G4216" s="23" t="str">
        <f>IF(OR(E4216="",E4216="!!!"),"",IF(OR(J4216=0,AND(J4216=1,K4216=1),AND(J4216=1,I4216="SBJ"),AND(J4216=1,I4216=0)),"?IN_FOCUS",IF(J4216&lt;=2,"?ACTIVATED",IF(J4216&lt;&gt;"","?FAMILIAR",IF(F4216="NEW",IF(ISNA(VLOOKUP(E4216,#REF!,1,FALSE())),"?TYPE_IDENTIFIABLE","?REFERENTIAL"),"_")))))</f>
        <v> </v>
      </c>
      <c r="H4216" s="24" t="str">
        <f>IF(J4216&lt;&gt;1,"",IF(I4216="SBJ","CB","?"))</f>
        <v> </v>
      </c>
      <c r="I4216" s="25" t="str">
        <f>IF(OR(E4216="",E4216="!!!",F4216="NEW"),"",INDEX(B4215:B$2,-1+SUMPRODUCT(MAX(ROW(E4215:E$2)*(E4216=E4215:E$2)))))</f>
        <v> </v>
      </c>
      <c r="J4216" s="25" t="str">
        <f>IF(OR(E4216="",E4216="!!!",F4216="NEW"),"",COUNTBLANK(OFFSET(A$1,,,SUMPRODUCT(MAX(ROW(E$2:E4216)*(E4216=E$2:E4216)))))-COUNTBLANK(OFFSET(A$1,,,SUMPRODUCT(MAX(ROW(E$1:E4215)*(E2=E$1:E4215))))))</f>
        <v> </v>
      </c>
      <c r="K4216" s="25" t="str">
        <f>IF(OR(E4216="",E4216="!!!",F4216="NEW"),"",INDEX(J$1:J4215,SUMPRODUCT(MAX(ROW(E$1:E4215)*(E4216=E$1:E4215)))))</f>
        <v> </v>
      </c>
      <c r="L4216" s="26"/>
    </row>
    <row r="4217" spans="1:12">
      <c r="A4217" s="20" t="s">
        <v>698</v>
      </c>
      <c r="E4217" s="21">
        <f>IF(D4217="?OLD","!!!","")</f>
        <v/>
      </c>
      <c r="F4217" s="22" t="str">
        <f>IF(OR(E4217="",E4217="!!!"),"",IF(NOT(ISNA(VLOOKUP(E4217,E$1:E4216,1,FALSE()))),"OLD",IF(AND(E4217&lt;&gt;"",E4217&lt;&gt;"!!!"),"NEW","")))</f>
        <v> </v>
      </c>
      <c r="G4217" s="23" t="str">
        <f>IF(OR(E4217="",E4217="!!!"),"",IF(OR(J4217=0,AND(J4217=1,K4217=1),AND(J4217=1,I4217="SBJ"),AND(J4217=1,I4217=0)),"?IN_FOCUS",IF(J4217&lt;=2,"?ACTIVATED",IF(J4217&lt;&gt;"","?FAMILIAR",IF(F4217="NEW",IF(ISNA(VLOOKUP(E4217,#REF!,1,FALSE())),"?TYPE_IDENTIFIABLE","?REFERENTIAL"),"_")))))</f>
        <v> </v>
      </c>
      <c r="H4217" s="24" t="str">
        <f>IF(J4217&lt;&gt;1,"",IF(I4217="SBJ","CB","?"))</f>
        <v> </v>
      </c>
      <c r="I4217" s="25" t="str">
        <f>IF(OR(E4217="",E4217="!!!",F4217="NEW"),"",INDEX(B4216:B$2,-1+SUMPRODUCT(MAX(ROW(E4216:E$2)*(E4217=E4216:E$2)))))</f>
        <v> </v>
      </c>
      <c r="J4217" s="25" t="str">
        <f>IF(OR(E4217="",E4217="!!!",F4217="NEW"),"",COUNTBLANK(OFFSET(A$1,,,SUMPRODUCT(MAX(ROW(E$2:E4217)*(E4217=E$2:E4217)))))-COUNTBLANK(OFFSET(A$1,,,SUMPRODUCT(MAX(ROW(E$1:E4216)*(E2=E$1:E4216))))))</f>
        <v> </v>
      </c>
      <c r="K4217" s="25" t="str">
        <f>IF(OR(E4217="",E4217="!!!",F4217="NEW"),"",INDEX(J$1:J4216,SUMPRODUCT(MAX(ROW(E$1:E4216)*(E4217=E$1:E4216)))))</f>
        <v> </v>
      </c>
      <c r="L4217" s="26"/>
    </row>
    <row r="4218" spans="1:12">
      <c r="A4218" s="20"/>
    </row>
    <row r="4219" spans="1:12">
      <c r="A4219" s="20" t="s">
        <v>1948</v>
      </c>
    </row>
    <row r="4220" spans="1:12">
      <c r="A4220" s="20" t="s">
        <v>1009</v>
      </c>
      <c r="B4220" s="27" t="s">
        <v>685</v>
      </c>
      <c r="C4220" s="27" t="s">
        <v>749</v>
      </c>
      <c r="D4220" s="27" t="s">
        <v>687</v>
      </c>
      <c r="E4220" s="21">
        <f>IF(D4220="?OLD","!!!","")</f>
        <v/>
      </c>
      <c r="F4220" s="22" t="str">
        <f>IF(OR(E4220="",E4220="!!!"),"",IF(NOT(ISNA(VLOOKUP(E4220,E$1:E4219,1,FALSE()))),"OLD",IF(AND(E4220&lt;&gt;"",E4220&lt;&gt;"!!!"),"NEW","")))</f>
        <v> </v>
      </c>
      <c r="G4220" s="23" t="str">
        <f>IF(OR(E4220="",E4220="!!!"),"",IF(OR(J4220=0,AND(J4220=1,K4220=1),AND(J4220=1,I4220="SBJ"),AND(J4220=1,I4220=0)),"?IN_FOCUS",IF(J4220&lt;=2,"?ACTIVATED",IF(J4220&lt;&gt;"","?FAMILIAR",IF(F4220="NEW",IF(ISNA(VLOOKUP(E4220,#REF!,1,FALSE())),"?TYPE_IDENTIFIABLE","?REFERENTIAL"),"_")))))</f>
        <v> </v>
      </c>
      <c r="H4220" s="24" t="str">
        <f>IF(J4220&lt;&gt;1,"",IF(I4220="SBJ","CB","?"))</f>
        <v> </v>
      </c>
      <c r="I4220" s="25" t="str">
        <f>IF(OR(E4220="",E4220="!!!",F4220="NEW"),"",INDEX(B4219:B$2,-1+SUMPRODUCT(MAX(ROW(E4219:E$2)*(E4220=E4219:E$2)))))</f>
        <v> </v>
      </c>
      <c r="J4220" s="25" t="str">
        <f>IF(OR(E4220="",E4220="!!!",F4220="NEW"),"",COUNTBLANK(OFFSET(A$1,,,SUMPRODUCT(MAX(ROW(E$2:E4220)*(E4220=E$2:E4220)))))-COUNTBLANK(OFFSET(A$1,,,SUMPRODUCT(MAX(ROW(E$1:E4219)*(E2=E$1:E4219))))))</f>
        <v> </v>
      </c>
      <c r="K4220" s="25" t="str">
        <f>IF(OR(E4220="",E4220="!!!",F4220="NEW"),"",INDEX(J$1:J4219,SUMPRODUCT(MAX(ROW(E$1:E4219)*(E4220=E$1:E4219)))))</f>
        <v> </v>
      </c>
      <c r="L4220" s="26"/>
    </row>
    <row r="4221" spans="1:12">
      <c r="A4221" s="20" t="s">
        <v>803</v>
      </c>
      <c r="E4221" s="21">
        <f>IF(D4221="?OLD","!!!","")</f>
        <v/>
      </c>
      <c r="F4221" s="22" t="str">
        <f>IF(OR(E4221="",E4221="!!!"),"",IF(NOT(ISNA(VLOOKUP(E4221,E$1:E4220,1,FALSE()))),"OLD",IF(AND(E4221&lt;&gt;"",E4221&lt;&gt;"!!!"),"NEW","")))</f>
        <v> </v>
      </c>
      <c r="G4221" s="23" t="str">
        <f>IF(OR(E4221="",E4221="!!!"),"",IF(OR(J4221=0,AND(J4221=1,K4221=1),AND(J4221=1,I4221="SBJ"),AND(J4221=1,I4221=0)),"?IN_FOCUS",IF(J4221&lt;=2,"?ACTIVATED",IF(J4221&lt;&gt;"","?FAMILIAR",IF(F4221="NEW",IF(ISNA(VLOOKUP(E4221,#REF!,1,FALSE())),"?TYPE_IDENTIFIABLE","?REFERENTIAL"),"_")))))</f>
        <v> </v>
      </c>
      <c r="H4221" s="24" t="str">
        <f>IF(J4221&lt;&gt;1,"",IF(I4221="SBJ","CB","?"))</f>
        <v> </v>
      </c>
      <c r="I4221" s="25" t="str">
        <f>IF(OR(E4221="",E4221="!!!",F4221="NEW"),"",INDEX(B4220:B$2,-1+SUMPRODUCT(MAX(ROW(E4220:E$2)*(E4221=E4220:E$2)))))</f>
        <v> </v>
      </c>
      <c r="J4221" s="25" t="str">
        <f>IF(OR(E4221="",E4221="!!!",F4221="NEW"),"",COUNTBLANK(OFFSET(A$1,,,SUMPRODUCT(MAX(ROW(E$2:E4221)*(E4221=E$2:E4221)))))-COUNTBLANK(OFFSET(A$1,,,SUMPRODUCT(MAX(ROW(E$1:E4220)*(E2=E$1:E4220))))))</f>
        <v> </v>
      </c>
      <c r="K4221" s="25" t="str">
        <f>IF(OR(E4221="",E4221="!!!",F4221="NEW"),"",INDEX(J$1:J4220,SUMPRODUCT(MAX(ROW(E$1:E4220)*(E4221=E$1:E4220)))))</f>
        <v> </v>
      </c>
      <c r="L4221" s="26"/>
    </row>
    <row r="4222" spans="1:12">
      <c r="A4222" s="20" t="s">
        <v>732</v>
      </c>
      <c r="E4222" s="21">
        <f>IF(D4222="?OLD","!!!","")</f>
        <v/>
      </c>
      <c r="F4222" s="22" t="str">
        <f>IF(OR(E4222="",E4222="!!!"),"",IF(NOT(ISNA(VLOOKUP(E4222,E$1:E4221,1,FALSE()))),"OLD",IF(AND(E4222&lt;&gt;"",E4222&lt;&gt;"!!!"),"NEW","")))</f>
        <v> </v>
      </c>
      <c r="G4222" s="23" t="str">
        <f>IF(OR(E4222="",E4222="!!!"),"",IF(OR(J4222=0,AND(J4222=1,K4222=1),AND(J4222=1,I4222="SBJ"),AND(J4222=1,I4222=0)),"?IN_FOCUS",IF(J4222&lt;=2,"?ACTIVATED",IF(J4222&lt;&gt;"","?FAMILIAR",IF(F4222="NEW",IF(ISNA(VLOOKUP(E4222,#REF!,1,FALSE())),"?TYPE_IDENTIFIABLE","?REFERENTIAL"),"_")))))</f>
        <v> </v>
      </c>
      <c r="H4222" s="24" t="str">
        <f>IF(J4222&lt;&gt;1,"",IF(I4222="SBJ","CB","?"))</f>
        <v> </v>
      </c>
      <c r="I4222" s="25" t="str">
        <f>IF(OR(E4222="",E4222="!!!",F4222="NEW"),"",INDEX(B4221:B$2,-1+SUMPRODUCT(MAX(ROW(E4221:E$2)*(E4222=E4221:E$2)))))</f>
        <v> </v>
      </c>
      <c r="J4222" s="25" t="str">
        <f>IF(OR(E4222="",E4222="!!!",F4222="NEW"),"",COUNTBLANK(OFFSET(A$1,,,SUMPRODUCT(MAX(ROW(E$2:E4222)*(E4222=E$2:E4222)))))-COUNTBLANK(OFFSET(A$1,,,SUMPRODUCT(MAX(ROW(E$1:E4221)*(E2=E$1:E4221))))))</f>
        <v> </v>
      </c>
      <c r="K4222" s="25" t="str">
        <f>IF(OR(E4222="",E4222="!!!",F4222="NEW"),"",INDEX(J$1:J4221,SUMPRODUCT(MAX(ROW(E$1:E4221)*(E4222=E$1:E4221)))))</f>
        <v> </v>
      </c>
      <c r="L4222" s="26"/>
    </row>
    <row r="4223" spans="1:12">
      <c r="A4223" s="20" t="s">
        <v>1949</v>
      </c>
      <c r="E4223" s="21">
        <f>IF(D4223="?OLD","!!!","")</f>
        <v/>
      </c>
      <c r="F4223" s="22" t="str">
        <f>IF(OR(E4223="",E4223="!!!"),"",IF(NOT(ISNA(VLOOKUP(E4223,E$1:E4222,1,FALSE()))),"OLD",IF(AND(E4223&lt;&gt;"",E4223&lt;&gt;"!!!"),"NEW","")))</f>
        <v> </v>
      </c>
      <c r="G4223" s="23" t="str">
        <f>IF(OR(E4223="",E4223="!!!"),"",IF(OR(J4223=0,AND(J4223=1,K4223=1),AND(J4223=1,I4223="SBJ"),AND(J4223=1,I4223=0)),"?IN_FOCUS",IF(J4223&lt;=2,"?ACTIVATED",IF(J4223&lt;&gt;"","?FAMILIAR",IF(F4223="NEW",IF(ISNA(VLOOKUP(E4223,#REF!,1,FALSE())),"?TYPE_IDENTIFIABLE","?REFERENTIAL"),"_")))))</f>
        <v> </v>
      </c>
      <c r="H4223" s="24" t="str">
        <f>IF(J4223&lt;&gt;1,"",IF(I4223="SBJ","CB","?"))</f>
        <v> </v>
      </c>
      <c r="I4223" s="25" t="str">
        <f>IF(OR(E4223="",E4223="!!!",F4223="NEW"),"",INDEX(B4222:B$2,-1+SUMPRODUCT(MAX(ROW(E4222:E$2)*(E4223=E4222:E$2)))))</f>
        <v> </v>
      </c>
      <c r="J4223" s="25" t="str">
        <f>IF(OR(E4223="",E4223="!!!",F4223="NEW"),"",COUNTBLANK(OFFSET(A$1,,,SUMPRODUCT(MAX(ROW(E$2:E4223)*(E4223=E$2:E4223)))))-COUNTBLANK(OFFSET(A$1,,,SUMPRODUCT(MAX(ROW(E$1:E4222)*(E2=E$1:E4222))))))</f>
        <v> </v>
      </c>
      <c r="K4223" s="25" t="str">
        <f>IF(OR(E4223="",E4223="!!!",F4223="NEW"),"",INDEX(J$1:J4222,SUMPRODUCT(MAX(ROW(E$1:E4222)*(E4223=E$1:E4222)))))</f>
        <v> </v>
      </c>
      <c r="L4223" s="26"/>
    </row>
    <row r="4224" spans="1:12">
      <c r="A4224" s="20" t="s">
        <v>1950</v>
      </c>
      <c r="E4224" s="21">
        <f>IF(D4224="?OLD","!!!","")</f>
        <v/>
      </c>
      <c r="F4224" s="22" t="str">
        <f>IF(OR(E4224="",E4224="!!!"),"",IF(NOT(ISNA(VLOOKUP(E4224,E$1:E4223,1,FALSE()))),"OLD",IF(AND(E4224&lt;&gt;"",E4224&lt;&gt;"!!!"),"NEW","")))</f>
        <v> </v>
      </c>
      <c r="G4224" s="23" t="str">
        <f>IF(OR(E4224="",E4224="!!!"),"",IF(OR(J4224=0,AND(J4224=1,K4224=1),AND(J4224=1,I4224="SBJ"),AND(J4224=1,I4224=0)),"?IN_FOCUS",IF(J4224&lt;=2,"?ACTIVATED",IF(J4224&lt;&gt;"","?FAMILIAR",IF(F4224="NEW",IF(ISNA(VLOOKUP(E4224,#REF!,1,FALSE())),"?TYPE_IDENTIFIABLE","?REFERENTIAL"),"_")))))</f>
        <v> </v>
      </c>
      <c r="H4224" s="24" t="str">
        <f>IF(J4224&lt;&gt;1,"",IF(I4224="SBJ","CB","?"))</f>
        <v> </v>
      </c>
      <c r="I4224" s="25" t="str">
        <f>IF(OR(E4224="",E4224="!!!",F4224="NEW"),"",INDEX(B4223:B$2,-1+SUMPRODUCT(MAX(ROW(E4223:E$2)*(E4224=E4223:E$2)))))</f>
        <v> </v>
      </c>
      <c r="J4224" s="25" t="str">
        <f>IF(OR(E4224="",E4224="!!!",F4224="NEW"),"",COUNTBLANK(OFFSET(A$1,,,SUMPRODUCT(MAX(ROW(E$2:E4224)*(E4224=E$2:E4224)))))-COUNTBLANK(OFFSET(A$1,,,SUMPRODUCT(MAX(ROW(E$1:E4223)*(E2=E$1:E4223))))))</f>
        <v> </v>
      </c>
      <c r="K4224" s="25" t="str">
        <f>IF(OR(E4224="",E4224="!!!",F4224="NEW"),"",INDEX(J$1:J4223,SUMPRODUCT(MAX(ROW(E$1:E4223)*(E4224=E$1:E4223)))))</f>
        <v> </v>
      </c>
      <c r="L4224" s="26"/>
    </row>
    <row r="4225" spans="1:12">
      <c r="A4225" s="20" t="s">
        <v>732</v>
      </c>
      <c r="E4225" s="21">
        <f>IF(D4225="?OLD","!!!","")</f>
        <v/>
      </c>
      <c r="F4225" s="22" t="str">
        <f>IF(OR(E4225="",E4225="!!!"),"",IF(NOT(ISNA(VLOOKUP(E4225,E$1:E4224,1,FALSE()))),"OLD",IF(AND(E4225&lt;&gt;"",E4225&lt;&gt;"!!!"),"NEW","")))</f>
        <v> </v>
      </c>
      <c r="G4225" s="23" t="str">
        <f>IF(OR(E4225="",E4225="!!!"),"",IF(OR(J4225=0,AND(J4225=1,K4225=1),AND(J4225=1,I4225="SBJ"),AND(J4225=1,I4225=0)),"?IN_FOCUS",IF(J4225&lt;=2,"?ACTIVATED",IF(J4225&lt;&gt;"","?FAMILIAR",IF(F4225="NEW",IF(ISNA(VLOOKUP(E4225,#REF!,1,FALSE())),"?TYPE_IDENTIFIABLE","?REFERENTIAL"),"_")))))</f>
        <v> </v>
      </c>
      <c r="H4225" s="24" t="str">
        <f>IF(J4225&lt;&gt;1,"",IF(I4225="SBJ","CB","?"))</f>
        <v> </v>
      </c>
      <c r="I4225" s="25" t="str">
        <f>IF(OR(E4225="",E4225="!!!",F4225="NEW"),"",INDEX(B4224:B$2,-1+SUMPRODUCT(MAX(ROW(E4224:E$2)*(E4225=E4224:E$2)))))</f>
        <v> </v>
      </c>
      <c r="J4225" s="25" t="str">
        <f>IF(OR(E4225="",E4225="!!!",F4225="NEW"),"",COUNTBLANK(OFFSET(A$1,,,SUMPRODUCT(MAX(ROW(E$2:E4225)*(E4225=E$2:E4225)))))-COUNTBLANK(OFFSET(A$1,,,SUMPRODUCT(MAX(ROW(E$1:E4224)*(E2=E$1:E4224))))))</f>
        <v> </v>
      </c>
      <c r="K4225" s="25" t="str">
        <f>IF(OR(E4225="",E4225="!!!",F4225="NEW"),"",INDEX(J$1:J4224,SUMPRODUCT(MAX(ROW(E$1:E4224)*(E4225=E$1:E4224)))))</f>
        <v> </v>
      </c>
      <c r="L4225" s="26"/>
    </row>
    <row r="4226" spans="1:12">
      <c r="A4226" s="20" t="s">
        <v>750</v>
      </c>
      <c r="E4226" s="21">
        <f>IF(D4226="?OLD","!!!","")</f>
        <v/>
      </c>
      <c r="F4226" s="22" t="str">
        <f>IF(OR(E4226="",E4226="!!!"),"",IF(NOT(ISNA(VLOOKUP(E4226,E$1:E4225,1,FALSE()))),"OLD",IF(AND(E4226&lt;&gt;"",E4226&lt;&gt;"!!!"),"NEW","")))</f>
        <v> </v>
      </c>
      <c r="G4226" s="23" t="str">
        <f>IF(OR(E4226="",E4226="!!!"),"",IF(OR(J4226=0,AND(J4226=1,K4226=1),AND(J4226=1,I4226="SBJ"),AND(J4226=1,I4226=0)),"?IN_FOCUS",IF(J4226&lt;=2,"?ACTIVATED",IF(J4226&lt;&gt;"","?FAMILIAR",IF(F4226="NEW",IF(ISNA(VLOOKUP(E4226,#REF!,1,FALSE())),"?TYPE_IDENTIFIABLE","?REFERENTIAL"),"_")))))</f>
        <v> </v>
      </c>
      <c r="H4226" s="24" t="str">
        <f>IF(J4226&lt;&gt;1,"",IF(I4226="SBJ","CB","?"))</f>
        <v> </v>
      </c>
      <c r="I4226" s="25" t="str">
        <f>IF(OR(E4226="",E4226="!!!",F4226="NEW"),"",INDEX(B4225:B$2,-1+SUMPRODUCT(MAX(ROW(E4225:E$2)*(E4226=E4225:E$2)))))</f>
        <v> </v>
      </c>
      <c r="J4226" s="25" t="str">
        <f>IF(OR(E4226="",E4226="!!!",F4226="NEW"),"",COUNTBLANK(OFFSET(A$1,,,SUMPRODUCT(MAX(ROW(E$2:E4226)*(E4226=E$2:E4226)))))-COUNTBLANK(OFFSET(A$1,,,SUMPRODUCT(MAX(ROW(E$1:E4225)*(E2=E$1:E4225))))))</f>
        <v> </v>
      </c>
      <c r="K4226" s="25" t="str">
        <f>IF(OR(E4226="",E4226="!!!",F4226="NEW"),"",INDEX(J$1:J4225,SUMPRODUCT(MAX(ROW(E$1:E4225)*(E4226=E$1:E4225)))))</f>
        <v> </v>
      </c>
      <c r="L4226" s="26"/>
    </row>
    <row r="4227" spans="1:12">
      <c r="A4227" s="20" t="s">
        <v>1951</v>
      </c>
      <c r="B4227" s="27" t="s">
        <v>810</v>
      </c>
      <c r="C4227" s="27" t="s">
        <v>679</v>
      </c>
      <c r="E4227" s="21">
        <f>IF(D4227="?OLD","!!!","")</f>
        <v/>
      </c>
      <c r="F4227" s="22" t="str">
        <f>IF(OR(E4227="",E4227="!!!"),"",IF(NOT(ISNA(VLOOKUP(E4227,E$1:E4226,1,FALSE()))),"OLD",IF(AND(E4227&lt;&gt;"",E4227&lt;&gt;"!!!"),"NEW","")))</f>
        <v> </v>
      </c>
      <c r="G4227" s="23" t="str">
        <f>IF(OR(E4227="",E4227="!!!"),"",IF(OR(J4227=0,AND(J4227=1,K4227=1),AND(J4227=1,I4227="SBJ"),AND(J4227=1,I4227=0)),"?IN_FOCUS",IF(J4227&lt;=2,"?ACTIVATED",IF(J4227&lt;&gt;"","?FAMILIAR",IF(F4227="NEW",IF(ISNA(VLOOKUP(E4227,#REF!,1,FALSE())),"?TYPE_IDENTIFIABLE","?REFERENTIAL"),"_")))))</f>
        <v> </v>
      </c>
      <c r="H4227" s="24" t="str">
        <f>IF(J4227&lt;&gt;1,"",IF(I4227="SBJ","CB","?"))</f>
        <v> </v>
      </c>
      <c r="I4227" s="25" t="str">
        <f>IF(OR(E4227="",E4227="!!!",F4227="NEW"),"",INDEX(B4226:B$2,-1+SUMPRODUCT(MAX(ROW(E4226:E$2)*(E4227=E4226:E$2)))))</f>
        <v> </v>
      </c>
      <c r="J4227" s="25" t="str">
        <f>IF(OR(E4227="",E4227="!!!",F4227="NEW"),"",COUNTBLANK(OFFSET(A$1,,,SUMPRODUCT(MAX(ROW(E$2:E4227)*(E4227=E$2:E4227)))))-COUNTBLANK(OFFSET(A$1,,,SUMPRODUCT(MAX(ROW(E$1:E4226)*(E2=E$1:E4226))))))</f>
        <v> </v>
      </c>
      <c r="K4227" s="25" t="str">
        <f>IF(OR(E4227="",E4227="!!!",F4227="NEW"),"",INDEX(J$1:J4226,SUMPRODUCT(MAX(ROW(E$1:E4226)*(E4227=E$1:E4226)))))</f>
        <v> </v>
      </c>
      <c r="L4227" s="26"/>
    </row>
    <row r="4228" spans="1:12">
      <c r="A4228" s="20" t="s">
        <v>1952</v>
      </c>
      <c r="E4228" s="21">
        <f>IF(D4228="?OLD","!!!","")</f>
        <v/>
      </c>
      <c r="F4228" s="22" t="str">
        <f>IF(OR(E4228="",E4228="!!!"),"",IF(NOT(ISNA(VLOOKUP(E4228,E$1:E4227,1,FALSE()))),"OLD",IF(AND(E4228&lt;&gt;"",E4228&lt;&gt;"!!!"),"NEW","")))</f>
        <v> </v>
      </c>
      <c r="G4228" s="23" t="str">
        <f>IF(OR(E4228="",E4228="!!!"),"",IF(OR(J4228=0,AND(J4228=1,K4228=1),AND(J4228=1,I4228="SBJ"),AND(J4228=1,I4228=0)),"?IN_FOCUS",IF(J4228&lt;=2,"?ACTIVATED",IF(J4228&lt;&gt;"","?FAMILIAR",IF(F4228="NEW",IF(ISNA(VLOOKUP(E4228,#REF!,1,FALSE())),"?TYPE_IDENTIFIABLE","?REFERENTIAL"),"_")))))</f>
        <v> </v>
      </c>
      <c r="H4228" s="24" t="str">
        <f>IF(J4228&lt;&gt;1,"",IF(I4228="SBJ","CB","?"))</f>
        <v> </v>
      </c>
      <c r="I4228" s="25" t="str">
        <f>IF(OR(E4228="",E4228="!!!",F4228="NEW"),"",INDEX(B4227:B$2,-1+SUMPRODUCT(MAX(ROW(E4227:E$2)*(E4228=E4227:E$2)))))</f>
        <v> </v>
      </c>
      <c r="J4228" s="25" t="str">
        <f>IF(OR(E4228="",E4228="!!!",F4228="NEW"),"",COUNTBLANK(OFFSET(A$1,,,SUMPRODUCT(MAX(ROW(E$2:E4228)*(E4228=E$2:E4228)))))-COUNTBLANK(OFFSET(A$1,,,SUMPRODUCT(MAX(ROW(E$1:E4227)*(E2=E$1:E4227))))))</f>
        <v> </v>
      </c>
      <c r="K4228" s="25" t="str">
        <f>IF(OR(E4228="",E4228="!!!",F4228="NEW"),"",INDEX(J$1:J4227,SUMPRODUCT(MAX(ROW(E$1:E4227)*(E4228=E$1:E4227)))))</f>
        <v> </v>
      </c>
      <c r="L4228" s="26"/>
    </row>
    <row r="4229" spans="1:12">
      <c r="A4229" s="20" t="s">
        <v>698</v>
      </c>
      <c r="E4229" s="21">
        <f>IF(D4229="?OLD","!!!","")</f>
        <v/>
      </c>
      <c r="F4229" s="22" t="str">
        <f>IF(OR(E4229="",E4229="!!!"),"",IF(NOT(ISNA(VLOOKUP(E4229,E$1:E4228,1,FALSE()))),"OLD",IF(AND(E4229&lt;&gt;"",E4229&lt;&gt;"!!!"),"NEW","")))</f>
        <v> </v>
      </c>
      <c r="G4229" s="23" t="str">
        <f>IF(OR(E4229="",E4229="!!!"),"",IF(OR(J4229=0,AND(J4229=1,K4229=1),AND(J4229=1,I4229="SBJ"),AND(J4229=1,I4229=0)),"?IN_FOCUS",IF(J4229&lt;=2,"?ACTIVATED",IF(J4229&lt;&gt;"","?FAMILIAR",IF(F4229="NEW",IF(ISNA(VLOOKUP(E4229,#REF!,1,FALSE())),"?TYPE_IDENTIFIABLE","?REFERENTIAL"),"_")))))</f>
        <v> </v>
      </c>
      <c r="H4229" s="24" t="str">
        <f>IF(J4229&lt;&gt;1,"",IF(I4229="SBJ","CB","?"))</f>
        <v> </v>
      </c>
      <c r="I4229" s="25" t="str">
        <f>IF(OR(E4229="",E4229="!!!",F4229="NEW"),"",INDEX(B4228:B$2,-1+SUMPRODUCT(MAX(ROW(E4228:E$2)*(E4229=E4228:E$2)))))</f>
        <v> </v>
      </c>
      <c r="J4229" s="25" t="str">
        <f>IF(OR(E4229="",E4229="!!!",F4229="NEW"),"",COUNTBLANK(OFFSET(A$1,,,SUMPRODUCT(MAX(ROW(E$2:E4229)*(E4229=E$2:E4229)))))-COUNTBLANK(OFFSET(A$1,,,SUMPRODUCT(MAX(ROW(E$1:E4228)*(E2=E$1:E4228))))))</f>
        <v> </v>
      </c>
      <c r="K4229" s="25" t="str">
        <f>IF(OR(E4229="",E4229="!!!",F4229="NEW"),"",INDEX(J$1:J4228,SUMPRODUCT(MAX(ROW(E$1:E4228)*(E4229=E$1:E4228)))))</f>
        <v> </v>
      </c>
      <c r="L4229" s="26"/>
    </row>
    <row r="4230" spans="1:12">
      <c r="A4230" s="20"/>
    </row>
    <row r="4231" spans="1:12">
      <c r="A4231" s="20" t="s">
        <v>1953</v>
      </c>
    </row>
    <row r="4232" spans="1:12">
      <c r="A4232" s="20" t="s">
        <v>756</v>
      </c>
      <c r="E4232" s="21">
        <f>IF(D4232="?OLD","!!!","")</f>
        <v/>
      </c>
      <c r="F4232" s="22" t="str">
        <f>IF(OR(E4232="",E4232="!!!"),"",IF(NOT(ISNA(VLOOKUP(E4232,E$1:E4231,1,FALSE()))),"OLD",IF(AND(E4232&lt;&gt;"",E4232&lt;&gt;"!!!"),"NEW","")))</f>
        <v> </v>
      </c>
      <c r="G4232" s="23" t="str">
        <f>IF(OR(E4232="",E4232="!!!"),"",IF(OR(J4232=0,AND(J4232=1,K4232=1),AND(J4232=1,I4232="SBJ"),AND(J4232=1,I4232=0)),"?IN_FOCUS",IF(J4232&lt;=2,"?ACTIVATED",IF(J4232&lt;&gt;"","?FAMILIAR",IF(F4232="NEW",IF(ISNA(VLOOKUP(E4232,#REF!,1,FALSE())),"?TYPE_IDENTIFIABLE","?REFERENTIAL"),"_")))))</f>
        <v> </v>
      </c>
      <c r="H4232" s="24" t="str">
        <f>IF(J4232&lt;&gt;1,"",IF(I4232="SBJ","CB","?"))</f>
        <v> </v>
      </c>
      <c r="I4232" s="25" t="str">
        <f>IF(OR(E4232="",E4232="!!!",F4232="NEW"),"",INDEX(B4231:B$2,-1+SUMPRODUCT(MAX(ROW(E4231:E$2)*(E4232=E4231:E$2)))))</f>
        <v> </v>
      </c>
      <c r="J4232" s="25" t="str">
        <f>IF(OR(E4232="",E4232="!!!",F4232="NEW"),"",COUNTBLANK(OFFSET(A$1,,,SUMPRODUCT(MAX(ROW(E$2:E4232)*(E4232=E$2:E4232)))))-COUNTBLANK(OFFSET(A$1,,,SUMPRODUCT(MAX(ROW(E$1:E4231)*(E2=E$1:E4231))))))</f>
        <v> </v>
      </c>
      <c r="K4232" s="25" t="str">
        <f>IF(OR(E4232="",E4232="!!!",F4232="NEW"),"",INDEX(J$1:J4231,SUMPRODUCT(MAX(ROW(E$1:E4231)*(E4232=E$1:E4231)))))</f>
        <v> </v>
      </c>
      <c r="L4232" s="26"/>
    </row>
    <row r="4233" spans="1:12">
      <c r="A4233" s="20" t="s">
        <v>683</v>
      </c>
      <c r="E4233" s="21">
        <f>IF(D4233="?OLD","!!!","")</f>
        <v/>
      </c>
      <c r="F4233" s="22" t="str">
        <f>IF(OR(E4233="",E4233="!!!"),"",IF(NOT(ISNA(VLOOKUP(E4233,E$1:E4232,1,FALSE()))),"OLD",IF(AND(E4233&lt;&gt;"",E4233&lt;&gt;"!!!"),"NEW","")))</f>
        <v> </v>
      </c>
      <c r="G4233" s="23" t="str">
        <f>IF(OR(E4233="",E4233="!!!"),"",IF(OR(J4233=0,AND(J4233=1,K4233=1),AND(J4233=1,I4233="SBJ"),AND(J4233=1,I4233=0)),"?IN_FOCUS",IF(J4233&lt;=2,"?ACTIVATED",IF(J4233&lt;&gt;"","?FAMILIAR",IF(F4233="NEW",IF(ISNA(VLOOKUP(E4233,#REF!,1,FALSE())),"?TYPE_IDENTIFIABLE","?REFERENTIAL"),"_")))))</f>
        <v> </v>
      </c>
      <c r="H4233" s="24" t="str">
        <f>IF(J4233&lt;&gt;1,"",IF(I4233="SBJ","CB","?"))</f>
        <v> </v>
      </c>
      <c r="I4233" s="25" t="str">
        <f>IF(OR(E4233="",E4233="!!!",F4233="NEW"),"",INDEX(B4232:B$2,-1+SUMPRODUCT(MAX(ROW(E4232:E$2)*(E4233=E4232:E$2)))))</f>
        <v> </v>
      </c>
      <c r="J4233" s="25" t="str">
        <f>IF(OR(E4233="",E4233="!!!",F4233="NEW"),"",COUNTBLANK(OFFSET(A$1,,,SUMPRODUCT(MAX(ROW(E$2:E4233)*(E4233=E$2:E4233)))))-COUNTBLANK(OFFSET(A$1,,,SUMPRODUCT(MAX(ROW(E$1:E4232)*(E2=E$1:E4232))))))</f>
        <v> </v>
      </c>
      <c r="K4233" s="25" t="str">
        <f>IF(OR(E4233="",E4233="!!!",F4233="NEW"),"",INDEX(J$1:J4232,SUMPRODUCT(MAX(ROW(E$1:E4232)*(E4233=E$1:E4232)))))</f>
        <v> </v>
      </c>
      <c r="L4233" s="26"/>
    </row>
    <row r="4234" spans="1:12">
      <c r="A4234" s="20" t="s">
        <v>1954</v>
      </c>
      <c r="B4234" s="27" t="s">
        <v>678</v>
      </c>
      <c r="C4234" s="27" t="s">
        <v>686</v>
      </c>
      <c r="D4234" s="27" t="s">
        <v>687</v>
      </c>
      <c r="E4234" s="21">
        <f>IF(D4234="?OLD","!!!","")</f>
        <v/>
      </c>
      <c r="F4234" s="22" t="str">
        <f>IF(OR(E4234="",E4234="!!!"),"",IF(NOT(ISNA(VLOOKUP(E4234,E$1:E4233,1,FALSE()))),"OLD",IF(AND(E4234&lt;&gt;"",E4234&lt;&gt;"!!!"),"NEW","")))</f>
        <v> </v>
      </c>
      <c r="G4234" s="23" t="str">
        <f>IF(OR(E4234="",E4234="!!!"),"",IF(OR(J4234=0,AND(J4234=1,K4234=1),AND(J4234=1,I4234="SBJ"),AND(J4234=1,I4234=0)),"?IN_FOCUS",IF(J4234&lt;=2,"?ACTIVATED",IF(J4234&lt;&gt;"","?FAMILIAR",IF(F4234="NEW",IF(ISNA(VLOOKUP(E4234,#REF!,1,FALSE())),"?TYPE_IDENTIFIABLE","?REFERENTIAL"),"_")))))</f>
        <v> </v>
      </c>
      <c r="H4234" s="24" t="str">
        <f>IF(J4234&lt;&gt;1,"",IF(I4234="SBJ","CB","?"))</f>
        <v> </v>
      </c>
      <c r="I4234" s="25" t="str">
        <f>IF(OR(E4234="",E4234="!!!",F4234="NEW"),"",INDEX(B4233:B$2,-1+SUMPRODUCT(MAX(ROW(E4233:E$2)*(E4234=E4233:E$2)))))</f>
        <v> </v>
      </c>
      <c r="J4234" s="25" t="str">
        <f>IF(OR(E4234="",E4234="!!!",F4234="NEW"),"",COUNTBLANK(OFFSET(A$1,,,SUMPRODUCT(MAX(ROW(E$2:E4234)*(E4234=E$2:E4234)))))-COUNTBLANK(OFFSET(A$1,,,SUMPRODUCT(MAX(ROW(E$1:E4233)*(E2=E$1:E4233))))))</f>
        <v> </v>
      </c>
      <c r="K4234" s="25" t="str">
        <f>IF(OR(E4234="",E4234="!!!",F4234="NEW"),"",INDEX(J$1:J4233,SUMPRODUCT(MAX(ROW(E$1:E4233)*(E4234=E$1:E4233)))))</f>
        <v> </v>
      </c>
      <c r="L4234" s="26"/>
    </row>
    <row r="4235" spans="1:12">
      <c r="A4235" s="20" t="s">
        <v>676</v>
      </c>
      <c r="E4235" s="21">
        <f>IF(D4235="?OLD","!!!","")</f>
        <v/>
      </c>
      <c r="F4235" s="22" t="str">
        <f>IF(OR(E4235="",E4235="!!!"),"",IF(NOT(ISNA(VLOOKUP(E4235,E$1:E4234,1,FALSE()))),"OLD",IF(AND(E4235&lt;&gt;"",E4235&lt;&gt;"!!!"),"NEW","")))</f>
        <v> </v>
      </c>
      <c r="G4235" s="23" t="str">
        <f>IF(OR(E4235="",E4235="!!!"),"",IF(OR(J4235=0,AND(J4235=1,K4235=1),AND(J4235=1,I4235="SBJ"),AND(J4235=1,I4235=0)),"?IN_FOCUS",IF(J4235&lt;=2,"?ACTIVATED",IF(J4235&lt;&gt;"","?FAMILIAR",IF(F4235="NEW",IF(ISNA(VLOOKUP(E4235,#REF!,1,FALSE())),"?TYPE_IDENTIFIABLE","?REFERENTIAL"),"_")))))</f>
        <v> </v>
      </c>
      <c r="H4235" s="24" t="str">
        <f>IF(J4235&lt;&gt;1,"",IF(I4235="SBJ","CB","?"))</f>
        <v> </v>
      </c>
      <c r="I4235" s="25" t="str">
        <f>IF(OR(E4235="",E4235="!!!",F4235="NEW"),"",INDEX(B4234:B$2,-1+SUMPRODUCT(MAX(ROW(E4234:E$2)*(E4235=E4234:E$2)))))</f>
        <v> </v>
      </c>
      <c r="J4235" s="25" t="str">
        <f>IF(OR(E4235="",E4235="!!!",F4235="NEW"),"",COUNTBLANK(OFFSET(A$1,,,SUMPRODUCT(MAX(ROW(E$2:E4235)*(E4235=E$2:E4235)))))-COUNTBLANK(OFFSET(A$1,,,SUMPRODUCT(MAX(ROW(E$1:E4234)*(E2=E$1:E4234))))))</f>
        <v> </v>
      </c>
      <c r="K4235" s="25" t="str">
        <f>IF(OR(E4235="",E4235="!!!",F4235="NEW"),"",INDEX(J$1:J4234,SUMPRODUCT(MAX(ROW(E$1:E4234)*(E4235=E$1:E4234)))))</f>
        <v> </v>
      </c>
      <c r="L4235" s="26"/>
    </row>
    <row r="4236" spans="1:12">
      <c r="A4236" s="20" t="s">
        <v>732</v>
      </c>
      <c r="E4236" s="21">
        <f>IF(D4236="?OLD","!!!","")</f>
        <v/>
      </c>
      <c r="F4236" s="22" t="str">
        <f>IF(OR(E4236="",E4236="!!!"),"",IF(NOT(ISNA(VLOOKUP(E4236,E$1:E4235,1,FALSE()))),"OLD",IF(AND(E4236&lt;&gt;"",E4236&lt;&gt;"!!!"),"NEW","")))</f>
        <v> </v>
      </c>
      <c r="G4236" s="23" t="str">
        <f>IF(OR(E4236="",E4236="!!!"),"",IF(OR(J4236=0,AND(J4236=1,K4236=1),AND(J4236=1,I4236="SBJ"),AND(J4236=1,I4236=0)),"?IN_FOCUS",IF(J4236&lt;=2,"?ACTIVATED",IF(J4236&lt;&gt;"","?FAMILIAR",IF(F4236="NEW",IF(ISNA(VLOOKUP(E4236,#REF!,1,FALSE())),"?TYPE_IDENTIFIABLE","?REFERENTIAL"),"_")))))</f>
        <v> </v>
      </c>
      <c r="H4236" s="24" t="str">
        <f>IF(J4236&lt;&gt;1,"",IF(I4236="SBJ","CB","?"))</f>
        <v> </v>
      </c>
      <c r="I4236" s="25" t="str">
        <f>IF(OR(E4236="",E4236="!!!",F4236="NEW"),"",INDEX(B4235:B$2,-1+SUMPRODUCT(MAX(ROW(E4235:E$2)*(E4236=E4235:E$2)))))</f>
        <v> </v>
      </c>
      <c r="J4236" s="25" t="str">
        <f>IF(OR(E4236="",E4236="!!!",F4236="NEW"),"",COUNTBLANK(OFFSET(A$1,,,SUMPRODUCT(MAX(ROW(E$2:E4236)*(E4236=E$2:E4236)))))-COUNTBLANK(OFFSET(A$1,,,SUMPRODUCT(MAX(ROW(E$1:E4235)*(E2=E$1:E4235))))))</f>
        <v> </v>
      </c>
      <c r="K4236" s="25" t="str">
        <f>IF(OR(E4236="",E4236="!!!",F4236="NEW"),"",INDEX(J$1:J4235,SUMPRODUCT(MAX(ROW(E$1:E4235)*(E4236=E$1:E4235)))))</f>
        <v> </v>
      </c>
      <c r="L4236" s="26"/>
    </row>
    <row r="4237" spans="1:12">
      <c r="A4237" s="20" t="s">
        <v>1203</v>
      </c>
      <c r="B4237" s="27" t="s">
        <v>807</v>
      </c>
      <c r="C4237" s="27" t="s">
        <v>749</v>
      </c>
      <c r="D4237" s="27" t="s">
        <v>687</v>
      </c>
      <c r="E4237" s="21">
        <f>IF(D4237="?OLD","!!!","")</f>
        <v/>
      </c>
      <c r="F4237" s="22" t="str">
        <f>IF(OR(E4237="",E4237="!!!"),"",IF(NOT(ISNA(VLOOKUP(E4237,E$1:E4236,1,FALSE()))),"OLD",IF(AND(E4237&lt;&gt;"",E4237&lt;&gt;"!!!"),"NEW","")))</f>
        <v> </v>
      </c>
      <c r="G4237" s="23" t="str">
        <f>IF(OR(E4237="",E4237="!!!"),"",IF(OR(J4237=0,AND(J4237=1,K4237=1),AND(J4237=1,I4237="SBJ"),AND(J4237=1,I4237=0)),"?IN_FOCUS",IF(J4237&lt;=2,"?ACTIVATED",IF(J4237&lt;&gt;"","?FAMILIAR",IF(F4237="NEW",IF(ISNA(VLOOKUP(E4237,#REF!,1,FALSE())),"?TYPE_IDENTIFIABLE","?REFERENTIAL"),"_")))))</f>
        <v> </v>
      </c>
      <c r="H4237" s="24" t="str">
        <f>IF(J4237&lt;&gt;1,"",IF(I4237="SBJ","CB","?"))</f>
        <v> </v>
      </c>
      <c r="I4237" s="25" t="str">
        <f>IF(OR(E4237="",E4237="!!!",F4237="NEW"),"",INDEX(B4236:B$2,-1+SUMPRODUCT(MAX(ROW(E4236:E$2)*(E4237=E4236:E$2)))))</f>
        <v> </v>
      </c>
      <c r="J4237" s="25" t="str">
        <f>IF(OR(E4237="",E4237="!!!",F4237="NEW"),"",COUNTBLANK(OFFSET(A$1,,,SUMPRODUCT(MAX(ROW(E$2:E4237)*(E4237=E$2:E4237)))))-COUNTBLANK(OFFSET(A$1,,,SUMPRODUCT(MAX(ROW(E$1:E4236)*(E2=E$1:E4236))))))</f>
        <v> </v>
      </c>
      <c r="K4237" s="25" t="str">
        <f>IF(OR(E4237="",E4237="!!!",F4237="NEW"),"",INDEX(J$1:J4236,SUMPRODUCT(MAX(ROW(E$1:E4236)*(E4237=E$1:E4236)))))</f>
        <v> </v>
      </c>
      <c r="L4237" s="26"/>
    </row>
    <row r="4238" spans="1:12">
      <c r="A4238" s="20" t="s">
        <v>958</v>
      </c>
      <c r="E4238" s="21">
        <f>IF(D4238="?OLD","!!!","")</f>
        <v/>
      </c>
      <c r="F4238" s="22" t="str">
        <f>IF(OR(E4238="",E4238="!!!"),"",IF(NOT(ISNA(VLOOKUP(E4238,E$1:E4237,1,FALSE()))),"OLD",IF(AND(E4238&lt;&gt;"",E4238&lt;&gt;"!!!"),"NEW","")))</f>
        <v> </v>
      </c>
      <c r="G4238" s="23" t="str">
        <f>IF(OR(E4238="",E4238="!!!"),"",IF(OR(J4238=0,AND(J4238=1,K4238=1),AND(J4238=1,I4238="SBJ"),AND(J4238=1,I4238=0)),"?IN_FOCUS",IF(J4238&lt;=2,"?ACTIVATED",IF(J4238&lt;&gt;"","?FAMILIAR",IF(F4238="NEW",IF(ISNA(VLOOKUP(E4238,#REF!,1,FALSE())),"?TYPE_IDENTIFIABLE","?REFERENTIAL"),"_")))))</f>
        <v> </v>
      </c>
      <c r="H4238" s="24" t="str">
        <f>IF(J4238&lt;&gt;1,"",IF(I4238="SBJ","CB","?"))</f>
        <v> </v>
      </c>
      <c r="I4238" s="25" t="str">
        <f>IF(OR(E4238="",E4238="!!!",F4238="NEW"),"",INDEX(B4237:B$2,-1+SUMPRODUCT(MAX(ROW(E4237:E$2)*(E4238=E4237:E$2)))))</f>
        <v> </v>
      </c>
      <c r="J4238" s="25" t="str">
        <f>IF(OR(E4238="",E4238="!!!",F4238="NEW"),"",COUNTBLANK(OFFSET(A$1,,,SUMPRODUCT(MAX(ROW(E$2:E4238)*(E4238=E$2:E4238)))))-COUNTBLANK(OFFSET(A$1,,,SUMPRODUCT(MAX(ROW(E$1:E4237)*(E2=E$1:E4237))))))</f>
        <v> </v>
      </c>
      <c r="K4238" s="25" t="str">
        <f>IF(OR(E4238="",E4238="!!!",F4238="NEW"),"",INDEX(J$1:J4237,SUMPRODUCT(MAX(ROW(E$1:E4237)*(E4238=E$1:E4237)))))</f>
        <v> </v>
      </c>
      <c r="L4238" s="26"/>
    </row>
    <row r="4239" spans="1:12">
      <c r="A4239" s="20" t="s">
        <v>1955</v>
      </c>
      <c r="B4239" s="27" t="s">
        <v>696</v>
      </c>
      <c r="C4239" s="27" t="s">
        <v>686</v>
      </c>
      <c r="D4239" s="27" t="s">
        <v>687</v>
      </c>
      <c r="E4239" s="21">
        <f>IF(D4239="?OLD","!!!","")</f>
        <v/>
      </c>
      <c r="F4239" s="22" t="str">
        <f>IF(OR(E4239="",E4239="!!!"),"",IF(NOT(ISNA(VLOOKUP(E4239,E$1:E4238,1,FALSE()))),"OLD",IF(AND(E4239&lt;&gt;"",E4239&lt;&gt;"!!!"),"NEW","")))</f>
        <v> </v>
      </c>
      <c r="G4239" s="23" t="str">
        <f>IF(OR(E4239="",E4239="!!!"),"",IF(OR(J4239=0,AND(J4239=1,K4239=1),AND(J4239=1,I4239="SBJ"),AND(J4239=1,I4239=0)),"?IN_FOCUS",IF(J4239&lt;=2,"?ACTIVATED",IF(J4239&lt;&gt;"","?FAMILIAR",IF(F4239="NEW",IF(ISNA(VLOOKUP(E4239,#REF!,1,FALSE())),"?TYPE_IDENTIFIABLE","?REFERENTIAL"),"_")))))</f>
        <v> </v>
      </c>
      <c r="H4239" s="24" t="str">
        <f>IF(J4239&lt;&gt;1,"",IF(I4239="SBJ","CB","?"))</f>
        <v> </v>
      </c>
      <c r="I4239" s="25" t="str">
        <f>IF(OR(E4239="",E4239="!!!",F4239="NEW"),"",INDEX(B4238:B$2,-1+SUMPRODUCT(MAX(ROW(E4238:E$2)*(E4239=E4238:E$2)))))</f>
        <v> </v>
      </c>
      <c r="J4239" s="25" t="str">
        <f>IF(OR(E4239="",E4239="!!!",F4239="NEW"),"",COUNTBLANK(OFFSET(A$1,,,SUMPRODUCT(MAX(ROW(E$2:E4239)*(E4239=E$2:E4239)))))-COUNTBLANK(OFFSET(A$1,,,SUMPRODUCT(MAX(ROW(E$1:E4238)*(E2=E$1:E4238))))))</f>
        <v> </v>
      </c>
      <c r="K4239" s="25" t="str">
        <f>IF(OR(E4239="",E4239="!!!",F4239="NEW"),"",INDEX(J$1:J4238,SUMPRODUCT(MAX(ROW(E$1:E4238)*(E4239=E$1:E4238)))))</f>
        <v> </v>
      </c>
      <c r="L4239" s="26"/>
    </row>
    <row r="4240" spans="1:12">
      <c r="A4240" s="20" t="s">
        <v>682</v>
      </c>
      <c r="E4240" s="21">
        <f>IF(D4240="?OLD","!!!","")</f>
        <v/>
      </c>
      <c r="F4240" s="22" t="str">
        <f>IF(OR(E4240="",E4240="!!!"),"",IF(NOT(ISNA(VLOOKUP(E4240,E$1:E4239,1,FALSE()))),"OLD",IF(AND(E4240&lt;&gt;"",E4240&lt;&gt;"!!!"),"NEW","")))</f>
        <v> </v>
      </c>
      <c r="G4240" s="23" t="str">
        <f>IF(OR(E4240="",E4240="!!!"),"",IF(OR(J4240=0,AND(J4240=1,K4240=1),AND(J4240=1,I4240="SBJ"),AND(J4240=1,I4240=0)),"?IN_FOCUS",IF(J4240&lt;=2,"?ACTIVATED",IF(J4240&lt;&gt;"","?FAMILIAR",IF(F4240="NEW",IF(ISNA(VLOOKUP(E4240,#REF!,1,FALSE())),"?TYPE_IDENTIFIABLE","?REFERENTIAL"),"_")))))</f>
        <v> </v>
      </c>
      <c r="H4240" s="24" t="str">
        <f>IF(J4240&lt;&gt;1,"",IF(I4240="SBJ","CB","?"))</f>
        <v> </v>
      </c>
      <c r="I4240" s="25" t="str">
        <f>IF(OR(E4240="",E4240="!!!",F4240="NEW"),"",INDEX(B4239:B$2,-1+SUMPRODUCT(MAX(ROW(E4239:E$2)*(E4240=E4239:E$2)))))</f>
        <v> </v>
      </c>
      <c r="J4240" s="25" t="str">
        <f>IF(OR(E4240="",E4240="!!!",F4240="NEW"),"",COUNTBLANK(OFFSET(A$1,,,SUMPRODUCT(MAX(ROW(E$2:E4240)*(E4240=E$2:E4240)))))-COUNTBLANK(OFFSET(A$1,,,SUMPRODUCT(MAX(ROW(E$1:E4239)*(E2=E$1:E4239))))))</f>
        <v> </v>
      </c>
      <c r="K4240" s="25" t="str">
        <f>IF(OR(E4240="",E4240="!!!",F4240="NEW"),"",INDEX(J$1:J4239,SUMPRODUCT(MAX(ROW(E$1:E4239)*(E4240=E$1:E4239)))))</f>
        <v> </v>
      </c>
      <c r="L4240" s="26"/>
    </row>
    <row r="4241" spans="1:12">
      <c r="A4241" s="20" t="s">
        <v>1956</v>
      </c>
      <c r="E4241" s="21">
        <f>IF(D4241="?OLD","!!!","")</f>
        <v/>
      </c>
      <c r="F4241" s="22" t="str">
        <f>IF(OR(E4241="",E4241="!!!"),"",IF(NOT(ISNA(VLOOKUP(E4241,E$1:E4240,1,FALSE()))),"OLD",IF(AND(E4241&lt;&gt;"",E4241&lt;&gt;"!!!"),"NEW","")))</f>
        <v> </v>
      </c>
      <c r="G4241" s="23" t="str">
        <f>IF(OR(E4241="",E4241="!!!"),"",IF(OR(J4241=0,AND(J4241=1,K4241=1),AND(J4241=1,I4241="SBJ"),AND(J4241=1,I4241=0)),"?IN_FOCUS",IF(J4241&lt;=2,"?ACTIVATED",IF(J4241&lt;&gt;"","?FAMILIAR",IF(F4241="NEW",IF(ISNA(VLOOKUP(E4241,#REF!,1,FALSE())),"?TYPE_IDENTIFIABLE","?REFERENTIAL"),"_")))))</f>
        <v> </v>
      </c>
      <c r="H4241" s="24" t="str">
        <f>IF(J4241&lt;&gt;1,"",IF(I4241="SBJ","CB","?"))</f>
        <v> </v>
      </c>
      <c r="I4241" s="25" t="str">
        <f>IF(OR(E4241="",E4241="!!!",F4241="NEW"),"",INDEX(B4240:B$2,-1+SUMPRODUCT(MAX(ROW(E4240:E$2)*(E4241=E4240:E$2)))))</f>
        <v> </v>
      </c>
      <c r="J4241" s="25" t="str">
        <f>IF(OR(E4241="",E4241="!!!",F4241="NEW"),"",COUNTBLANK(OFFSET(A$1,,,SUMPRODUCT(MAX(ROW(E$2:E4241)*(E4241=E$2:E4241)))))-COUNTBLANK(OFFSET(A$1,,,SUMPRODUCT(MAX(ROW(E$1:E4240)*(E2=E$1:E4240))))))</f>
        <v> </v>
      </c>
      <c r="K4241" s="25" t="str">
        <f>IF(OR(E4241="",E4241="!!!",F4241="NEW"),"",INDEX(J$1:J4240,SUMPRODUCT(MAX(ROW(E$1:E4240)*(E4241=E$1:E4240)))))</f>
        <v> </v>
      </c>
      <c r="L4241" s="26"/>
    </row>
    <row r="4242" spans="1:12">
      <c r="A4242" s="20" t="s">
        <v>306</v>
      </c>
      <c r="B4242" s="27" t="s">
        <v>692</v>
      </c>
      <c r="C4242" s="27" t="s">
        <v>749</v>
      </c>
      <c r="D4242" s="27" t="s">
        <v>687</v>
      </c>
      <c r="E4242" s="21">
        <f>IF(D4242="?OLD","!!!","")</f>
        <v/>
      </c>
      <c r="F4242" s="22" t="str">
        <f>IF(OR(E4242="",E4242="!!!"),"",IF(NOT(ISNA(VLOOKUP(E4242,E$1:E4241,1,FALSE()))),"OLD",IF(AND(E4242&lt;&gt;"",E4242&lt;&gt;"!!!"),"NEW","")))</f>
        <v> </v>
      </c>
      <c r="G4242" s="23" t="str">
        <f>IF(OR(E4242="",E4242="!!!"),"",IF(OR(J4242=0,AND(J4242=1,K4242=1),AND(J4242=1,I4242="SBJ"),AND(J4242=1,I4242=0)),"?IN_FOCUS",IF(J4242&lt;=2,"?ACTIVATED",IF(J4242&lt;&gt;"","?FAMILIAR",IF(F4242="NEW",IF(ISNA(VLOOKUP(E4242,#REF!,1,FALSE())),"?TYPE_IDENTIFIABLE","?REFERENTIAL"),"_")))))</f>
        <v> </v>
      </c>
      <c r="H4242" s="24" t="str">
        <f>IF(J4242&lt;&gt;1,"",IF(I4242="SBJ","CB","?"))</f>
        <v> </v>
      </c>
      <c r="I4242" s="25" t="str">
        <f>IF(OR(E4242="",E4242="!!!",F4242="NEW"),"",INDEX(B4241:B$2,-1+SUMPRODUCT(MAX(ROW(E4241:E$2)*(E4242=E4241:E$2)))))</f>
        <v> </v>
      </c>
      <c r="J4242" s="25" t="str">
        <f>IF(OR(E4242="",E4242="!!!",F4242="NEW"),"",COUNTBLANK(OFFSET(A$1,,,SUMPRODUCT(MAX(ROW(E$2:E4242)*(E4242=E$2:E4242)))))-COUNTBLANK(OFFSET(A$1,,,SUMPRODUCT(MAX(ROW(E$1:E4241)*(E2=E$1:E4241))))))</f>
        <v> </v>
      </c>
      <c r="K4242" s="25" t="str">
        <f>IF(OR(E4242="",E4242="!!!",F4242="NEW"),"",INDEX(J$1:J4241,SUMPRODUCT(MAX(ROW(E$1:E4241)*(E4242=E$1:E4241)))))</f>
        <v> </v>
      </c>
      <c r="L4242" s="26"/>
    </row>
    <row r="4243" spans="1:12">
      <c r="A4243" s="20" t="s">
        <v>694</v>
      </c>
      <c r="E4243" s="21">
        <f>IF(D4243="?OLD","!!!","")</f>
        <v/>
      </c>
      <c r="F4243" s="22" t="str">
        <f>IF(OR(E4243="",E4243="!!!"),"",IF(NOT(ISNA(VLOOKUP(E4243,E$1:E4242,1,FALSE()))),"OLD",IF(AND(E4243&lt;&gt;"",E4243&lt;&gt;"!!!"),"NEW","")))</f>
        <v> </v>
      </c>
      <c r="G4243" s="23" t="str">
        <f>IF(OR(E4243="",E4243="!!!"),"",IF(OR(J4243=0,AND(J4243=1,K4243=1),AND(J4243=1,I4243="SBJ"),AND(J4243=1,I4243=0)),"?IN_FOCUS",IF(J4243&lt;=2,"?ACTIVATED",IF(J4243&lt;&gt;"","?FAMILIAR",IF(F4243="NEW",IF(ISNA(VLOOKUP(E4243,#REF!,1,FALSE())),"?TYPE_IDENTIFIABLE","?REFERENTIAL"),"_")))))</f>
        <v> </v>
      </c>
      <c r="H4243" s="24" t="str">
        <f>IF(J4243&lt;&gt;1,"",IF(I4243="SBJ","CB","?"))</f>
        <v> </v>
      </c>
      <c r="I4243" s="25" t="str">
        <f>IF(OR(E4243="",E4243="!!!",F4243="NEW"),"",INDEX(B4242:B$2,-1+SUMPRODUCT(MAX(ROW(E4242:E$2)*(E4243=E4242:E$2)))))</f>
        <v> </v>
      </c>
      <c r="J4243" s="25" t="str">
        <f>IF(OR(E4243="",E4243="!!!",F4243="NEW"),"",COUNTBLANK(OFFSET(A$1,,,SUMPRODUCT(MAX(ROW(E$2:E4243)*(E4243=E$2:E4243)))))-COUNTBLANK(OFFSET(A$1,,,SUMPRODUCT(MAX(ROW(E$1:E4242)*(E2=E$1:E4242))))))</f>
        <v> </v>
      </c>
      <c r="K4243" s="25" t="str">
        <f>IF(OR(E4243="",E4243="!!!",F4243="NEW"),"",INDEX(J$1:J4242,SUMPRODUCT(MAX(ROW(E$1:E4242)*(E4243=E$1:E4242)))))</f>
        <v> </v>
      </c>
      <c r="L4243" s="26"/>
    </row>
    <row r="4244" spans="1:12">
      <c r="A4244" s="20" t="s">
        <v>1048</v>
      </c>
      <c r="B4244" s="27" t="s">
        <v>696</v>
      </c>
      <c r="C4244" s="27" t="s">
        <v>679</v>
      </c>
      <c r="E4244" s="21">
        <f>IF(D4244="?OLD","!!!","")</f>
        <v/>
      </c>
      <c r="F4244" s="22" t="str">
        <f>IF(OR(E4244="",E4244="!!!"),"",IF(NOT(ISNA(VLOOKUP(E4244,E$1:E4243,1,FALSE()))),"OLD",IF(AND(E4244&lt;&gt;"",E4244&lt;&gt;"!!!"),"NEW","")))</f>
        <v> </v>
      </c>
      <c r="G4244" s="23" t="str">
        <f>IF(OR(E4244="",E4244="!!!"),"",IF(OR(J4244=0,AND(J4244=1,K4244=1),AND(J4244=1,I4244="SBJ"),AND(J4244=1,I4244=0)),"?IN_FOCUS",IF(J4244&lt;=2,"?ACTIVATED",IF(J4244&lt;&gt;"","?FAMILIAR",IF(F4244="NEW",IF(ISNA(VLOOKUP(E4244,#REF!,1,FALSE())),"?TYPE_IDENTIFIABLE","?REFERENTIAL"),"_")))))</f>
        <v> </v>
      </c>
      <c r="H4244" s="24" t="str">
        <f>IF(J4244&lt;&gt;1,"",IF(I4244="SBJ","CB","?"))</f>
        <v> </v>
      </c>
      <c r="I4244" s="25" t="str">
        <f>IF(OR(E4244="",E4244="!!!",F4244="NEW"),"",INDEX(B4243:B$2,-1+SUMPRODUCT(MAX(ROW(E4243:E$2)*(E4244=E4243:E$2)))))</f>
        <v> </v>
      </c>
      <c r="J4244" s="25" t="str">
        <f>IF(OR(E4244="",E4244="!!!",F4244="NEW"),"",COUNTBLANK(OFFSET(A$1,,,SUMPRODUCT(MAX(ROW(E$2:E4244)*(E4244=E$2:E4244)))))-COUNTBLANK(OFFSET(A$1,,,SUMPRODUCT(MAX(ROW(E$1:E4243)*(E2=E$1:E4243))))))</f>
        <v> </v>
      </c>
      <c r="K4244" s="25" t="str">
        <f>IF(OR(E4244="",E4244="!!!",F4244="NEW"),"",INDEX(J$1:J4243,SUMPRODUCT(MAX(ROW(E$1:E4243)*(E4244=E$1:E4243)))))</f>
        <v> </v>
      </c>
      <c r="L4244" s="26"/>
    </row>
    <row r="4245" spans="1:12">
      <c r="A4245" s="20" t="s">
        <v>1957</v>
      </c>
      <c r="E4245" s="21">
        <f>IF(D4245="?OLD","!!!","")</f>
        <v/>
      </c>
      <c r="F4245" s="22" t="str">
        <f>IF(OR(E4245="",E4245="!!!"),"",IF(NOT(ISNA(VLOOKUP(E4245,E$1:E4244,1,FALSE()))),"OLD",IF(AND(E4245&lt;&gt;"",E4245&lt;&gt;"!!!"),"NEW","")))</f>
        <v> </v>
      </c>
      <c r="G4245" s="23" t="str">
        <f>IF(OR(E4245="",E4245="!!!"),"",IF(OR(J4245=0,AND(J4245=1,K4245=1),AND(J4245=1,I4245="SBJ"),AND(J4245=1,I4245=0)),"?IN_FOCUS",IF(J4245&lt;=2,"?ACTIVATED",IF(J4245&lt;&gt;"","?FAMILIAR",IF(F4245="NEW",IF(ISNA(VLOOKUP(E4245,#REF!,1,FALSE())),"?TYPE_IDENTIFIABLE","?REFERENTIAL"),"_")))))</f>
        <v> </v>
      </c>
      <c r="H4245" s="24" t="str">
        <f>IF(J4245&lt;&gt;1,"",IF(I4245="SBJ","CB","?"))</f>
        <v> </v>
      </c>
      <c r="I4245" s="25" t="str">
        <f>IF(OR(E4245="",E4245="!!!",F4245="NEW"),"",INDEX(B4244:B$2,-1+SUMPRODUCT(MAX(ROW(E4244:E$2)*(E4245=E4244:E$2)))))</f>
        <v> </v>
      </c>
      <c r="J4245" s="25" t="str">
        <f>IF(OR(E4245="",E4245="!!!",F4245="NEW"),"",COUNTBLANK(OFFSET(A$1,,,SUMPRODUCT(MAX(ROW(E$2:E4245)*(E4245=E$2:E4245)))))-COUNTBLANK(OFFSET(A$1,,,SUMPRODUCT(MAX(ROW(E$1:E4244)*(E2=E$1:E4244))))))</f>
        <v> </v>
      </c>
      <c r="K4245" s="25" t="str">
        <f>IF(OR(E4245="",E4245="!!!",F4245="NEW"),"",INDEX(J$1:J4244,SUMPRODUCT(MAX(ROW(E$1:E4244)*(E4245=E$1:E4244)))))</f>
        <v> </v>
      </c>
      <c r="L4245" s="26"/>
    </row>
    <row r="4246" spans="1:12">
      <c r="A4246" s="20" t="s">
        <v>682</v>
      </c>
      <c r="E4246" s="21">
        <f>IF(D4246="?OLD","!!!","")</f>
        <v/>
      </c>
      <c r="F4246" s="22" t="str">
        <f>IF(OR(E4246="",E4246="!!!"),"",IF(NOT(ISNA(VLOOKUP(E4246,E$1:E4245,1,FALSE()))),"OLD",IF(AND(E4246&lt;&gt;"",E4246&lt;&gt;"!!!"),"NEW","")))</f>
        <v> </v>
      </c>
      <c r="G4246" s="23" t="str">
        <f>IF(OR(E4246="",E4246="!!!"),"",IF(OR(J4246=0,AND(J4246=1,K4246=1),AND(J4246=1,I4246="SBJ"),AND(J4246=1,I4246=0)),"?IN_FOCUS",IF(J4246&lt;=2,"?ACTIVATED",IF(J4246&lt;&gt;"","?FAMILIAR",IF(F4246="NEW",IF(ISNA(VLOOKUP(E4246,#REF!,1,FALSE())),"?TYPE_IDENTIFIABLE","?REFERENTIAL"),"_")))))</f>
        <v> </v>
      </c>
      <c r="H4246" s="24" t="str">
        <f>IF(J4246&lt;&gt;1,"",IF(I4246="SBJ","CB","?"))</f>
        <v> </v>
      </c>
      <c r="I4246" s="25" t="str">
        <f>IF(OR(E4246="",E4246="!!!",F4246="NEW"),"",INDEX(B4245:B$2,-1+SUMPRODUCT(MAX(ROW(E4245:E$2)*(E4246=E4245:E$2)))))</f>
        <v> </v>
      </c>
      <c r="J4246" s="25" t="str">
        <f>IF(OR(E4246="",E4246="!!!",F4246="NEW"),"",COUNTBLANK(OFFSET(A$1,,,SUMPRODUCT(MAX(ROW(E$2:E4246)*(E4246=E$2:E4246)))))-COUNTBLANK(OFFSET(A$1,,,SUMPRODUCT(MAX(ROW(E$1:E4245)*(E2=E$1:E4245))))))</f>
        <v> </v>
      </c>
      <c r="K4246" s="25" t="str">
        <f>IF(OR(E4246="",E4246="!!!",F4246="NEW"),"",INDEX(J$1:J4245,SUMPRODUCT(MAX(ROW(E$1:E4245)*(E4246=E$1:E4245)))))</f>
        <v> </v>
      </c>
      <c r="L4246" s="26"/>
    </row>
    <row r="4247" spans="1:12">
      <c r="A4247" s="20" t="s">
        <v>306</v>
      </c>
      <c r="B4247" s="27" t="s">
        <v>724</v>
      </c>
      <c r="C4247" s="27" t="s">
        <v>731</v>
      </c>
      <c r="D4247" s="27" t="s">
        <v>687</v>
      </c>
      <c r="E4247" s="21">
        <f>IF(D4247="?OLD","!!!","")</f>
        <v/>
      </c>
      <c r="F4247" s="22" t="str">
        <f>IF(OR(E4247="",E4247="!!!"),"",IF(NOT(ISNA(VLOOKUP(E4247,E$1:E4246,1,FALSE()))),"OLD",IF(AND(E4247&lt;&gt;"",E4247&lt;&gt;"!!!"),"NEW","")))</f>
        <v> </v>
      </c>
      <c r="G4247" s="23" t="str">
        <f>IF(OR(E4247="",E4247="!!!"),"",IF(OR(J4247=0,AND(J4247=1,K4247=1),AND(J4247=1,I4247="SBJ"),AND(J4247=1,I4247=0)),"?IN_FOCUS",IF(J4247&lt;=2,"?ACTIVATED",IF(J4247&lt;&gt;"","?FAMILIAR",IF(F4247="NEW",IF(ISNA(VLOOKUP(E4247,#REF!,1,FALSE())),"?TYPE_IDENTIFIABLE","?REFERENTIAL"),"_")))))</f>
        <v> </v>
      </c>
      <c r="H4247" s="24" t="str">
        <f>IF(J4247&lt;&gt;1,"",IF(I4247="SBJ","CB","?"))</f>
        <v> </v>
      </c>
      <c r="I4247" s="25" t="str">
        <f>IF(OR(E4247="",E4247="!!!",F4247="NEW"),"",INDEX(B4246:B$2,-1+SUMPRODUCT(MAX(ROW(E4246:E$2)*(E4247=E4246:E$2)))))</f>
        <v> </v>
      </c>
      <c r="J4247" s="25" t="str">
        <f>IF(OR(E4247="",E4247="!!!",F4247="NEW"),"",COUNTBLANK(OFFSET(A$1,,,SUMPRODUCT(MAX(ROW(E$2:E4247)*(E4247=E$2:E4247)))))-COUNTBLANK(OFFSET(A$1,,,SUMPRODUCT(MAX(ROW(E$1:E4246)*(E2=E$1:E4246))))))</f>
        <v> </v>
      </c>
      <c r="K4247" s="25" t="str">
        <f>IF(OR(E4247="",E4247="!!!",F4247="NEW"),"",INDEX(J$1:J4246,SUMPRODUCT(MAX(ROW(E$1:E4246)*(E4247=E$1:E4246)))))</f>
        <v> </v>
      </c>
      <c r="L4247" s="26"/>
    </row>
    <row r="4248" spans="1:12">
      <c r="A4248" s="20" t="s">
        <v>732</v>
      </c>
      <c r="B4248" s="27" t="s">
        <v>864</v>
      </c>
      <c r="E4248" s="21">
        <f>IF(D4248="?OLD","!!!","")</f>
        <v/>
      </c>
      <c r="F4248" s="22" t="str">
        <f>IF(OR(E4248="",E4248="!!!"),"",IF(NOT(ISNA(VLOOKUP(E4248,E$1:E4247,1,FALSE()))),"OLD",IF(AND(E4248&lt;&gt;"",E4248&lt;&gt;"!!!"),"NEW","")))</f>
        <v> </v>
      </c>
      <c r="G4248" s="23" t="str">
        <f>IF(OR(E4248="",E4248="!!!"),"",IF(OR(J4248=0,AND(J4248=1,K4248=1),AND(J4248=1,I4248="SBJ"),AND(J4248=1,I4248=0)),"?IN_FOCUS",IF(J4248&lt;=2,"?ACTIVATED",IF(J4248&lt;&gt;"","?FAMILIAR",IF(F4248="NEW",IF(ISNA(VLOOKUP(E4248,#REF!,1,FALSE())),"?TYPE_IDENTIFIABLE","?REFERENTIAL"),"_")))))</f>
        <v> </v>
      </c>
      <c r="H4248" s="24" t="str">
        <f>IF(J4248&lt;&gt;1,"",IF(I4248="SBJ","CB","?"))</f>
        <v> </v>
      </c>
      <c r="I4248" s="25" t="str">
        <f>IF(OR(E4248="",E4248="!!!",F4248="NEW"),"",INDEX(B4247:B$2,-1+SUMPRODUCT(MAX(ROW(E4247:E$2)*(E4248=E4247:E$2)))))</f>
        <v> </v>
      </c>
      <c r="J4248" s="25" t="str">
        <f>IF(OR(E4248="",E4248="!!!",F4248="NEW"),"",COUNTBLANK(OFFSET(A$1,,,SUMPRODUCT(MAX(ROW(E$2:E4248)*(E4248=E$2:E4248)))))-COUNTBLANK(OFFSET(A$1,,,SUMPRODUCT(MAX(ROW(E$1:E4247)*(E2=E$1:E4247))))))</f>
        <v> </v>
      </c>
      <c r="K4248" s="25" t="str">
        <f>IF(OR(E4248="",E4248="!!!",F4248="NEW"),"",INDEX(J$1:J4247,SUMPRODUCT(MAX(ROW(E$1:E4247)*(E4248=E$1:E4247)))))</f>
        <v> </v>
      </c>
      <c r="L4248" s="26"/>
    </row>
    <row r="4249" spans="1:12">
      <c r="A4249" s="20" t="s">
        <v>683</v>
      </c>
      <c r="B4249" s="27" t="s">
        <v>874</v>
      </c>
      <c r="C4249" s="27" t="s">
        <v>749</v>
      </c>
      <c r="D4249" s="27" t="s">
        <v>687</v>
      </c>
      <c r="E4249" s="21">
        <f>IF(D4249="?OLD","!!!","")</f>
        <v/>
      </c>
      <c r="F4249" s="22" t="str">
        <f>IF(OR(E4249="",E4249="!!!"),"",IF(NOT(ISNA(VLOOKUP(E4249,E$1:E4248,1,FALSE()))),"OLD",IF(AND(E4249&lt;&gt;"",E4249&lt;&gt;"!!!"),"NEW","")))</f>
        <v> </v>
      </c>
      <c r="G4249" s="23" t="str">
        <f>IF(OR(E4249="",E4249="!!!"),"",IF(OR(J4249=0,AND(J4249=1,K4249=1),AND(J4249=1,I4249="SBJ"),AND(J4249=1,I4249=0)),"?IN_FOCUS",IF(J4249&lt;=2,"?ACTIVATED",IF(J4249&lt;&gt;"","?FAMILIAR",IF(F4249="NEW",IF(ISNA(VLOOKUP(E4249,#REF!,1,FALSE())),"?TYPE_IDENTIFIABLE","?REFERENTIAL"),"_")))))</f>
        <v> </v>
      </c>
      <c r="H4249" s="24" t="str">
        <f>IF(J4249&lt;&gt;1,"",IF(I4249="SBJ","CB","?"))</f>
        <v> </v>
      </c>
      <c r="I4249" s="25" t="str">
        <f>IF(OR(E4249="",E4249="!!!",F4249="NEW"),"",INDEX(B4248:B$2,-1+SUMPRODUCT(MAX(ROW(E4248:E$2)*(E4249=E4248:E$2)))))</f>
        <v> </v>
      </c>
      <c r="J4249" s="25" t="str">
        <f>IF(OR(E4249="",E4249="!!!",F4249="NEW"),"",COUNTBLANK(OFFSET(A$1,,,SUMPRODUCT(MAX(ROW(E$2:E4249)*(E4249=E$2:E4249)))))-COUNTBLANK(OFFSET(A$1,,,SUMPRODUCT(MAX(ROW(E$1:E4248)*(E2=E$1:E4248))))))</f>
        <v> </v>
      </c>
      <c r="K4249" s="25" t="str">
        <f>IF(OR(E4249="",E4249="!!!",F4249="NEW"),"",INDEX(J$1:J4248,SUMPRODUCT(MAX(ROW(E$1:E4248)*(E4249=E$1:E4248)))))</f>
        <v> </v>
      </c>
      <c r="L4249" s="26"/>
    </row>
    <row r="4250" spans="1:12">
      <c r="A4250" s="20" t="s">
        <v>1227</v>
      </c>
      <c r="E4250" s="21">
        <f>IF(D4250="?OLD","!!!","")</f>
        <v/>
      </c>
      <c r="F4250" s="22" t="str">
        <f>IF(OR(E4250="",E4250="!!!"),"",IF(NOT(ISNA(VLOOKUP(E4250,E$1:E4249,1,FALSE()))),"OLD",IF(AND(E4250&lt;&gt;"",E4250&lt;&gt;"!!!"),"NEW","")))</f>
        <v> </v>
      </c>
      <c r="G4250" s="23" t="str">
        <f>IF(OR(E4250="",E4250="!!!"),"",IF(OR(J4250=0,AND(J4250=1,K4250=1),AND(J4250=1,I4250="SBJ"),AND(J4250=1,I4250=0)),"?IN_FOCUS",IF(J4250&lt;=2,"?ACTIVATED",IF(J4250&lt;&gt;"","?FAMILIAR",IF(F4250="NEW",IF(ISNA(VLOOKUP(E4250,#REF!,1,FALSE())),"?TYPE_IDENTIFIABLE","?REFERENTIAL"),"_")))))</f>
        <v> </v>
      </c>
      <c r="H4250" s="24" t="str">
        <f>IF(J4250&lt;&gt;1,"",IF(I4250="SBJ","CB","?"))</f>
        <v> </v>
      </c>
      <c r="I4250" s="25" t="str">
        <f>IF(OR(E4250="",E4250="!!!",F4250="NEW"),"",INDEX(B4249:B$2,-1+SUMPRODUCT(MAX(ROW(E4249:E$2)*(E4250=E4249:E$2)))))</f>
        <v> </v>
      </c>
      <c r="J4250" s="25" t="str">
        <f>IF(OR(E4250="",E4250="!!!",F4250="NEW"),"",COUNTBLANK(OFFSET(A$1,,,SUMPRODUCT(MAX(ROW(E$2:E4250)*(E4250=E$2:E4250)))))-COUNTBLANK(OFFSET(A$1,,,SUMPRODUCT(MAX(ROW(E$1:E4249)*(E2=E$1:E4249))))))</f>
        <v> </v>
      </c>
      <c r="K4250" s="25" t="str">
        <f>IF(OR(E4250="",E4250="!!!",F4250="NEW"),"",INDEX(J$1:J4249,SUMPRODUCT(MAX(ROW(E$1:E4249)*(E4250=E$1:E4249)))))</f>
        <v> </v>
      </c>
      <c r="L4250" s="26"/>
    </row>
    <row r="4251" spans="1:12">
      <c r="A4251" s="20" t="s">
        <v>683</v>
      </c>
      <c r="E4251" s="21">
        <f>IF(D4251="?OLD","!!!","")</f>
        <v/>
      </c>
      <c r="F4251" s="22" t="str">
        <f>IF(OR(E4251="",E4251="!!!"),"",IF(NOT(ISNA(VLOOKUP(E4251,E$1:E4250,1,FALSE()))),"OLD",IF(AND(E4251&lt;&gt;"",E4251&lt;&gt;"!!!"),"NEW","")))</f>
        <v> </v>
      </c>
      <c r="G4251" s="23" t="str">
        <f>IF(OR(E4251="",E4251="!!!"),"",IF(OR(J4251=0,AND(J4251=1,K4251=1),AND(J4251=1,I4251="SBJ"),AND(J4251=1,I4251=0)),"?IN_FOCUS",IF(J4251&lt;=2,"?ACTIVATED",IF(J4251&lt;&gt;"","?FAMILIAR",IF(F4251="NEW",IF(ISNA(VLOOKUP(E4251,#REF!,1,FALSE())),"?TYPE_IDENTIFIABLE","?REFERENTIAL"),"_")))))</f>
        <v> </v>
      </c>
      <c r="H4251" s="24" t="str">
        <f>IF(J4251&lt;&gt;1,"",IF(I4251="SBJ","CB","?"))</f>
        <v> </v>
      </c>
      <c r="I4251" s="25" t="str">
        <f>IF(OR(E4251="",E4251="!!!",F4251="NEW"),"",INDEX(B4250:B$2,-1+SUMPRODUCT(MAX(ROW(E4250:E$2)*(E4251=E4250:E$2)))))</f>
        <v> </v>
      </c>
      <c r="J4251" s="25" t="str">
        <f>IF(OR(E4251="",E4251="!!!",F4251="NEW"),"",COUNTBLANK(OFFSET(A$1,,,SUMPRODUCT(MAX(ROW(E$2:E4251)*(E4251=E$2:E4251)))))-COUNTBLANK(OFFSET(A$1,,,SUMPRODUCT(MAX(ROW(E$1:E4250)*(E2=E$1:E4250))))))</f>
        <v> </v>
      </c>
      <c r="K4251" s="25" t="str">
        <f>IF(OR(E4251="",E4251="!!!",F4251="NEW"),"",INDEX(J$1:J4250,SUMPRODUCT(MAX(ROW(E$1:E4250)*(E4251=E$1:E4250)))))</f>
        <v> </v>
      </c>
      <c r="L4251" s="26"/>
    </row>
    <row r="4252" spans="1:12">
      <c r="A4252" s="20" t="s">
        <v>71</v>
      </c>
      <c r="E4252" s="21">
        <f>IF(D4252="?OLD","!!!","")</f>
        <v/>
      </c>
      <c r="F4252" s="22" t="str">
        <f>IF(OR(E4252="",E4252="!!!"),"",IF(NOT(ISNA(VLOOKUP(E4252,E$1:E4251,1,FALSE()))),"OLD",IF(AND(E4252&lt;&gt;"",E4252&lt;&gt;"!!!"),"NEW","")))</f>
        <v> </v>
      </c>
      <c r="G4252" s="23" t="str">
        <f>IF(OR(E4252="",E4252="!!!"),"",IF(OR(J4252=0,AND(J4252=1,K4252=1),AND(J4252=1,I4252="SBJ"),AND(J4252=1,I4252=0)),"?IN_FOCUS",IF(J4252&lt;=2,"?ACTIVATED",IF(J4252&lt;&gt;"","?FAMILIAR",IF(F4252="NEW",IF(ISNA(VLOOKUP(E4252,#REF!,1,FALSE())),"?TYPE_IDENTIFIABLE","?REFERENTIAL"),"_")))))</f>
        <v> </v>
      </c>
      <c r="H4252" s="24" t="str">
        <f>IF(J4252&lt;&gt;1,"",IF(I4252="SBJ","CB","?"))</f>
        <v> </v>
      </c>
      <c r="I4252" s="25" t="str">
        <f>IF(OR(E4252="",E4252="!!!",F4252="NEW"),"",INDEX(B4251:B$2,-1+SUMPRODUCT(MAX(ROW(E4251:E$2)*(E4252=E4251:E$2)))))</f>
        <v> </v>
      </c>
      <c r="J4252" s="25" t="str">
        <f>IF(OR(E4252="",E4252="!!!",F4252="NEW"),"",COUNTBLANK(OFFSET(A$1,,,SUMPRODUCT(MAX(ROW(E$2:E4252)*(E4252=E$2:E4252)))))-COUNTBLANK(OFFSET(A$1,,,SUMPRODUCT(MAX(ROW(E$1:E4251)*(E2=E$1:E4251))))))</f>
        <v> </v>
      </c>
      <c r="K4252" s="25" t="str">
        <f>IF(OR(E4252="",E4252="!!!",F4252="NEW"),"",INDEX(J$1:J4251,SUMPRODUCT(MAX(ROW(E$1:E4251)*(E4252=E$1:E4251)))))</f>
        <v> </v>
      </c>
      <c r="L4252" s="26"/>
    </row>
    <row r="4253" spans="1:12">
      <c r="A4253" s="20" t="s">
        <v>732</v>
      </c>
      <c r="E4253" s="21">
        <f>IF(D4253="?OLD","!!!","")</f>
        <v/>
      </c>
      <c r="F4253" s="22" t="str">
        <f>IF(OR(E4253="",E4253="!!!"),"",IF(NOT(ISNA(VLOOKUP(E4253,E$1:E4252,1,FALSE()))),"OLD",IF(AND(E4253&lt;&gt;"",E4253&lt;&gt;"!!!"),"NEW","")))</f>
        <v> </v>
      </c>
      <c r="G4253" s="23" t="str">
        <f>IF(OR(E4253="",E4253="!!!"),"",IF(OR(J4253=0,AND(J4253=1,K4253=1),AND(J4253=1,I4253="SBJ"),AND(J4253=1,I4253=0)),"?IN_FOCUS",IF(J4253&lt;=2,"?ACTIVATED",IF(J4253&lt;&gt;"","?FAMILIAR",IF(F4253="NEW",IF(ISNA(VLOOKUP(E4253,#REF!,1,FALSE())),"?TYPE_IDENTIFIABLE","?REFERENTIAL"),"_")))))</f>
        <v> </v>
      </c>
      <c r="H4253" s="24" t="str">
        <f>IF(J4253&lt;&gt;1,"",IF(I4253="SBJ","CB","?"))</f>
        <v> </v>
      </c>
      <c r="I4253" s="25" t="str">
        <f>IF(OR(E4253="",E4253="!!!",F4253="NEW"),"",INDEX(B4252:B$2,-1+SUMPRODUCT(MAX(ROW(E4252:E$2)*(E4253=E4252:E$2)))))</f>
        <v> </v>
      </c>
      <c r="J4253" s="25" t="str">
        <f>IF(OR(E4253="",E4253="!!!",F4253="NEW"),"",COUNTBLANK(OFFSET(A$1,,,SUMPRODUCT(MAX(ROW(E$2:E4253)*(E4253=E$2:E4253)))))-COUNTBLANK(OFFSET(A$1,,,SUMPRODUCT(MAX(ROW(E$1:E4252)*(E2=E$1:E4252))))))</f>
        <v> </v>
      </c>
      <c r="K4253" s="25" t="str">
        <f>IF(OR(E4253="",E4253="!!!",F4253="NEW"),"",INDEX(J$1:J4252,SUMPRODUCT(MAX(ROW(E$1:E4252)*(E4253=E$1:E4252)))))</f>
        <v> </v>
      </c>
      <c r="L4253" s="26"/>
    </row>
    <row r="4254" spans="1:12">
      <c r="A4254" s="20" t="s">
        <v>808</v>
      </c>
      <c r="E4254" s="21">
        <f>IF(D4254="?OLD","!!!","")</f>
        <v/>
      </c>
      <c r="F4254" s="22" t="str">
        <f>IF(OR(E4254="",E4254="!!!"),"",IF(NOT(ISNA(VLOOKUP(E4254,E$1:E4253,1,FALSE()))),"OLD",IF(AND(E4254&lt;&gt;"",E4254&lt;&gt;"!!!"),"NEW","")))</f>
        <v> </v>
      </c>
      <c r="G4254" s="23" t="str">
        <f>IF(OR(E4254="",E4254="!!!"),"",IF(OR(J4254=0,AND(J4254=1,K4254=1),AND(J4254=1,I4254="SBJ"),AND(J4254=1,I4254=0)),"?IN_FOCUS",IF(J4254&lt;=2,"?ACTIVATED",IF(J4254&lt;&gt;"","?FAMILIAR",IF(F4254="NEW",IF(ISNA(VLOOKUP(E4254,#REF!,1,FALSE())),"?TYPE_IDENTIFIABLE","?REFERENTIAL"),"_")))))</f>
        <v> </v>
      </c>
      <c r="H4254" s="24" t="str">
        <f>IF(J4254&lt;&gt;1,"",IF(I4254="SBJ","CB","?"))</f>
        <v> </v>
      </c>
      <c r="I4254" s="25" t="str">
        <f>IF(OR(E4254="",E4254="!!!",F4254="NEW"),"",INDEX(B4253:B$2,-1+SUMPRODUCT(MAX(ROW(E4253:E$2)*(E4254=E4253:E$2)))))</f>
        <v> </v>
      </c>
      <c r="J4254" s="25" t="str">
        <f>IF(OR(E4254="",E4254="!!!",F4254="NEW"),"",COUNTBLANK(OFFSET(A$1,,,SUMPRODUCT(MAX(ROW(E$2:E4254)*(E4254=E$2:E4254)))))-COUNTBLANK(OFFSET(A$1,,,SUMPRODUCT(MAX(ROW(E$1:E4253)*(E2=E$1:E4253))))))</f>
        <v> </v>
      </c>
      <c r="K4254" s="25" t="str">
        <f>IF(OR(E4254="",E4254="!!!",F4254="NEW"),"",INDEX(J$1:J4253,SUMPRODUCT(MAX(ROW(E$1:E4253)*(E4254=E$1:E4253)))))</f>
        <v> </v>
      </c>
      <c r="L4254" s="26"/>
    </row>
    <row r="4255" spans="1:12">
      <c r="A4255" s="20" t="s">
        <v>184</v>
      </c>
      <c r="E4255" s="21">
        <f>IF(D4255="?OLD","!!!","")</f>
        <v/>
      </c>
      <c r="F4255" s="22" t="str">
        <f>IF(OR(E4255="",E4255="!!!"),"",IF(NOT(ISNA(VLOOKUP(E4255,E$1:E4254,1,FALSE()))),"OLD",IF(AND(E4255&lt;&gt;"",E4255&lt;&gt;"!!!"),"NEW","")))</f>
        <v> </v>
      </c>
      <c r="G4255" s="23" t="str">
        <f>IF(OR(E4255="",E4255="!!!"),"",IF(OR(J4255=0,AND(J4255=1,K4255=1),AND(J4255=1,I4255="SBJ"),AND(J4255=1,I4255=0)),"?IN_FOCUS",IF(J4255&lt;=2,"?ACTIVATED",IF(J4255&lt;&gt;"","?FAMILIAR",IF(F4255="NEW",IF(ISNA(VLOOKUP(E4255,#REF!,1,FALSE())),"?TYPE_IDENTIFIABLE","?REFERENTIAL"),"_")))))</f>
        <v> </v>
      </c>
      <c r="H4255" s="24" t="str">
        <f>IF(J4255&lt;&gt;1,"",IF(I4255="SBJ","CB","?"))</f>
        <v> </v>
      </c>
      <c r="I4255" s="25" t="str">
        <f>IF(OR(E4255="",E4255="!!!",F4255="NEW"),"",INDEX(B4254:B$2,-1+SUMPRODUCT(MAX(ROW(E4254:E$2)*(E4255=E4254:E$2)))))</f>
        <v> </v>
      </c>
      <c r="J4255" s="25" t="str">
        <f>IF(OR(E4255="",E4255="!!!",F4255="NEW"),"",COUNTBLANK(OFFSET(A$1,,,SUMPRODUCT(MAX(ROW(E$2:E4255)*(E4255=E$2:E4255)))))-COUNTBLANK(OFFSET(A$1,,,SUMPRODUCT(MAX(ROW(E$1:E4254)*(E2=E$1:E4254))))))</f>
        <v> </v>
      </c>
      <c r="K4255" s="25" t="str">
        <f>IF(OR(E4255="",E4255="!!!",F4255="NEW"),"",INDEX(J$1:J4254,SUMPRODUCT(MAX(ROW(E$1:E4254)*(E4255=E$1:E4254)))))</f>
        <v> </v>
      </c>
      <c r="L4255" s="26"/>
    </row>
    <row r="4256" spans="1:12">
      <c r="A4256" s="20" t="s">
        <v>676</v>
      </c>
      <c r="E4256" s="21">
        <f>IF(D4256="?OLD","!!!","")</f>
        <v/>
      </c>
      <c r="F4256" s="22" t="str">
        <f>IF(OR(E4256="",E4256="!!!"),"",IF(NOT(ISNA(VLOOKUP(E4256,E$1:E4255,1,FALSE()))),"OLD",IF(AND(E4256&lt;&gt;"",E4256&lt;&gt;"!!!"),"NEW","")))</f>
        <v> </v>
      </c>
      <c r="G4256" s="23" t="str">
        <f>IF(OR(E4256="",E4256="!!!"),"",IF(OR(J4256=0,AND(J4256=1,K4256=1),AND(J4256=1,I4256="SBJ"),AND(J4256=1,I4256=0)),"?IN_FOCUS",IF(J4256&lt;=2,"?ACTIVATED",IF(J4256&lt;&gt;"","?FAMILIAR",IF(F4256="NEW",IF(ISNA(VLOOKUP(E4256,#REF!,1,FALSE())),"?TYPE_IDENTIFIABLE","?REFERENTIAL"),"_")))))</f>
        <v> </v>
      </c>
      <c r="H4256" s="24" t="str">
        <f>IF(J4256&lt;&gt;1,"",IF(I4256="SBJ","CB","?"))</f>
        <v> </v>
      </c>
      <c r="I4256" s="25" t="str">
        <f>IF(OR(E4256="",E4256="!!!",F4256="NEW"),"",INDEX(B4255:B$2,-1+SUMPRODUCT(MAX(ROW(E4255:E$2)*(E4256=E4255:E$2)))))</f>
        <v> </v>
      </c>
      <c r="J4256" s="25" t="str">
        <f>IF(OR(E4256="",E4256="!!!",F4256="NEW"),"",COUNTBLANK(OFFSET(A$1,,,SUMPRODUCT(MAX(ROW(E$2:E4256)*(E4256=E$2:E4256)))))-COUNTBLANK(OFFSET(A$1,,,SUMPRODUCT(MAX(ROW(E$1:E4255)*(E2=E$1:E4255))))))</f>
        <v> </v>
      </c>
      <c r="K4256" s="25" t="str">
        <f>IF(OR(E4256="",E4256="!!!",F4256="NEW"),"",INDEX(J$1:J4255,SUMPRODUCT(MAX(ROW(E$1:E4255)*(E4256=E$1:E4255)))))</f>
        <v> </v>
      </c>
      <c r="L4256" s="26"/>
    </row>
    <row r="4257" spans="1:12">
      <c r="A4257" s="20" t="s">
        <v>1958</v>
      </c>
      <c r="B4257" s="27" t="s">
        <v>735</v>
      </c>
      <c r="C4257" s="27" t="s">
        <v>679</v>
      </c>
      <c r="E4257" s="21">
        <f>IF(D4257="?OLD","!!!","")</f>
        <v/>
      </c>
      <c r="F4257" s="22" t="str">
        <f>IF(OR(E4257="",E4257="!!!"),"",IF(NOT(ISNA(VLOOKUP(E4257,E$1:E4256,1,FALSE()))),"OLD",IF(AND(E4257&lt;&gt;"",E4257&lt;&gt;"!!!"),"NEW","")))</f>
        <v> </v>
      </c>
      <c r="G4257" s="23" t="str">
        <f>IF(OR(E4257="",E4257="!!!"),"",IF(OR(J4257=0,AND(J4257=1,K4257=1),AND(J4257=1,I4257="SBJ"),AND(J4257=1,I4257=0)),"?IN_FOCUS",IF(J4257&lt;=2,"?ACTIVATED",IF(J4257&lt;&gt;"","?FAMILIAR",IF(F4257="NEW",IF(ISNA(VLOOKUP(E4257,#REF!,1,FALSE())),"?TYPE_IDENTIFIABLE","?REFERENTIAL"),"_")))))</f>
        <v> </v>
      </c>
      <c r="H4257" s="24" t="str">
        <f>IF(J4257&lt;&gt;1,"",IF(I4257="SBJ","CB","?"))</f>
        <v> </v>
      </c>
      <c r="I4257" s="25" t="str">
        <f>IF(OR(E4257="",E4257="!!!",F4257="NEW"),"",INDEX(B4256:B$2,-1+SUMPRODUCT(MAX(ROW(E4256:E$2)*(E4257=E4256:E$2)))))</f>
        <v> </v>
      </c>
      <c r="J4257" s="25" t="str">
        <f>IF(OR(E4257="",E4257="!!!",F4257="NEW"),"",COUNTBLANK(OFFSET(A$1,,,SUMPRODUCT(MAX(ROW(E$2:E4257)*(E4257=E$2:E4257)))))-COUNTBLANK(OFFSET(A$1,,,SUMPRODUCT(MAX(ROW(E$1:E4256)*(E2=E$1:E4256))))))</f>
        <v> </v>
      </c>
      <c r="K4257" s="25" t="str">
        <f>IF(OR(E4257="",E4257="!!!",F4257="NEW"),"",INDEX(J$1:J4256,SUMPRODUCT(MAX(ROW(E$1:E4256)*(E4257=E$1:E4256)))))</f>
        <v> </v>
      </c>
      <c r="L4257" s="26"/>
    </row>
    <row r="4258" spans="1:12">
      <c r="A4258" s="20" t="s">
        <v>689</v>
      </c>
      <c r="E4258" s="21">
        <f>IF(D4258="?OLD","!!!","")</f>
        <v/>
      </c>
      <c r="F4258" s="22" t="str">
        <f>IF(OR(E4258="",E4258="!!!"),"",IF(NOT(ISNA(VLOOKUP(E4258,E$1:E4257,1,FALSE()))),"OLD",IF(AND(E4258&lt;&gt;"",E4258&lt;&gt;"!!!"),"NEW","")))</f>
        <v> </v>
      </c>
      <c r="G4258" s="23" t="str">
        <f>IF(OR(E4258="",E4258="!!!"),"",IF(OR(J4258=0,AND(J4258=1,K4258=1),AND(J4258=1,I4258="SBJ"),AND(J4258=1,I4258=0)),"?IN_FOCUS",IF(J4258&lt;=2,"?ACTIVATED",IF(J4258&lt;&gt;"","?FAMILIAR",IF(F4258="NEW",IF(ISNA(VLOOKUP(E4258,#REF!,1,FALSE())),"?TYPE_IDENTIFIABLE","?REFERENTIAL"),"_")))))</f>
        <v> </v>
      </c>
      <c r="H4258" s="24" t="str">
        <f>IF(J4258&lt;&gt;1,"",IF(I4258="SBJ","CB","?"))</f>
        <v> </v>
      </c>
      <c r="I4258" s="25" t="str">
        <f>IF(OR(E4258="",E4258="!!!",F4258="NEW"),"",INDEX(B4257:B$2,-1+SUMPRODUCT(MAX(ROW(E4257:E$2)*(E4258=E4257:E$2)))))</f>
        <v> </v>
      </c>
      <c r="J4258" s="25" t="str">
        <f>IF(OR(E4258="",E4258="!!!",F4258="NEW"),"",COUNTBLANK(OFFSET(A$1,,,SUMPRODUCT(MAX(ROW(E$2:E4258)*(E4258=E$2:E4258)))))-COUNTBLANK(OFFSET(A$1,,,SUMPRODUCT(MAX(ROW(E$1:E4257)*(E2=E$1:E4257))))))</f>
        <v> </v>
      </c>
      <c r="K4258" s="25" t="str">
        <f>IF(OR(E4258="",E4258="!!!",F4258="NEW"),"",INDEX(J$1:J4257,SUMPRODUCT(MAX(ROW(E$1:E4257)*(E4258=E$1:E4257)))))</f>
        <v> </v>
      </c>
      <c r="L4258" s="26"/>
    </row>
    <row r="4259" spans="1:12">
      <c r="A4259" s="20" t="s">
        <v>1959</v>
      </c>
      <c r="B4259" s="27" t="s">
        <v>1759</v>
      </c>
      <c r="C4259" s="27" t="s">
        <v>693</v>
      </c>
      <c r="D4259" s="27" t="s">
        <v>687</v>
      </c>
      <c r="E4259" s="21">
        <f>IF(D4259="?OLD","!!!","")</f>
        <v/>
      </c>
      <c r="F4259" s="22" t="str">
        <f>IF(OR(E4259="",E4259="!!!"),"",IF(NOT(ISNA(VLOOKUP(E4259,E$1:E4258,1,FALSE()))),"OLD",IF(AND(E4259&lt;&gt;"",E4259&lt;&gt;"!!!"),"NEW","")))</f>
        <v> </v>
      </c>
      <c r="G4259" s="23" t="str">
        <f>IF(OR(E4259="",E4259="!!!"),"",IF(OR(J4259=0,AND(J4259=1,K4259=1),AND(J4259=1,I4259="SBJ"),AND(J4259=1,I4259=0)),"?IN_FOCUS",IF(J4259&lt;=2,"?ACTIVATED",IF(J4259&lt;&gt;"","?FAMILIAR",IF(F4259="NEW",IF(ISNA(VLOOKUP(E4259,#REF!,1,FALSE())),"?TYPE_IDENTIFIABLE","?REFERENTIAL"),"_")))))</f>
        <v> </v>
      </c>
      <c r="H4259" s="24" t="str">
        <f>IF(J4259&lt;&gt;1,"",IF(I4259="SBJ","CB","?"))</f>
        <v> </v>
      </c>
      <c r="I4259" s="25" t="str">
        <f>IF(OR(E4259="",E4259="!!!",F4259="NEW"),"",INDEX(B4258:B$2,-1+SUMPRODUCT(MAX(ROW(E4258:E$2)*(E4259=E4258:E$2)))))</f>
        <v> </v>
      </c>
      <c r="J4259" s="25" t="str">
        <f>IF(OR(E4259="",E4259="!!!",F4259="NEW"),"",COUNTBLANK(OFFSET(A$1,,,SUMPRODUCT(MAX(ROW(E$2:E4259)*(E4259=E$2:E4259)))))-COUNTBLANK(OFFSET(A$1,,,SUMPRODUCT(MAX(ROW(E$1:E4258)*(E2=E$1:E4258))))))</f>
        <v> </v>
      </c>
      <c r="K4259" s="25" t="str">
        <f>IF(OR(E4259="",E4259="!!!",F4259="NEW"),"",INDEX(J$1:J4258,SUMPRODUCT(MAX(ROW(E$1:E4258)*(E4259=E$1:E4258)))))</f>
        <v> </v>
      </c>
      <c r="L4259" s="26"/>
    </row>
    <row r="4260" spans="1:12">
      <c r="A4260" s="20" t="s">
        <v>694</v>
      </c>
      <c r="E4260" s="21">
        <f>IF(D4260="?OLD","!!!","")</f>
        <v/>
      </c>
      <c r="F4260" s="22" t="str">
        <f>IF(OR(E4260="",E4260="!!!"),"",IF(NOT(ISNA(VLOOKUP(E4260,E$1:E4259,1,FALSE()))),"OLD",IF(AND(E4260&lt;&gt;"",E4260&lt;&gt;"!!!"),"NEW","")))</f>
        <v> </v>
      </c>
      <c r="G4260" s="23" t="str">
        <f>IF(OR(E4260="",E4260="!!!"),"",IF(OR(J4260=0,AND(J4260=1,K4260=1),AND(J4260=1,I4260="SBJ"),AND(J4260=1,I4260=0)),"?IN_FOCUS",IF(J4260&lt;=2,"?ACTIVATED",IF(J4260&lt;&gt;"","?FAMILIAR",IF(F4260="NEW",IF(ISNA(VLOOKUP(E4260,#REF!,1,FALSE())),"?TYPE_IDENTIFIABLE","?REFERENTIAL"),"_")))))</f>
        <v> </v>
      </c>
      <c r="H4260" s="24" t="str">
        <f>IF(J4260&lt;&gt;1,"",IF(I4260="SBJ","CB","?"))</f>
        <v> </v>
      </c>
      <c r="I4260" s="25" t="str">
        <f>IF(OR(E4260="",E4260="!!!",F4260="NEW"),"",INDEX(B4259:B$2,-1+SUMPRODUCT(MAX(ROW(E4259:E$2)*(E4260=E4259:E$2)))))</f>
        <v> </v>
      </c>
      <c r="J4260" s="25" t="str">
        <f>IF(OR(E4260="",E4260="!!!",F4260="NEW"),"",COUNTBLANK(OFFSET(A$1,,,SUMPRODUCT(MAX(ROW(E$2:E4260)*(E4260=E$2:E4260)))))-COUNTBLANK(OFFSET(A$1,,,SUMPRODUCT(MAX(ROW(E$1:E4259)*(E2=E$1:E4259))))))</f>
        <v> </v>
      </c>
      <c r="K4260" s="25" t="str">
        <f>IF(OR(E4260="",E4260="!!!",F4260="NEW"),"",INDEX(J$1:J4259,SUMPRODUCT(MAX(ROW(E$1:E4259)*(E4260=E$1:E4259)))))</f>
        <v> </v>
      </c>
      <c r="L4260" s="26"/>
    </row>
    <row r="4261" spans="1:12">
      <c r="A4261" s="20" t="s">
        <v>1026</v>
      </c>
      <c r="E4261" s="21">
        <f>IF(D4261="?OLD","!!!","")</f>
        <v/>
      </c>
      <c r="F4261" s="22" t="str">
        <f>IF(OR(E4261="",E4261="!!!"),"",IF(NOT(ISNA(VLOOKUP(E4261,E$1:E4260,1,FALSE()))),"OLD",IF(AND(E4261&lt;&gt;"",E4261&lt;&gt;"!!!"),"NEW","")))</f>
        <v> </v>
      </c>
      <c r="G4261" s="23" t="str">
        <f>IF(OR(E4261="",E4261="!!!"),"",IF(OR(J4261=0,AND(J4261=1,K4261=1),AND(J4261=1,I4261="SBJ"),AND(J4261=1,I4261=0)),"?IN_FOCUS",IF(J4261&lt;=2,"?ACTIVATED",IF(J4261&lt;&gt;"","?FAMILIAR",IF(F4261="NEW",IF(ISNA(VLOOKUP(E4261,#REF!,1,FALSE())),"?TYPE_IDENTIFIABLE","?REFERENTIAL"),"_")))))</f>
        <v> </v>
      </c>
      <c r="H4261" s="24" t="str">
        <f>IF(J4261&lt;&gt;1,"",IF(I4261="SBJ","CB","?"))</f>
        <v> </v>
      </c>
      <c r="I4261" s="25" t="str">
        <f>IF(OR(E4261="",E4261="!!!",F4261="NEW"),"",INDEX(B4260:B$2,-1+SUMPRODUCT(MAX(ROW(E4260:E$2)*(E4261=E4260:E$2)))))</f>
        <v> </v>
      </c>
      <c r="J4261" s="25" t="str">
        <f>IF(OR(E4261="",E4261="!!!",F4261="NEW"),"",COUNTBLANK(OFFSET(A$1,,,SUMPRODUCT(MAX(ROW(E$2:E4261)*(E4261=E$2:E4261)))))-COUNTBLANK(OFFSET(A$1,,,SUMPRODUCT(MAX(ROW(E$1:E4260)*(E2=E$1:E4260))))))</f>
        <v> </v>
      </c>
      <c r="K4261" s="25" t="str">
        <f>IF(OR(E4261="",E4261="!!!",F4261="NEW"),"",INDEX(J$1:J4260,SUMPRODUCT(MAX(ROW(E$1:E4260)*(E4261=E$1:E4260)))))</f>
        <v> </v>
      </c>
      <c r="L4261" s="26"/>
    </row>
    <row r="4262" spans="1:12">
      <c r="A4262" s="20" t="s">
        <v>1027</v>
      </c>
      <c r="B4262" s="27" t="s">
        <v>735</v>
      </c>
      <c r="C4262" s="27" t="s">
        <v>1049</v>
      </c>
      <c r="E4262" s="21">
        <f>IF(D4262="?OLD","!!!","")</f>
        <v/>
      </c>
      <c r="F4262" s="22" t="str">
        <f>IF(OR(E4262="",E4262="!!!"),"",IF(NOT(ISNA(VLOOKUP(E4262,E$1:E4261,1,FALSE()))),"OLD",IF(AND(E4262&lt;&gt;"",E4262&lt;&gt;"!!!"),"NEW","")))</f>
        <v> </v>
      </c>
      <c r="G4262" s="23" t="str">
        <f>IF(OR(E4262="",E4262="!!!"),"",IF(OR(J4262=0,AND(J4262=1,K4262=1),AND(J4262=1,I4262="SBJ"),AND(J4262=1,I4262=0)),"?IN_FOCUS",IF(J4262&lt;=2,"?ACTIVATED",IF(J4262&lt;&gt;"","?FAMILIAR",IF(F4262="NEW",IF(ISNA(VLOOKUP(E4262,#REF!,1,FALSE())),"?TYPE_IDENTIFIABLE","?REFERENTIAL"),"_")))))</f>
        <v> </v>
      </c>
      <c r="H4262" s="24" t="str">
        <f>IF(J4262&lt;&gt;1,"",IF(I4262="SBJ","CB","?"))</f>
        <v> </v>
      </c>
      <c r="I4262" s="25" t="str">
        <f>IF(OR(E4262="",E4262="!!!",F4262="NEW"),"",INDEX(B4261:B$2,-1+SUMPRODUCT(MAX(ROW(E4261:E$2)*(E4262=E4261:E$2)))))</f>
        <v> </v>
      </c>
      <c r="J4262" s="25" t="str">
        <f>IF(OR(E4262="",E4262="!!!",F4262="NEW"),"",COUNTBLANK(OFFSET(A$1,,,SUMPRODUCT(MAX(ROW(E$2:E4262)*(E4262=E$2:E4262)))))-COUNTBLANK(OFFSET(A$1,,,SUMPRODUCT(MAX(ROW(E$1:E4261)*(E2=E$1:E4261))))))</f>
        <v> </v>
      </c>
      <c r="K4262" s="25" t="str">
        <f>IF(OR(E4262="",E4262="!!!",F4262="NEW"),"",INDEX(J$1:J4261,SUMPRODUCT(MAX(ROW(E$1:E4261)*(E4262=E$1:E4261)))))</f>
        <v> </v>
      </c>
      <c r="L4262" s="26"/>
    </row>
    <row r="4263" spans="1:12">
      <c r="A4263" s="20" t="s">
        <v>698</v>
      </c>
      <c r="E4263" s="21">
        <f>IF(D4263="?OLD","!!!","")</f>
        <v/>
      </c>
      <c r="F4263" s="22" t="str">
        <f>IF(OR(E4263="",E4263="!!!"),"",IF(NOT(ISNA(VLOOKUP(E4263,E$1:E4262,1,FALSE()))),"OLD",IF(AND(E4263&lt;&gt;"",E4263&lt;&gt;"!!!"),"NEW","")))</f>
        <v> </v>
      </c>
      <c r="G4263" s="23" t="str">
        <f>IF(OR(E4263="",E4263="!!!"),"",IF(OR(J4263=0,AND(J4263=1,K4263=1),AND(J4263=1,I4263="SBJ"),AND(J4263=1,I4263=0)),"?IN_FOCUS",IF(J4263&lt;=2,"?ACTIVATED",IF(J4263&lt;&gt;"","?FAMILIAR",IF(F4263="NEW",IF(ISNA(VLOOKUP(E4263,#REF!,1,FALSE())),"?TYPE_IDENTIFIABLE","?REFERENTIAL"),"_")))))</f>
        <v> </v>
      </c>
      <c r="H4263" s="24" t="str">
        <f>IF(J4263&lt;&gt;1,"",IF(I4263="SBJ","CB","?"))</f>
        <v> </v>
      </c>
      <c r="I4263" s="25" t="str">
        <f>IF(OR(E4263="",E4263="!!!",F4263="NEW"),"",INDEX(B4262:B$2,-1+SUMPRODUCT(MAX(ROW(E4262:E$2)*(E4263=E4262:E$2)))))</f>
        <v> </v>
      </c>
      <c r="J4263" s="25" t="str">
        <f>IF(OR(E4263="",E4263="!!!",F4263="NEW"),"",COUNTBLANK(OFFSET(A$1,,,SUMPRODUCT(MAX(ROW(E$2:E4263)*(E4263=E$2:E4263)))))-COUNTBLANK(OFFSET(A$1,,,SUMPRODUCT(MAX(ROW(E$1:E4262)*(E2=E$1:E4262))))))</f>
        <v> </v>
      </c>
      <c r="K4263" s="25" t="str">
        <f>IF(OR(E4263="",E4263="!!!",F4263="NEW"),"",INDEX(J$1:J4262,SUMPRODUCT(MAX(ROW(E$1:E4262)*(E4263=E$1:E4262)))))</f>
        <v> </v>
      </c>
      <c r="L4263" s="26"/>
    </row>
    <row r="4264" spans="1:12">
      <c r="A4264" s="20"/>
    </row>
    <row r="4265" spans="1:12">
      <c r="A4265" s="20" t="s">
        <v>1960</v>
      </c>
    </row>
    <row r="4266" spans="1:12">
      <c r="A4266" s="20" t="s">
        <v>827</v>
      </c>
      <c r="E4266" s="21">
        <f>IF(D4266="?OLD","!!!","")</f>
        <v/>
      </c>
      <c r="F4266" s="22" t="str">
        <f>IF(OR(E4266="",E4266="!!!"),"",IF(NOT(ISNA(VLOOKUP(E4266,E$1:E4265,1,FALSE()))),"OLD",IF(AND(E4266&lt;&gt;"",E4266&lt;&gt;"!!!"),"NEW","")))</f>
        <v> </v>
      </c>
      <c r="G4266" s="23" t="str">
        <f>IF(OR(E4266="",E4266="!!!"),"",IF(OR(J4266=0,AND(J4266=1,K4266=1),AND(J4266=1,I4266="SBJ"),AND(J4266=1,I4266=0)),"?IN_FOCUS",IF(J4266&lt;=2,"?ACTIVATED",IF(J4266&lt;&gt;"","?FAMILIAR",IF(F4266="NEW",IF(ISNA(VLOOKUP(E4266,#REF!,1,FALSE())),"?TYPE_IDENTIFIABLE","?REFERENTIAL"),"_")))))</f>
        <v> </v>
      </c>
      <c r="H4266" s="24" t="str">
        <f>IF(J4266&lt;&gt;1,"",IF(I4266="SBJ","CB","?"))</f>
        <v> </v>
      </c>
      <c r="I4266" s="25" t="str">
        <f>IF(OR(E4266="",E4266="!!!",F4266="NEW"),"",INDEX(B4265:B$2,-1+SUMPRODUCT(MAX(ROW(E4265:E$2)*(E4266=E4265:E$2)))))</f>
        <v> </v>
      </c>
      <c r="J4266" s="25" t="str">
        <f>IF(OR(E4266="",E4266="!!!",F4266="NEW"),"",COUNTBLANK(OFFSET(A$1,,,SUMPRODUCT(MAX(ROW(E$2:E4266)*(E4266=E$2:E4266)))))-COUNTBLANK(OFFSET(A$1,,,SUMPRODUCT(MAX(ROW(E$1:E4265)*(E2=E$1:E4265))))))</f>
        <v> </v>
      </c>
      <c r="K4266" s="25" t="str">
        <f>IF(OR(E4266="",E4266="!!!",F4266="NEW"),"",INDEX(J$1:J4265,SUMPRODUCT(MAX(ROW(E$1:E4265)*(E4266=E$1:E4265)))))</f>
        <v> </v>
      </c>
      <c r="L4266" s="26"/>
    </row>
    <row r="4267" spans="1:12">
      <c r="A4267" s="20" t="s">
        <v>1203</v>
      </c>
      <c r="B4267" s="27" t="s">
        <v>685</v>
      </c>
      <c r="C4267" s="27" t="s">
        <v>749</v>
      </c>
      <c r="D4267" s="27" t="s">
        <v>687</v>
      </c>
      <c r="E4267" s="21">
        <f>IF(D4267="?OLD","!!!","")</f>
        <v/>
      </c>
      <c r="F4267" s="22" t="str">
        <f>IF(OR(E4267="",E4267="!!!"),"",IF(NOT(ISNA(VLOOKUP(E4267,E$1:E4266,1,FALSE()))),"OLD",IF(AND(E4267&lt;&gt;"",E4267&lt;&gt;"!!!"),"NEW","")))</f>
        <v> </v>
      </c>
      <c r="G4267" s="23" t="str">
        <f>IF(OR(E4267="",E4267="!!!"),"",IF(OR(J4267=0,AND(J4267=1,K4267=1),AND(J4267=1,I4267="SBJ"),AND(J4267=1,I4267=0)),"?IN_FOCUS",IF(J4267&lt;=2,"?ACTIVATED",IF(J4267&lt;&gt;"","?FAMILIAR",IF(F4267="NEW",IF(ISNA(VLOOKUP(E4267,#REF!,1,FALSE())),"?TYPE_IDENTIFIABLE","?REFERENTIAL"),"_")))))</f>
        <v> </v>
      </c>
      <c r="H4267" s="24" t="str">
        <f>IF(J4267&lt;&gt;1,"",IF(I4267="SBJ","CB","?"))</f>
        <v> </v>
      </c>
      <c r="I4267" s="25" t="str">
        <f>IF(OR(E4267="",E4267="!!!",F4267="NEW"),"",INDEX(B4266:B$2,-1+SUMPRODUCT(MAX(ROW(E4266:E$2)*(E4267=E4266:E$2)))))</f>
        <v> </v>
      </c>
      <c r="J4267" s="25" t="str">
        <f>IF(OR(E4267="",E4267="!!!",F4267="NEW"),"",COUNTBLANK(OFFSET(A$1,,,SUMPRODUCT(MAX(ROW(E$2:E4267)*(E4267=E$2:E4267)))))-COUNTBLANK(OFFSET(A$1,,,SUMPRODUCT(MAX(ROW(E$1:E4266)*(E2=E$1:E4266))))))</f>
        <v> </v>
      </c>
      <c r="K4267" s="25" t="str">
        <f>IF(OR(E4267="",E4267="!!!",F4267="NEW"),"",INDEX(J$1:J4266,SUMPRODUCT(MAX(ROW(E$1:E4266)*(E4267=E$1:E4266)))))</f>
        <v> </v>
      </c>
      <c r="L4267" s="26"/>
    </row>
    <row r="4268" spans="1:12">
      <c r="A4268" s="20" t="s">
        <v>750</v>
      </c>
      <c r="E4268" s="21">
        <f>IF(D4268="?OLD","!!!","")</f>
        <v/>
      </c>
      <c r="F4268" s="22" t="str">
        <f>IF(OR(E4268="",E4268="!!!"),"",IF(NOT(ISNA(VLOOKUP(E4268,E$1:E4267,1,FALSE()))),"OLD",IF(AND(E4268&lt;&gt;"",E4268&lt;&gt;"!!!"),"NEW","")))</f>
        <v> </v>
      </c>
      <c r="G4268" s="23" t="str">
        <f>IF(OR(E4268="",E4268="!!!"),"",IF(OR(J4268=0,AND(J4268=1,K4268=1),AND(J4268=1,I4268="SBJ"),AND(J4268=1,I4268=0)),"?IN_FOCUS",IF(J4268&lt;=2,"?ACTIVATED",IF(J4268&lt;&gt;"","?FAMILIAR",IF(F4268="NEW",IF(ISNA(VLOOKUP(E4268,#REF!,1,FALSE())),"?TYPE_IDENTIFIABLE","?REFERENTIAL"),"_")))))</f>
        <v> </v>
      </c>
      <c r="H4268" s="24" t="str">
        <f>IF(J4268&lt;&gt;1,"",IF(I4268="SBJ","CB","?"))</f>
        <v> </v>
      </c>
      <c r="I4268" s="25" t="str">
        <f>IF(OR(E4268="",E4268="!!!",F4268="NEW"),"",INDEX(B4267:B$2,-1+SUMPRODUCT(MAX(ROW(E4267:E$2)*(E4268=E4267:E$2)))))</f>
        <v> </v>
      </c>
      <c r="J4268" s="25" t="str">
        <f>IF(OR(E4268="",E4268="!!!",F4268="NEW"),"",COUNTBLANK(OFFSET(A$1,,,SUMPRODUCT(MAX(ROW(E$2:E4268)*(E4268=E$2:E4268)))))-COUNTBLANK(OFFSET(A$1,,,SUMPRODUCT(MAX(ROW(E$1:E4267)*(E2=E$1:E4267))))))</f>
        <v> </v>
      </c>
      <c r="K4268" s="25" t="str">
        <f>IF(OR(E4268="",E4268="!!!",F4268="NEW"),"",INDEX(J$1:J4267,SUMPRODUCT(MAX(ROW(E$1:E4267)*(E4268=E$1:E4267)))))</f>
        <v> </v>
      </c>
      <c r="L4268" s="26"/>
    </row>
    <row r="4269" spans="1:12">
      <c r="A4269" s="20" t="s">
        <v>733</v>
      </c>
      <c r="E4269" s="21">
        <f>IF(D4269="?OLD","!!!","")</f>
        <v/>
      </c>
      <c r="F4269" s="22" t="str">
        <f>IF(OR(E4269="",E4269="!!!"),"",IF(NOT(ISNA(VLOOKUP(E4269,E$1:E4268,1,FALSE()))),"OLD",IF(AND(E4269&lt;&gt;"",E4269&lt;&gt;"!!!"),"NEW","")))</f>
        <v> </v>
      </c>
      <c r="G4269" s="23" t="str">
        <f>IF(OR(E4269="",E4269="!!!"),"",IF(OR(J4269=0,AND(J4269=1,K4269=1),AND(J4269=1,I4269="SBJ"),AND(J4269=1,I4269=0)),"?IN_FOCUS",IF(J4269&lt;=2,"?ACTIVATED",IF(J4269&lt;&gt;"","?FAMILIAR",IF(F4269="NEW",IF(ISNA(VLOOKUP(E4269,#REF!,1,FALSE())),"?TYPE_IDENTIFIABLE","?REFERENTIAL"),"_")))))</f>
        <v> </v>
      </c>
      <c r="H4269" s="24" t="str">
        <f>IF(J4269&lt;&gt;1,"",IF(I4269="SBJ","CB","?"))</f>
        <v> </v>
      </c>
      <c r="I4269" s="25" t="str">
        <f>IF(OR(E4269="",E4269="!!!",F4269="NEW"),"",INDEX(B4268:B$2,-1+SUMPRODUCT(MAX(ROW(E4268:E$2)*(E4269=E4268:E$2)))))</f>
        <v> </v>
      </c>
      <c r="J4269" s="25" t="str">
        <f>IF(OR(E4269="",E4269="!!!",F4269="NEW"),"",COUNTBLANK(OFFSET(A$1,,,SUMPRODUCT(MAX(ROW(E$2:E4269)*(E4269=E$2:E4269)))))-COUNTBLANK(OFFSET(A$1,,,SUMPRODUCT(MAX(ROW(E$1:E4268)*(E2=E$1:E4268))))))</f>
        <v> </v>
      </c>
      <c r="K4269" s="25" t="str">
        <f>IF(OR(E4269="",E4269="!!!",F4269="NEW"),"",INDEX(J$1:J4268,SUMPRODUCT(MAX(ROW(E$1:E4268)*(E4269=E$1:E4268)))))</f>
        <v> </v>
      </c>
      <c r="L4269" s="26"/>
    </row>
    <row r="4270" spans="1:12">
      <c r="A4270" s="20" t="s">
        <v>1735</v>
      </c>
      <c r="B4270" s="27" t="s">
        <v>692</v>
      </c>
      <c r="C4270" s="27" t="s">
        <v>736</v>
      </c>
      <c r="E4270" s="21">
        <f>IF(D4270="?OLD","!!!","")</f>
        <v/>
      </c>
      <c r="F4270" s="22" t="str">
        <f>IF(OR(E4270="",E4270="!!!"),"",IF(NOT(ISNA(VLOOKUP(E4270,E$1:E4269,1,FALSE()))),"OLD",IF(AND(E4270&lt;&gt;"",E4270&lt;&gt;"!!!"),"NEW","")))</f>
        <v> </v>
      </c>
      <c r="G4270" s="23" t="str">
        <f>IF(OR(E4270="",E4270="!!!"),"",IF(OR(J4270=0,AND(J4270=1,K4270=1),AND(J4270=1,I4270="SBJ"),AND(J4270=1,I4270=0)),"?IN_FOCUS",IF(J4270&lt;=2,"?ACTIVATED",IF(J4270&lt;&gt;"","?FAMILIAR",IF(F4270="NEW",IF(ISNA(VLOOKUP(E4270,#REF!,1,FALSE())),"?TYPE_IDENTIFIABLE","?REFERENTIAL"),"_")))))</f>
        <v> </v>
      </c>
      <c r="H4270" s="24" t="str">
        <f>IF(J4270&lt;&gt;1,"",IF(I4270="SBJ","CB","?"))</f>
        <v> </v>
      </c>
      <c r="I4270" s="25" t="str">
        <f>IF(OR(E4270="",E4270="!!!",F4270="NEW"),"",INDEX(B4269:B$2,-1+SUMPRODUCT(MAX(ROW(E4269:E$2)*(E4270=E4269:E$2)))))</f>
        <v> </v>
      </c>
      <c r="J4270" s="25" t="str">
        <f>IF(OR(E4270="",E4270="!!!",F4270="NEW"),"",COUNTBLANK(OFFSET(A$1,,,SUMPRODUCT(MAX(ROW(E$2:E4270)*(E4270=E$2:E4270)))))-COUNTBLANK(OFFSET(A$1,,,SUMPRODUCT(MAX(ROW(E$1:E4269)*(E2=E$1:E4269))))))</f>
        <v> </v>
      </c>
      <c r="K4270" s="25" t="str">
        <f>IF(OR(E4270="",E4270="!!!",F4270="NEW"),"",INDEX(J$1:J4269,SUMPRODUCT(MAX(ROW(E$1:E4269)*(E4270=E$1:E4269)))))</f>
        <v> </v>
      </c>
      <c r="L4270" s="26"/>
    </row>
    <row r="4271" spans="1:12">
      <c r="A4271" s="20" t="s">
        <v>1207</v>
      </c>
      <c r="E4271" s="21">
        <f>IF(D4271="?OLD","!!!","")</f>
        <v/>
      </c>
      <c r="F4271" s="22" t="str">
        <f>IF(OR(E4271="",E4271="!!!"),"",IF(NOT(ISNA(VLOOKUP(E4271,E$1:E4270,1,FALSE()))),"OLD",IF(AND(E4271&lt;&gt;"",E4271&lt;&gt;"!!!"),"NEW","")))</f>
        <v> </v>
      </c>
      <c r="G4271" s="23" t="str">
        <f>IF(OR(E4271="",E4271="!!!"),"",IF(OR(J4271=0,AND(J4271=1,K4271=1),AND(J4271=1,I4271="SBJ"),AND(J4271=1,I4271=0)),"?IN_FOCUS",IF(J4271&lt;=2,"?ACTIVATED",IF(J4271&lt;&gt;"","?FAMILIAR",IF(F4271="NEW",IF(ISNA(VLOOKUP(E4271,#REF!,1,FALSE())),"?TYPE_IDENTIFIABLE","?REFERENTIAL"),"_")))))</f>
        <v> </v>
      </c>
      <c r="H4271" s="24" t="str">
        <f>IF(J4271&lt;&gt;1,"",IF(I4271="SBJ","CB","?"))</f>
        <v> </v>
      </c>
      <c r="I4271" s="25" t="str">
        <f>IF(OR(E4271="",E4271="!!!",F4271="NEW"),"",INDEX(B4270:B$2,-1+SUMPRODUCT(MAX(ROW(E4270:E$2)*(E4271=E4270:E$2)))))</f>
        <v> </v>
      </c>
      <c r="J4271" s="25" t="str">
        <f>IF(OR(E4271="",E4271="!!!",F4271="NEW"),"",COUNTBLANK(OFFSET(A$1,,,SUMPRODUCT(MAX(ROW(E$2:E4271)*(E4271=E$2:E4271)))))-COUNTBLANK(OFFSET(A$1,,,SUMPRODUCT(MAX(ROW(E$1:E4270)*(E2=E$1:E4270))))))</f>
        <v> </v>
      </c>
      <c r="K4271" s="25" t="str">
        <f>IF(OR(E4271="",E4271="!!!",F4271="NEW"),"",INDEX(J$1:J4270,SUMPRODUCT(MAX(ROW(E$1:E4270)*(E4271=E$1:E4270)))))</f>
        <v> </v>
      </c>
      <c r="L4271" s="26"/>
    </row>
    <row r="4272" spans="1:12">
      <c r="A4272" s="20" t="s">
        <v>1230</v>
      </c>
      <c r="B4272" s="27" t="s">
        <v>692</v>
      </c>
      <c r="E4272" s="21">
        <f>IF(D4272="?OLD","!!!","")</f>
        <v/>
      </c>
      <c r="F4272" s="22" t="str">
        <f>IF(OR(E4272="",E4272="!!!"),"",IF(NOT(ISNA(VLOOKUP(E4272,E$1:E4271,1,FALSE()))),"OLD",IF(AND(E4272&lt;&gt;"",E4272&lt;&gt;"!!!"),"NEW","")))</f>
        <v> </v>
      </c>
      <c r="G4272" s="23" t="str">
        <f>IF(OR(E4272="",E4272="!!!"),"",IF(OR(J4272=0,AND(J4272=1,K4272=1),AND(J4272=1,I4272="SBJ"),AND(J4272=1,I4272=0)),"?IN_FOCUS",IF(J4272&lt;=2,"?ACTIVATED",IF(J4272&lt;&gt;"","?FAMILIAR",IF(F4272="NEW",IF(ISNA(VLOOKUP(E4272,#REF!,1,FALSE())),"?TYPE_IDENTIFIABLE","?REFERENTIAL"),"_")))))</f>
        <v> </v>
      </c>
      <c r="H4272" s="24" t="str">
        <f>IF(J4272&lt;&gt;1,"",IF(I4272="SBJ","CB","?"))</f>
        <v> </v>
      </c>
      <c r="I4272" s="25" t="str">
        <f>IF(OR(E4272="",E4272="!!!",F4272="NEW"),"",INDEX(B4271:B$2,-1+SUMPRODUCT(MAX(ROW(E4271:E$2)*(E4272=E4271:E$2)))))</f>
        <v> </v>
      </c>
      <c r="J4272" s="25" t="str">
        <f>IF(OR(E4272="",E4272="!!!",F4272="NEW"),"",COUNTBLANK(OFFSET(A$1,,,SUMPRODUCT(MAX(ROW(E$2:E4272)*(E4272=E$2:E4272)))))-COUNTBLANK(OFFSET(A$1,,,SUMPRODUCT(MAX(ROW(E$1:E4271)*(E2=E$1:E4271))))))</f>
        <v> </v>
      </c>
      <c r="K4272" s="25" t="str">
        <f>IF(OR(E4272="",E4272="!!!",F4272="NEW"),"",INDEX(J$1:J4271,SUMPRODUCT(MAX(ROW(E$1:E4271)*(E4272=E$1:E4271)))))</f>
        <v> </v>
      </c>
      <c r="L4272" s="26"/>
    </row>
    <row r="4273" spans="1:12">
      <c r="A4273" s="20" t="s">
        <v>682</v>
      </c>
      <c r="E4273" s="21">
        <f>IF(D4273="?OLD","!!!","")</f>
        <v/>
      </c>
      <c r="F4273" s="22" t="str">
        <f>IF(OR(E4273="",E4273="!!!"),"",IF(NOT(ISNA(VLOOKUP(E4273,E$1:E4272,1,FALSE()))),"OLD",IF(AND(E4273&lt;&gt;"",E4273&lt;&gt;"!!!"),"NEW","")))</f>
        <v> </v>
      </c>
      <c r="G4273" s="23" t="str">
        <f>IF(OR(E4273="",E4273="!!!"),"",IF(OR(J4273=0,AND(J4273=1,K4273=1),AND(J4273=1,I4273="SBJ"),AND(J4273=1,I4273=0)),"?IN_FOCUS",IF(J4273&lt;=2,"?ACTIVATED",IF(J4273&lt;&gt;"","?FAMILIAR",IF(F4273="NEW",IF(ISNA(VLOOKUP(E4273,#REF!,1,FALSE())),"?TYPE_IDENTIFIABLE","?REFERENTIAL"),"_")))))</f>
        <v> </v>
      </c>
      <c r="H4273" s="24" t="str">
        <f>IF(J4273&lt;&gt;1,"",IF(I4273="SBJ","CB","?"))</f>
        <v> </v>
      </c>
      <c r="I4273" s="25" t="str">
        <f>IF(OR(E4273="",E4273="!!!",F4273="NEW"),"",INDEX(B4272:B$2,-1+SUMPRODUCT(MAX(ROW(E4272:E$2)*(E4273=E4272:E$2)))))</f>
        <v> </v>
      </c>
      <c r="J4273" s="25" t="str">
        <f>IF(OR(E4273="",E4273="!!!",F4273="NEW"),"",COUNTBLANK(OFFSET(A$1,,,SUMPRODUCT(MAX(ROW(E$2:E4273)*(E4273=E$2:E4273)))))-COUNTBLANK(OFFSET(A$1,,,SUMPRODUCT(MAX(ROW(E$1:E4272)*(E2=E$1:E4272))))))</f>
        <v> </v>
      </c>
      <c r="K4273" s="25" t="str">
        <f>IF(OR(E4273="",E4273="!!!",F4273="NEW"),"",INDEX(J$1:J4272,SUMPRODUCT(MAX(ROW(E$1:E4272)*(E4273=E$1:E4272)))))</f>
        <v> </v>
      </c>
      <c r="L4273" s="26"/>
    </row>
    <row r="4274" spans="1:12">
      <c r="A4274" s="20" t="s">
        <v>732</v>
      </c>
      <c r="B4274" s="27" t="s">
        <v>810</v>
      </c>
      <c r="E4274" s="21">
        <f>IF(D4274="?OLD","!!!","")</f>
        <v/>
      </c>
      <c r="F4274" s="22" t="str">
        <f>IF(OR(E4274="",E4274="!!!"),"",IF(NOT(ISNA(VLOOKUP(E4274,E$1:E4273,1,FALSE()))),"OLD",IF(AND(E4274&lt;&gt;"",E4274&lt;&gt;"!!!"),"NEW","")))</f>
        <v> </v>
      </c>
      <c r="G4274" s="23" t="str">
        <f>IF(OR(E4274="",E4274="!!!"),"",IF(OR(J4274=0,AND(J4274=1,K4274=1),AND(J4274=1,I4274="SBJ"),AND(J4274=1,I4274=0)),"?IN_FOCUS",IF(J4274&lt;=2,"?ACTIVATED",IF(J4274&lt;&gt;"","?FAMILIAR",IF(F4274="NEW",IF(ISNA(VLOOKUP(E4274,#REF!,1,FALSE())),"?TYPE_IDENTIFIABLE","?REFERENTIAL"),"_")))))</f>
        <v> </v>
      </c>
      <c r="H4274" s="24" t="str">
        <f>IF(J4274&lt;&gt;1,"",IF(I4274="SBJ","CB","?"))</f>
        <v> </v>
      </c>
      <c r="I4274" s="25" t="str">
        <f>IF(OR(E4274="",E4274="!!!",F4274="NEW"),"",INDEX(B4273:B$2,-1+SUMPRODUCT(MAX(ROW(E4273:E$2)*(E4274=E4273:E$2)))))</f>
        <v> </v>
      </c>
      <c r="J4274" s="25" t="str">
        <f>IF(OR(E4274="",E4274="!!!",F4274="NEW"),"",COUNTBLANK(OFFSET(A$1,,,SUMPRODUCT(MAX(ROW(E$2:E4274)*(E4274=E$2:E4274)))))-COUNTBLANK(OFFSET(A$1,,,SUMPRODUCT(MAX(ROW(E$1:E4273)*(E2=E$1:E4273))))))</f>
        <v> </v>
      </c>
      <c r="K4274" s="25" t="str">
        <f>IF(OR(E4274="",E4274="!!!",F4274="NEW"),"",INDEX(J$1:J4273,SUMPRODUCT(MAX(ROW(E$1:E4273)*(E4274=E$1:E4273)))))</f>
        <v> </v>
      </c>
      <c r="L4274" s="26"/>
    </row>
    <row r="4275" spans="1:12">
      <c r="A4275" s="20" t="s">
        <v>828</v>
      </c>
      <c r="B4275" s="27" t="s">
        <v>807</v>
      </c>
      <c r="C4275" s="27" t="s">
        <v>749</v>
      </c>
      <c r="D4275" s="27" t="s">
        <v>687</v>
      </c>
      <c r="E4275" s="21">
        <f>IF(D4275="?OLD","!!!","")</f>
        <v/>
      </c>
      <c r="F4275" s="22" t="str">
        <f>IF(OR(E4275="",E4275="!!!"),"",IF(NOT(ISNA(VLOOKUP(E4275,E$1:E4274,1,FALSE()))),"OLD",IF(AND(E4275&lt;&gt;"",E4275&lt;&gt;"!!!"),"NEW","")))</f>
        <v> </v>
      </c>
      <c r="G4275" s="23" t="str">
        <f>IF(OR(E4275="",E4275="!!!"),"",IF(OR(J4275=0,AND(J4275=1,K4275=1),AND(J4275=1,I4275="SBJ"),AND(J4275=1,I4275=0)),"?IN_FOCUS",IF(J4275&lt;=2,"?ACTIVATED",IF(J4275&lt;&gt;"","?FAMILIAR",IF(F4275="NEW",IF(ISNA(VLOOKUP(E4275,#REF!,1,FALSE())),"?TYPE_IDENTIFIABLE","?REFERENTIAL"),"_")))))</f>
        <v> </v>
      </c>
      <c r="H4275" s="24" t="str">
        <f>IF(J4275&lt;&gt;1,"",IF(I4275="SBJ","CB","?"))</f>
        <v> </v>
      </c>
      <c r="I4275" s="25" t="str">
        <f>IF(OR(E4275="",E4275="!!!",F4275="NEW"),"",INDEX(B4274:B$2,-1+SUMPRODUCT(MAX(ROW(E4274:E$2)*(E4275=E4274:E$2)))))</f>
        <v> </v>
      </c>
      <c r="J4275" s="25" t="str">
        <f>IF(OR(E4275="",E4275="!!!",F4275="NEW"),"",COUNTBLANK(OFFSET(A$1,,,SUMPRODUCT(MAX(ROW(E$2:E4275)*(E4275=E$2:E4275)))))-COUNTBLANK(OFFSET(A$1,,,SUMPRODUCT(MAX(ROW(E$1:E4274)*(E2=E$1:E4274))))))</f>
        <v> </v>
      </c>
      <c r="K4275" s="25" t="str">
        <f>IF(OR(E4275="",E4275="!!!",F4275="NEW"),"",INDEX(J$1:J4274,SUMPRODUCT(MAX(ROW(E$1:E4274)*(E4275=E$1:E4274)))))</f>
        <v> </v>
      </c>
      <c r="L4275" s="26"/>
    </row>
    <row r="4276" spans="1:12">
      <c r="A4276" s="20" t="s">
        <v>1726</v>
      </c>
      <c r="E4276" s="21">
        <f>IF(D4276="?OLD","!!!","")</f>
        <v/>
      </c>
      <c r="F4276" s="22" t="str">
        <f>IF(OR(E4276="",E4276="!!!"),"",IF(NOT(ISNA(VLOOKUP(E4276,E$1:E4275,1,FALSE()))),"OLD",IF(AND(E4276&lt;&gt;"",E4276&lt;&gt;"!!!"),"NEW","")))</f>
        <v> </v>
      </c>
      <c r="G4276" s="23" t="str">
        <f>IF(OR(E4276="",E4276="!!!"),"",IF(OR(J4276=0,AND(J4276=1,K4276=1),AND(J4276=1,I4276="SBJ"),AND(J4276=1,I4276=0)),"?IN_FOCUS",IF(J4276&lt;=2,"?ACTIVATED",IF(J4276&lt;&gt;"","?FAMILIAR",IF(F4276="NEW",IF(ISNA(VLOOKUP(E4276,#REF!,1,FALSE())),"?TYPE_IDENTIFIABLE","?REFERENTIAL"),"_")))))</f>
        <v> </v>
      </c>
      <c r="H4276" s="24" t="str">
        <f>IF(J4276&lt;&gt;1,"",IF(I4276="SBJ","CB","?"))</f>
        <v> </v>
      </c>
      <c r="I4276" s="25" t="str">
        <f>IF(OR(E4276="",E4276="!!!",F4276="NEW"),"",INDEX(B4275:B$2,-1+SUMPRODUCT(MAX(ROW(E4275:E$2)*(E4276=E4275:E$2)))))</f>
        <v> </v>
      </c>
      <c r="J4276" s="25" t="str">
        <f>IF(OR(E4276="",E4276="!!!",F4276="NEW"),"",COUNTBLANK(OFFSET(A$1,,,SUMPRODUCT(MAX(ROW(E$2:E4276)*(E4276=E$2:E4276)))))-COUNTBLANK(OFFSET(A$1,,,SUMPRODUCT(MAX(ROW(E$1:E4275)*(E2=E$1:E4275))))))</f>
        <v> </v>
      </c>
      <c r="K4276" s="25" t="str">
        <f>IF(OR(E4276="",E4276="!!!",F4276="NEW"),"",INDEX(J$1:J4275,SUMPRODUCT(MAX(ROW(E$1:E4275)*(E4276=E$1:E4275)))))</f>
        <v> </v>
      </c>
      <c r="L4276" s="26"/>
    </row>
    <row r="4277" spans="1:12">
      <c r="A4277" s="20" t="s">
        <v>198</v>
      </c>
      <c r="E4277" s="21">
        <f>IF(D4277="?OLD","!!!","")</f>
        <v/>
      </c>
      <c r="F4277" s="22" t="str">
        <f>IF(OR(E4277="",E4277="!!!"),"",IF(NOT(ISNA(VLOOKUP(E4277,E$1:E4276,1,FALSE()))),"OLD",IF(AND(E4277&lt;&gt;"",E4277&lt;&gt;"!!!"),"NEW","")))</f>
        <v> </v>
      </c>
      <c r="G4277" s="23" t="str">
        <f>IF(OR(E4277="",E4277="!!!"),"",IF(OR(J4277=0,AND(J4277=1,K4277=1),AND(J4277=1,I4277="SBJ"),AND(J4277=1,I4277=0)),"?IN_FOCUS",IF(J4277&lt;=2,"?ACTIVATED",IF(J4277&lt;&gt;"","?FAMILIAR",IF(F4277="NEW",IF(ISNA(VLOOKUP(E4277,#REF!,1,FALSE())),"?TYPE_IDENTIFIABLE","?REFERENTIAL"),"_")))))</f>
        <v> </v>
      </c>
      <c r="H4277" s="24" t="str">
        <f>IF(J4277&lt;&gt;1,"",IF(I4277="SBJ","CB","?"))</f>
        <v> </v>
      </c>
      <c r="I4277" s="25" t="str">
        <f>IF(OR(E4277="",E4277="!!!",F4277="NEW"),"",INDEX(B4276:B$2,-1+SUMPRODUCT(MAX(ROW(E4276:E$2)*(E4277=E4276:E$2)))))</f>
        <v> </v>
      </c>
      <c r="J4277" s="25" t="str">
        <f>IF(OR(E4277="",E4277="!!!",F4277="NEW"),"",COUNTBLANK(OFFSET(A$1,,,SUMPRODUCT(MAX(ROW(E$2:E4277)*(E4277=E$2:E4277)))))-COUNTBLANK(OFFSET(A$1,,,SUMPRODUCT(MAX(ROW(E$1:E4276)*(E2=E$1:E4276))))))</f>
        <v> </v>
      </c>
      <c r="K4277" s="25" t="str">
        <f>IF(OR(E4277="",E4277="!!!",F4277="NEW"),"",INDEX(J$1:J4276,SUMPRODUCT(MAX(ROW(E$1:E4276)*(E4277=E$1:E4276)))))</f>
        <v> </v>
      </c>
      <c r="L4277" s="26"/>
    </row>
    <row r="4278" spans="1:12">
      <c r="A4278" s="20" t="s">
        <v>1961</v>
      </c>
      <c r="E4278" s="21">
        <f>IF(D4278="?OLD","!!!","")</f>
        <v/>
      </c>
      <c r="F4278" s="22" t="str">
        <f>IF(OR(E4278="",E4278="!!!"),"",IF(NOT(ISNA(VLOOKUP(E4278,E$1:E4277,1,FALSE()))),"OLD",IF(AND(E4278&lt;&gt;"",E4278&lt;&gt;"!!!"),"NEW","")))</f>
        <v> </v>
      </c>
      <c r="G4278" s="23" t="str">
        <f>IF(OR(E4278="",E4278="!!!"),"",IF(OR(J4278=0,AND(J4278=1,K4278=1),AND(J4278=1,I4278="SBJ"),AND(J4278=1,I4278=0)),"?IN_FOCUS",IF(J4278&lt;=2,"?ACTIVATED",IF(J4278&lt;&gt;"","?FAMILIAR",IF(F4278="NEW",IF(ISNA(VLOOKUP(E4278,#REF!,1,FALSE())),"?TYPE_IDENTIFIABLE","?REFERENTIAL"),"_")))))</f>
        <v> </v>
      </c>
      <c r="H4278" s="24" t="str">
        <f>IF(J4278&lt;&gt;1,"",IF(I4278="SBJ","CB","?"))</f>
        <v> </v>
      </c>
      <c r="I4278" s="25" t="str">
        <f>IF(OR(E4278="",E4278="!!!",F4278="NEW"),"",INDEX(B4277:B$2,-1+SUMPRODUCT(MAX(ROW(E4277:E$2)*(E4278=E4277:E$2)))))</f>
        <v> </v>
      </c>
      <c r="J4278" s="25" t="str">
        <f>IF(OR(E4278="",E4278="!!!",F4278="NEW"),"",COUNTBLANK(OFFSET(A$1,,,SUMPRODUCT(MAX(ROW(E$2:E4278)*(E4278=E$2:E4278)))))-COUNTBLANK(OFFSET(A$1,,,SUMPRODUCT(MAX(ROW(E$1:E4277)*(E2=E$1:E4277))))))</f>
        <v> </v>
      </c>
      <c r="K4278" s="25" t="str">
        <f>IF(OR(E4278="",E4278="!!!",F4278="NEW"),"",INDEX(J$1:J4277,SUMPRODUCT(MAX(ROW(E$1:E4277)*(E4278=E$1:E4277)))))</f>
        <v> </v>
      </c>
      <c r="L4278" s="26"/>
    </row>
    <row r="4279" spans="1:12">
      <c r="A4279" s="20" t="s">
        <v>1962</v>
      </c>
      <c r="B4279" s="27" t="s">
        <v>874</v>
      </c>
      <c r="C4279" s="27" t="s">
        <v>679</v>
      </c>
      <c r="E4279" s="21">
        <f>IF(D4279="?OLD","!!!","")</f>
        <v/>
      </c>
      <c r="F4279" s="22" t="str">
        <f>IF(OR(E4279="",E4279="!!!"),"",IF(NOT(ISNA(VLOOKUP(E4279,E$1:E4278,1,FALSE()))),"OLD",IF(AND(E4279&lt;&gt;"",E4279&lt;&gt;"!!!"),"NEW","")))</f>
        <v> </v>
      </c>
      <c r="G4279" s="23" t="str">
        <f>IF(OR(E4279="",E4279="!!!"),"",IF(OR(J4279=0,AND(J4279=1,K4279=1),AND(J4279=1,I4279="SBJ"),AND(J4279=1,I4279=0)),"?IN_FOCUS",IF(J4279&lt;=2,"?ACTIVATED",IF(J4279&lt;&gt;"","?FAMILIAR",IF(F4279="NEW",IF(ISNA(VLOOKUP(E4279,#REF!,1,FALSE())),"?TYPE_IDENTIFIABLE","?REFERENTIAL"),"_")))))</f>
        <v> </v>
      </c>
      <c r="H4279" s="24" t="str">
        <f>IF(J4279&lt;&gt;1,"",IF(I4279="SBJ","CB","?"))</f>
        <v> </v>
      </c>
      <c r="I4279" s="25" t="str">
        <f>IF(OR(E4279="",E4279="!!!",F4279="NEW"),"",INDEX(B4278:B$2,-1+SUMPRODUCT(MAX(ROW(E4278:E$2)*(E4279=E4278:E$2)))))</f>
        <v> </v>
      </c>
      <c r="J4279" s="25" t="str">
        <f>IF(OR(E4279="",E4279="!!!",F4279="NEW"),"",COUNTBLANK(OFFSET(A$1,,,SUMPRODUCT(MAX(ROW(E$2:E4279)*(E4279=E$2:E4279)))))-COUNTBLANK(OFFSET(A$1,,,SUMPRODUCT(MAX(ROW(E$1:E4278)*(E2=E$1:E4278))))))</f>
        <v> </v>
      </c>
      <c r="K4279" s="25" t="str">
        <f>IF(OR(E4279="",E4279="!!!",F4279="NEW"),"",INDEX(J$1:J4278,SUMPRODUCT(MAX(ROW(E$1:E4278)*(E4279=E$1:E4278)))))</f>
        <v> </v>
      </c>
      <c r="L4279" s="26"/>
    </row>
    <row r="4280" spans="1:12">
      <c r="A4280" s="20" t="s">
        <v>698</v>
      </c>
      <c r="E4280" s="21">
        <f>IF(D4280="?OLD","!!!","")</f>
        <v/>
      </c>
      <c r="F4280" s="22" t="str">
        <f>IF(OR(E4280="",E4280="!!!"),"",IF(NOT(ISNA(VLOOKUP(E4280,E$1:E4279,1,FALSE()))),"OLD",IF(AND(E4280&lt;&gt;"",E4280&lt;&gt;"!!!"),"NEW","")))</f>
        <v> </v>
      </c>
      <c r="G4280" s="23" t="str">
        <f>IF(OR(E4280="",E4280="!!!"),"",IF(OR(J4280=0,AND(J4280=1,K4280=1),AND(J4280=1,I4280="SBJ"),AND(J4280=1,I4280=0)),"?IN_FOCUS",IF(J4280&lt;=2,"?ACTIVATED",IF(J4280&lt;&gt;"","?FAMILIAR",IF(F4280="NEW",IF(ISNA(VLOOKUP(E4280,#REF!,1,FALSE())),"?TYPE_IDENTIFIABLE","?REFERENTIAL"),"_")))))</f>
        <v> </v>
      </c>
      <c r="H4280" s="24" t="str">
        <f>IF(J4280&lt;&gt;1,"",IF(I4280="SBJ","CB","?"))</f>
        <v> </v>
      </c>
      <c r="I4280" s="25" t="str">
        <f>IF(OR(E4280="",E4280="!!!",F4280="NEW"),"",INDEX(B4279:B$2,-1+SUMPRODUCT(MAX(ROW(E4279:E$2)*(E4280=E4279:E$2)))))</f>
        <v> </v>
      </c>
      <c r="J4280" s="25" t="str">
        <f>IF(OR(E4280="",E4280="!!!",F4280="NEW"),"",COUNTBLANK(OFFSET(A$1,,,SUMPRODUCT(MAX(ROW(E$2:E4280)*(E4280=E$2:E4280)))))-COUNTBLANK(OFFSET(A$1,,,SUMPRODUCT(MAX(ROW(E$1:E4279)*(E2=E$1:E4279))))))</f>
        <v> </v>
      </c>
      <c r="K4280" s="25" t="str">
        <f>IF(OR(E4280="",E4280="!!!",F4280="NEW"),"",INDEX(J$1:J4279,SUMPRODUCT(MAX(ROW(E$1:E4279)*(E4280=E$1:E4279)))))</f>
        <v> </v>
      </c>
      <c r="L4280" s="26"/>
    </row>
    <row r="4281" spans="1:12">
      <c r="A4281" s="20"/>
    </row>
    <row r="4282" spans="1:12">
      <c r="A4282" s="20" t="s">
        <v>1963</v>
      </c>
    </row>
    <row r="4283" spans="1:12">
      <c r="A4283" s="20" t="s">
        <v>868</v>
      </c>
      <c r="E4283" s="21">
        <f>IF(D4283="?OLD","!!!","")</f>
        <v/>
      </c>
      <c r="F4283" s="22" t="str">
        <f>IF(OR(E4283="",E4283="!!!"),"",IF(NOT(ISNA(VLOOKUP(E4283,E$1:E4282,1,FALSE()))),"OLD",IF(AND(E4283&lt;&gt;"",E4283&lt;&gt;"!!!"),"NEW","")))</f>
        <v> </v>
      </c>
      <c r="G4283" s="23" t="str">
        <f>IF(OR(E4283="",E4283="!!!"),"",IF(OR(J4283=0,AND(J4283=1,K4283=1),AND(J4283=1,I4283="SBJ"),AND(J4283=1,I4283=0)),"?IN_FOCUS",IF(J4283&lt;=2,"?ACTIVATED",IF(J4283&lt;&gt;"","?FAMILIAR",IF(F4283="NEW",IF(ISNA(VLOOKUP(E4283,#REF!,1,FALSE())),"?TYPE_IDENTIFIABLE","?REFERENTIAL"),"_")))))</f>
        <v> </v>
      </c>
      <c r="H4283" s="24" t="str">
        <f>IF(J4283&lt;&gt;1,"",IF(I4283="SBJ","CB","?"))</f>
        <v> </v>
      </c>
      <c r="I4283" s="25" t="str">
        <f>IF(OR(E4283="",E4283="!!!",F4283="NEW"),"",INDEX(B4282:B$2,-1+SUMPRODUCT(MAX(ROW(E4282:E$2)*(E4283=E4282:E$2)))))</f>
        <v> </v>
      </c>
      <c r="J4283" s="25" t="str">
        <f>IF(OR(E4283="",E4283="!!!",F4283="NEW"),"",COUNTBLANK(OFFSET(A$1,,,SUMPRODUCT(MAX(ROW(E$2:E4283)*(E4283=E$2:E4283)))))-COUNTBLANK(OFFSET(A$1,,,SUMPRODUCT(MAX(ROW(E$1:E4282)*(E2=E$1:E4282))))))</f>
        <v> </v>
      </c>
      <c r="K4283" s="25" t="str">
        <f>IF(OR(E4283="",E4283="!!!",F4283="NEW"),"",INDEX(J$1:J4282,SUMPRODUCT(MAX(ROW(E$1:E4282)*(E4283=E$1:E4282)))))</f>
        <v> </v>
      </c>
      <c r="L4283" s="26"/>
    </row>
    <row r="4284" spans="1:12">
      <c r="A4284" s="20" t="s">
        <v>828</v>
      </c>
      <c r="B4284" s="27" t="s">
        <v>787</v>
      </c>
      <c r="C4284" s="27" t="s">
        <v>749</v>
      </c>
      <c r="D4284" s="27" t="s">
        <v>687</v>
      </c>
      <c r="E4284" s="21">
        <f>IF(D4284="?OLD","!!!","")</f>
        <v/>
      </c>
      <c r="F4284" s="22" t="str">
        <f>IF(OR(E4284="",E4284="!!!"),"",IF(NOT(ISNA(VLOOKUP(E4284,E$1:E4283,1,FALSE()))),"OLD",IF(AND(E4284&lt;&gt;"",E4284&lt;&gt;"!!!"),"NEW","")))</f>
        <v> </v>
      </c>
      <c r="G4284" s="23" t="str">
        <f>IF(OR(E4284="",E4284="!!!"),"",IF(OR(J4284=0,AND(J4284=1,K4284=1),AND(J4284=1,I4284="SBJ"),AND(J4284=1,I4284=0)),"?IN_FOCUS",IF(J4284&lt;=2,"?ACTIVATED",IF(J4284&lt;&gt;"","?FAMILIAR",IF(F4284="NEW",IF(ISNA(VLOOKUP(E4284,#REF!,1,FALSE())),"?TYPE_IDENTIFIABLE","?REFERENTIAL"),"_")))))</f>
        <v> </v>
      </c>
      <c r="H4284" s="24" t="str">
        <f>IF(J4284&lt;&gt;1,"",IF(I4284="SBJ","CB","?"))</f>
        <v> </v>
      </c>
      <c r="I4284" s="25" t="str">
        <f>IF(OR(E4284="",E4284="!!!",F4284="NEW"),"",INDEX(B4283:B$2,-1+SUMPRODUCT(MAX(ROW(E4283:E$2)*(E4284=E4283:E$2)))))</f>
        <v> </v>
      </c>
      <c r="J4284" s="25" t="str">
        <f>IF(OR(E4284="",E4284="!!!",F4284="NEW"),"",COUNTBLANK(OFFSET(A$1,,,SUMPRODUCT(MAX(ROW(E$2:E4284)*(E4284=E$2:E4284)))))-COUNTBLANK(OFFSET(A$1,,,SUMPRODUCT(MAX(ROW(E$1:E4283)*(E2=E$1:E4283))))))</f>
        <v> </v>
      </c>
      <c r="K4284" s="25" t="str">
        <f>IF(OR(E4284="",E4284="!!!",F4284="NEW"),"",INDEX(J$1:J4283,SUMPRODUCT(MAX(ROW(E$1:E4283)*(E4284=E$1:E4283)))))</f>
        <v> </v>
      </c>
      <c r="L4284" s="26"/>
    </row>
    <row r="4285" spans="1:12">
      <c r="A4285" s="20" t="s">
        <v>830</v>
      </c>
      <c r="B4285" s="27" t="s">
        <v>791</v>
      </c>
      <c r="C4285" s="27" t="s">
        <v>749</v>
      </c>
      <c r="D4285" s="27" t="s">
        <v>687</v>
      </c>
      <c r="E4285" s="21">
        <f>IF(D4285="?OLD","!!!","")</f>
        <v/>
      </c>
      <c r="F4285" s="22" t="str">
        <f>IF(OR(E4285="",E4285="!!!"),"",IF(NOT(ISNA(VLOOKUP(E4285,E$1:E4284,1,FALSE()))),"OLD",IF(AND(E4285&lt;&gt;"",E4285&lt;&gt;"!!!"),"NEW","")))</f>
        <v> </v>
      </c>
      <c r="G4285" s="23" t="str">
        <f>IF(OR(E4285="",E4285="!!!"),"",IF(OR(J4285=0,AND(J4285=1,K4285=1),AND(J4285=1,I4285="SBJ"),AND(J4285=1,I4285=0)),"?IN_FOCUS",IF(J4285&lt;=2,"?ACTIVATED",IF(J4285&lt;&gt;"","?FAMILIAR",IF(F4285="NEW",IF(ISNA(VLOOKUP(E4285,#REF!,1,FALSE())),"?TYPE_IDENTIFIABLE","?REFERENTIAL"),"_")))))</f>
        <v> </v>
      </c>
      <c r="H4285" s="24" t="str">
        <f>IF(J4285&lt;&gt;1,"",IF(I4285="SBJ","CB","?"))</f>
        <v> </v>
      </c>
      <c r="I4285" s="25" t="str">
        <f>IF(OR(E4285="",E4285="!!!",F4285="NEW"),"",INDEX(B4284:B$2,-1+SUMPRODUCT(MAX(ROW(E4284:E$2)*(E4285=E4284:E$2)))))</f>
        <v> </v>
      </c>
      <c r="J4285" s="25" t="str">
        <f>IF(OR(E4285="",E4285="!!!",F4285="NEW"),"",COUNTBLANK(OFFSET(A$1,,,SUMPRODUCT(MAX(ROW(E$2:E4285)*(E4285=E$2:E4285)))))-COUNTBLANK(OFFSET(A$1,,,SUMPRODUCT(MAX(ROW(E$1:E4284)*(E2=E$1:E4284))))))</f>
        <v> </v>
      </c>
      <c r="K4285" s="25" t="str">
        <f>IF(OR(E4285="",E4285="!!!",F4285="NEW"),"",INDEX(J$1:J4284,SUMPRODUCT(MAX(ROW(E$1:E4284)*(E4285=E$1:E4284)))))</f>
        <v> </v>
      </c>
      <c r="L4285" s="26"/>
    </row>
    <row r="4286" spans="1:12">
      <c r="A4286" s="20" t="s">
        <v>876</v>
      </c>
      <c r="E4286" s="21">
        <f>IF(D4286="?OLD","!!!","")</f>
        <v/>
      </c>
      <c r="F4286" s="22" t="str">
        <f>IF(OR(E4286="",E4286="!!!"),"",IF(NOT(ISNA(VLOOKUP(E4286,E$1:E4285,1,FALSE()))),"OLD",IF(AND(E4286&lt;&gt;"",E4286&lt;&gt;"!!!"),"NEW","")))</f>
        <v> </v>
      </c>
      <c r="G4286" s="23" t="str">
        <f>IF(OR(E4286="",E4286="!!!"),"",IF(OR(J4286=0,AND(J4286=1,K4286=1),AND(J4286=1,I4286="SBJ"),AND(J4286=1,I4286=0)),"?IN_FOCUS",IF(J4286&lt;=2,"?ACTIVATED",IF(J4286&lt;&gt;"","?FAMILIAR",IF(F4286="NEW",IF(ISNA(VLOOKUP(E4286,#REF!,1,FALSE())),"?TYPE_IDENTIFIABLE","?REFERENTIAL"),"_")))))</f>
        <v> </v>
      </c>
      <c r="H4286" s="24" t="str">
        <f>IF(J4286&lt;&gt;1,"",IF(I4286="SBJ","CB","?"))</f>
        <v> </v>
      </c>
      <c r="I4286" s="25" t="str">
        <f>IF(OR(E4286="",E4286="!!!",F4286="NEW"),"",INDEX(B4285:B$2,-1+SUMPRODUCT(MAX(ROW(E4285:E$2)*(E4286=E4285:E$2)))))</f>
        <v> </v>
      </c>
      <c r="J4286" s="25" t="str">
        <f>IF(OR(E4286="",E4286="!!!",F4286="NEW"),"",COUNTBLANK(OFFSET(A$1,,,SUMPRODUCT(MAX(ROW(E$2:E4286)*(E4286=E$2:E4286)))))-COUNTBLANK(OFFSET(A$1,,,SUMPRODUCT(MAX(ROW(E$1:E4285)*(E2=E$1:E4285))))))</f>
        <v> </v>
      </c>
      <c r="K4286" s="25" t="str">
        <f>IF(OR(E4286="",E4286="!!!",F4286="NEW"),"",INDEX(J$1:J4285,SUMPRODUCT(MAX(ROW(E$1:E4285)*(E4286=E$1:E4285)))))</f>
        <v> </v>
      </c>
      <c r="L4286" s="26"/>
    </row>
    <row r="4287" spans="1:12">
      <c r="A4287" s="20" t="s">
        <v>1070</v>
      </c>
      <c r="E4287" s="21">
        <f>IF(D4287="?OLD","!!!","")</f>
        <v/>
      </c>
      <c r="F4287" s="22" t="str">
        <f>IF(OR(E4287="",E4287="!!!"),"",IF(NOT(ISNA(VLOOKUP(E4287,E$1:E4286,1,FALSE()))),"OLD",IF(AND(E4287&lt;&gt;"",E4287&lt;&gt;"!!!"),"NEW","")))</f>
        <v> </v>
      </c>
      <c r="G4287" s="23" t="str">
        <f>IF(OR(E4287="",E4287="!!!"),"",IF(OR(J4287=0,AND(J4287=1,K4287=1),AND(J4287=1,I4287="SBJ"),AND(J4287=1,I4287=0)),"?IN_FOCUS",IF(J4287&lt;=2,"?ACTIVATED",IF(J4287&lt;&gt;"","?FAMILIAR",IF(F4287="NEW",IF(ISNA(VLOOKUP(E4287,#REF!,1,FALSE())),"?TYPE_IDENTIFIABLE","?REFERENTIAL"),"_")))))</f>
        <v> </v>
      </c>
      <c r="H4287" s="24" t="str">
        <f>IF(J4287&lt;&gt;1,"",IF(I4287="SBJ","CB","?"))</f>
        <v> </v>
      </c>
      <c r="I4287" s="25" t="str">
        <f>IF(OR(E4287="",E4287="!!!",F4287="NEW"),"",INDEX(B4286:B$2,-1+SUMPRODUCT(MAX(ROW(E4286:E$2)*(E4287=E4286:E$2)))))</f>
        <v> </v>
      </c>
      <c r="J4287" s="25" t="str">
        <f>IF(OR(E4287="",E4287="!!!",F4287="NEW"),"",COUNTBLANK(OFFSET(A$1,,,SUMPRODUCT(MAX(ROW(E$2:E4287)*(E4287=E$2:E4287)))))-COUNTBLANK(OFFSET(A$1,,,SUMPRODUCT(MAX(ROW(E$1:E4286)*(E2=E$1:E4286))))))</f>
        <v> </v>
      </c>
      <c r="K4287" s="25" t="str">
        <f>IF(OR(E4287="",E4287="!!!",F4287="NEW"),"",INDEX(J$1:J4286,SUMPRODUCT(MAX(ROW(E$1:E4286)*(E4287=E$1:E4286)))))</f>
        <v> </v>
      </c>
      <c r="L4287" s="26"/>
    </row>
    <row r="4288" spans="1:12">
      <c r="A4288" s="20" t="s">
        <v>1094</v>
      </c>
      <c r="B4288" s="27" t="s">
        <v>791</v>
      </c>
      <c r="C4288" s="27" t="s">
        <v>899</v>
      </c>
      <c r="D4288" s="27" t="s">
        <v>687</v>
      </c>
      <c r="E4288" s="21">
        <f>IF(D4288="?OLD","!!!","")</f>
        <v/>
      </c>
      <c r="F4288" s="22" t="str">
        <f>IF(OR(E4288="",E4288="!!!"),"",IF(NOT(ISNA(VLOOKUP(E4288,E$1:E4287,1,FALSE()))),"OLD",IF(AND(E4288&lt;&gt;"",E4288&lt;&gt;"!!!"),"NEW","")))</f>
        <v> </v>
      </c>
      <c r="G4288" s="23" t="str">
        <f>IF(OR(E4288="",E4288="!!!"),"",IF(OR(J4288=0,AND(J4288=1,K4288=1),AND(J4288=1,I4288="SBJ"),AND(J4288=1,I4288=0)),"?IN_FOCUS",IF(J4288&lt;=2,"?ACTIVATED",IF(J4288&lt;&gt;"","?FAMILIAR",IF(F4288="NEW",IF(ISNA(VLOOKUP(E4288,#REF!,1,FALSE())),"?TYPE_IDENTIFIABLE","?REFERENTIAL"),"_")))))</f>
        <v> </v>
      </c>
      <c r="H4288" s="24" t="str">
        <f>IF(J4288&lt;&gt;1,"",IF(I4288="SBJ","CB","?"))</f>
        <v> </v>
      </c>
      <c r="I4288" s="25" t="str">
        <f>IF(OR(E4288="",E4288="!!!",F4288="NEW"),"",INDEX(B4287:B$2,-1+SUMPRODUCT(MAX(ROW(E4287:E$2)*(E4288=E4287:E$2)))))</f>
        <v> </v>
      </c>
      <c r="J4288" s="25" t="str">
        <f>IF(OR(E4288="",E4288="!!!",F4288="NEW"),"",COUNTBLANK(OFFSET(A$1,,,SUMPRODUCT(MAX(ROW(E$2:E4288)*(E4288=E$2:E4288)))))-COUNTBLANK(OFFSET(A$1,,,SUMPRODUCT(MAX(ROW(E$1:E4287)*(E2=E$1:E4287))))))</f>
        <v> </v>
      </c>
      <c r="K4288" s="25" t="str">
        <f>IF(OR(E4288="",E4288="!!!",F4288="NEW"),"",INDEX(J$1:J4287,SUMPRODUCT(MAX(ROW(E$1:E4287)*(E4288=E$1:E4287)))))</f>
        <v> </v>
      </c>
      <c r="L4288" s="26"/>
    </row>
    <row r="4289" spans="1:12">
      <c r="A4289" s="20" t="s">
        <v>682</v>
      </c>
      <c r="E4289" s="21">
        <f>IF(D4289="?OLD","!!!","")</f>
        <v/>
      </c>
      <c r="F4289" s="22" t="str">
        <f>IF(OR(E4289="",E4289="!!!"),"",IF(NOT(ISNA(VLOOKUP(E4289,E$1:E4288,1,FALSE()))),"OLD",IF(AND(E4289&lt;&gt;"",E4289&lt;&gt;"!!!"),"NEW","")))</f>
        <v> </v>
      </c>
      <c r="G4289" s="23" t="str">
        <f>IF(OR(E4289="",E4289="!!!"),"",IF(OR(J4289=0,AND(J4289=1,K4289=1),AND(J4289=1,I4289="SBJ"),AND(J4289=1,I4289=0)),"?IN_FOCUS",IF(J4289&lt;=2,"?ACTIVATED",IF(J4289&lt;&gt;"","?FAMILIAR",IF(F4289="NEW",IF(ISNA(VLOOKUP(E4289,#REF!,1,FALSE())),"?TYPE_IDENTIFIABLE","?REFERENTIAL"),"_")))))</f>
        <v> </v>
      </c>
      <c r="H4289" s="24" t="str">
        <f>IF(J4289&lt;&gt;1,"",IF(I4289="SBJ","CB","?"))</f>
        <v> </v>
      </c>
      <c r="I4289" s="25" t="str">
        <f>IF(OR(E4289="",E4289="!!!",F4289="NEW"),"",INDEX(B4288:B$2,-1+SUMPRODUCT(MAX(ROW(E4288:E$2)*(E4289=E4288:E$2)))))</f>
        <v> </v>
      </c>
      <c r="J4289" s="25" t="str">
        <f>IF(OR(E4289="",E4289="!!!",F4289="NEW"),"",COUNTBLANK(OFFSET(A$1,,,SUMPRODUCT(MAX(ROW(E$2:E4289)*(E4289=E$2:E4289)))))-COUNTBLANK(OFFSET(A$1,,,SUMPRODUCT(MAX(ROW(E$1:E4288)*(E2=E$1:E4288))))))</f>
        <v> </v>
      </c>
      <c r="K4289" s="25" t="str">
        <f>IF(OR(E4289="",E4289="!!!",F4289="NEW"),"",INDEX(J$1:J4288,SUMPRODUCT(MAX(ROW(E$1:E4288)*(E4289=E$1:E4288)))))</f>
        <v> </v>
      </c>
      <c r="L4289" s="26"/>
    </row>
    <row r="4290" spans="1:12">
      <c r="A4290" s="20" t="s">
        <v>1964</v>
      </c>
      <c r="E4290" s="21">
        <f>IF(D4290="?OLD","!!!","")</f>
        <v/>
      </c>
      <c r="F4290" s="22" t="str">
        <f>IF(OR(E4290="",E4290="!!!"),"",IF(NOT(ISNA(VLOOKUP(E4290,E$1:E4289,1,FALSE()))),"OLD",IF(AND(E4290&lt;&gt;"",E4290&lt;&gt;"!!!"),"NEW","")))</f>
        <v> </v>
      </c>
      <c r="G4290" s="23" t="str">
        <f>IF(OR(E4290="",E4290="!!!"),"",IF(OR(J4290=0,AND(J4290=1,K4290=1),AND(J4290=1,I4290="SBJ"),AND(J4290=1,I4290=0)),"?IN_FOCUS",IF(J4290&lt;=2,"?ACTIVATED",IF(J4290&lt;&gt;"","?FAMILIAR",IF(F4290="NEW",IF(ISNA(VLOOKUP(E4290,#REF!,1,FALSE())),"?TYPE_IDENTIFIABLE","?REFERENTIAL"),"_")))))</f>
        <v> </v>
      </c>
      <c r="H4290" s="24" t="str">
        <f>IF(J4290&lt;&gt;1,"",IF(I4290="SBJ","CB","?"))</f>
        <v> </v>
      </c>
      <c r="I4290" s="25" t="str">
        <f>IF(OR(E4290="",E4290="!!!",F4290="NEW"),"",INDEX(B4289:B$2,-1+SUMPRODUCT(MAX(ROW(E4289:E$2)*(E4290=E4289:E$2)))))</f>
        <v> </v>
      </c>
      <c r="J4290" s="25" t="str">
        <f>IF(OR(E4290="",E4290="!!!",F4290="NEW"),"",COUNTBLANK(OFFSET(A$1,,,SUMPRODUCT(MAX(ROW(E$2:E4290)*(E4290=E$2:E4290)))))-COUNTBLANK(OFFSET(A$1,,,SUMPRODUCT(MAX(ROW(E$1:E4289)*(E2=E$1:E4289))))))</f>
        <v> </v>
      </c>
      <c r="K4290" s="25" t="str">
        <f>IF(OR(E4290="",E4290="!!!",F4290="NEW"),"",INDEX(J$1:J4289,SUMPRODUCT(MAX(ROW(E$1:E4289)*(E4290=E$1:E4289)))))</f>
        <v> </v>
      </c>
      <c r="L4290" s="26"/>
    </row>
    <row r="4291" spans="1:12">
      <c r="A4291" s="20" t="s">
        <v>306</v>
      </c>
      <c r="E4291" s="21">
        <f>IF(D4291="?OLD","!!!","")</f>
        <v/>
      </c>
      <c r="F4291" s="22" t="str">
        <f>IF(OR(E4291="",E4291="!!!"),"",IF(NOT(ISNA(VLOOKUP(E4291,E$1:E4290,1,FALSE()))),"OLD",IF(AND(E4291&lt;&gt;"",E4291&lt;&gt;"!!!"),"NEW","")))</f>
        <v> </v>
      </c>
      <c r="G4291" s="23" t="str">
        <f>IF(OR(E4291="",E4291="!!!"),"",IF(OR(J4291=0,AND(J4291=1,K4291=1),AND(J4291=1,I4291="SBJ"),AND(J4291=1,I4291=0)),"?IN_FOCUS",IF(J4291&lt;=2,"?ACTIVATED",IF(J4291&lt;&gt;"","?FAMILIAR",IF(F4291="NEW",IF(ISNA(VLOOKUP(E4291,#REF!,1,FALSE())),"?TYPE_IDENTIFIABLE","?REFERENTIAL"),"_")))))</f>
        <v> </v>
      </c>
      <c r="H4291" s="24" t="str">
        <f>IF(J4291&lt;&gt;1,"",IF(I4291="SBJ","CB","?"))</f>
        <v> </v>
      </c>
      <c r="I4291" s="25" t="str">
        <f>IF(OR(E4291="",E4291="!!!",F4291="NEW"),"",INDEX(B4290:B$2,-1+SUMPRODUCT(MAX(ROW(E4290:E$2)*(E4291=E4290:E$2)))))</f>
        <v> </v>
      </c>
      <c r="J4291" s="25" t="str">
        <f>IF(OR(E4291="",E4291="!!!",F4291="NEW"),"",COUNTBLANK(OFFSET(A$1,,,SUMPRODUCT(MAX(ROW(E$2:E4291)*(E4291=E$2:E4291)))))-COUNTBLANK(OFFSET(A$1,,,SUMPRODUCT(MAX(ROW(E$1:E4290)*(E2=E$1:E4290))))))</f>
        <v> </v>
      </c>
      <c r="K4291" s="25" t="str">
        <f>IF(OR(E4291="",E4291="!!!",F4291="NEW"),"",INDEX(J$1:J4290,SUMPRODUCT(MAX(ROW(E$1:E4290)*(E4291=E$1:E4290)))))</f>
        <v> </v>
      </c>
      <c r="L4291" s="26"/>
    </row>
    <row r="4292" spans="1:12">
      <c r="A4292" s="20" t="s">
        <v>1443</v>
      </c>
      <c r="B4292" s="27" t="s">
        <v>692</v>
      </c>
      <c r="C4292" s="27" t="s">
        <v>693</v>
      </c>
      <c r="D4292" s="27" t="s">
        <v>687</v>
      </c>
      <c r="E4292" s="21">
        <f>IF(D4292="?OLD","!!!","")</f>
        <v/>
      </c>
      <c r="F4292" s="22" t="str">
        <f>IF(OR(E4292="",E4292="!!!"),"",IF(NOT(ISNA(VLOOKUP(E4292,E$1:E4291,1,FALSE()))),"OLD",IF(AND(E4292&lt;&gt;"",E4292&lt;&gt;"!!!"),"NEW","")))</f>
        <v> </v>
      </c>
      <c r="G4292" s="23" t="str">
        <f>IF(OR(E4292="",E4292="!!!"),"",IF(OR(J4292=0,AND(J4292=1,K4292=1),AND(J4292=1,I4292="SBJ"),AND(J4292=1,I4292=0)),"?IN_FOCUS",IF(J4292&lt;=2,"?ACTIVATED",IF(J4292&lt;&gt;"","?FAMILIAR",IF(F4292="NEW",IF(ISNA(VLOOKUP(E4292,#REF!,1,FALSE())),"?TYPE_IDENTIFIABLE","?REFERENTIAL"),"_")))))</f>
        <v> </v>
      </c>
      <c r="H4292" s="24" t="str">
        <f>IF(J4292&lt;&gt;1,"",IF(I4292="SBJ","CB","?"))</f>
        <v> </v>
      </c>
      <c r="I4292" s="25" t="str">
        <f>IF(OR(E4292="",E4292="!!!",F4292="NEW"),"",INDEX(B4291:B$2,-1+SUMPRODUCT(MAX(ROW(E4291:E$2)*(E4292=E4291:E$2)))))</f>
        <v> </v>
      </c>
      <c r="J4292" s="25" t="str">
        <f>IF(OR(E4292="",E4292="!!!",F4292="NEW"),"",COUNTBLANK(OFFSET(A$1,,,SUMPRODUCT(MAX(ROW(E$2:E4292)*(E4292=E$2:E4292)))))-COUNTBLANK(OFFSET(A$1,,,SUMPRODUCT(MAX(ROW(E$1:E4291)*(E2=E$1:E4291))))))</f>
        <v> </v>
      </c>
      <c r="K4292" s="25" t="str">
        <f>IF(OR(E4292="",E4292="!!!",F4292="NEW"),"",INDEX(J$1:J4291,SUMPRODUCT(MAX(ROW(E$1:E4291)*(E4292=E$1:E4291)))))</f>
        <v> </v>
      </c>
      <c r="L4292" s="26"/>
    </row>
    <row r="4293" spans="1:12">
      <c r="A4293" s="20" t="s">
        <v>694</v>
      </c>
      <c r="E4293" s="21">
        <f>IF(D4293="?OLD","!!!","")</f>
        <v/>
      </c>
      <c r="F4293" s="22" t="str">
        <f>IF(OR(E4293="",E4293="!!!"),"",IF(NOT(ISNA(VLOOKUP(E4293,E$1:E4292,1,FALSE()))),"OLD",IF(AND(E4293&lt;&gt;"",E4293&lt;&gt;"!!!"),"NEW","")))</f>
        <v> </v>
      </c>
      <c r="G4293" s="23" t="str">
        <f>IF(OR(E4293="",E4293="!!!"),"",IF(OR(J4293=0,AND(J4293=1,K4293=1),AND(J4293=1,I4293="SBJ"),AND(J4293=1,I4293=0)),"?IN_FOCUS",IF(J4293&lt;=2,"?ACTIVATED",IF(J4293&lt;&gt;"","?FAMILIAR",IF(F4293="NEW",IF(ISNA(VLOOKUP(E4293,#REF!,1,FALSE())),"?TYPE_IDENTIFIABLE","?REFERENTIAL"),"_")))))</f>
        <v> </v>
      </c>
      <c r="H4293" s="24" t="str">
        <f>IF(J4293&lt;&gt;1,"",IF(I4293="SBJ","CB","?"))</f>
        <v> </v>
      </c>
      <c r="I4293" s="25" t="str">
        <f>IF(OR(E4293="",E4293="!!!",F4293="NEW"),"",INDEX(B4292:B$2,-1+SUMPRODUCT(MAX(ROW(E4292:E$2)*(E4293=E4292:E$2)))))</f>
        <v> </v>
      </c>
      <c r="J4293" s="25" t="str">
        <f>IF(OR(E4293="",E4293="!!!",F4293="NEW"),"",COUNTBLANK(OFFSET(A$1,,,SUMPRODUCT(MAX(ROW(E$2:E4293)*(E4293=E$2:E4293)))))-COUNTBLANK(OFFSET(A$1,,,SUMPRODUCT(MAX(ROW(E$1:E4292)*(E2=E$1:E4292))))))</f>
        <v> </v>
      </c>
      <c r="K4293" s="25" t="str">
        <f>IF(OR(E4293="",E4293="!!!",F4293="NEW"),"",INDEX(J$1:J4292,SUMPRODUCT(MAX(ROW(E$1:E4292)*(E4293=E$1:E4292)))))</f>
        <v> </v>
      </c>
      <c r="L4293" s="26"/>
    </row>
    <row r="4294" spans="1:12">
      <c r="A4294" s="20" t="s">
        <v>306</v>
      </c>
      <c r="E4294" s="21">
        <f>IF(D4294="?OLD","!!!","")</f>
        <v/>
      </c>
      <c r="F4294" s="22" t="str">
        <f>IF(OR(E4294="",E4294="!!!"),"",IF(NOT(ISNA(VLOOKUP(E4294,E$1:E4293,1,FALSE()))),"OLD",IF(AND(E4294&lt;&gt;"",E4294&lt;&gt;"!!!"),"NEW","")))</f>
        <v> </v>
      </c>
      <c r="G4294" s="23" t="str">
        <f>IF(OR(E4294="",E4294="!!!"),"",IF(OR(J4294=0,AND(J4294=1,K4294=1),AND(J4294=1,I4294="SBJ"),AND(J4294=1,I4294=0)),"?IN_FOCUS",IF(J4294&lt;=2,"?ACTIVATED",IF(J4294&lt;&gt;"","?FAMILIAR",IF(F4294="NEW",IF(ISNA(VLOOKUP(E4294,#REF!,1,FALSE())),"?TYPE_IDENTIFIABLE","?REFERENTIAL"),"_")))))</f>
        <v> </v>
      </c>
      <c r="H4294" s="24" t="str">
        <f>IF(J4294&lt;&gt;1,"",IF(I4294="SBJ","CB","?"))</f>
        <v> </v>
      </c>
      <c r="I4294" s="25" t="str">
        <f>IF(OR(E4294="",E4294="!!!",F4294="NEW"),"",INDEX(B4293:B$2,-1+SUMPRODUCT(MAX(ROW(E4293:E$2)*(E4294=E4293:E$2)))))</f>
        <v> </v>
      </c>
      <c r="J4294" s="25" t="str">
        <f>IF(OR(E4294="",E4294="!!!",F4294="NEW"),"",COUNTBLANK(OFFSET(A$1,,,SUMPRODUCT(MAX(ROW(E$2:E4294)*(E4294=E$2:E4294)))))-COUNTBLANK(OFFSET(A$1,,,SUMPRODUCT(MAX(ROW(E$1:E4293)*(E2=E$1:E4293))))))</f>
        <v> </v>
      </c>
      <c r="K4294" s="25" t="str">
        <f>IF(OR(E4294="",E4294="!!!",F4294="NEW"),"",INDEX(J$1:J4293,SUMPRODUCT(MAX(ROW(E$1:E4293)*(E4294=E$1:E4293)))))</f>
        <v> </v>
      </c>
      <c r="L4294" s="26"/>
    </row>
    <row r="4295" spans="1:12">
      <c r="A4295" s="20" t="s">
        <v>796</v>
      </c>
      <c r="B4295" s="27" t="s">
        <v>724</v>
      </c>
      <c r="C4295" s="27" t="s">
        <v>772</v>
      </c>
      <c r="D4295" s="27" t="s">
        <v>687</v>
      </c>
      <c r="E4295" s="21">
        <f>IF(D4295="?OLD","!!!","")</f>
        <v/>
      </c>
      <c r="F4295" s="22" t="str">
        <f>IF(OR(E4295="",E4295="!!!"),"",IF(NOT(ISNA(VLOOKUP(E4295,E$1:E4294,1,FALSE()))),"OLD",IF(AND(E4295&lt;&gt;"",E4295&lt;&gt;"!!!"),"NEW","")))</f>
        <v> </v>
      </c>
      <c r="G4295" s="23" t="str">
        <f>IF(OR(E4295="",E4295="!!!"),"",IF(OR(J4295=0,AND(J4295=1,K4295=1),AND(J4295=1,I4295="SBJ"),AND(J4295=1,I4295=0)),"?IN_FOCUS",IF(J4295&lt;=2,"?ACTIVATED",IF(J4295&lt;&gt;"","?FAMILIAR",IF(F4295="NEW",IF(ISNA(VLOOKUP(E4295,#REF!,1,FALSE())),"?TYPE_IDENTIFIABLE","?REFERENTIAL"),"_")))))</f>
        <v> </v>
      </c>
      <c r="H4295" s="24" t="str">
        <f>IF(J4295&lt;&gt;1,"",IF(I4295="SBJ","CB","?"))</f>
        <v> </v>
      </c>
      <c r="I4295" s="25" t="str">
        <f>IF(OR(E4295="",E4295="!!!",F4295="NEW"),"",INDEX(B4294:B$2,-1+SUMPRODUCT(MAX(ROW(E4294:E$2)*(E4295=E4294:E$2)))))</f>
        <v> </v>
      </c>
      <c r="J4295" s="25" t="str">
        <f>IF(OR(E4295="",E4295="!!!",F4295="NEW"),"",COUNTBLANK(OFFSET(A$1,,,SUMPRODUCT(MAX(ROW(E$2:E4295)*(E4295=E$2:E4295)))))-COUNTBLANK(OFFSET(A$1,,,SUMPRODUCT(MAX(ROW(E$1:E4294)*(E2=E$1:E4294))))))</f>
        <v> </v>
      </c>
      <c r="K4295" s="25" t="str">
        <f>IF(OR(E4295="",E4295="!!!",F4295="NEW"),"",INDEX(J$1:J4294,SUMPRODUCT(MAX(ROW(E$1:E4294)*(E4295=E$1:E4294)))))</f>
        <v> </v>
      </c>
      <c r="L4295" s="26"/>
    </row>
    <row r="4296" spans="1:12">
      <c r="A4296" s="20" t="s">
        <v>725</v>
      </c>
      <c r="B4296" s="27" t="s">
        <v>696</v>
      </c>
      <c r="C4296" s="27" t="s">
        <v>686</v>
      </c>
      <c r="D4296" s="27" t="s">
        <v>687</v>
      </c>
      <c r="E4296" s="21">
        <f>IF(D4296="?OLD","!!!","")</f>
        <v/>
      </c>
      <c r="F4296" s="22" t="str">
        <f>IF(OR(E4296="",E4296="!!!"),"",IF(NOT(ISNA(VLOOKUP(E4296,E$1:E4295,1,FALSE()))),"OLD",IF(AND(E4296&lt;&gt;"",E4296&lt;&gt;"!!!"),"NEW","")))</f>
        <v> </v>
      </c>
      <c r="G4296" s="23" t="str">
        <f>IF(OR(E4296="",E4296="!!!"),"",IF(OR(J4296=0,AND(J4296=1,K4296=1),AND(J4296=1,I4296="SBJ"),AND(J4296=1,I4296=0)),"?IN_FOCUS",IF(J4296&lt;=2,"?ACTIVATED",IF(J4296&lt;&gt;"","?FAMILIAR",IF(F4296="NEW",IF(ISNA(VLOOKUP(E4296,#REF!,1,FALSE())),"?TYPE_IDENTIFIABLE","?REFERENTIAL"),"_")))))</f>
        <v> </v>
      </c>
      <c r="H4296" s="24" t="str">
        <f>IF(J4296&lt;&gt;1,"",IF(I4296="SBJ","CB","?"))</f>
        <v> </v>
      </c>
      <c r="I4296" s="25" t="str">
        <f>IF(OR(E4296="",E4296="!!!",F4296="NEW"),"",INDEX(B4295:B$2,-1+SUMPRODUCT(MAX(ROW(E4295:E$2)*(E4296=E4295:E$2)))))</f>
        <v> </v>
      </c>
      <c r="J4296" s="25" t="str">
        <f>IF(OR(E4296="",E4296="!!!",F4296="NEW"),"",COUNTBLANK(OFFSET(A$1,,,SUMPRODUCT(MAX(ROW(E$2:E4296)*(E4296=E$2:E4296)))))-COUNTBLANK(OFFSET(A$1,,,SUMPRODUCT(MAX(ROW(E$1:E4295)*(E2=E$1:E4295))))))</f>
        <v> </v>
      </c>
      <c r="K4296" s="25" t="str">
        <f>IF(OR(E4296="",E4296="!!!",F4296="NEW"),"",INDEX(J$1:J4295,SUMPRODUCT(MAX(ROW(E$1:E4295)*(E4296=E$1:E4295)))))</f>
        <v> </v>
      </c>
      <c r="L4296" s="26"/>
    </row>
    <row r="4297" spans="1:12">
      <c r="A4297" s="20" t="s">
        <v>683</v>
      </c>
      <c r="E4297" s="21">
        <f>IF(D4297="?OLD","!!!","")</f>
        <v/>
      </c>
      <c r="F4297" s="22" t="str">
        <f>IF(OR(E4297="",E4297="!!!"),"",IF(NOT(ISNA(VLOOKUP(E4297,E$1:E4296,1,FALSE()))),"OLD",IF(AND(E4297&lt;&gt;"",E4297&lt;&gt;"!!!"),"NEW","")))</f>
        <v> </v>
      </c>
      <c r="G4297" s="23" t="str">
        <f>IF(OR(E4297="",E4297="!!!"),"",IF(OR(J4297=0,AND(J4297=1,K4297=1),AND(J4297=1,I4297="SBJ"),AND(J4297=1,I4297=0)),"?IN_FOCUS",IF(J4297&lt;=2,"?ACTIVATED",IF(J4297&lt;&gt;"","?FAMILIAR",IF(F4297="NEW",IF(ISNA(VLOOKUP(E4297,#REF!,1,FALSE())),"?TYPE_IDENTIFIABLE","?REFERENTIAL"),"_")))))</f>
        <v> </v>
      </c>
      <c r="H4297" s="24" t="str">
        <f>IF(J4297&lt;&gt;1,"",IF(I4297="SBJ","CB","?"))</f>
        <v> </v>
      </c>
      <c r="I4297" s="25" t="str">
        <f>IF(OR(E4297="",E4297="!!!",F4297="NEW"),"",INDEX(B4296:B$2,-1+SUMPRODUCT(MAX(ROW(E4296:E$2)*(E4297=E4296:E$2)))))</f>
        <v> </v>
      </c>
      <c r="J4297" s="25" t="str">
        <f>IF(OR(E4297="",E4297="!!!",F4297="NEW"),"",COUNTBLANK(OFFSET(A$1,,,SUMPRODUCT(MAX(ROW(E$2:E4297)*(E4297=E$2:E4297)))))-COUNTBLANK(OFFSET(A$1,,,SUMPRODUCT(MAX(ROW(E$1:E4296)*(E2=E$1:E4296))))))</f>
        <v> </v>
      </c>
      <c r="K4297" s="25" t="str">
        <f>IF(OR(E4297="",E4297="!!!",F4297="NEW"),"",INDEX(J$1:J4296,SUMPRODUCT(MAX(ROW(E$1:E4296)*(E4297=E$1:E4296)))))</f>
        <v> </v>
      </c>
      <c r="L4297" s="26"/>
    </row>
    <row r="4298" spans="1:12">
      <c r="A4298" s="20" t="s">
        <v>1965</v>
      </c>
      <c r="E4298" s="21">
        <f>IF(D4298="?OLD","!!!","")</f>
        <v/>
      </c>
      <c r="F4298" s="22" t="str">
        <f>IF(OR(E4298="",E4298="!!!"),"",IF(NOT(ISNA(VLOOKUP(E4298,E$1:E4297,1,FALSE()))),"OLD",IF(AND(E4298&lt;&gt;"",E4298&lt;&gt;"!!!"),"NEW","")))</f>
        <v> </v>
      </c>
      <c r="G4298" s="23" t="str">
        <f>IF(OR(E4298="",E4298="!!!"),"",IF(OR(J4298=0,AND(J4298=1,K4298=1),AND(J4298=1,I4298="SBJ"),AND(J4298=1,I4298=0)),"?IN_FOCUS",IF(J4298&lt;=2,"?ACTIVATED",IF(J4298&lt;&gt;"","?FAMILIAR",IF(F4298="NEW",IF(ISNA(VLOOKUP(E4298,#REF!,1,FALSE())),"?TYPE_IDENTIFIABLE","?REFERENTIAL"),"_")))))</f>
        <v> </v>
      </c>
      <c r="H4298" s="24" t="str">
        <f>IF(J4298&lt;&gt;1,"",IF(I4298="SBJ","CB","?"))</f>
        <v> </v>
      </c>
      <c r="I4298" s="25" t="str">
        <f>IF(OR(E4298="",E4298="!!!",F4298="NEW"),"",INDEX(B4297:B$2,-1+SUMPRODUCT(MAX(ROW(E4297:E$2)*(E4298=E4297:E$2)))))</f>
        <v> </v>
      </c>
      <c r="J4298" s="25" t="str">
        <f>IF(OR(E4298="",E4298="!!!",F4298="NEW"),"",COUNTBLANK(OFFSET(A$1,,,SUMPRODUCT(MAX(ROW(E$2:E4298)*(E4298=E$2:E4298)))))-COUNTBLANK(OFFSET(A$1,,,SUMPRODUCT(MAX(ROW(E$1:E4297)*(E2=E$1:E4297))))))</f>
        <v> </v>
      </c>
      <c r="K4298" s="25" t="str">
        <f>IF(OR(E4298="",E4298="!!!",F4298="NEW"),"",INDEX(J$1:J4297,SUMPRODUCT(MAX(ROW(E$1:E4297)*(E4298=E$1:E4297)))))</f>
        <v> </v>
      </c>
      <c r="L4298" s="26"/>
    </row>
    <row r="4299" spans="1:12">
      <c r="A4299" s="20" t="s">
        <v>782</v>
      </c>
      <c r="B4299" s="27" t="s">
        <v>791</v>
      </c>
      <c r="C4299" s="27" t="s">
        <v>749</v>
      </c>
      <c r="D4299" s="27" t="s">
        <v>687</v>
      </c>
      <c r="E4299" s="21">
        <f>IF(D4299="?OLD","!!!","")</f>
        <v/>
      </c>
      <c r="F4299" s="22" t="str">
        <f>IF(OR(E4299="",E4299="!!!"),"",IF(NOT(ISNA(VLOOKUP(E4299,E$1:E4298,1,FALSE()))),"OLD",IF(AND(E4299&lt;&gt;"",E4299&lt;&gt;"!!!"),"NEW","")))</f>
        <v> </v>
      </c>
      <c r="G4299" s="23" t="str">
        <f>IF(OR(E4299="",E4299="!!!"),"",IF(OR(J4299=0,AND(J4299=1,K4299=1),AND(J4299=1,I4299="SBJ"),AND(J4299=1,I4299=0)),"?IN_FOCUS",IF(J4299&lt;=2,"?ACTIVATED",IF(J4299&lt;&gt;"","?FAMILIAR",IF(F4299="NEW",IF(ISNA(VLOOKUP(E4299,#REF!,1,FALSE())),"?TYPE_IDENTIFIABLE","?REFERENTIAL"),"_")))))</f>
        <v> </v>
      </c>
      <c r="H4299" s="24" t="str">
        <f>IF(J4299&lt;&gt;1,"",IF(I4299="SBJ","CB","?"))</f>
        <v> </v>
      </c>
      <c r="I4299" s="25" t="str">
        <f>IF(OR(E4299="",E4299="!!!",F4299="NEW"),"",INDEX(B4298:B$2,-1+SUMPRODUCT(MAX(ROW(E4298:E$2)*(E4299=E4298:E$2)))))</f>
        <v> </v>
      </c>
      <c r="J4299" s="25" t="str">
        <f>IF(OR(E4299="",E4299="!!!",F4299="NEW"),"",COUNTBLANK(OFFSET(A$1,,,SUMPRODUCT(MAX(ROW(E$2:E4299)*(E4299=E$2:E4299)))))-COUNTBLANK(OFFSET(A$1,,,SUMPRODUCT(MAX(ROW(E$1:E4298)*(E2=E$1:E4298))))))</f>
        <v> </v>
      </c>
      <c r="K4299" s="25" t="str">
        <f>IF(OR(E4299="",E4299="!!!",F4299="NEW"),"",INDEX(J$1:J4298,SUMPRODUCT(MAX(ROW(E$1:E4298)*(E4299=E$1:E4298)))))</f>
        <v> </v>
      </c>
      <c r="L4299" s="26"/>
    </row>
    <row r="4300" spans="1:12">
      <c r="A4300" s="20" t="s">
        <v>676</v>
      </c>
      <c r="E4300" s="21">
        <f>IF(D4300="?OLD","!!!","")</f>
        <v/>
      </c>
      <c r="F4300" s="22" t="str">
        <f>IF(OR(E4300="",E4300="!!!"),"",IF(NOT(ISNA(VLOOKUP(E4300,E$1:E4299,1,FALSE()))),"OLD",IF(AND(E4300&lt;&gt;"",E4300&lt;&gt;"!!!"),"NEW","")))</f>
        <v> </v>
      </c>
      <c r="G4300" s="23" t="str">
        <f>IF(OR(E4300="",E4300="!!!"),"",IF(OR(J4300=0,AND(J4300=1,K4300=1),AND(J4300=1,I4300="SBJ"),AND(J4300=1,I4300=0)),"?IN_FOCUS",IF(J4300&lt;=2,"?ACTIVATED",IF(J4300&lt;&gt;"","?FAMILIAR",IF(F4300="NEW",IF(ISNA(VLOOKUP(E4300,#REF!,1,FALSE())),"?TYPE_IDENTIFIABLE","?REFERENTIAL"),"_")))))</f>
        <v> </v>
      </c>
      <c r="H4300" s="24" t="str">
        <f>IF(J4300&lt;&gt;1,"",IF(I4300="SBJ","CB","?"))</f>
        <v> </v>
      </c>
      <c r="I4300" s="25" t="str">
        <f>IF(OR(E4300="",E4300="!!!",F4300="NEW"),"",INDEX(B4299:B$2,-1+SUMPRODUCT(MAX(ROW(E4299:E$2)*(E4300=E4299:E$2)))))</f>
        <v> </v>
      </c>
      <c r="J4300" s="25" t="str">
        <f>IF(OR(E4300="",E4300="!!!",F4300="NEW"),"",COUNTBLANK(OFFSET(A$1,,,SUMPRODUCT(MAX(ROW(E$2:E4300)*(E4300=E$2:E4300)))))-COUNTBLANK(OFFSET(A$1,,,SUMPRODUCT(MAX(ROW(E$1:E4299)*(E2=E$1:E4299))))))</f>
        <v> </v>
      </c>
      <c r="K4300" s="25" t="str">
        <f>IF(OR(E4300="",E4300="!!!",F4300="NEW"),"",INDEX(J$1:J4299,SUMPRODUCT(MAX(ROW(E$1:E4299)*(E4300=E$1:E4299)))))</f>
        <v> </v>
      </c>
      <c r="L4300" s="26"/>
    </row>
    <row r="4301" spans="1:12">
      <c r="A4301" s="20" t="s">
        <v>306</v>
      </c>
      <c r="E4301" s="21">
        <f>IF(D4301="?OLD","!!!","")</f>
        <v/>
      </c>
      <c r="F4301" s="22" t="str">
        <f>IF(OR(E4301="",E4301="!!!"),"",IF(NOT(ISNA(VLOOKUP(E4301,E$1:E4300,1,FALSE()))),"OLD",IF(AND(E4301&lt;&gt;"",E4301&lt;&gt;"!!!"),"NEW","")))</f>
        <v> </v>
      </c>
      <c r="G4301" s="23" t="str">
        <f>IF(OR(E4301="",E4301="!!!"),"",IF(OR(J4301=0,AND(J4301=1,K4301=1),AND(J4301=1,I4301="SBJ"),AND(J4301=1,I4301=0)),"?IN_FOCUS",IF(J4301&lt;=2,"?ACTIVATED",IF(J4301&lt;&gt;"","?FAMILIAR",IF(F4301="NEW",IF(ISNA(VLOOKUP(E4301,#REF!,1,FALSE())),"?TYPE_IDENTIFIABLE","?REFERENTIAL"),"_")))))</f>
        <v> </v>
      </c>
      <c r="H4301" s="24" t="str">
        <f>IF(J4301&lt;&gt;1,"",IF(I4301="SBJ","CB","?"))</f>
        <v> </v>
      </c>
      <c r="I4301" s="25" t="str">
        <f>IF(OR(E4301="",E4301="!!!",F4301="NEW"),"",INDEX(B4300:B$2,-1+SUMPRODUCT(MAX(ROW(E4300:E$2)*(E4301=E4300:E$2)))))</f>
        <v> </v>
      </c>
      <c r="J4301" s="25" t="str">
        <f>IF(OR(E4301="",E4301="!!!",F4301="NEW"),"",COUNTBLANK(OFFSET(A$1,,,SUMPRODUCT(MAX(ROW(E$2:E4301)*(E4301=E$2:E4301)))))-COUNTBLANK(OFFSET(A$1,,,SUMPRODUCT(MAX(ROW(E$1:E4300)*(E2=E$1:E4300))))))</f>
        <v> </v>
      </c>
      <c r="K4301" s="25" t="str">
        <f>IF(OR(E4301="",E4301="!!!",F4301="NEW"),"",INDEX(J$1:J4300,SUMPRODUCT(MAX(ROW(E$1:E4300)*(E4301=E$1:E4300)))))</f>
        <v> </v>
      </c>
      <c r="L4301" s="26"/>
    </row>
    <row r="4302" spans="1:12">
      <c r="A4302" s="20" t="s">
        <v>1725</v>
      </c>
      <c r="B4302" s="27" t="s">
        <v>696</v>
      </c>
      <c r="C4302" s="27" t="s">
        <v>686</v>
      </c>
      <c r="D4302" s="27" t="s">
        <v>687</v>
      </c>
      <c r="E4302" s="21">
        <f>IF(D4302="?OLD","!!!","")</f>
        <v/>
      </c>
      <c r="F4302" s="22" t="str">
        <f>IF(OR(E4302="",E4302="!!!"),"",IF(NOT(ISNA(VLOOKUP(E4302,E$1:E4301,1,FALSE()))),"OLD",IF(AND(E4302&lt;&gt;"",E4302&lt;&gt;"!!!"),"NEW","")))</f>
        <v> </v>
      </c>
      <c r="G4302" s="23" t="str">
        <f>IF(OR(E4302="",E4302="!!!"),"",IF(OR(J4302=0,AND(J4302=1,K4302=1),AND(J4302=1,I4302="SBJ"),AND(J4302=1,I4302=0)),"?IN_FOCUS",IF(J4302&lt;=2,"?ACTIVATED",IF(J4302&lt;&gt;"","?FAMILIAR",IF(F4302="NEW",IF(ISNA(VLOOKUP(E4302,#REF!,1,FALSE())),"?TYPE_IDENTIFIABLE","?REFERENTIAL"),"_")))))</f>
        <v> </v>
      </c>
      <c r="H4302" s="24" t="str">
        <f>IF(J4302&lt;&gt;1,"",IF(I4302="SBJ","CB","?"))</f>
        <v> </v>
      </c>
      <c r="I4302" s="25" t="str">
        <f>IF(OR(E4302="",E4302="!!!",F4302="NEW"),"",INDEX(B4301:B$2,-1+SUMPRODUCT(MAX(ROW(E4301:E$2)*(E4302=E4301:E$2)))))</f>
        <v> </v>
      </c>
      <c r="J4302" s="25" t="str">
        <f>IF(OR(E4302="",E4302="!!!",F4302="NEW"),"",COUNTBLANK(OFFSET(A$1,,,SUMPRODUCT(MAX(ROW(E$2:E4302)*(E4302=E$2:E4302)))))-COUNTBLANK(OFFSET(A$1,,,SUMPRODUCT(MAX(ROW(E$1:E4301)*(E2=E$1:E4301))))))</f>
        <v> </v>
      </c>
      <c r="K4302" s="25" t="str">
        <f>IF(OR(E4302="",E4302="!!!",F4302="NEW"),"",INDEX(J$1:J4301,SUMPRODUCT(MAX(ROW(E$1:E4301)*(E4302=E$1:E4301)))))</f>
        <v> </v>
      </c>
      <c r="L4302" s="26"/>
    </row>
    <row r="4303" spans="1:12">
      <c r="A4303" s="20" t="s">
        <v>698</v>
      </c>
      <c r="E4303" s="21">
        <f>IF(D4303="?OLD","!!!","")</f>
        <v/>
      </c>
      <c r="F4303" s="22" t="str">
        <f>IF(OR(E4303="",E4303="!!!"),"",IF(NOT(ISNA(VLOOKUP(E4303,E$1:E4302,1,FALSE()))),"OLD",IF(AND(E4303&lt;&gt;"",E4303&lt;&gt;"!!!"),"NEW","")))</f>
        <v> </v>
      </c>
      <c r="G4303" s="23" t="str">
        <f>IF(OR(E4303="",E4303="!!!"),"",IF(OR(J4303=0,AND(J4303=1,K4303=1),AND(J4303=1,I4303="SBJ"),AND(J4303=1,I4303=0)),"?IN_FOCUS",IF(J4303&lt;=2,"?ACTIVATED",IF(J4303&lt;&gt;"","?FAMILIAR",IF(F4303="NEW",IF(ISNA(VLOOKUP(E4303,#REF!,1,FALSE())),"?TYPE_IDENTIFIABLE","?REFERENTIAL"),"_")))))</f>
        <v> </v>
      </c>
      <c r="H4303" s="24" t="str">
        <f>IF(J4303&lt;&gt;1,"",IF(I4303="SBJ","CB","?"))</f>
        <v> </v>
      </c>
      <c r="I4303" s="25" t="str">
        <f>IF(OR(E4303="",E4303="!!!",F4303="NEW"),"",INDEX(B4302:B$2,-1+SUMPRODUCT(MAX(ROW(E4302:E$2)*(E4303=E4302:E$2)))))</f>
        <v> </v>
      </c>
      <c r="J4303" s="25" t="str">
        <f>IF(OR(E4303="",E4303="!!!",F4303="NEW"),"",COUNTBLANK(OFFSET(A$1,,,SUMPRODUCT(MAX(ROW(E$2:E4303)*(E4303=E$2:E4303)))))-COUNTBLANK(OFFSET(A$1,,,SUMPRODUCT(MAX(ROW(E$1:E4302)*(E2=E$1:E4302))))))</f>
        <v> </v>
      </c>
      <c r="K4303" s="25" t="str">
        <f>IF(OR(E4303="",E4303="!!!",F4303="NEW"),"",INDEX(J$1:J4302,SUMPRODUCT(MAX(ROW(E$1:E4302)*(E4303=E$1:E4302)))))</f>
        <v> </v>
      </c>
      <c r="L4303" s="26"/>
    </row>
    <row r="4304" spans="1:12">
      <c r="A4304" s="20"/>
    </row>
    <row r="4305" spans="1:12">
      <c r="A4305" s="20" t="s">
        <v>1966</v>
      </c>
    </row>
    <row r="4306" spans="1:12">
      <c r="A4306" s="20" t="s">
        <v>1772</v>
      </c>
      <c r="E4306" s="21">
        <f>IF(D4306="?OLD","!!!","")</f>
        <v/>
      </c>
      <c r="F4306" s="22" t="str">
        <f>IF(OR(E4306="",E4306="!!!"),"",IF(NOT(ISNA(VLOOKUP(E4306,E$1:E4305,1,FALSE()))),"OLD",IF(AND(E4306&lt;&gt;"",E4306&lt;&gt;"!!!"),"NEW","")))</f>
        <v> </v>
      </c>
      <c r="G4306" s="23" t="str">
        <f>IF(OR(E4306="",E4306="!!!"),"",IF(OR(J4306=0,AND(J4306=1,K4306=1),AND(J4306=1,I4306="SBJ"),AND(J4306=1,I4306=0)),"?IN_FOCUS",IF(J4306&lt;=2,"?ACTIVATED",IF(J4306&lt;&gt;"","?FAMILIAR",IF(F4306="NEW",IF(ISNA(VLOOKUP(E4306,#REF!,1,FALSE())),"?TYPE_IDENTIFIABLE","?REFERENTIAL"),"_")))))</f>
        <v> </v>
      </c>
      <c r="H4306" s="24" t="str">
        <f>IF(J4306&lt;&gt;1,"",IF(I4306="SBJ","CB","?"))</f>
        <v> </v>
      </c>
      <c r="I4306" s="25" t="str">
        <f>IF(OR(E4306="",E4306="!!!",F4306="NEW"),"",INDEX(B4305:B$2,-1+SUMPRODUCT(MAX(ROW(E4305:E$2)*(E4306=E4305:E$2)))))</f>
        <v> </v>
      </c>
      <c r="J4306" s="25" t="str">
        <f>IF(OR(E4306="",E4306="!!!",F4306="NEW"),"",COUNTBLANK(OFFSET(A$1,,,SUMPRODUCT(MAX(ROW(E$2:E4306)*(E4306=E$2:E4306)))))-COUNTBLANK(OFFSET(A$1,,,SUMPRODUCT(MAX(ROW(E$1:E4305)*(E2=E$1:E4305))))))</f>
        <v> </v>
      </c>
      <c r="K4306" s="25" t="str">
        <f>IF(OR(E4306="",E4306="!!!",F4306="NEW"),"",INDEX(J$1:J4305,SUMPRODUCT(MAX(ROW(E$1:E4305)*(E4306=E$1:E4305)))))</f>
        <v> </v>
      </c>
      <c r="L4306" s="26"/>
    </row>
    <row r="4307" spans="1:12">
      <c r="A4307" s="20" t="s">
        <v>732</v>
      </c>
      <c r="E4307" s="21">
        <f>IF(D4307="?OLD","!!!","")</f>
        <v/>
      </c>
      <c r="F4307" s="22" t="str">
        <f>IF(OR(E4307="",E4307="!!!"),"",IF(NOT(ISNA(VLOOKUP(E4307,E$1:E4306,1,FALSE()))),"OLD",IF(AND(E4307&lt;&gt;"",E4307&lt;&gt;"!!!"),"NEW","")))</f>
        <v> </v>
      </c>
      <c r="G4307" s="23" t="str">
        <f>IF(OR(E4307="",E4307="!!!"),"",IF(OR(J4307=0,AND(J4307=1,K4307=1),AND(J4307=1,I4307="SBJ"),AND(J4307=1,I4307=0)),"?IN_FOCUS",IF(J4307&lt;=2,"?ACTIVATED",IF(J4307&lt;&gt;"","?FAMILIAR",IF(F4307="NEW",IF(ISNA(VLOOKUP(E4307,#REF!,1,FALSE())),"?TYPE_IDENTIFIABLE","?REFERENTIAL"),"_")))))</f>
        <v> </v>
      </c>
      <c r="H4307" s="24" t="str">
        <f>IF(J4307&lt;&gt;1,"",IF(I4307="SBJ","CB","?"))</f>
        <v> </v>
      </c>
      <c r="I4307" s="25" t="str">
        <f>IF(OR(E4307="",E4307="!!!",F4307="NEW"),"",INDEX(B4306:B$2,-1+SUMPRODUCT(MAX(ROW(E4306:E$2)*(E4307=E4306:E$2)))))</f>
        <v> </v>
      </c>
      <c r="J4307" s="25" t="str">
        <f>IF(OR(E4307="",E4307="!!!",F4307="NEW"),"",COUNTBLANK(OFFSET(A$1,,,SUMPRODUCT(MAX(ROW(E$2:E4307)*(E4307=E$2:E4307)))))-COUNTBLANK(OFFSET(A$1,,,SUMPRODUCT(MAX(ROW(E$1:E4306)*(E2=E$1:E4306))))))</f>
        <v> </v>
      </c>
      <c r="K4307" s="25" t="str">
        <f>IF(OR(E4307="",E4307="!!!",F4307="NEW"),"",INDEX(J$1:J4306,SUMPRODUCT(MAX(ROW(E$1:E4306)*(E4307=E$1:E4306)))))</f>
        <v> </v>
      </c>
      <c r="L4307" s="26"/>
    </row>
    <row r="4308" spans="1:12">
      <c r="A4308" s="20" t="s">
        <v>750</v>
      </c>
      <c r="E4308" s="21">
        <f>IF(D4308="?OLD","!!!","")</f>
        <v/>
      </c>
      <c r="F4308" s="22" t="str">
        <f>IF(OR(E4308="",E4308="!!!"),"",IF(NOT(ISNA(VLOOKUP(E4308,E$1:E4307,1,FALSE()))),"OLD",IF(AND(E4308&lt;&gt;"",E4308&lt;&gt;"!!!"),"NEW","")))</f>
        <v> </v>
      </c>
      <c r="G4308" s="23" t="str">
        <f>IF(OR(E4308="",E4308="!!!"),"",IF(OR(J4308=0,AND(J4308=1,K4308=1),AND(J4308=1,I4308="SBJ"),AND(J4308=1,I4308=0)),"?IN_FOCUS",IF(J4308&lt;=2,"?ACTIVATED",IF(J4308&lt;&gt;"","?FAMILIAR",IF(F4308="NEW",IF(ISNA(VLOOKUP(E4308,#REF!,1,FALSE())),"?TYPE_IDENTIFIABLE","?REFERENTIAL"),"_")))))</f>
        <v> </v>
      </c>
      <c r="H4308" s="24" t="str">
        <f>IF(J4308&lt;&gt;1,"",IF(I4308="SBJ","CB","?"))</f>
        <v> </v>
      </c>
      <c r="I4308" s="25" t="str">
        <f>IF(OR(E4308="",E4308="!!!",F4308="NEW"),"",INDEX(B4307:B$2,-1+SUMPRODUCT(MAX(ROW(E4307:E$2)*(E4308=E4307:E$2)))))</f>
        <v> </v>
      </c>
      <c r="J4308" s="25" t="str">
        <f>IF(OR(E4308="",E4308="!!!",F4308="NEW"),"",COUNTBLANK(OFFSET(A$1,,,SUMPRODUCT(MAX(ROW(E$2:E4308)*(E4308=E$2:E4308)))))-COUNTBLANK(OFFSET(A$1,,,SUMPRODUCT(MAX(ROW(E$1:E4307)*(E2=E$1:E4307))))))</f>
        <v> </v>
      </c>
      <c r="K4308" s="25" t="str">
        <f>IF(OR(E4308="",E4308="!!!",F4308="NEW"),"",INDEX(J$1:J4307,SUMPRODUCT(MAX(ROW(E$1:E4307)*(E4308=E$1:E4307)))))</f>
        <v> </v>
      </c>
      <c r="L4308" s="26"/>
    </row>
    <row r="4309" spans="1:12">
      <c r="A4309" s="20" t="s">
        <v>1967</v>
      </c>
      <c r="E4309" s="21">
        <f>IF(D4309="?OLD","!!!","")</f>
        <v/>
      </c>
      <c r="F4309" s="22" t="str">
        <f>IF(OR(E4309="",E4309="!!!"),"",IF(NOT(ISNA(VLOOKUP(E4309,E$1:E4308,1,FALSE()))),"OLD",IF(AND(E4309&lt;&gt;"",E4309&lt;&gt;"!!!"),"NEW","")))</f>
        <v> </v>
      </c>
      <c r="G4309" s="23" t="str">
        <f>IF(OR(E4309="",E4309="!!!"),"",IF(OR(J4309=0,AND(J4309=1,K4309=1),AND(J4309=1,I4309="SBJ"),AND(J4309=1,I4309=0)),"?IN_FOCUS",IF(J4309&lt;=2,"?ACTIVATED",IF(J4309&lt;&gt;"","?FAMILIAR",IF(F4309="NEW",IF(ISNA(VLOOKUP(E4309,#REF!,1,FALSE())),"?TYPE_IDENTIFIABLE","?REFERENTIAL"),"_")))))</f>
        <v> </v>
      </c>
      <c r="H4309" s="24" t="str">
        <f>IF(J4309&lt;&gt;1,"",IF(I4309="SBJ","CB","?"))</f>
        <v> </v>
      </c>
      <c r="I4309" s="25" t="str">
        <f>IF(OR(E4309="",E4309="!!!",F4309="NEW"),"",INDEX(B4308:B$2,-1+SUMPRODUCT(MAX(ROW(E4308:E$2)*(E4309=E4308:E$2)))))</f>
        <v> </v>
      </c>
      <c r="J4309" s="25" t="str">
        <f>IF(OR(E4309="",E4309="!!!",F4309="NEW"),"",COUNTBLANK(OFFSET(A$1,,,SUMPRODUCT(MAX(ROW(E$2:E4309)*(E4309=E$2:E4309)))))-COUNTBLANK(OFFSET(A$1,,,SUMPRODUCT(MAX(ROW(E$1:E4308)*(E2=E$1:E4308))))))</f>
        <v> </v>
      </c>
      <c r="K4309" s="25" t="str">
        <f>IF(OR(E4309="",E4309="!!!",F4309="NEW"),"",INDEX(J$1:J4308,SUMPRODUCT(MAX(ROW(E$1:E4308)*(E4309=E$1:E4308)))))</f>
        <v> </v>
      </c>
      <c r="L4309" s="26"/>
    </row>
    <row r="4310" spans="1:12">
      <c r="A4310" s="20" t="s">
        <v>1727</v>
      </c>
      <c r="E4310" s="21">
        <f>IF(D4310="?OLD","!!!","")</f>
        <v/>
      </c>
      <c r="F4310" s="22" t="str">
        <f>IF(OR(E4310="",E4310="!!!"),"",IF(NOT(ISNA(VLOOKUP(E4310,E$1:E4309,1,FALSE()))),"OLD",IF(AND(E4310&lt;&gt;"",E4310&lt;&gt;"!!!"),"NEW","")))</f>
        <v> </v>
      </c>
      <c r="G4310" s="23" t="str">
        <f>IF(OR(E4310="",E4310="!!!"),"",IF(OR(J4310=0,AND(J4310=1,K4310=1),AND(J4310=1,I4310="SBJ"),AND(J4310=1,I4310=0)),"?IN_FOCUS",IF(J4310&lt;=2,"?ACTIVATED",IF(J4310&lt;&gt;"","?FAMILIAR",IF(F4310="NEW",IF(ISNA(VLOOKUP(E4310,#REF!,1,FALSE())),"?TYPE_IDENTIFIABLE","?REFERENTIAL"),"_")))))</f>
        <v> </v>
      </c>
      <c r="H4310" s="24" t="str">
        <f>IF(J4310&lt;&gt;1,"",IF(I4310="SBJ","CB","?"))</f>
        <v> </v>
      </c>
      <c r="I4310" s="25" t="str">
        <f>IF(OR(E4310="",E4310="!!!",F4310="NEW"),"",INDEX(B4309:B$2,-1+SUMPRODUCT(MAX(ROW(E4309:E$2)*(E4310=E4309:E$2)))))</f>
        <v> </v>
      </c>
      <c r="J4310" s="25" t="str">
        <f>IF(OR(E4310="",E4310="!!!",F4310="NEW"),"",COUNTBLANK(OFFSET(A$1,,,SUMPRODUCT(MAX(ROW(E$2:E4310)*(E4310=E$2:E4310)))))-COUNTBLANK(OFFSET(A$1,,,SUMPRODUCT(MAX(ROW(E$1:E4309)*(E2=E$1:E4309))))))</f>
        <v> </v>
      </c>
      <c r="K4310" s="25" t="str">
        <f>IF(OR(E4310="",E4310="!!!",F4310="NEW"),"",INDEX(J$1:J4309,SUMPRODUCT(MAX(ROW(E$1:E4309)*(E4310=E$1:E4309)))))</f>
        <v> </v>
      </c>
      <c r="L4310" s="26"/>
    </row>
    <row r="4311" spans="1:12">
      <c r="A4311" s="20" t="s">
        <v>1968</v>
      </c>
      <c r="E4311" s="21">
        <f>IF(D4311="?OLD","!!!","")</f>
        <v/>
      </c>
      <c r="F4311" s="22" t="str">
        <f>IF(OR(E4311="",E4311="!!!"),"",IF(NOT(ISNA(VLOOKUP(E4311,E$1:E4310,1,FALSE()))),"OLD",IF(AND(E4311&lt;&gt;"",E4311&lt;&gt;"!!!"),"NEW","")))</f>
        <v> </v>
      </c>
      <c r="G4311" s="23" t="str">
        <f>IF(OR(E4311="",E4311="!!!"),"",IF(OR(J4311=0,AND(J4311=1,K4311=1),AND(J4311=1,I4311="SBJ"),AND(J4311=1,I4311=0)),"?IN_FOCUS",IF(J4311&lt;=2,"?ACTIVATED",IF(J4311&lt;&gt;"","?FAMILIAR",IF(F4311="NEW",IF(ISNA(VLOOKUP(E4311,#REF!,1,FALSE())),"?TYPE_IDENTIFIABLE","?REFERENTIAL"),"_")))))</f>
        <v> </v>
      </c>
      <c r="H4311" s="24" t="str">
        <f>IF(J4311&lt;&gt;1,"",IF(I4311="SBJ","CB","?"))</f>
        <v> </v>
      </c>
      <c r="I4311" s="25" t="str">
        <f>IF(OR(E4311="",E4311="!!!",F4311="NEW"),"",INDEX(B4310:B$2,-1+SUMPRODUCT(MAX(ROW(E4310:E$2)*(E4311=E4310:E$2)))))</f>
        <v> </v>
      </c>
      <c r="J4311" s="25" t="str">
        <f>IF(OR(E4311="",E4311="!!!",F4311="NEW"),"",COUNTBLANK(OFFSET(A$1,,,SUMPRODUCT(MAX(ROW(E$2:E4311)*(E4311=E$2:E4311)))))-COUNTBLANK(OFFSET(A$1,,,SUMPRODUCT(MAX(ROW(E$1:E4310)*(E2=E$1:E4310))))))</f>
        <v> </v>
      </c>
      <c r="K4311" s="25" t="str">
        <f>IF(OR(E4311="",E4311="!!!",F4311="NEW"),"",INDEX(J$1:J4310,SUMPRODUCT(MAX(ROW(E$1:E4310)*(E4311=E$1:E4310)))))</f>
        <v> </v>
      </c>
      <c r="L4311" s="26"/>
    </row>
    <row r="4312" spans="1:12">
      <c r="A4312" s="20" t="s">
        <v>752</v>
      </c>
      <c r="B4312" s="27" t="s">
        <v>696</v>
      </c>
      <c r="C4312" s="27" t="s">
        <v>1049</v>
      </c>
      <c r="E4312" s="21">
        <f>IF(D4312="?OLD","!!!","")</f>
        <v/>
      </c>
      <c r="F4312" s="22" t="str">
        <f>IF(OR(E4312="",E4312="!!!"),"",IF(NOT(ISNA(VLOOKUP(E4312,E$1:E4311,1,FALSE()))),"OLD",IF(AND(E4312&lt;&gt;"",E4312&lt;&gt;"!!!"),"NEW","")))</f>
        <v> </v>
      </c>
      <c r="G4312" s="23" t="str">
        <f>IF(OR(E4312="",E4312="!!!"),"",IF(OR(J4312=0,AND(J4312=1,K4312=1),AND(J4312=1,I4312="SBJ"),AND(J4312=1,I4312=0)),"?IN_FOCUS",IF(J4312&lt;=2,"?ACTIVATED",IF(J4312&lt;&gt;"","?FAMILIAR",IF(F4312="NEW",IF(ISNA(VLOOKUP(E4312,#REF!,1,FALSE())),"?TYPE_IDENTIFIABLE","?REFERENTIAL"),"_")))))</f>
        <v> </v>
      </c>
      <c r="H4312" s="24" t="str">
        <f>IF(J4312&lt;&gt;1,"",IF(I4312="SBJ","CB","?"))</f>
        <v> </v>
      </c>
      <c r="I4312" s="25" t="str">
        <f>IF(OR(E4312="",E4312="!!!",F4312="NEW"),"",INDEX(B4311:B$2,-1+SUMPRODUCT(MAX(ROW(E4311:E$2)*(E4312=E4311:E$2)))))</f>
        <v> </v>
      </c>
      <c r="J4312" s="25" t="str">
        <f>IF(OR(E4312="",E4312="!!!",F4312="NEW"),"",COUNTBLANK(OFFSET(A$1,,,SUMPRODUCT(MAX(ROW(E$2:E4312)*(E4312=E$2:E4312)))))-COUNTBLANK(OFFSET(A$1,,,SUMPRODUCT(MAX(ROW(E$1:E4311)*(E2=E$1:E4311))))))</f>
        <v> </v>
      </c>
      <c r="K4312" s="25" t="str">
        <f>IF(OR(E4312="",E4312="!!!",F4312="NEW"),"",INDEX(J$1:J4311,SUMPRODUCT(MAX(ROW(E$1:E4311)*(E4312=E$1:E4311)))))</f>
        <v> </v>
      </c>
      <c r="L4312" s="26"/>
    </row>
    <row r="4313" spans="1:12">
      <c r="A4313" s="20" t="s">
        <v>676</v>
      </c>
      <c r="E4313" s="21">
        <f>IF(D4313="?OLD","!!!","")</f>
        <v/>
      </c>
      <c r="F4313" s="22" t="str">
        <f>IF(OR(E4313="",E4313="!!!"),"",IF(NOT(ISNA(VLOOKUP(E4313,E$1:E4312,1,FALSE()))),"OLD",IF(AND(E4313&lt;&gt;"",E4313&lt;&gt;"!!!"),"NEW","")))</f>
        <v> </v>
      </c>
      <c r="G4313" s="23" t="str">
        <f>IF(OR(E4313="",E4313="!!!"),"",IF(OR(J4313=0,AND(J4313=1,K4313=1),AND(J4313=1,I4313="SBJ"),AND(J4313=1,I4313=0)),"?IN_FOCUS",IF(J4313&lt;=2,"?ACTIVATED",IF(J4313&lt;&gt;"","?FAMILIAR",IF(F4313="NEW",IF(ISNA(VLOOKUP(E4313,#REF!,1,FALSE())),"?TYPE_IDENTIFIABLE","?REFERENTIAL"),"_")))))</f>
        <v> </v>
      </c>
      <c r="H4313" s="24" t="str">
        <f>IF(J4313&lt;&gt;1,"",IF(I4313="SBJ","CB","?"))</f>
        <v> </v>
      </c>
      <c r="I4313" s="25" t="str">
        <f>IF(OR(E4313="",E4313="!!!",F4313="NEW"),"",INDEX(B4312:B$2,-1+SUMPRODUCT(MAX(ROW(E4312:E$2)*(E4313=E4312:E$2)))))</f>
        <v> </v>
      </c>
      <c r="J4313" s="25" t="str">
        <f>IF(OR(E4313="",E4313="!!!",F4313="NEW"),"",COUNTBLANK(OFFSET(A$1,,,SUMPRODUCT(MAX(ROW(E$2:E4313)*(E4313=E$2:E4313)))))-COUNTBLANK(OFFSET(A$1,,,SUMPRODUCT(MAX(ROW(E$1:E4312)*(E2=E$1:E4312))))))</f>
        <v> </v>
      </c>
      <c r="K4313" s="25" t="str">
        <f>IF(OR(E4313="",E4313="!!!",F4313="NEW"),"",INDEX(J$1:J4312,SUMPRODUCT(MAX(ROW(E$1:E4312)*(E4313=E$1:E4312)))))</f>
        <v> </v>
      </c>
      <c r="L4313" s="26"/>
    </row>
    <row r="4314" spans="1:12">
      <c r="A4314" s="20" t="s">
        <v>689</v>
      </c>
      <c r="E4314" s="21">
        <f>IF(D4314="?OLD","!!!","")</f>
        <v/>
      </c>
      <c r="F4314" s="22" t="str">
        <f>IF(OR(E4314="",E4314="!!!"),"",IF(NOT(ISNA(VLOOKUP(E4314,E$1:E4313,1,FALSE()))),"OLD",IF(AND(E4314&lt;&gt;"",E4314&lt;&gt;"!!!"),"NEW","")))</f>
        <v> </v>
      </c>
      <c r="G4314" s="23" t="str">
        <f>IF(OR(E4314="",E4314="!!!"),"",IF(OR(J4314=0,AND(J4314=1,K4314=1),AND(J4314=1,I4314="SBJ"),AND(J4314=1,I4314=0)),"?IN_FOCUS",IF(J4314&lt;=2,"?ACTIVATED",IF(J4314&lt;&gt;"","?FAMILIAR",IF(F4314="NEW",IF(ISNA(VLOOKUP(E4314,#REF!,1,FALSE())),"?TYPE_IDENTIFIABLE","?REFERENTIAL"),"_")))))</f>
        <v> </v>
      </c>
      <c r="H4314" s="24" t="str">
        <f>IF(J4314&lt;&gt;1,"",IF(I4314="SBJ","CB","?"))</f>
        <v> </v>
      </c>
      <c r="I4314" s="25" t="str">
        <f>IF(OR(E4314="",E4314="!!!",F4314="NEW"),"",INDEX(B4313:B$2,-1+SUMPRODUCT(MAX(ROW(E4313:E$2)*(E4314=E4313:E$2)))))</f>
        <v> </v>
      </c>
      <c r="J4314" s="25" t="str">
        <f>IF(OR(E4314="",E4314="!!!",F4314="NEW"),"",COUNTBLANK(OFFSET(A$1,,,SUMPRODUCT(MAX(ROW(E$2:E4314)*(E4314=E$2:E4314)))))-COUNTBLANK(OFFSET(A$1,,,SUMPRODUCT(MAX(ROW(E$1:E4313)*(E2=E$1:E4313))))))</f>
        <v> </v>
      </c>
      <c r="K4314" s="25" t="str">
        <f>IF(OR(E4314="",E4314="!!!",F4314="NEW"),"",INDEX(J$1:J4313,SUMPRODUCT(MAX(ROW(E$1:E4313)*(E4314=E$1:E4313)))))</f>
        <v> </v>
      </c>
      <c r="L4314" s="26"/>
    </row>
    <row r="4315" spans="1:12">
      <c r="A4315" s="20" t="s">
        <v>1969</v>
      </c>
      <c r="B4315" s="27" t="s">
        <v>696</v>
      </c>
      <c r="C4315" s="27" t="s">
        <v>693</v>
      </c>
      <c r="D4315" s="27" t="s">
        <v>687</v>
      </c>
      <c r="E4315" s="21">
        <f>IF(D4315="?OLD","!!!","")</f>
        <v/>
      </c>
      <c r="F4315" s="22" t="str">
        <f>IF(OR(E4315="",E4315="!!!"),"",IF(NOT(ISNA(VLOOKUP(E4315,E$1:E4314,1,FALSE()))),"OLD",IF(AND(E4315&lt;&gt;"",E4315&lt;&gt;"!!!"),"NEW","")))</f>
        <v> </v>
      </c>
      <c r="G4315" s="23" t="str">
        <f>IF(OR(E4315="",E4315="!!!"),"",IF(OR(J4315=0,AND(J4315=1,K4315=1),AND(J4315=1,I4315="SBJ"),AND(J4315=1,I4315=0)),"?IN_FOCUS",IF(J4315&lt;=2,"?ACTIVATED",IF(J4315&lt;&gt;"","?FAMILIAR",IF(F4315="NEW",IF(ISNA(VLOOKUP(E4315,#REF!,1,FALSE())),"?TYPE_IDENTIFIABLE","?REFERENTIAL"),"_")))))</f>
        <v> </v>
      </c>
      <c r="H4315" s="24" t="str">
        <f>IF(J4315&lt;&gt;1,"",IF(I4315="SBJ","CB","?"))</f>
        <v> </v>
      </c>
      <c r="I4315" s="25" t="str">
        <f>IF(OR(E4315="",E4315="!!!",F4315="NEW"),"",INDEX(B4314:B$2,-1+SUMPRODUCT(MAX(ROW(E4314:E$2)*(E4315=E4314:E$2)))))</f>
        <v> </v>
      </c>
      <c r="J4315" s="25" t="str">
        <f>IF(OR(E4315="",E4315="!!!",F4315="NEW"),"",COUNTBLANK(OFFSET(A$1,,,SUMPRODUCT(MAX(ROW(E$2:E4315)*(E4315=E$2:E4315)))))-COUNTBLANK(OFFSET(A$1,,,SUMPRODUCT(MAX(ROW(E$1:E4314)*(E2=E$1:E4314))))))</f>
        <v> </v>
      </c>
      <c r="K4315" s="25" t="str">
        <f>IF(OR(E4315="",E4315="!!!",F4315="NEW"),"",INDEX(J$1:J4314,SUMPRODUCT(MAX(ROW(E$1:E4314)*(E4315=E$1:E4314)))))</f>
        <v> </v>
      </c>
      <c r="L4315" s="26"/>
    </row>
    <row r="4316" spans="1:12">
      <c r="A4316" s="20" t="s">
        <v>866</v>
      </c>
      <c r="E4316" s="21">
        <f>IF(D4316="?OLD","!!!","")</f>
        <v/>
      </c>
      <c r="F4316" s="22" t="str">
        <f>IF(OR(E4316="",E4316="!!!"),"",IF(NOT(ISNA(VLOOKUP(E4316,E$1:E4315,1,FALSE()))),"OLD",IF(AND(E4316&lt;&gt;"",E4316&lt;&gt;"!!!"),"NEW","")))</f>
        <v> </v>
      </c>
      <c r="G4316" s="23" t="str">
        <f>IF(OR(E4316="",E4316="!!!"),"",IF(OR(J4316=0,AND(J4316=1,K4316=1),AND(J4316=1,I4316="SBJ"),AND(J4316=1,I4316=0)),"?IN_FOCUS",IF(J4316&lt;=2,"?ACTIVATED",IF(J4316&lt;&gt;"","?FAMILIAR",IF(F4316="NEW",IF(ISNA(VLOOKUP(E4316,#REF!,1,FALSE())),"?TYPE_IDENTIFIABLE","?REFERENTIAL"),"_")))))</f>
        <v> </v>
      </c>
      <c r="H4316" s="24" t="str">
        <f>IF(J4316&lt;&gt;1,"",IF(I4316="SBJ","CB","?"))</f>
        <v> </v>
      </c>
      <c r="I4316" s="25" t="str">
        <f>IF(OR(E4316="",E4316="!!!",F4316="NEW"),"",INDEX(B4315:B$2,-1+SUMPRODUCT(MAX(ROW(E4315:E$2)*(E4316=E4315:E$2)))))</f>
        <v> </v>
      </c>
      <c r="J4316" s="25" t="str">
        <f>IF(OR(E4316="",E4316="!!!",F4316="NEW"),"",COUNTBLANK(OFFSET(A$1,,,SUMPRODUCT(MAX(ROW(E$2:E4316)*(E4316=E$2:E4316)))))-COUNTBLANK(OFFSET(A$1,,,SUMPRODUCT(MAX(ROW(E$1:E4315)*(E2=E$1:E4315))))))</f>
        <v> </v>
      </c>
      <c r="K4316" s="25" t="str">
        <f>IF(OR(E4316="",E4316="!!!",F4316="NEW"),"",INDEX(J$1:J4315,SUMPRODUCT(MAX(ROW(E$1:E4315)*(E4316=E$1:E4315)))))</f>
        <v> </v>
      </c>
      <c r="L4316" s="26"/>
    </row>
    <row r="4317" spans="1:12">
      <c r="A4317" s="20" t="s">
        <v>306</v>
      </c>
      <c r="E4317" s="21">
        <f>IF(D4317="?OLD","!!!","")</f>
        <v/>
      </c>
      <c r="F4317" s="22" t="str">
        <f>IF(OR(E4317="",E4317="!!!"),"",IF(NOT(ISNA(VLOOKUP(E4317,E$1:E4316,1,FALSE()))),"OLD",IF(AND(E4317&lt;&gt;"",E4317&lt;&gt;"!!!"),"NEW","")))</f>
        <v> </v>
      </c>
      <c r="G4317" s="23" t="str">
        <f>IF(OR(E4317="",E4317="!!!"),"",IF(OR(J4317=0,AND(J4317=1,K4317=1),AND(J4317=1,I4317="SBJ"),AND(J4317=1,I4317=0)),"?IN_FOCUS",IF(J4317&lt;=2,"?ACTIVATED",IF(J4317&lt;&gt;"","?FAMILIAR",IF(F4317="NEW",IF(ISNA(VLOOKUP(E4317,#REF!,1,FALSE())),"?TYPE_IDENTIFIABLE","?REFERENTIAL"),"_")))))</f>
        <v> </v>
      </c>
      <c r="H4317" s="24" t="str">
        <f>IF(J4317&lt;&gt;1,"",IF(I4317="SBJ","CB","?"))</f>
        <v> </v>
      </c>
      <c r="I4317" s="25" t="str">
        <f>IF(OR(E4317="",E4317="!!!",F4317="NEW"),"",INDEX(B4316:B$2,-1+SUMPRODUCT(MAX(ROW(E4316:E$2)*(E4317=E4316:E$2)))))</f>
        <v> </v>
      </c>
      <c r="J4317" s="25" t="str">
        <f>IF(OR(E4317="",E4317="!!!",F4317="NEW"),"",COUNTBLANK(OFFSET(A$1,,,SUMPRODUCT(MAX(ROW(E$2:E4317)*(E4317=E$2:E4317)))))-COUNTBLANK(OFFSET(A$1,,,SUMPRODUCT(MAX(ROW(E$1:E4316)*(E2=E$1:E4316))))))</f>
        <v> </v>
      </c>
      <c r="K4317" s="25" t="str">
        <f>IF(OR(E4317="",E4317="!!!",F4317="NEW"),"",INDEX(J$1:J4316,SUMPRODUCT(MAX(ROW(E$1:E4316)*(E4317=E$1:E4316)))))</f>
        <v> </v>
      </c>
      <c r="L4317" s="26"/>
    </row>
    <row r="4318" spans="1:12">
      <c r="A4318" s="20" t="s">
        <v>1783</v>
      </c>
      <c r="B4318" s="27" t="s">
        <v>724</v>
      </c>
      <c r="C4318" s="27" t="s">
        <v>686</v>
      </c>
      <c r="D4318" s="27" t="s">
        <v>687</v>
      </c>
      <c r="E4318" s="21">
        <f>IF(D4318="?OLD","!!!","")</f>
        <v/>
      </c>
      <c r="F4318" s="22" t="str">
        <f>IF(OR(E4318="",E4318="!!!"),"",IF(NOT(ISNA(VLOOKUP(E4318,E$1:E4317,1,FALSE()))),"OLD",IF(AND(E4318&lt;&gt;"",E4318&lt;&gt;"!!!"),"NEW","")))</f>
        <v> </v>
      </c>
      <c r="G4318" s="23" t="str">
        <f>IF(OR(E4318="",E4318="!!!"),"",IF(OR(J4318=0,AND(J4318=1,K4318=1),AND(J4318=1,I4318="SBJ"),AND(J4318=1,I4318=0)),"?IN_FOCUS",IF(J4318&lt;=2,"?ACTIVATED",IF(J4318&lt;&gt;"","?FAMILIAR",IF(F4318="NEW",IF(ISNA(VLOOKUP(E4318,#REF!,1,FALSE())),"?TYPE_IDENTIFIABLE","?REFERENTIAL"),"_")))))</f>
        <v> </v>
      </c>
      <c r="H4318" s="24" t="str">
        <f>IF(J4318&lt;&gt;1,"",IF(I4318="SBJ","CB","?"))</f>
        <v> </v>
      </c>
      <c r="I4318" s="25" t="str">
        <f>IF(OR(E4318="",E4318="!!!",F4318="NEW"),"",INDEX(B4317:B$2,-1+SUMPRODUCT(MAX(ROW(E4317:E$2)*(E4318=E4317:E$2)))))</f>
        <v> </v>
      </c>
      <c r="J4318" s="25" t="str">
        <f>IF(OR(E4318="",E4318="!!!",F4318="NEW"),"",COUNTBLANK(OFFSET(A$1,,,SUMPRODUCT(MAX(ROW(E$2:E4318)*(E4318=E$2:E4318)))))-COUNTBLANK(OFFSET(A$1,,,SUMPRODUCT(MAX(ROW(E$1:E4317)*(E2=E$1:E4317))))))</f>
        <v> </v>
      </c>
      <c r="K4318" s="25" t="str">
        <f>IF(OR(E4318="",E4318="!!!",F4318="NEW"),"",INDEX(J$1:J4317,SUMPRODUCT(MAX(ROW(E$1:E4317)*(E4318=E$1:E4317)))))</f>
        <v> </v>
      </c>
      <c r="L4318" s="26"/>
    </row>
    <row r="4319" spans="1:12">
      <c r="A4319" s="20" t="s">
        <v>732</v>
      </c>
      <c r="B4319" s="27" t="s">
        <v>874</v>
      </c>
      <c r="E4319" s="21">
        <f>IF(D4319="?OLD","!!!","")</f>
        <v/>
      </c>
      <c r="F4319" s="22" t="str">
        <f>IF(OR(E4319="",E4319="!!!"),"",IF(NOT(ISNA(VLOOKUP(E4319,E$1:E4318,1,FALSE()))),"OLD",IF(AND(E4319&lt;&gt;"",E4319&lt;&gt;"!!!"),"NEW","")))</f>
        <v> </v>
      </c>
      <c r="G4319" s="23" t="str">
        <f>IF(OR(E4319="",E4319="!!!"),"",IF(OR(J4319=0,AND(J4319=1,K4319=1),AND(J4319=1,I4319="SBJ"),AND(J4319=1,I4319=0)),"?IN_FOCUS",IF(J4319&lt;=2,"?ACTIVATED",IF(J4319&lt;&gt;"","?FAMILIAR",IF(F4319="NEW",IF(ISNA(VLOOKUP(E4319,#REF!,1,FALSE())),"?TYPE_IDENTIFIABLE","?REFERENTIAL"),"_")))))</f>
        <v> </v>
      </c>
      <c r="H4319" s="24" t="str">
        <f>IF(J4319&lt;&gt;1,"",IF(I4319="SBJ","CB","?"))</f>
        <v> </v>
      </c>
      <c r="I4319" s="25" t="str">
        <f>IF(OR(E4319="",E4319="!!!",F4319="NEW"),"",INDEX(B4318:B$2,-1+SUMPRODUCT(MAX(ROW(E4318:E$2)*(E4319=E4318:E$2)))))</f>
        <v> </v>
      </c>
      <c r="J4319" s="25" t="str">
        <f>IF(OR(E4319="",E4319="!!!",F4319="NEW"),"",COUNTBLANK(OFFSET(A$1,,,SUMPRODUCT(MAX(ROW(E$2:E4319)*(E4319=E$2:E4319)))))-COUNTBLANK(OFFSET(A$1,,,SUMPRODUCT(MAX(ROW(E$1:E4318)*(E2=E$1:E4318))))))</f>
        <v> </v>
      </c>
      <c r="K4319" s="25" t="str">
        <f>IF(OR(E4319="",E4319="!!!",F4319="NEW"),"",INDEX(J$1:J4318,SUMPRODUCT(MAX(ROW(E$1:E4318)*(E4319=E$1:E4318)))))</f>
        <v> </v>
      </c>
      <c r="L4319" s="26"/>
    </row>
    <row r="4320" spans="1:12">
      <c r="A4320" s="20" t="s">
        <v>958</v>
      </c>
      <c r="E4320" s="21">
        <f>IF(D4320="?OLD","!!!","")</f>
        <v/>
      </c>
      <c r="F4320" s="22" t="str">
        <f>IF(OR(E4320="",E4320="!!!"),"",IF(NOT(ISNA(VLOOKUP(E4320,E$1:E4319,1,FALSE()))),"OLD",IF(AND(E4320&lt;&gt;"",E4320&lt;&gt;"!!!"),"NEW","")))</f>
        <v> </v>
      </c>
      <c r="G4320" s="23" t="str">
        <f>IF(OR(E4320="",E4320="!!!"),"",IF(OR(J4320=0,AND(J4320=1,K4320=1),AND(J4320=1,I4320="SBJ"),AND(J4320=1,I4320=0)),"?IN_FOCUS",IF(J4320&lt;=2,"?ACTIVATED",IF(J4320&lt;&gt;"","?FAMILIAR",IF(F4320="NEW",IF(ISNA(VLOOKUP(E4320,#REF!,1,FALSE())),"?TYPE_IDENTIFIABLE","?REFERENTIAL"),"_")))))</f>
        <v> </v>
      </c>
      <c r="H4320" s="24" t="str">
        <f>IF(J4320&lt;&gt;1,"",IF(I4320="SBJ","CB","?"))</f>
        <v> </v>
      </c>
      <c r="I4320" s="25" t="str">
        <f>IF(OR(E4320="",E4320="!!!",F4320="NEW"),"",INDEX(B4319:B$2,-1+SUMPRODUCT(MAX(ROW(E4319:E$2)*(E4320=E4319:E$2)))))</f>
        <v> </v>
      </c>
      <c r="J4320" s="25" t="str">
        <f>IF(OR(E4320="",E4320="!!!",F4320="NEW"),"",COUNTBLANK(OFFSET(A$1,,,SUMPRODUCT(MAX(ROW(E$2:E4320)*(E4320=E$2:E4320)))))-COUNTBLANK(OFFSET(A$1,,,SUMPRODUCT(MAX(ROW(E$1:E4319)*(E2=E$1:E4319))))))</f>
        <v> </v>
      </c>
      <c r="K4320" s="25" t="str">
        <f>IF(OR(E4320="",E4320="!!!",F4320="NEW"),"",INDEX(J$1:J4319,SUMPRODUCT(MAX(ROW(E$1:E4319)*(E4320=E$1:E4319)))))</f>
        <v> </v>
      </c>
      <c r="L4320" s="26"/>
    </row>
    <row r="4321" spans="1:12">
      <c r="A4321" s="20" t="s">
        <v>928</v>
      </c>
      <c r="B4321" s="27" t="s">
        <v>864</v>
      </c>
      <c r="C4321" s="27" t="s">
        <v>686</v>
      </c>
      <c r="D4321" s="27" t="s">
        <v>687</v>
      </c>
      <c r="E4321" s="21">
        <f>IF(D4321="?OLD","!!!","")</f>
        <v/>
      </c>
      <c r="F4321" s="22" t="str">
        <f>IF(OR(E4321="",E4321="!!!"),"",IF(NOT(ISNA(VLOOKUP(E4321,E$1:E4320,1,FALSE()))),"OLD",IF(AND(E4321&lt;&gt;"",E4321&lt;&gt;"!!!"),"NEW","")))</f>
        <v> </v>
      </c>
      <c r="G4321" s="23" t="str">
        <f>IF(OR(E4321="",E4321="!!!"),"",IF(OR(J4321=0,AND(J4321=1,K4321=1),AND(J4321=1,I4321="SBJ"),AND(J4321=1,I4321=0)),"?IN_FOCUS",IF(J4321&lt;=2,"?ACTIVATED",IF(J4321&lt;&gt;"","?FAMILIAR",IF(F4321="NEW",IF(ISNA(VLOOKUP(E4321,#REF!,1,FALSE())),"?TYPE_IDENTIFIABLE","?REFERENTIAL"),"_")))))</f>
        <v> </v>
      </c>
      <c r="H4321" s="24" t="str">
        <f>IF(J4321&lt;&gt;1,"",IF(I4321="SBJ","CB","?"))</f>
        <v> </v>
      </c>
      <c r="I4321" s="25" t="str">
        <f>IF(OR(E4321="",E4321="!!!",F4321="NEW"),"",INDEX(B4320:B$2,-1+SUMPRODUCT(MAX(ROW(E4320:E$2)*(E4321=E4320:E$2)))))</f>
        <v> </v>
      </c>
      <c r="J4321" s="25" t="str">
        <f>IF(OR(E4321="",E4321="!!!",F4321="NEW"),"",COUNTBLANK(OFFSET(A$1,,,SUMPRODUCT(MAX(ROW(E$2:E4321)*(E4321=E$2:E4321)))))-COUNTBLANK(OFFSET(A$1,,,SUMPRODUCT(MAX(ROW(E$1:E4320)*(E2=E$1:E4320))))))</f>
        <v> </v>
      </c>
      <c r="K4321" s="25" t="str">
        <f>IF(OR(E4321="",E4321="!!!",F4321="NEW"),"",INDEX(J$1:J4320,SUMPRODUCT(MAX(ROW(E$1:E4320)*(E4321=E$1:E4320)))))</f>
        <v> </v>
      </c>
      <c r="L4321" s="26"/>
    </row>
    <row r="4322" spans="1:12">
      <c r="A4322" s="20" t="s">
        <v>1412</v>
      </c>
      <c r="E4322" s="21">
        <f>IF(D4322="?OLD","!!!","")</f>
        <v/>
      </c>
      <c r="F4322" s="22" t="str">
        <f>IF(OR(E4322="",E4322="!!!"),"",IF(NOT(ISNA(VLOOKUP(E4322,E$1:E4321,1,FALSE()))),"OLD",IF(AND(E4322&lt;&gt;"",E4322&lt;&gt;"!!!"),"NEW","")))</f>
        <v> </v>
      </c>
      <c r="G4322" s="23" t="str">
        <f>IF(OR(E4322="",E4322="!!!"),"",IF(OR(J4322=0,AND(J4322=1,K4322=1),AND(J4322=1,I4322="SBJ"),AND(J4322=1,I4322=0)),"?IN_FOCUS",IF(J4322&lt;=2,"?ACTIVATED",IF(J4322&lt;&gt;"","?FAMILIAR",IF(F4322="NEW",IF(ISNA(VLOOKUP(E4322,#REF!,1,FALSE())),"?TYPE_IDENTIFIABLE","?REFERENTIAL"),"_")))))</f>
        <v> </v>
      </c>
      <c r="H4322" s="24" t="str">
        <f>IF(J4322&lt;&gt;1,"",IF(I4322="SBJ","CB","?"))</f>
        <v> </v>
      </c>
      <c r="I4322" s="25" t="str">
        <f>IF(OR(E4322="",E4322="!!!",F4322="NEW"),"",INDEX(B4321:B$2,-1+SUMPRODUCT(MAX(ROW(E4321:E$2)*(E4322=E4321:E$2)))))</f>
        <v> </v>
      </c>
      <c r="J4322" s="25" t="str">
        <f>IF(OR(E4322="",E4322="!!!",F4322="NEW"),"",COUNTBLANK(OFFSET(A$1,,,SUMPRODUCT(MAX(ROW(E$2:E4322)*(E4322=E$2:E4322)))))-COUNTBLANK(OFFSET(A$1,,,SUMPRODUCT(MAX(ROW(E$1:E4321)*(E2=E$1:E4321))))))</f>
        <v> </v>
      </c>
      <c r="K4322" s="25" t="str">
        <f>IF(OR(E4322="",E4322="!!!",F4322="NEW"),"",INDEX(J$1:J4321,SUMPRODUCT(MAX(ROW(E$1:E4321)*(E4322=E$1:E4321)))))</f>
        <v> </v>
      </c>
      <c r="L4322" s="26"/>
    </row>
    <row r="4323" spans="1:12">
      <c r="A4323" s="20" t="s">
        <v>1782</v>
      </c>
      <c r="E4323" s="21">
        <f>IF(D4323="?OLD","!!!","")</f>
        <v/>
      </c>
      <c r="F4323" s="22" t="str">
        <f>IF(OR(E4323="",E4323="!!!"),"",IF(NOT(ISNA(VLOOKUP(E4323,E$1:E4322,1,FALSE()))),"OLD",IF(AND(E4323&lt;&gt;"",E4323&lt;&gt;"!!!"),"NEW","")))</f>
        <v> </v>
      </c>
      <c r="G4323" s="23" t="str">
        <f>IF(OR(E4323="",E4323="!!!"),"",IF(OR(J4323=0,AND(J4323=1,K4323=1),AND(J4323=1,I4323="SBJ"),AND(J4323=1,I4323=0)),"?IN_FOCUS",IF(J4323&lt;=2,"?ACTIVATED",IF(J4323&lt;&gt;"","?FAMILIAR",IF(F4323="NEW",IF(ISNA(VLOOKUP(E4323,#REF!,1,FALSE())),"?TYPE_IDENTIFIABLE","?REFERENTIAL"),"_")))))</f>
        <v> </v>
      </c>
      <c r="H4323" s="24" t="str">
        <f>IF(J4323&lt;&gt;1,"",IF(I4323="SBJ","CB","?"))</f>
        <v> </v>
      </c>
      <c r="I4323" s="25" t="str">
        <f>IF(OR(E4323="",E4323="!!!",F4323="NEW"),"",INDEX(B4322:B$2,-1+SUMPRODUCT(MAX(ROW(E4322:E$2)*(E4323=E4322:E$2)))))</f>
        <v> </v>
      </c>
      <c r="J4323" s="25" t="str">
        <f>IF(OR(E4323="",E4323="!!!",F4323="NEW"),"",COUNTBLANK(OFFSET(A$1,,,SUMPRODUCT(MAX(ROW(E$2:E4323)*(E4323=E$2:E4323)))))-COUNTBLANK(OFFSET(A$1,,,SUMPRODUCT(MAX(ROW(E$1:E4322)*(E2=E$1:E4322))))))</f>
        <v> </v>
      </c>
      <c r="K4323" s="25" t="str">
        <f>IF(OR(E4323="",E4323="!!!",F4323="NEW"),"",INDEX(J$1:J4322,SUMPRODUCT(MAX(ROW(E$1:E4322)*(E4323=E$1:E4322)))))</f>
        <v> </v>
      </c>
      <c r="L4323" s="26"/>
    </row>
    <row r="4324" spans="1:12">
      <c r="A4324" s="20" t="s">
        <v>676</v>
      </c>
      <c r="E4324" s="21">
        <f>IF(D4324="?OLD","!!!","")</f>
        <v/>
      </c>
      <c r="F4324" s="22" t="str">
        <f>IF(OR(E4324="",E4324="!!!"),"",IF(NOT(ISNA(VLOOKUP(E4324,E$1:E4323,1,FALSE()))),"OLD",IF(AND(E4324&lt;&gt;"",E4324&lt;&gt;"!!!"),"NEW","")))</f>
        <v> </v>
      </c>
      <c r="G4324" s="23" t="str">
        <f>IF(OR(E4324="",E4324="!!!"),"",IF(OR(J4324=0,AND(J4324=1,K4324=1),AND(J4324=1,I4324="SBJ"),AND(J4324=1,I4324=0)),"?IN_FOCUS",IF(J4324&lt;=2,"?ACTIVATED",IF(J4324&lt;&gt;"","?FAMILIAR",IF(F4324="NEW",IF(ISNA(VLOOKUP(E4324,#REF!,1,FALSE())),"?TYPE_IDENTIFIABLE","?REFERENTIAL"),"_")))))</f>
        <v> </v>
      </c>
      <c r="H4324" s="24" t="str">
        <f>IF(J4324&lt;&gt;1,"",IF(I4324="SBJ","CB","?"))</f>
        <v> </v>
      </c>
      <c r="I4324" s="25" t="str">
        <f>IF(OR(E4324="",E4324="!!!",F4324="NEW"),"",INDEX(B4323:B$2,-1+SUMPRODUCT(MAX(ROW(E4323:E$2)*(E4324=E4323:E$2)))))</f>
        <v> </v>
      </c>
      <c r="J4324" s="25" t="str">
        <f>IF(OR(E4324="",E4324="!!!",F4324="NEW"),"",COUNTBLANK(OFFSET(A$1,,,SUMPRODUCT(MAX(ROW(E$2:E4324)*(E4324=E$2:E4324)))))-COUNTBLANK(OFFSET(A$1,,,SUMPRODUCT(MAX(ROW(E$1:E4323)*(E2=E$1:E4323))))))</f>
        <v> </v>
      </c>
      <c r="K4324" s="25" t="str">
        <f>IF(OR(E4324="",E4324="!!!",F4324="NEW"),"",INDEX(J$1:J4323,SUMPRODUCT(MAX(ROW(E$1:E4323)*(E4324=E$1:E4323)))))</f>
        <v> </v>
      </c>
      <c r="L4324" s="26"/>
    </row>
    <row r="4325" spans="1:12">
      <c r="A4325" s="20" t="s">
        <v>683</v>
      </c>
      <c r="E4325" s="21">
        <f>IF(D4325="?OLD","!!!","")</f>
        <v/>
      </c>
      <c r="F4325" s="22" t="str">
        <f>IF(OR(E4325="",E4325="!!!"),"",IF(NOT(ISNA(VLOOKUP(E4325,E$1:E4324,1,FALSE()))),"OLD",IF(AND(E4325&lt;&gt;"",E4325&lt;&gt;"!!!"),"NEW","")))</f>
        <v> </v>
      </c>
      <c r="G4325" s="23" t="str">
        <f>IF(OR(E4325="",E4325="!!!"),"",IF(OR(J4325=0,AND(J4325=1,K4325=1),AND(J4325=1,I4325="SBJ"),AND(J4325=1,I4325=0)),"?IN_FOCUS",IF(J4325&lt;=2,"?ACTIVATED",IF(J4325&lt;&gt;"","?FAMILIAR",IF(F4325="NEW",IF(ISNA(VLOOKUP(E4325,#REF!,1,FALSE())),"?TYPE_IDENTIFIABLE","?REFERENTIAL"),"_")))))</f>
        <v> </v>
      </c>
      <c r="H4325" s="24" t="str">
        <f>IF(J4325&lt;&gt;1,"",IF(I4325="SBJ","CB","?"))</f>
        <v> </v>
      </c>
      <c r="I4325" s="25" t="str">
        <f>IF(OR(E4325="",E4325="!!!",F4325="NEW"),"",INDEX(B4324:B$2,-1+SUMPRODUCT(MAX(ROW(E4324:E$2)*(E4325=E4324:E$2)))))</f>
        <v> </v>
      </c>
      <c r="J4325" s="25" t="str">
        <f>IF(OR(E4325="",E4325="!!!",F4325="NEW"),"",COUNTBLANK(OFFSET(A$1,,,SUMPRODUCT(MAX(ROW(E$2:E4325)*(E4325=E$2:E4325)))))-COUNTBLANK(OFFSET(A$1,,,SUMPRODUCT(MAX(ROW(E$1:E4324)*(E2=E$1:E4324))))))</f>
        <v> </v>
      </c>
      <c r="K4325" s="25" t="str">
        <f>IF(OR(E4325="",E4325="!!!",F4325="NEW"),"",INDEX(J$1:J4324,SUMPRODUCT(MAX(ROW(E$1:E4324)*(E4325=E$1:E4324)))))</f>
        <v> </v>
      </c>
      <c r="L4325" s="26"/>
    </row>
    <row r="4326" spans="1:12">
      <c r="A4326" s="20" t="s">
        <v>1142</v>
      </c>
      <c r="B4326" s="27" t="s">
        <v>843</v>
      </c>
      <c r="C4326" s="27" t="s">
        <v>693</v>
      </c>
      <c r="D4326" s="27" t="s">
        <v>687</v>
      </c>
      <c r="E4326" s="21">
        <f>IF(D4326="?OLD","!!!","")</f>
        <v/>
      </c>
      <c r="F4326" s="22" t="str">
        <f>IF(OR(E4326="",E4326="!!!"),"",IF(NOT(ISNA(VLOOKUP(E4326,E$1:E4325,1,FALSE()))),"OLD",IF(AND(E4326&lt;&gt;"",E4326&lt;&gt;"!!!"),"NEW","")))</f>
        <v> </v>
      </c>
      <c r="G4326" s="23" t="str">
        <f>IF(OR(E4326="",E4326="!!!"),"",IF(OR(J4326=0,AND(J4326=1,K4326=1),AND(J4326=1,I4326="SBJ"),AND(J4326=1,I4326=0)),"?IN_FOCUS",IF(J4326&lt;=2,"?ACTIVATED",IF(J4326&lt;&gt;"","?FAMILIAR",IF(F4326="NEW",IF(ISNA(VLOOKUP(E4326,#REF!,1,FALSE())),"?TYPE_IDENTIFIABLE","?REFERENTIAL"),"_")))))</f>
        <v> </v>
      </c>
      <c r="H4326" s="24" t="str">
        <f>IF(J4326&lt;&gt;1,"",IF(I4326="SBJ","CB","?"))</f>
        <v> </v>
      </c>
      <c r="I4326" s="25" t="str">
        <f>IF(OR(E4326="",E4326="!!!",F4326="NEW"),"",INDEX(B4325:B$2,-1+SUMPRODUCT(MAX(ROW(E4325:E$2)*(E4326=E4325:E$2)))))</f>
        <v> </v>
      </c>
      <c r="J4326" s="25" t="str">
        <f>IF(OR(E4326="",E4326="!!!",F4326="NEW"),"",COUNTBLANK(OFFSET(A$1,,,SUMPRODUCT(MAX(ROW(E$2:E4326)*(E4326=E$2:E4326)))))-COUNTBLANK(OFFSET(A$1,,,SUMPRODUCT(MAX(ROW(E$1:E4325)*(E2=E$1:E4325))))))</f>
        <v> </v>
      </c>
      <c r="K4326" s="25" t="str">
        <f>IF(OR(E4326="",E4326="!!!",F4326="NEW"),"",INDEX(J$1:J4325,SUMPRODUCT(MAX(ROW(E$1:E4325)*(E4326=E$1:E4325)))))</f>
        <v> </v>
      </c>
      <c r="L4326" s="26"/>
    </row>
    <row r="4327" spans="1:12">
      <c r="A4327" s="20" t="s">
        <v>694</v>
      </c>
      <c r="E4327" s="21">
        <f>IF(D4327="?OLD","!!!","")</f>
        <v/>
      </c>
      <c r="F4327" s="22" t="str">
        <f>IF(OR(E4327="",E4327="!!!"),"",IF(NOT(ISNA(VLOOKUP(E4327,E$1:E4326,1,FALSE()))),"OLD",IF(AND(E4327&lt;&gt;"",E4327&lt;&gt;"!!!"),"NEW","")))</f>
        <v> </v>
      </c>
      <c r="G4327" s="23" t="str">
        <f>IF(OR(E4327="",E4327="!!!"),"",IF(OR(J4327=0,AND(J4327=1,K4327=1),AND(J4327=1,I4327="SBJ"),AND(J4327=1,I4327=0)),"?IN_FOCUS",IF(J4327&lt;=2,"?ACTIVATED",IF(J4327&lt;&gt;"","?FAMILIAR",IF(F4327="NEW",IF(ISNA(VLOOKUP(E4327,#REF!,1,FALSE())),"?TYPE_IDENTIFIABLE","?REFERENTIAL"),"_")))))</f>
        <v> </v>
      </c>
      <c r="H4327" s="24" t="str">
        <f>IF(J4327&lt;&gt;1,"",IF(I4327="SBJ","CB","?"))</f>
        <v> </v>
      </c>
      <c r="I4327" s="25" t="str">
        <f>IF(OR(E4327="",E4327="!!!",F4327="NEW"),"",INDEX(B4326:B$2,-1+SUMPRODUCT(MAX(ROW(E4326:E$2)*(E4327=E4326:E$2)))))</f>
        <v> </v>
      </c>
      <c r="J4327" s="25" t="str">
        <f>IF(OR(E4327="",E4327="!!!",F4327="NEW"),"",COUNTBLANK(OFFSET(A$1,,,SUMPRODUCT(MAX(ROW(E$2:E4327)*(E4327=E$2:E4327)))))-COUNTBLANK(OFFSET(A$1,,,SUMPRODUCT(MAX(ROW(E$1:E4326)*(E2=E$1:E4326))))))</f>
        <v> </v>
      </c>
      <c r="K4327" s="25" t="str">
        <f>IF(OR(E4327="",E4327="!!!",F4327="NEW"),"",INDEX(J$1:J4326,SUMPRODUCT(MAX(ROW(E$1:E4326)*(E4327=E$1:E4326)))))</f>
        <v> </v>
      </c>
      <c r="L4327" s="26"/>
    </row>
    <row r="4328" spans="1:12">
      <c r="A4328" s="20" t="s">
        <v>725</v>
      </c>
      <c r="E4328" s="21">
        <f>IF(D4328="?OLD","!!!","")</f>
        <v/>
      </c>
      <c r="F4328" s="22" t="str">
        <f>IF(OR(E4328="",E4328="!!!"),"",IF(NOT(ISNA(VLOOKUP(E4328,E$1:E4327,1,FALSE()))),"OLD",IF(AND(E4328&lt;&gt;"",E4328&lt;&gt;"!!!"),"NEW","")))</f>
        <v> </v>
      </c>
      <c r="G4328" s="23" t="str">
        <f>IF(OR(E4328="",E4328="!!!"),"",IF(OR(J4328=0,AND(J4328=1,K4328=1),AND(J4328=1,I4328="SBJ"),AND(J4328=1,I4328=0)),"?IN_FOCUS",IF(J4328&lt;=2,"?ACTIVATED",IF(J4328&lt;&gt;"","?FAMILIAR",IF(F4328="NEW",IF(ISNA(VLOOKUP(E4328,#REF!,1,FALSE())),"?TYPE_IDENTIFIABLE","?REFERENTIAL"),"_")))))</f>
        <v> </v>
      </c>
      <c r="H4328" s="24" t="str">
        <f>IF(J4328&lt;&gt;1,"",IF(I4328="SBJ","CB","?"))</f>
        <v> </v>
      </c>
      <c r="I4328" s="25" t="str">
        <f>IF(OR(E4328="",E4328="!!!",F4328="NEW"),"",INDEX(B4327:B$2,-1+SUMPRODUCT(MAX(ROW(E4327:E$2)*(E4328=E4327:E$2)))))</f>
        <v> </v>
      </c>
      <c r="J4328" s="25" t="str">
        <f>IF(OR(E4328="",E4328="!!!",F4328="NEW"),"",COUNTBLANK(OFFSET(A$1,,,SUMPRODUCT(MAX(ROW(E$2:E4328)*(E4328=E$2:E4328)))))-COUNTBLANK(OFFSET(A$1,,,SUMPRODUCT(MAX(ROW(E$1:E4327)*(E2=E$1:E4327))))))</f>
        <v> </v>
      </c>
      <c r="K4328" s="25" t="str">
        <f>IF(OR(E4328="",E4328="!!!",F4328="NEW"),"",INDEX(J$1:J4327,SUMPRODUCT(MAX(ROW(E$1:E4327)*(E4328=E$1:E4327)))))</f>
        <v> </v>
      </c>
      <c r="L4328" s="26"/>
    </row>
    <row r="4329" spans="1:12">
      <c r="A4329" s="20" t="s">
        <v>1039</v>
      </c>
      <c r="B4329" s="27" t="s">
        <v>728</v>
      </c>
      <c r="C4329" s="27" t="s">
        <v>693</v>
      </c>
      <c r="D4329" s="27" t="s">
        <v>687</v>
      </c>
      <c r="E4329" s="21">
        <f>IF(D4329="?OLD","!!!","")</f>
        <v/>
      </c>
      <c r="F4329" s="22" t="str">
        <f>IF(OR(E4329="",E4329="!!!"),"",IF(NOT(ISNA(VLOOKUP(E4329,E$1:E4328,1,FALSE()))),"OLD",IF(AND(E4329&lt;&gt;"",E4329&lt;&gt;"!!!"),"NEW","")))</f>
        <v> </v>
      </c>
      <c r="G4329" s="23" t="str">
        <f>IF(OR(E4329="",E4329="!!!"),"",IF(OR(J4329=0,AND(J4329=1,K4329=1),AND(J4329=1,I4329="SBJ"),AND(J4329=1,I4329=0)),"?IN_FOCUS",IF(J4329&lt;=2,"?ACTIVATED",IF(J4329&lt;&gt;"","?FAMILIAR",IF(F4329="NEW",IF(ISNA(VLOOKUP(E4329,#REF!,1,FALSE())),"?TYPE_IDENTIFIABLE","?REFERENTIAL"),"_")))))</f>
        <v> </v>
      </c>
      <c r="H4329" s="24" t="str">
        <f>IF(J4329&lt;&gt;1,"",IF(I4329="SBJ","CB","?"))</f>
        <v> </v>
      </c>
      <c r="I4329" s="25" t="str">
        <f>IF(OR(E4329="",E4329="!!!",F4329="NEW"),"",INDEX(B4328:B$2,-1+SUMPRODUCT(MAX(ROW(E4328:E$2)*(E4329=E4328:E$2)))))</f>
        <v> </v>
      </c>
      <c r="J4329" s="25" t="str">
        <f>IF(OR(E4329="",E4329="!!!",F4329="NEW"),"",COUNTBLANK(OFFSET(A$1,,,SUMPRODUCT(MAX(ROW(E$2:E4329)*(E4329=E$2:E4329)))))-COUNTBLANK(OFFSET(A$1,,,SUMPRODUCT(MAX(ROW(E$1:E4328)*(E2=E$1:E4328))))))</f>
        <v> </v>
      </c>
      <c r="K4329" s="25" t="str">
        <f>IF(OR(E4329="",E4329="!!!",F4329="NEW"),"",INDEX(J$1:J4328,SUMPRODUCT(MAX(ROW(E$1:E4328)*(E4329=E$1:E4328)))))</f>
        <v> </v>
      </c>
      <c r="L4329" s="26"/>
    </row>
    <row r="4330" spans="1:12">
      <c r="A4330" s="20" t="s">
        <v>694</v>
      </c>
      <c r="E4330" s="21">
        <f>IF(D4330="?OLD","!!!","")</f>
        <v/>
      </c>
      <c r="F4330" s="22" t="str">
        <f>IF(OR(E4330="",E4330="!!!"),"",IF(NOT(ISNA(VLOOKUP(E4330,E$1:E4329,1,FALSE()))),"OLD",IF(AND(E4330&lt;&gt;"",E4330&lt;&gt;"!!!"),"NEW","")))</f>
        <v> </v>
      </c>
      <c r="G4330" s="23" t="str">
        <f>IF(OR(E4330="",E4330="!!!"),"",IF(OR(J4330=0,AND(J4330=1,K4330=1),AND(J4330=1,I4330="SBJ"),AND(J4330=1,I4330=0)),"?IN_FOCUS",IF(J4330&lt;=2,"?ACTIVATED",IF(J4330&lt;&gt;"","?FAMILIAR",IF(F4330="NEW",IF(ISNA(VLOOKUP(E4330,#REF!,1,FALSE())),"?TYPE_IDENTIFIABLE","?REFERENTIAL"),"_")))))</f>
        <v> </v>
      </c>
      <c r="H4330" s="24" t="str">
        <f>IF(J4330&lt;&gt;1,"",IF(I4330="SBJ","CB","?"))</f>
        <v> </v>
      </c>
      <c r="I4330" s="25" t="str">
        <f>IF(OR(E4330="",E4330="!!!",F4330="NEW"),"",INDEX(B4329:B$2,-1+SUMPRODUCT(MAX(ROW(E4329:E$2)*(E4330=E4329:E$2)))))</f>
        <v> </v>
      </c>
      <c r="J4330" s="25" t="str">
        <f>IF(OR(E4330="",E4330="!!!",F4330="NEW"),"",COUNTBLANK(OFFSET(A$1,,,SUMPRODUCT(MAX(ROW(E$2:E4330)*(E4330=E$2:E4330)))))-COUNTBLANK(OFFSET(A$1,,,SUMPRODUCT(MAX(ROW(E$1:E4329)*(E2=E$1:E4329))))))</f>
        <v> </v>
      </c>
      <c r="K4330" s="25" t="str">
        <f>IF(OR(E4330="",E4330="!!!",F4330="NEW"),"",INDEX(J$1:J4329,SUMPRODUCT(MAX(ROW(E$1:E4329)*(E4330=E$1:E4329)))))</f>
        <v> </v>
      </c>
      <c r="L4330" s="26"/>
    </row>
    <row r="4331" spans="1:12">
      <c r="A4331" s="20" t="s">
        <v>1035</v>
      </c>
      <c r="B4331" s="27" t="s">
        <v>744</v>
      </c>
      <c r="C4331" s="27" t="s">
        <v>679</v>
      </c>
      <c r="E4331" s="21">
        <f>IF(D4331="?OLD","!!!","")</f>
        <v/>
      </c>
      <c r="F4331" s="22" t="str">
        <f>IF(OR(E4331="",E4331="!!!"),"",IF(NOT(ISNA(VLOOKUP(E4331,E$1:E4330,1,FALSE()))),"OLD",IF(AND(E4331&lt;&gt;"",E4331&lt;&gt;"!!!"),"NEW","")))</f>
        <v> </v>
      </c>
      <c r="G4331" s="23" t="str">
        <f>IF(OR(E4331="",E4331="!!!"),"",IF(OR(J4331=0,AND(J4331=1,K4331=1),AND(J4331=1,I4331="SBJ"),AND(J4331=1,I4331=0)),"?IN_FOCUS",IF(J4331&lt;=2,"?ACTIVATED",IF(J4331&lt;&gt;"","?FAMILIAR",IF(F4331="NEW",IF(ISNA(VLOOKUP(E4331,#REF!,1,FALSE())),"?TYPE_IDENTIFIABLE","?REFERENTIAL"),"_")))))</f>
        <v> </v>
      </c>
      <c r="H4331" s="24" t="str">
        <f>IF(J4331&lt;&gt;1,"",IF(I4331="SBJ","CB","?"))</f>
        <v> </v>
      </c>
      <c r="I4331" s="25" t="str">
        <f>IF(OR(E4331="",E4331="!!!",F4331="NEW"),"",INDEX(B4330:B$2,-1+SUMPRODUCT(MAX(ROW(E4330:E$2)*(E4331=E4330:E$2)))))</f>
        <v> </v>
      </c>
      <c r="J4331" s="25" t="str">
        <f>IF(OR(E4331="",E4331="!!!",F4331="NEW"),"",COUNTBLANK(OFFSET(A$1,,,SUMPRODUCT(MAX(ROW(E$2:E4331)*(E4331=E$2:E4331)))))-COUNTBLANK(OFFSET(A$1,,,SUMPRODUCT(MAX(ROW(E$1:E4330)*(E2=E$1:E4330))))))</f>
        <v> </v>
      </c>
      <c r="K4331" s="25" t="str">
        <f>IF(OR(E4331="",E4331="!!!",F4331="NEW"),"",INDEX(J$1:J4330,SUMPRODUCT(MAX(ROW(E$1:E4330)*(E4331=E$1:E4330)))))</f>
        <v> </v>
      </c>
      <c r="L4331" s="26"/>
    </row>
    <row r="4332" spans="1:12">
      <c r="A4332" s="20" t="s">
        <v>732</v>
      </c>
      <c r="B4332" s="27" t="s">
        <v>1465</v>
      </c>
      <c r="E4332" s="21">
        <f>IF(D4332="?OLD","!!!","")</f>
        <v/>
      </c>
      <c r="F4332" s="22" t="str">
        <f>IF(OR(E4332="",E4332="!!!"),"",IF(NOT(ISNA(VLOOKUP(E4332,E$1:E4331,1,FALSE()))),"OLD",IF(AND(E4332&lt;&gt;"",E4332&lt;&gt;"!!!"),"NEW","")))</f>
        <v> </v>
      </c>
      <c r="G4332" s="23" t="str">
        <f>IF(OR(E4332="",E4332="!!!"),"",IF(OR(J4332=0,AND(J4332=1,K4332=1),AND(J4332=1,I4332="SBJ"),AND(J4332=1,I4332=0)),"?IN_FOCUS",IF(J4332&lt;=2,"?ACTIVATED",IF(J4332&lt;&gt;"","?FAMILIAR",IF(F4332="NEW",IF(ISNA(VLOOKUP(E4332,#REF!,1,FALSE())),"?TYPE_IDENTIFIABLE","?REFERENTIAL"),"_")))))</f>
        <v> </v>
      </c>
      <c r="H4332" s="24" t="str">
        <f>IF(J4332&lt;&gt;1,"",IF(I4332="SBJ","CB","?"))</f>
        <v> </v>
      </c>
      <c r="I4332" s="25" t="str">
        <f>IF(OR(E4332="",E4332="!!!",F4332="NEW"),"",INDEX(B4331:B$2,-1+SUMPRODUCT(MAX(ROW(E4331:E$2)*(E4332=E4331:E$2)))))</f>
        <v> </v>
      </c>
      <c r="J4332" s="25" t="str">
        <f>IF(OR(E4332="",E4332="!!!",F4332="NEW"),"",COUNTBLANK(OFFSET(A$1,,,SUMPRODUCT(MAX(ROW(E$2:E4332)*(E4332=E$2:E4332)))))-COUNTBLANK(OFFSET(A$1,,,SUMPRODUCT(MAX(ROW(E$1:E4331)*(E2=E$1:E4331))))))</f>
        <v> </v>
      </c>
      <c r="K4332" s="25" t="str">
        <f>IF(OR(E4332="",E4332="!!!",F4332="NEW"),"",INDEX(J$1:J4331,SUMPRODUCT(MAX(ROW(E$1:E4331)*(E4332=E$1:E4331)))))</f>
        <v> </v>
      </c>
      <c r="L4332" s="26"/>
    </row>
    <row r="4333" spans="1:12">
      <c r="A4333" s="20" t="s">
        <v>1037</v>
      </c>
      <c r="E4333" s="21">
        <f>IF(D4333="?OLD","!!!","")</f>
        <v/>
      </c>
      <c r="F4333" s="22" t="str">
        <f>IF(OR(E4333="",E4333="!!!"),"",IF(NOT(ISNA(VLOOKUP(E4333,E$1:E4332,1,FALSE()))),"OLD",IF(AND(E4333&lt;&gt;"",E4333&lt;&gt;"!!!"),"NEW","")))</f>
        <v> </v>
      </c>
      <c r="G4333" s="23" t="str">
        <f>IF(OR(E4333="",E4333="!!!"),"",IF(OR(J4333=0,AND(J4333=1,K4333=1),AND(J4333=1,I4333="SBJ"),AND(J4333=1,I4333=0)),"?IN_FOCUS",IF(J4333&lt;=2,"?ACTIVATED",IF(J4333&lt;&gt;"","?FAMILIAR",IF(F4333="NEW",IF(ISNA(VLOOKUP(E4333,#REF!,1,FALSE())),"?TYPE_IDENTIFIABLE","?REFERENTIAL"),"_")))))</f>
        <v> </v>
      </c>
      <c r="H4333" s="24" t="str">
        <f>IF(J4333&lt;&gt;1,"",IF(I4333="SBJ","CB","?"))</f>
        <v> </v>
      </c>
      <c r="I4333" s="25" t="str">
        <f>IF(OR(E4333="",E4333="!!!",F4333="NEW"),"",INDEX(B4332:B$2,-1+SUMPRODUCT(MAX(ROW(E4332:E$2)*(E4333=E4332:E$2)))))</f>
        <v> </v>
      </c>
      <c r="J4333" s="25" t="str">
        <f>IF(OR(E4333="",E4333="!!!",F4333="NEW"),"",COUNTBLANK(OFFSET(A$1,,,SUMPRODUCT(MAX(ROW(E$2:E4333)*(E4333=E$2:E4333)))))-COUNTBLANK(OFFSET(A$1,,,SUMPRODUCT(MAX(ROW(E$1:E4332)*(E2=E$1:E4332))))))</f>
        <v> </v>
      </c>
      <c r="K4333" s="25" t="str">
        <f>IF(OR(E4333="",E4333="!!!",F4333="NEW"),"",INDEX(J$1:J4332,SUMPRODUCT(MAX(ROW(E$1:E4332)*(E4333=E$1:E4332)))))</f>
        <v> </v>
      </c>
      <c r="L4333" s="26"/>
    </row>
    <row r="4334" spans="1:12">
      <c r="A4334" s="20" t="s">
        <v>1970</v>
      </c>
      <c r="E4334" s="21">
        <f>IF(D4334="?OLD","!!!","")</f>
        <v/>
      </c>
      <c r="F4334" s="22" t="str">
        <f>IF(OR(E4334="",E4334="!!!"),"",IF(NOT(ISNA(VLOOKUP(E4334,E$1:E4333,1,FALSE()))),"OLD",IF(AND(E4334&lt;&gt;"",E4334&lt;&gt;"!!!"),"NEW","")))</f>
        <v> </v>
      </c>
      <c r="G4334" s="23" t="str">
        <f>IF(OR(E4334="",E4334="!!!"),"",IF(OR(J4334=0,AND(J4334=1,K4334=1),AND(J4334=1,I4334="SBJ"),AND(J4334=1,I4334=0)),"?IN_FOCUS",IF(J4334&lt;=2,"?ACTIVATED",IF(J4334&lt;&gt;"","?FAMILIAR",IF(F4334="NEW",IF(ISNA(VLOOKUP(E4334,#REF!,1,FALSE())),"?TYPE_IDENTIFIABLE","?REFERENTIAL"),"_")))))</f>
        <v> </v>
      </c>
      <c r="H4334" s="24" t="str">
        <f>IF(J4334&lt;&gt;1,"",IF(I4334="SBJ","CB","?"))</f>
        <v> </v>
      </c>
      <c r="I4334" s="25" t="str">
        <f>IF(OR(E4334="",E4334="!!!",F4334="NEW"),"",INDEX(B4333:B$2,-1+SUMPRODUCT(MAX(ROW(E4333:E$2)*(E4334=E4333:E$2)))))</f>
        <v> </v>
      </c>
      <c r="J4334" s="25" t="str">
        <f>IF(OR(E4334="",E4334="!!!",F4334="NEW"),"",COUNTBLANK(OFFSET(A$1,,,SUMPRODUCT(MAX(ROW(E$2:E4334)*(E4334=E$2:E4334)))))-COUNTBLANK(OFFSET(A$1,,,SUMPRODUCT(MAX(ROW(E$1:E4333)*(E2=E$1:E4333))))))</f>
        <v> </v>
      </c>
      <c r="K4334" s="25" t="str">
        <f>IF(OR(E4334="",E4334="!!!",F4334="NEW"),"",INDEX(J$1:J4333,SUMPRODUCT(MAX(ROW(E$1:E4333)*(E4334=E$1:E4333)))))</f>
        <v> </v>
      </c>
      <c r="L4334" s="26"/>
    </row>
    <row r="4335" spans="1:12">
      <c r="A4335" s="20" t="s">
        <v>682</v>
      </c>
      <c r="E4335" s="21">
        <f>IF(D4335="?OLD","!!!","")</f>
        <v/>
      </c>
      <c r="F4335" s="22" t="str">
        <f>IF(OR(E4335="",E4335="!!!"),"",IF(NOT(ISNA(VLOOKUP(E4335,E$1:E4334,1,FALSE()))),"OLD",IF(AND(E4335&lt;&gt;"",E4335&lt;&gt;"!!!"),"NEW","")))</f>
        <v> </v>
      </c>
      <c r="G4335" s="23" t="str">
        <f>IF(OR(E4335="",E4335="!!!"),"",IF(OR(J4335=0,AND(J4335=1,K4335=1),AND(J4335=1,I4335="SBJ"),AND(J4335=1,I4335=0)),"?IN_FOCUS",IF(J4335&lt;=2,"?ACTIVATED",IF(J4335&lt;&gt;"","?FAMILIAR",IF(F4335="NEW",IF(ISNA(VLOOKUP(E4335,#REF!,1,FALSE())),"?TYPE_IDENTIFIABLE","?REFERENTIAL"),"_")))))</f>
        <v> </v>
      </c>
      <c r="H4335" s="24" t="str">
        <f>IF(J4335&lt;&gt;1,"",IF(I4335="SBJ","CB","?"))</f>
        <v> </v>
      </c>
      <c r="I4335" s="25" t="str">
        <f>IF(OR(E4335="",E4335="!!!",F4335="NEW"),"",INDEX(B4334:B$2,-1+SUMPRODUCT(MAX(ROW(E4334:E$2)*(E4335=E4334:E$2)))))</f>
        <v> </v>
      </c>
      <c r="J4335" s="25" t="str">
        <f>IF(OR(E4335="",E4335="!!!",F4335="NEW"),"",COUNTBLANK(OFFSET(A$1,,,SUMPRODUCT(MAX(ROW(E$2:E4335)*(E4335=E$2:E4335)))))-COUNTBLANK(OFFSET(A$1,,,SUMPRODUCT(MAX(ROW(E$1:E4334)*(E2=E$1:E4334))))))</f>
        <v> </v>
      </c>
      <c r="K4335" s="25" t="str">
        <f>IF(OR(E4335="",E4335="!!!",F4335="NEW"),"",INDEX(J$1:J4334,SUMPRODUCT(MAX(ROW(E$1:E4334)*(E4335=E$1:E4334)))))</f>
        <v> </v>
      </c>
      <c r="L4335" s="26"/>
    </row>
    <row r="4336" spans="1:12">
      <c r="A4336" s="20" t="s">
        <v>703</v>
      </c>
      <c r="E4336" s="21">
        <f>IF(D4336="?OLD","!!!","")</f>
        <v/>
      </c>
      <c r="F4336" s="22" t="str">
        <f>IF(OR(E4336="",E4336="!!!"),"",IF(NOT(ISNA(VLOOKUP(E4336,E$1:E4335,1,FALSE()))),"OLD",IF(AND(E4336&lt;&gt;"",E4336&lt;&gt;"!!!"),"NEW","")))</f>
        <v> </v>
      </c>
      <c r="G4336" s="23" t="str">
        <f>IF(OR(E4336="",E4336="!!!"),"",IF(OR(J4336=0,AND(J4336=1,K4336=1),AND(J4336=1,I4336="SBJ"),AND(J4336=1,I4336=0)),"?IN_FOCUS",IF(J4336&lt;=2,"?ACTIVATED",IF(J4336&lt;&gt;"","?FAMILIAR",IF(F4336="NEW",IF(ISNA(VLOOKUP(E4336,#REF!,1,FALSE())),"?TYPE_IDENTIFIABLE","?REFERENTIAL"),"_")))))</f>
        <v> </v>
      </c>
      <c r="H4336" s="24" t="str">
        <f>IF(J4336&lt;&gt;1,"",IF(I4336="SBJ","CB","?"))</f>
        <v> </v>
      </c>
      <c r="I4336" s="25" t="str">
        <f>IF(OR(E4336="",E4336="!!!",F4336="NEW"),"",INDEX(B4335:B$2,-1+SUMPRODUCT(MAX(ROW(E4335:E$2)*(E4336=E4335:E$2)))))</f>
        <v> </v>
      </c>
      <c r="J4336" s="25" t="str">
        <f>IF(OR(E4336="",E4336="!!!",F4336="NEW"),"",COUNTBLANK(OFFSET(A$1,,,SUMPRODUCT(MAX(ROW(E$2:E4336)*(E4336=E$2:E4336)))))-COUNTBLANK(OFFSET(A$1,,,SUMPRODUCT(MAX(ROW(E$1:E4335)*(E2=E$1:E4335))))))</f>
        <v> </v>
      </c>
      <c r="K4336" s="25" t="str">
        <f>IF(OR(E4336="",E4336="!!!",F4336="NEW"),"",INDEX(J$1:J4335,SUMPRODUCT(MAX(ROW(E$1:E4335)*(E4336=E$1:E4335)))))</f>
        <v> </v>
      </c>
      <c r="L4336" s="26"/>
    </row>
    <row r="4337" spans="1:12">
      <c r="A4337" s="20" t="s">
        <v>747</v>
      </c>
      <c r="B4337" s="27" t="s">
        <v>807</v>
      </c>
      <c r="C4337" s="27" t="s">
        <v>749</v>
      </c>
      <c r="D4337" s="27" t="s">
        <v>687</v>
      </c>
      <c r="E4337" s="21">
        <f>IF(D4337="?OLD","!!!","")</f>
        <v/>
      </c>
      <c r="F4337" s="22" t="str">
        <f>IF(OR(E4337="",E4337="!!!"),"",IF(NOT(ISNA(VLOOKUP(E4337,E$1:E4336,1,FALSE()))),"OLD",IF(AND(E4337&lt;&gt;"",E4337&lt;&gt;"!!!"),"NEW","")))</f>
        <v> </v>
      </c>
      <c r="G4337" s="23" t="str">
        <f>IF(OR(E4337="",E4337="!!!"),"",IF(OR(J4337=0,AND(J4337=1,K4337=1),AND(J4337=1,I4337="SBJ"),AND(J4337=1,I4337=0)),"?IN_FOCUS",IF(J4337&lt;=2,"?ACTIVATED",IF(J4337&lt;&gt;"","?FAMILIAR",IF(F4337="NEW",IF(ISNA(VLOOKUP(E4337,#REF!,1,FALSE())),"?TYPE_IDENTIFIABLE","?REFERENTIAL"),"_")))))</f>
        <v> </v>
      </c>
      <c r="H4337" s="24" t="str">
        <f>IF(J4337&lt;&gt;1,"",IF(I4337="SBJ","CB","?"))</f>
        <v> </v>
      </c>
      <c r="I4337" s="25" t="str">
        <f>IF(OR(E4337="",E4337="!!!",F4337="NEW"),"",INDEX(B4336:B$2,-1+SUMPRODUCT(MAX(ROW(E4336:E$2)*(E4337=E4336:E$2)))))</f>
        <v> </v>
      </c>
      <c r="J4337" s="25" t="str">
        <f>IF(OR(E4337="",E4337="!!!",F4337="NEW"),"",COUNTBLANK(OFFSET(A$1,,,SUMPRODUCT(MAX(ROW(E$2:E4337)*(E4337=E$2:E4337)))))-COUNTBLANK(OFFSET(A$1,,,SUMPRODUCT(MAX(ROW(E$1:E4336)*(E2=E$1:E4336))))))</f>
        <v> </v>
      </c>
      <c r="K4337" s="25" t="str">
        <f>IF(OR(E4337="",E4337="!!!",F4337="NEW"),"",INDEX(J$1:J4336,SUMPRODUCT(MAX(ROW(E$1:E4336)*(E4337=E$1:E4336)))))</f>
        <v> </v>
      </c>
      <c r="L4337" s="26"/>
    </row>
    <row r="4338" spans="1:12">
      <c r="A4338" s="20" t="s">
        <v>717</v>
      </c>
      <c r="E4338" s="21">
        <f>IF(D4338="?OLD","!!!","")</f>
        <v/>
      </c>
      <c r="F4338" s="22" t="str">
        <f>IF(OR(E4338="",E4338="!!!"),"",IF(NOT(ISNA(VLOOKUP(E4338,E$1:E4337,1,FALSE()))),"OLD",IF(AND(E4338&lt;&gt;"",E4338&lt;&gt;"!!!"),"NEW","")))</f>
        <v> </v>
      </c>
      <c r="G4338" s="23" t="str">
        <f>IF(OR(E4338="",E4338="!!!"),"",IF(OR(J4338=0,AND(J4338=1,K4338=1),AND(J4338=1,I4338="SBJ"),AND(J4338=1,I4338=0)),"?IN_FOCUS",IF(J4338&lt;=2,"?ACTIVATED",IF(J4338&lt;&gt;"","?FAMILIAR",IF(F4338="NEW",IF(ISNA(VLOOKUP(E4338,#REF!,1,FALSE())),"?TYPE_IDENTIFIABLE","?REFERENTIAL"),"_")))))</f>
        <v> </v>
      </c>
      <c r="H4338" s="24" t="str">
        <f>IF(J4338&lt;&gt;1,"",IF(I4338="SBJ","CB","?"))</f>
        <v> </v>
      </c>
      <c r="I4338" s="25" t="str">
        <f>IF(OR(E4338="",E4338="!!!",F4338="NEW"),"",INDEX(B4337:B$2,-1+SUMPRODUCT(MAX(ROW(E4337:E$2)*(E4338=E4337:E$2)))))</f>
        <v> </v>
      </c>
      <c r="J4338" s="25" t="str">
        <f>IF(OR(E4338="",E4338="!!!",F4338="NEW"),"",COUNTBLANK(OFFSET(A$1,,,SUMPRODUCT(MAX(ROW(E$2:E4338)*(E4338=E$2:E4338)))))-COUNTBLANK(OFFSET(A$1,,,SUMPRODUCT(MAX(ROW(E$1:E4337)*(E2=E$1:E4337))))))</f>
        <v> </v>
      </c>
      <c r="K4338" s="25" t="str">
        <f>IF(OR(E4338="",E4338="!!!",F4338="NEW"),"",INDEX(J$1:J4337,SUMPRODUCT(MAX(ROW(E$1:E4337)*(E4338=E$1:E4337)))))</f>
        <v> </v>
      </c>
      <c r="L4338" s="26"/>
    </row>
    <row r="4339" spans="1:12">
      <c r="A4339" s="20" t="s">
        <v>814</v>
      </c>
      <c r="E4339" s="21">
        <f>IF(D4339="?OLD","!!!","")</f>
        <v/>
      </c>
      <c r="F4339" s="22" t="str">
        <f>IF(OR(E4339="",E4339="!!!"),"",IF(NOT(ISNA(VLOOKUP(E4339,E$1:E4338,1,FALSE()))),"OLD",IF(AND(E4339&lt;&gt;"",E4339&lt;&gt;"!!!"),"NEW","")))</f>
        <v> </v>
      </c>
      <c r="G4339" s="23" t="str">
        <f>IF(OR(E4339="",E4339="!!!"),"",IF(OR(J4339=0,AND(J4339=1,K4339=1),AND(J4339=1,I4339="SBJ"),AND(J4339=1,I4339=0)),"?IN_FOCUS",IF(J4339&lt;=2,"?ACTIVATED",IF(J4339&lt;&gt;"","?FAMILIAR",IF(F4339="NEW",IF(ISNA(VLOOKUP(E4339,#REF!,1,FALSE())),"?TYPE_IDENTIFIABLE","?REFERENTIAL"),"_")))))</f>
        <v> </v>
      </c>
      <c r="H4339" s="24" t="str">
        <f>IF(J4339&lt;&gt;1,"",IF(I4339="SBJ","CB","?"))</f>
        <v> </v>
      </c>
      <c r="I4339" s="25" t="str">
        <f>IF(OR(E4339="",E4339="!!!",F4339="NEW"),"",INDEX(B4338:B$2,-1+SUMPRODUCT(MAX(ROW(E4338:E$2)*(E4339=E4338:E$2)))))</f>
        <v> </v>
      </c>
      <c r="J4339" s="25" t="str">
        <f>IF(OR(E4339="",E4339="!!!",F4339="NEW"),"",COUNTBLANK(OFFSET(A$1,,,SUMPRODUCT(MAX(ROW(E$2:E4339)*(E4339=E$2:E4339)))))-COUNTBLANK(OFFSET(A$1,,,SUMPRODUCT(MAX(ROW(E$1:E4338)*(E2=E$1:E4338))))))</f>
        <v> </v>
      </c>
      <c r="K4339" s="25" t="str">
        <f>IF(OR(E4339="",E4339="!!!",F4339="NEW"),"",INDEX(J$1:J4338,SUMPRODUCT(MAX(ROW(E$1:E4338)*(E4339=E$1:E4338)))))</f>
        <v> </v>
      </c>
      <c r="L4339" s="26"/>
    </row>
    <row r="4340" spans="1:12">
      <c r="A4340" s="20" t="s">
        <v>1971</v>
      </c>
      <c r="E4340" s="21">
        <f>IF(D4340="?OLD","!!!","")</f>
        <v/>
      </c>
      <c r="F4340" s="22" t="str">
        <f>IF(OR(E4340="",E4340="!!!"),"",IF(NOT(ISNA(VLOOKUP(E4340,E$1:E4339,1,FALSE()))),"OLD",IF(AND(E4340&lt;&gt;"",E4340&lt;&gt;"!!!"),"NEW","")))</f>
        <v> </v>
      </c>
      <c r="G4340" s="23" t="str">
        <f>IF(OR(E4340="",E4340="!!!"),"",IF(OR(J4340=0,AND(J4340=1,K4340=1),AND(J4340=1,I4340="SBJ"),AND(J4340=1,I4340=0)),"?IN_FOCUS",IF(J4340&lt;=2,"?ACTIVATED",IF(J4340&lt;&gt;"","?FAMILIAR",IF(F4340="NEW",IF(ISNA(VLOOKUP(E4340,#REF!,1,FALSE())),"?TYPE_IDENTIFIABLE","?REFERENTIAL"),"_")))))</f>
        <v> </v>
      </c>
      <c r="H4340" s="24" t="str">
        <f>IF(J4340&lt;&gt;1,"",IF(I4340="SBJ","CB","?"))</f>
        <v> </v>
      </c>
      <c r="I4340" s="25" t="str">
        <f>IF(OR(E4340="",E4340="!!!",F4340="NEW"),"",INDEX(B4339:B$2,-1+SUMPRODUCT(MAX(ROW(E4339:E$2)*(E4340=E4339:E$2)))))</f>
        <v> </v>
      </c>
      <c r="J4340" s="25" t="str">
        <f>IF(OR(E4340="",E4340="!!!",F4340="NEW"),"",COUNTBLANK(OFFSET(A$1,,,SUMPRODUCT(MAX(ROW(E$2:E4340)*(E4340=E$2:E4340)))))-COUNTBLANK(OFFSET(A$1,,,SUMPRODUCT(MAX(ROW(E$1:E4339)*(E2=E$1:E4339))))))</f>
        <v> </v>
      </c>
      <c r="K4340" s="25" t="str">
        <f>IF(OR(E4340="",E4340="!!!",F4340="NEW"),"",INDEX(J$1:J4339,SUMPRODUCT(MAX(ROW(E$1:E4339)*(E4340=E$1:E4339)))))</f>
        <v> </v>
      </c>
      <c r="L4340" s="26"/>
    </row>
    <row r="4341" spans="1:12">
      <c r="A4341" s="20" t="s">
        <v>830</v>
      </c>
      <c r="B4341" s="27" t="s">
        <v>821</v>
      </c>
      <c r="C4341" s="27" t="s">
        <v>749</v>
      </c>
      <c r="D4341" s="27" t="s">
        <v>687</v>
      </c>
      <c r="E4341" s="21">
        <f>IF(D4341="?OLD","!!!","")</f>
        <v/>
      </c>
      <c r="F4341" s="22" t="str">
        <f>IF(OR(E4341="",E4341="!!!"),"",IF(NOT(ISNA(VLOOKUP(E4341,E$1:E4340,1,FALSE()))),"OLD",IF(AND(E4341&lt;&gt;"",E4341&lt;&gt;"!!!"),"NEW","")))</f>
        <v> </v>
      </c>
      <c r="G4341" s="23" t="str">
        <f>IF(OR(E4341="",E4341="!!!"),"",IF(OR(J4341=0,AND(J4341=1,K4341=1),AND(J4341=1,I4341="SBJ"),AND(J4341=1,I4341=0)),"?IN_FOCUS",IF(J4341&lt;=2,"?ACTIVATED",IF(J4341&lt;&gt;"","?FAMILIAR",IF(F4341="NEW",IF(ISNA(VLOOKUP(E4341,#REF!,1,FALSE())),"?TYPE_IDENTIFIABLE","?REFERENTIAL"),"_")))))</f>
        <v> </v>
      </c>
      <c r="H4341" s="24" t="str">
        <f>IF(J4341&lt;&gt;1,"",IF(I4341="SBJ","CB","?"))</f>
        <v> </v>
      </c>
      <c r="I4341" s="25" t="str">
        <f>IF(OR(E4341="",E4341="!!!",F4341="NEW"),"",INDEX(B4340:B$2,-1+SUMPRODUCT(MAX(ROW(E4340:E$2)*(E4341=E4340:E$2)))))</f>
        <v> </v>
      </c>
      <c r="J4341" s="25" t="str">
        <f>IF(OR(E4341="",E4341="!!!",F4341="NEW"),"",COUNTBLANK(OFFSET(A$1,,,SUMPRODUCT(MAX(ROW(E$2:E4341)*(E4341=E$2:E4341)))))-COUNTBLANK(OFFSET(A$1,,,SUMPRODUCT(MAX(ROW(E$1:E4340)*(E2=E$1:E4340))))))</f>
        <v> </v>
      </c>
      <c r="K4341" s="25" t="str">
        <f>IF(OR(E4341="",E4341="!!!",F4341="NEW"),"",INDEX(J$1:J4340,SUMPRODUCT(MAX(ROW(E$1:E4340)*(E4341=E$1:E4340)))))</f>
        <v> </v>
      </c>
      <c r="L4341" s="26"/>
    </row>
    <row r="4342" spans="1:12">
      <c r="A4342" s="20" t="s">
        <v>683</v>
      </c>
      <c r="E4342" s="21">
        <f>IF(D4342="?OLD","!!!","")</f>
        <v/>
      </c>
      <c r="F4342" s="22" t="str">
        <f>IF(OR(E4342="",E4342="!!!"),"",IF(NOT(ISNA(VLOOKUP(E4342,E$1:E4341,1,FALSE()))),"OLD",IF(AND(E4342&lt;&gt;"",E4342&lt;&gt;"!!!"),"NEW","")))</f>
        <v> </v>
      </c>
      <c r="G4342" s="23" t="str">
        <f>IF(OR(E4342="",E4342="!!!"),"",IF(OR(J4342=0,AND(J4342=1,K4342=1),AND(J4342=1,I4342="SBJ"),AND(J4342=1,I4342=0)),"?IN_FOCUS",IF(J4342&lt;=2,"?ACTIVATED",IF(J4342&lt;&gt;"","?FAMILIAR",IF(F4342="NEW",IF(ISNA(VLOOKUP(E4342,#REF!,1,FALSE())),"?TYPE_IDENTIFIABLE","?REFERENTIAL"),"_")))))</f>
        <v> </v>
      </c>
      <c r="H4342" s="24" t="str">
        <f>IF(J4342&lt;&gt;1,"",IF(I4342="SBJ","CB","?"))</f>
        <v> </v>
      </c>
      <c r="I4342" s="25" t="str">
        <f>IF(OR(E4342="",E4342="!!!",F4342="NEW"),"",INDEX(B4341:B$2,-1+SUMPRODUCT(MAX(ROW(E4341:E$2)*(E4342=E4341:E$2)))))</f>
        <v> </v>
      </c>
      <c r="J4342" s="25" t="str">
        <f>IF(OR(E4342="",E4342="!!!",F4342="NEW"),"",COUNTBLANK(OFFSET(A$1,,,SUMPRODUCT(MAX(ROW(E$2:E4342)*(E4342=E$2:E4342)))))-COUNTBLANK(OFFSET(A$1,,,SUMPRODUCT(MAX(ROW(E$1:E4341)*(E2=E$1:E4341))))))</f>
        <v> </v>
      </c>
      <c r="K4342" s="25" t="str">
        <f>IF(OR(E4342="",E4342="!!!",F4342="NEW"),"",INDEX(J$1:J4341,SUMPRODUCT(MAX(ROW(E$1:E4341)*(E4342=E$1:E4341)))))</f>
        <v> </v>
      </c>
      <c r="L4342" s="26"/>
    </row>
    <row r="4343" spans="1:12">
      <c r="A4343" s="20" t="s">
        <v>1246</v>
      </c>
      <c r="E4343" s="21">
        <f>IF(D4343="?OLD","!!!","")</f>
        <v/>
      </c>
      <c r="F4343" s="22" t="str">
        <f>IF(OR(E4343="",E4343="!!!"),"",IF(NOT(ISNA(VLOOKUP(E4343,E$1:E4342,1,FALSE()))),"OLD",IF(AND(E4343&lt;&gt;"",E4343&lt;&gt;"!!!"),"NEW","")))</f>
        <v> </v>
      </c>
      <c r="G4343" s="23" t="str">
        <f>IF(OR(E4343="",E4343="!!!"),"",IF(OR(J4343=0,AND(J4343=1,K4343=1),AND(J4343=1,I4343="SBJ"),AND(J4343=1,I4343=0)),"?IN_FOCUS",IF(J4343&lt;=2,"?ACTIVATED",IF(J4343&lt;&gt;"","?FAMILIAR",IF(F4343="NEW",IF(ISNA(VLOOKUP(E4343,#REF!,1,FALSE())),"?TYPE_IDENTIFIABLE","?REFERENTIAL"),"_")))))</f>
        <v> </v>
      </c>
      <c r="H4343" s="24" t="str">
        <f>IF(J4343&lt;&gt;1,"",IF(I4343="SBJ","CB","?"))</f>
        <v> </v>
      </c>
      <c r="I4343" s="25" t="str">
        <f>IF(OR(E4343="",E4343="!!!",F4343="NEW"),"",INDEX(B4342:B$2,-1+SUMPRODUCT(MAX(ROW(E4342:E$2)*(E4343=E4342:E$2)))))</f>
        <v> </v>
      </c>
      <c r="J4343" s="25" t="str">
        <f>IF(OR(E4343="",E4343="!!!",F4343="NEW"),"",COUNTBLANK(OFFSET(A$1,,,SUMPRODUCT(MAX(ROW(E$2:E4343)*(E4343=E$2:E4343)))))-COUNTBLANK(OFFSET(A$1,,,SUMPRODUCT(MAX(ROW(E$1:E4342)*(E2=E$1:E4342))))))</f>
        <v> </v>
      </c>
      <c r="K4343" s="25" t="str">
        <f>IF(OR(E4343="",E4343="!!!",F4343="NEW"),"",INDEX(J$1:J4342,SUMPRODUCT(MAX(ROW(E$1:E4342)*(E4343=E$1:E4342)))))</f>
        <v> </v>
      </c>
      <c r="L4343" s="26"/>
    </row>
    <row r="4344" spans="1:12">
      <c r="A4344" s="20" t="s">
        <v>1141</v>
      </c>
      <c r="B4344" s="27" t="s">
        <v>812</v>
      </c>
      <c r="C4344" s="27" t="s">
        <v>899</v>
      </c>
      <c r="D4344" s="27" t="s">
        <v>687</v>
      </c>
      <c r="E4344" s="21">
        <f>IF(D4344="?OLD","!!!","")</f>
        <v/>
      </c>
      <c r="F4344" s="22" t="str">
        <f>IF(OR(E4344="",E4344="!!!"),"",IF(NOT(ISNA(VLOOKUP(E4344,E$1:E4343,1,FALSE()))),"OLD",IF(AND(E4344&lt;&gt;"",E4344&lt;&gt;"!!!"),"NEW","")))</f>
        <v> </v>
      </c>
      <c r="G4344" s="23" t="str">
        <f>IF(OR(E4344="",E4344="!!!"),"",IF(OR(J4344=0,AND(J4344=1,K4344=1),AND(J4344=1,I4344="SBJ"),AND(J4344=1,I4344=0)),"?IN_FOCUS",IF(J4344&lt;=2,"?ACTIVATED",IF(J4344&lt;&gt;"","?FAMILIAR",IF(F4344="NEW",IF(ISNA(VLOOKUP(E4344,#REF!,1,FALSE())),"?TYPE_IDENTIFIABLE","?REFERENTIAL"),"_")))))</f>
        <v> </v>
      </c>
      <c r="H4344" s="24" t="str">
        <f>IF(J4344&lt;&gt;1,"",IF(I4344="SBJ","CB","?"))</f>
        <v> </v>
      </c>
      <c r="I4344" s="25" t="str">
        <f>IF(OR(E4344="",E4344="!!!",F4344="NEW"),"",INDEX(B4343:B$2,-1+SUMPRODUCT(MAX(ROW(E4343:E$2)*(E4344=E4343:E$2)))))</f>
        <v> </v>
      </c>
      <c r="J4344" s="25" t="str">
        <f>IF(OR(E4344="",E4344="!!!",F4344="NEW"),"",COUNTBLANK(OFFSET(A$1,,,SUMPRODUCT(MAX(ROW(E$2:E4344)*(E4344=E$2:E4344)))))-COUNTBLANK(OFFSET(A$1,,,SUMPRODUCT(MAX(ROW(E$1:E4343)*(E2=E$1:E4343))))))</f>
        <v> </v>
      </c>
      <c r="K4344" s="25" t="str">
        <f>IF(OR(E4344="",E4344="!!!",F4344="NEW"),"",INDEX(J$1:J4343,SUMPRODUCT(MAX(ROW(E$1:E4343)*(E4344=E$1:E4343)))))</f>
        <v> </v>
      </c>
      <c r="L4344" s="26"/>
    </row>
    <row r="4345" spans="1:12">
      <c r="A4345" s="20" t="s">
        <v>698</v>
      </c>
      <c r="E4345" s="21">
        <f>IF(D4345="?OLD","!!!","")</f>
        <v/>
      </c>
      <c r="F4345" s="22" t="str">
        <f>IF(OR(E4345="",E4345="!!!"),"",IF(NOT(ISNA(VLOOKUP(E4345,E$1:E4344,1,FALSE()))),"OLD",IF(AND(E4345&lt;&gt;"",E4345&lt;&gt;"!!!"),"NEW","")))</f>
        <v> </v>
      </c>
      <c r="G4345" s="23" t="str">
        <f>IF(OR(E4345="",E4345="!!!"),"",IF(OR(J4345=0,AND(J4345=1,K4345=1),AND(J4345=1,I4345="SBJ"),AND(J4345=1,I4345=0)),"?IN_FOCUS",IF(J4345&lt;=2,"?ACTIVATED",IF(J4345&lt;&gt;"","?FAMILIAR",IF(F4345="NEW",IF(ISNA(VLOOKUP(E4345,#REF!,1,FALSE())),"?TYPE_IDENTIFIABLE","?REFERENTIAL"),"_")))))</f>
        <v> </v>
      </c>
      <c r="H4345" s="24" t="str">
        <f>IF(J4345&lt;&gt;1,"",IF(I4345="SBJ","CB","?"))</f>
        <v> </v>
      </c>
      <c r="I4345" s="25" t="str">
        <f>IF(OR(E4345="",E4345="!!!",F4345="NEW"),"",INDEX(B4344:B$2,-1+SUMPRODUCT(MAX(ROW(E4344:E$2)*(E4345=E4344:E$2)))))</f>
        <v> </v>
      </c>
      <c r="J4345" s="25" t="str">
        <f>IF(OR(E4345="",E4345="!!!",F4345="NEW"),"",COUNTBLANK(OFFSET(A$1,,,SUMPRODUCT(MAX(ROW(E$2:E4345)*(E4345=E$2:E4345)))))-COUNTBLANK(OFFSET(A$1,,,SUMPRODUCT(MAX(ROW(E$1:E4344)*(E2=E$1:E4344))))))</f>
        <v> </v>
      </c>
      <c r="K4345" s="25" t="str">
        <f>IF(OR(E4345="",E4345="!!!",F4345="NEW"),"",INDEX(J$1:J4344,SUMPRODUCT(MAX(ROW(E$1:E4344)*(E4345=E$1:E4344)))))</f>
        <v> </v>
      </c>
      <c r="L4345" s="26"/>
    </row>
    <row r="4346" spans="1:12">
      <c r="A4346" s="20"/>
    </row>
    <row r="4347" spans="1:12">
      <c r="A4347" s="20" t="s">
        <v>1972</v>
      </c>
    </row>
    <row r="4348" spans="1:12">
      <c r="A4348" s="20" t="s">
        <v>1973</v>
      </c>
      <c r="E4348" s="21">
        <f>IF(D4348="?OLD","!!!","")</f>
        <v/>
      </c>
      <c r="F4348" s="22" t="str">
        <f>IF(OR(E4348="",E4348="!!!"),"",IF(NOT(ISNA(VLOOKUP(E4348,E$1:E4347,1,FALSE()))),"OLD",IF(AND(E4348&lt;&gt;"",E4348&lt;&gt;"!!!"),"NEW","")))</f>
        <v> </v>
      </c>
      <c r="G4348" s="23" t="str">
        <f>IF(OR(E4348="",E4348="!!!"),"",IF(OR(J4348=0,AND(J4348=1,K4348=1),AND(J4348=1,I4348="SBJ"),AND(J4348=1,I4348=0)),"?IN_FOCUS",IF(J4348&lt;=2,"?ACTIVATED",IF(J4348&lt;&gt;"","?FAMILIAR",IF(F4348="NEW",IF(ISNA(VLOOKUP(E4348,#REF!,1,FALSE())),"?TYPE_IDENTIFIABLE","?REFERENTIAL"),"_")))))</f>
        <v> </v>
      </c>
      <c r="H4348" s="24" t="str">
        <f>IF(J4348&lt;&gt;1,"",IF(I4348="SBJ","CB","?"))</f>
        <v> </v>
      </c>
      <c r="I4348" s="25" t="str">
        <f>IF(OR(E4348="",E4348="!!!",F4348="NEW"),"",INDEX(B4347:B$2,-1+SUMPRODUCT(MAX(ROW(E4347:E$2)*(E4348=E4347:E$2)))))</f>
        <v> </v>
      </c>
      <c r="J4348" s="25" t="str">
        <f>IF(OR(E4348="",E4348="!!!",F4348="NEW"),"",COUNTBLANK(OFFSET(A$1,,,SUMPRODUCT(MAX(ROW(E$2:E4348)*(E4348=E$2:E4348)))))-COUNTBLANK(OFFSET(A$1,,,SUMPRODUCT(MAX(ROW(E$1:E4347)*(E2=E$1:E4347))))))</f>
        <v> </v>
      </c>
      <c r="K4348" s="25" t="str">
        <f>IF(OR(E4348="",E4348="!!!",F4348="NEW"),"",INDEX(J$1:J4347,SUMPRODUCT(MAX(ROW(E$1:E4347)*(E4348=E$1:E4347)))))</f>
        <v> </v>
      </c>
      <c r="L4348" s="26"/>
    </row>
    <row r="4349" spans="1:12">
      <c r="A4349" s="20" t="s">
        <v>306</v>
      </c>
      <c r="B4349" s="27" t="s">
        <v>685</v>
      </c>
      <c r="C4349" s="27" t="s">
        <v>731</v>
      </c>
      <c r="D4349" s="27" t="s">
        <v>687</v>
      </c>
      <c r="E4349" s="21">
        <f>IF(D4349="?OLD","!!!","")</f>
        <v/>
      </c>
      <c r="F4349" s="22" t="str">
        <f>IF(OR(E4349="",E4349="!!!"),"",IF(NOT(ISNA(VLOOKUP(E4349,E$1:E4348,1,FALSE()))),"OLD",IF(AND(E4349&lt;&gt;"",E4349&lt;&gt;"!!!"),"NEW","")))</f>
        <v> </v>
      </c>
      <c r="G4349" s="23" t="str">
        <f>IF(OR(E4349="",E4349="!!!"),"",IF(OR(J4349=0,AND(J4349=1,K4349=1),AND(J4349=1,I4349="SBJ"),AND(J4349=1,I4349=0)),"?IN_FOCUS",IF(J4349&lt;=2,"?ACTIVATED",IF(J4349&lt;&gt;"","?FAMILIAR",IF(F4349="NEW",IF(ISNA(VLOOKUP(E4349,#REF!,1,FALSE())),"?TYPE_IDENTIFIABLE","?REFERENTIAL"),"_")))))</f>
        <v> </v>
      </c>
      <c r="H4349" s="24" t="str">
        <f>IF(J4349&lt;&gt;1,"",IF(I4349="SBJ","CB","?"))</f>
        <v> </v>
      </c>
      <c r="I4349" s="25" t="str">
        <f>IF(OR(E4349="",E4349="!!!",F4349="NEW"),"",INDEX(B4348:B$2,-1+SUMPRODUCT(MAX(ROW(E4348:E$2)*(E4349=E4348:E$2)))))</f>
        <v> </v>
      </c>
      <c r="J4349" s="25" t="str">
        <f>IF(OR(E4349="",E4349="!!!",F4349="NEW"),"",COUNTBLANK(OFFSET(A$1,,,SUMPRODUCT(MAX(ROW(E$2:E4349)*(E4349=E$2:E4349)))))-COUNTBLANK(OFFSET(A$1,,,SUMPRODUCT(MAX(ROW(E$1:E4348)*(E2=E$1:E4348))))))</f>
        <v> </v>
      </c>
      <c r="K4349" s="25" t="str">
        <f>IF(OR(E4349="",E4349="!!!",F4349="NEW"),"",INDEX(J$1:J4348,SUMPRODUCT(MAX(ROW(E$1:E4348)*(E4349=E$1:E4348)))))</f>
        <v> </v>
      </c>
      <c r="L4349" s="26"/>
    </row>
    <row r="4350" spans="1:12">
      <c r="A4350" s="20" t="s">
        <v>732</v>
      </c>
      <c r="B4350" s="27" t="s">
        <v>807</v>
      </c>
      <c r="E4350" s="21">
        <f>IF(D4350="?OLD","!!!","")</f>
        <v/>
      </c>
      <c r="F4350" s="22" t="str">
        <f>IF(OR(E4350="",E4350="!!!"),"",IF(NOT(ISNA(VLOOKUP(E4350,E$1:E4349,1,FALSE()))),"OLD",IF(AND(E4350&lt;&gt;"",E4350&lt;&gt;"!!!"),"NEW","")))</f>
        <v> </v>
      </c>
      <c r="G4350" s="23" t="str">
        <f>IF(OR(E4350="",E4350="!!!"),"",IF(OR(J4350=0,AND(J4350=1,K4350=1),AND(J4350=1,I4350="SBJ"),AND(J4350=1,I4350=0)),"?IN_FOCUS",IF(J4350&lt;=2,"?ACTIVATED",IF(J4350&lt;&gt;"","?FAMILIAR",IF(F4350="NEW",IF(ISNA(VLOOKUP(E4350,#REF!,1,FALSE())),"?TYPE_IDENTIFIABLE","?REFERENTIAL"),"_")))))</f>
        <v> </v>
      </c>
      <c r="H4350" s="24" t="str">
        <f>IF(J4350&lt;&gt;1,"",IF(I4350="SBJ","CB","?"))</f>
        <v> </v>
      </c>
      <c r="I4350" s="25" t="str">
        <f>IF(OR(E4350="",E4350="!!!",F4350="NEW"),"",INDEX(B4349:B$2,-1+SUMPRODUCT(MAX(ROW(E4349:E$2)*(E4350=E4349:E$2)))))</f>
        <v> </v>
      </c>
      <c r="J4350" s="25" t="str">
        <f>IF(OR(E4350="",E4350="!!!",F4350="NEW"),"",COUNTBLANK(OFFSET(A$1,,,SUMPRODUCT(MAX(ROW(E$2:E4350)*(E4350=E$2:E4350)))))-COUNTBLANK(OFFSET(A$1,,,SUMPRODUCT(MAX(ROW(E$1:E4349)*(E2=E$1:E4349))))))</f>
        <v> </v>
      </c>
      <c r="K4350" s="25" t="str">
        <f>IF(OR(E4350="",E4350="!!!",F4350="NEW"),"",INDEX(J$1:J4349,SUMPRODUCT(MAX(ROW(E$1:E4349)*(E4350=E$1:E4349)))))</f>
        <v> </v>
      </c>
      <c r="L4350" s="26"/>
    </row>
    <row r="4351" spans="1:12">
      <c r="A4351" s="20" t="s">
        <v>1010</v>
      </c>
      <c r="E4351" s="21">
        <f>IF(D4351="?OLD","!!!","")</f>
        <v/>
      </c>
      <c r="F4351" s="22" t="str">
        <f>IF(OR(E4351="",E4351="!!!"),"",IF(NOT(ISNA(VLOOKUP(E4351,E$1:E4350,1,FALSE()))),"OLD",IF(AND(E4351&lt;&gt;"",E4351&lt;&gt;"!!!"),"NEW","")))</f>
        <v> </v>
      </c>
      <c r="G4351" s="23" t="str">
        <f>IF(OR(E4351="",E4351="!!!"),"",IF(OR(J4351=0,AND(J4351=1,K4351=1),AND(J4351=1,I4351="SBJ"),AND(J4351=1,I4351=0)),"?IN_FOCUS",IF(J4351&lt;=2,"?ACTIVATED",IF(J4351&lt;&gt;"","?FAMILIAR",IF(F4351="NEW",IF(ISNA(VLOOKUP(E4351,#REF!,1,FALSE())),"?TYPE_IDENTIFIABLE","?REFERENTIAL"),"_")))))</f>
        <v> </v>
      </c>
      <c r="H4351" s="24" t="str">
        <f>IF(J4351&lt;&gt;1,"",IF(I4351="SBJ","CB","?"))</f>
        <v> </v>
      </c>
      <c r="I4351" s="25" t="str">
        <f>IF(OR(E4351="",E4351="!!!",F4351="NEW"),"",INDEX(B4350:B$2,-1+SUMPRODUCT(MAX(ROW(E4350:E$2)*(E4351=E4350:E$2)))))</f>
        <v> </v>
      </c>
      <c r="J4351" s="25" t="str">
        <f>IF(OR(E4351="",E4351="!!!",F4351="NEW"),"",COUNTBLANK(OFFSET(A$1,,,SUMPRODUCT(MAX(ROW(E$2:E4351)*(E4351=E$2:E4351)))))-COUNTBLANK(OFFSET(A$1,,,SUMPRODUCT(MAX(ROW(E$1:E4350)*(E2=E$1:E4350))))))</f>
        <v> </v>
      </c>
      <c r="K4351" s="25" t="str">
        <f>IF(OR(E4351="",E4351="!!!",F4351="NEW"),"",INDEX(J$1:J4350,SUMPRODUCT(MAX(ROW(E$1:E4350)*(E4351=E$1:E4350)))))</f>
        <v> </v>
      </c>
      <c r="L4351" s="26"/>
    </row>
    <row r="4352" spans="1:12">
      <c r="A4352" s="20" t="s">
        <v>683</v>
      </c>
      <c r="E4352" s="21">
        <f>IF(D4352="?OLD","!!!","")</f>
        <v/>
      </c>
      <c r="F4352" s="22" t="str">
        <f>IF(OR(E4352="",E4352="!!!"),"",IF(NOT(ISNA(VLOOKUP(E4352,E$1:E4351,1,FALSE()))),"OLD",IF(AND(E4352&lt;&gt;"",E4352&lt;&gt;"!!!"),"NEW","")))</f>
        <v> </v>
      </c>
      <c r="G4352" s="23" t="str">
        <f>IF(OR(E4352="",E4352="!!!"),"",IF(OR(J4352=0,AND(J4352=1,K4352=1),AND(J4352=1,I4352="SBJ"),AND(J4352=1,I4352=0)),"?IN_FOCUS",IF(J4352&lt;=2,"?ACTIVATED",IF(J4352&lt;&gt;"","?FAMILIAR",IF(F4352="NEW",IF(ISNA(VLOOKUP(E4352,#REF!,1,FALSE())),"?TYPE_IDENTIFIABLE","?REFERENTIAL"),"_")))))</f>
        <v> </v>
      </c>
      <c r="H4352" s="24" t="str">
        <f>IF(J4352&lt;&gt;1,"",IF(I4352="SBJ","CB","?"))</f>
        <v> </v>
      </c>
      <c r="I4352" s="25" t="str">
        <f>IF(OR(E4352="",E4352="!!!",F4352="NEW"),"",INDEX(B4351:B$2,-1+SUMPRODUCT(MAX(ROW(E4351:E$2)*(E4352=E4351:E$2)))))</f>
        <v> </v>
      </c>
      <c r="J4352" s="25" t="str">
        <f>IF(OR(E4352="",E4352="!!!",F4352="NEW"),"",COUNTBLANK(OFFSET(A$1,,,SUMPRODUCT(MAX(ROW(E$2:E4352)*(E4352=E$2:E4352)))))-COUNTBLANK(OFFSET(A$1,,,SUMPRODUCT(MAX(ROW(E$1:E4351)*(E2=E$1:E4351))))))</f>
        <v> </v>
      </c>
      <c r="K4352" s="25" t="str">
        <f>IF(OR(E4352="",E4352="!!!",F4352="NEW"),"",INDEX(J$1:J4351,SUMPRODUCT(MAX(ROW(E$1:E4351)*(E4352=E$1:E4351)))))</f>
        <v> </v>
      </c>
      <c r="L4352" s="26"/>
    </row>
    <row r="4353" spans="1:12">
      <c r="A4353" s="20" t="s">
        <v>1974</v>
      </c>
      <c r="E4353" s="21">
        <f>IF(D4353="?OLD","!!!","")</f>
        <v/>
      </c>
      <c r="F4353" s="22" t="str">
        <f>IF(OR(E4353="",E4353="!!!"),"",IF(NOT(ISNA(VLOOKUP(E4353,E$1:E4352,1,FALSE()))),"OLD",IF(AND(E4353&lt;&gt;"",E4353&lt;&gt;"!!!"),"NEW","")))</f>
        <v> </v>
      </c>
      <c r="G4353" s="23" t="str">
        <f>IF(OR(E4353="",E4353="!!!"),"",IF(OR(J4353=0,AND(J4353=1,K4353=1),AND(J4353=1,I4353="SBJ"),AND(J4353=1,I4353=0)),"?IN_FOCUS",IF(J4353&lt;=2,"?ACTIVATED",IF(J4353&lt;&gt;"","?FAMILIAR",IF(F4353="NEW",IF(ISNA(VLOOKUP(E4353,#REF!,1,FALSE())),"?TYPE_IDENTIFIABLE","?REFERENTIAL"),"_")))))</f>
        <v> </v>
      </c>
      <c r="H4353" s="24" t="str">
        <f>IF(J4353&lt;&gt;1,"",IF(I4353="SBJ","CB","?"))</f>
        <v> </v>
      </c>
      <c r="I4353" s="25" t="str">
        <f>IF(OR(E4353="",E4353="!!!",F4353="NEW"),"",INDEX(B4352:B$2,-1+SUMPRODUCT(MAX(ROW(E4352:E$2)*(E4353=E4352:E$2)))))</f>
        <v> </v>
      </c>
      <c r="J4353" s="25" t="str">
        <f>IF(OR(E4353="",E4353="!!!",F4353="NEW"),"",COUNTBLANK(OFFSET(A$1,,,SUMPRODUCT(MAX(ROW(E$2:E4353)*(E4353=E$2:E4353)))))-COUNTBLANK(OFFSET(A$1,,,SUMPRODUCT(MAX(ROW(E$1:E4352)*(E2=E$1:E4352))))))</f>
        <v> </v>
      </c>
      <c r="K4353" s="25" t="str">
        <f>IF(OR(E4353="",E4353="!!!",F4353="NEW"),"",INDEX(J$1:J4352,SUMPRODUCT(MAX(ROW(E$1:E4352)*(E4353=E$1:E4352)))))</f>
        <v> </v>
      </c>
      <c r="L4353" s="26"/>
    </row>
    <row r="4354" spans="1:12">
      <c r="A4354" s="20" t="s">
        <v>833</v>
      </c>
      <c r="E4354" s="21">
        <f>IF(D4354="?OLD","!!!","")</f>
        <v/>
      </c>
      <c r="F4354" s="22" t="str">
        <f>IF(OR(E4354="",E4354="!!!"),"",IF(NOT(ISNA(VLOOKUP(E4354,E$1:E4353,1,FALSE()))),"OLD",IF(AND(E4354&lt;&gt;"",E4354&lt;&gt;"!!!"),"NEW","")))</f>
        <v> </v>
      </c>
      <c r="G4354" s="23" t="str">
        <f>IF(OR(E4354="",E4354="!!!"),"",IF(OR(J4354=0,AND(J4354=1,K4354=1),AND(J4354=1,I4354="SBJ"),AND(J4354=1,I4354=0)),"?IN_FOCUS",IF(J4354&lt;=2,"?ACTIVATED",IF(J4354&lt;&gt;"","?FAMILIAR",IF(F4354="NEW",IF(ISNA(VLOOKUP(E4354,#REF!,1,FALSE())),"?TYPE_IDENTIFIABLE","?REFERENTIAL"),"_")))))</f>
        <v> </v>
      </c>
      <c r="H4354" s="24" t="str">
        <f>IF(J4354&lt;&gt;1,"",IF(I4354="SBJ","CB","?"))</f>
        <v> </v>
      </c>
      <c r="I4354" s="25" t="str">
        <f>IF(OR(E4354="",E4354="!!!",F4354="NEW"),"",INDEX(B4353:B$2,-1+SUMPRODUCT(MAX(ROW(E4353:E$2)*(E4354=E4353:E$2)))))</f>
        <v> </v>
      </c>
      <c r="J4354" s="25" t="str">
        <f>IF(OR(E4354="",E4354="!!!",F4354="NEW"),"",COUNTBLANK(OFFSET(A$1,,,SUMPRODUCT(MAX(ROW(E$2:E4354)*(E4354=E$2:E4354)))))-COUNTBLANK(OFFSET(A$1,,,SUMPRODUCT(MAX(ROW(E$1:E4353)*(E2=E$1:E4353))))))</f>
        <v> </v>
      </c>
      <c r="K4354" s="25" t="str">
        <f>IF(OR(E4354="",E4354="!!!",F4354="NEW"),"",INDEX(J$1:J4353,SUMPRODUCT(MAX(ROW(E$1:E4353)*(E4354=E$1:E4353)))))</f>
        <v> </v>
      </c>
      <c r="L4354" s="26"/>
    </row>
    <row r="4355" spans="1:12">
      <c r="A4355" s="20" t="s">
        <v>733</v>
      </c>
      <c r="E4355" s="21">
        <f>IF(D4355="?OLD","!!!","")</f>
        <v/>
      </c>
      <c r="F4355" s="22" t="str">
        <f>IF(OR(E4355="",E4355="!!!"),"",IF(NOT(ISNA(VLOOKUP(E4355,E$1:E4354,1,FALSE()))),"OLD",IF(AND(E4355&lt;&gt;"",E4355&lt;&gt;"!!!"),"NEW","")))</f>
        <v> </v>
      </c>
      <c r="G4355" s="23" t="str">
        <f>IF(OR(E4355="",E4355="!!!"),"",IF(OR(J4355=0,AND(J4355=1,K4355=1),AND(J4355=1,I4355="SBJ"),AND(J4355=1,I4355=0)),"?IN_FOCUS",IF(J4355&lt;=2,"?ACTIVATED",IF(J4355&lt;&gt;"","?FAMILIAR",IF(F4355="NEW",IF(ISNA(VLOOKUP(E4355,#REF!,1,FALSE())),"?TYPE_IDENTIFIABLE","?REFERENTIAL"),"_")))))</f>
        <v> </v>
      </c>
      <c r="H4355" s="24" t="str">
        <f>IF(J4355&lt;&gt;1,"",IF(I4355="SBJ","CB","?"))</f>
        <v> </v>
      </c>
      <c r="I4355" s="25" t="str">
        <f>IF(OR(E4355="",E4355="!!!",F4355="NEW"),"",INDEX(B4354:B$2,-1+SUMPRODUCT(MAX(ROW(E4354:E$2)*(E4355=E4354:E$2)))))</f>
        <v> </v>
      </c>
      <c r="J4355" s="25" t="str">
        <f>IF(OR(E4355="",E4355="!!!",F4355="NEW"),"",COUNTBLANK(OFFSET(A$1,,,SUMPRODUCT(MAX(ROW(E$2:E4355)*(E4355=E$2:E4355)))))-COUNTBLANK(OFFSET(A$1,,,SUMPRODUCT(MAX(ROW(E$1:E4354)*(E2=E$1:E4354))))))</f>
        <v> </v>
      </c>
      <c r="K4355" s="25" t="str">
        <f>IF(OR(E4355="",E4355="!!!",F4355="NEW"),"",INDEX(J$1:J4354,SUMPRODUCT(MAX(ROW(E$1:E4354)*(E4355=E$1:E4354)))))</f>
        <v> </v>
      </c>
      <c r="L4355" s="26"/>
    </row>
    <row r="4356" spans="1:12">
      <c r="A4356" s="20" t="s">
        <v>1082</v>
      </c>
      <c r="B4356" s="27" t="s">
        <v>678</v>
      </c>
      <c r="C4356" s="27" t="s">
        <v>693</v>
      </c>
      <c r="D4356" s="27" t="s">
        <v>687</v>
      </c>
      <c r="E4356" s="21">
        <f>IF(D4356="?OLD","!!!","")</f>
        <v/>
      </c>
      <c r="F4356" s="22" t="str">
        <f>IF(OR(E4356="",E4356="!!!"),"",IF(NOT(ISNA(VLOOKUP(E4356,E$1:E4355,1,FALSE()))),"OLD",IF(AND(E4356&lt;&gt;"",E4356&lt;&gt;"!!!"),"NEW","")))</f>
        <v> </v>
      </c>
      <c r="G4356" s="23" t="str">
        <f>IF(OR(E4356="",E4356="!!!"),"",IF(OR(J4356=0,AND(J4356=1,K4356=1),AND(J4356=1,I4356="SBJ"),AND(J4356=1,I4356=0)),"?IN_FOCUS",IF(J4356&lt;=2,"?ACTIVATED",IF(J4356&lt;&gt;"","?FAMILIAR",IF(F4356="NEW",IF(ISNA(VLOOKUP(E4356,#REF!,1,FALSE())),"?TYPE_IDENTIFIABLE","?REFERENTIAL"),"_")))))</f>
        <v> </v>
      </c>
      <c r="H4356" s="24" t="str">
        <f>IF(J4356&lt;&gt;1,"",IF(I4356="SBJ","CB","?"))</f>
        <v> </v>
      </c>
      <c r="I4356" s="25" t="str">
        <f>IF(OR(E4356="",E4356="!!!",F4356="NEW"),"",INDEX(B4355:B$2,-1+SUMPRODUCT(MAX(ROW(E4355:E$2)*(E4356=E4355:E$2)))))</f>
        <v> </v>
      </c>
      <c r="J4356" s="25" t="str">
        <f>IF(OR(E4356="",E4356="!!!",F4356="NEW"),"",COUNTBLANK(OFFSET(A$1,,,SUMPRODUCT(MAX(ROW(E$2:E4356)*(E4356=E$2:E4356)))))-COUNTBLANK(OFFSET(A$1,,,SUMPRODUCT(MAX(ROW(E$1:E4355)*(E2=E$1:E4355))))))</f>
        <v> </v>
      </c>
      <c r="K4356" s="25" t="str">
        <f>IF(OR(E4356="",E4356="!!!",F4356="NEW"),"",INDEX(J$1:J4355,SUMPRODUCT(MAX(ROW(E$1:E4355)*(E4356=E$1:E4355)))))</f>
        <v> </v>
      </c>
      <c r="L4356" s="26"/>
    </row>
    <row r="4357" spans="1:12">
      <c r="A4357" s="20" t="s">
        <v>694</v>
      </c>
      <c r="E4357" s="21">
        <f>IF(D4357="?OLD","!!!","")</f>
        <v/>
      </c>
      <c r="F4357" s="22" t="str">
        <f>IF(OR(E4357="",E4357="!!!"),"",IF(NOT(ISNA(VLOOKUP(E4357,E$1:E4356,1,FALSE()))),"OLD",IF(AND(E4357&lt;&gt;"",E4357&lt;&gt;"!!!"),"NEW","")))</f>
        <v> </v>
      </c>
      <c r="G4357" s="23" t="str">
        <f>IF(OR(E4357="",E4357="!!!"),"",IF(OR(J4357=0,AND(J4357=1,K4357=1),AND(J4357=1,I4357="SBJ"),AND(J4357=1,I4357=0)),"?IN_FOCUS",IF(J4357&lt;=2,"?ACTIVATED",IF(J4357&lt;&gt;"","?FAMILIAR",IF(F4357="NEW",IF(ISNA(VLOOKUP(E4357,#REF!,1,FALSE())),"?TYPE_IDENTIFIABLE","?REFERENTIAL"),"_")))))</f>
        <v> </v>
      </c>
      <c r="H4357" s="24" t="str">
        <f>IF(J4357&lt;&gt;1,"",IF(I4357="SBJ","CB","?"))</f>
        <v> </v>
      </c>
      <c r="I4357" s="25" t="str">
        <f>IF(OR(E4357="",E4357="!!!",F4357="NEW"),"",INDEX(B4356:B$2,-1+SUMPRODUCT(MAX(ROW(E4356:E$2)*(E4357=E4356:E$2)))))</f>
        <v> </v>
      </c>
      <c r="J4357" s="25" t="str">
        <f>IF(OR(E4357="",E4357="!!!",F4357="NEW"),"",COUNTBLANK(OFFSET(A$1,,,SUMPRODUCT(MAX(ROW(E$2:E4357)*(E4357=E$2:E4357)))))-COUNTBLANK(OFFSET(A$1,,,SUMPRODUCT(MAX(ROW(E$1:E4356)*(E2=E$1:E4356))))))</f>
        <v> </v>
      </c>
      <c r="K4357" s="25" t="str">
        <f>IF(OR(E4357="",E4357="!!!",F4357="NEW"),"",INDEX(J$1:J4356,SUMPRODUCT(MAX(ROW(E$1:E4356)*(E4357=E$1:E4356)))))</f>
        <v> </v>
      </c>
      <c r="L4357" s="26"/>
    </row>
    <row r="4358" spans="1:12">
      <c r="A4358" s="20" t="s">
        <v>734</v>
      </c>
      <c r="B4358" s="27" t="s">
        <v>678</v>
      </c>
      <c r="C4358" s="27" t="s">
        <v>679</v>
      </c>
      <c r="E4358" s="21">
        <f>IF(D4358="?OLD","!!!","")</f>
        <v/>
      </c>
      <c r="F4358" s="22" t="str">
        <f>IF(OR(E4358="",E4358="!!!"),"",IF(NOT(ISNA(VLOOKUP(E4358,E$1:E4357,1,FALSE()))),"OLD",IF(AND(E4358&lt;&gt;"",E4358&lt;&gt;"!!!"),"NEW","")))</f>
        <v> </v>
      </c>
      <c r="G4358" s="23" t="str">
        <f>IF(OR(E4358="",E4358="!!!"),"",IF(OR(J4358=0,AND(J4358=1,K4358=1),AND(J4358=1,I4358="SBJ"),AND(J4358=1,I4358=0)),"?IN_FOCUS",IF(J4358&lt;=2,"?ACTIVATED",IF(J4358&lt;&gt;"","?FAMILIAR",IF(F4358="NEW",IF(ISNA(VLOOKUP(E4358,#REF!,1,FALSE())),"?TYPE_IDENTIFIABLE","?REFERENTIAL"),"_")))))</f>
        <v> </v>
      </c>
      <c r="H4358" s="24" t="str">
        <f>IF(J4358&lt;&gt;1,"",IF(I4358="SBJ","CB","?"))</f>
        <v> </v>
      </c>
      <c r="I4358" s="25" t="str">
        <f>IF(OR(E4358="",E4358="!!!",F4358="NEW"),"",INDEX(B4357:B$2,-1+SUMPRODUCT(MAX(ROW(E4357:E$2)*(E4358=E4357:E$2)))))</f>
        <v> </v>
      </c>
      <c r="J4358" s="25" t="str">
        <f>IF(OR(E4358="",E4358="!!!",F4358="NEW"),"",COUNTBLANK(OFFSET(A$1,,,SUMPRODUCT(MAX(ROW(E$2:E4358)*(E4358=E$2:E4358)))))-COUNTBLANK(OFFSET(A$1,,,SUMPRODUCT(MAX(ROW(E$1:E4357)*(E2=E$1:E4357))))))</f>
        <v> </v>
      </c>
      <c r="K4358" s="25" t="str">
        <f>IF(OR(E4358="",E4358="!!!",F4358="NEW"),"",INDEX(J$1:J4357,SUMPRODUCT(MAX(ROW(E$1:E4357)*(E4358=E$1:E4357)))))</f>
        <v> </v>
      </c>
      <c r="L4358" s="26"/>
    </row>
    <row r="4359" spans="1:12">
      <c r="A4359" s="20" t="s">
        <v>698</v>
      </c>
      <c r="E4359" s="21">
        <f>IF(D4359="?OLD","!!!","")</f>
        <v/>
      </c>
      <c r="F4359" s="22" t="str">
        <f>IF(OR(E4359="",E4359="!!!"),"",IF(NOT(ISNA(VLOOKUP(E4359,E$1:E4358,1,FALSE()))),"OLD",IF(AND(E4359&lt;&gt;"",E4359&lt;&gt;"!!!"),"NEW","")))</f>
        <v> </v>
      </c>
      <c r="G4359" s="23" t="str">
        <f>IF(OR(E4359="",E4359="!!!"),"",IF(OR(J4359=0,AND(J4359=1,K4359=1),AND(J4359=1,I4359="SBJ"),AND(J4359=1,I4359=0)),"?IN_FOCUS",IF(J4359&lt;=2,"?ACTIVATED",IF(J4359&lt;&gt;"","?FAMILIAR",IF(F4359="NEW",IF(ISNA(VLOOKUP(E4359,#REF!,1,FALSE())),"?TYPE_IDENTIFIABLE","?REFERENTIAL"),"_")))))</f>
        <v> </v>
      </c>
      <c r="H4359" s="24" t="str">
        <f>IF(J4359&lt;&gt;1,"",IF(I4359="SBJ","CB","?"))</f>
        <v> </v>
      </c>
      <c r="I4359" s="25" t="str">
        <f>IF(OR(E4359="",E4359="!!!",F4359="NEW"),"",INDEX(B4358:B$2,-1+SUMPRODUCT(MAX(ROW(E4358:E$2)*(E4359=E4358:E$2)))))</f>
        <v> </v>
      </c>
      <c r="J4359" s="25" t="str">
        <f>IF(OR(E4359="",E4359="!!!",F4359="NEW"),"",COUNTBLANK(OFFSET(A$1,,,SUMPRODUCT(MAX(ROW(E$2:E4359)*(E4359=E$2:E4359)))))-COUNTBLANK(OFFSET(A$1,,,SUMPRODUCT(MAX(ROW(E$1:E4358)*(E2=E$1:E4358))))))</f>
        <v> </v>
      </c>
      <c r="K4359" s="25" t="str">
        <f>IF(OR(E4359="",E4359="!!!",F4359="NEW"),"",INDEX(J$1:J4358,SUMPRODUCT(MAX(ROW(E$1:E4358)*(E4359=E$1:E4358)))))</f>
        <v> </v>
      </c>
      <c r="L4359" s="26"/>
    </row>
    <row r="4360" spans="1:12">
      <c r="A4360" s="20"/>
    </row>
    <row r="4361" spans="1:12">
      <c r="A4361" s="20" t="s">
        <v>1975</v>
      </c>
    </row>
    <row r="4362" spans="1:12">
      <c r="A4362" s="20" t="s">
        <v>827</v>
      </c>
      <c r="E4362" s="21">
        <f>IF(D4362="?OLD","!!!","")</f>
        <v/>
      </c>
      <c r="F4362" s="22" t="str">
        <f>IF(OR(E4362="",E4362="!!!"),"",IF(NOT(ISNA(VLOOKUP(E4362,E$1:E4361,1,FALSE()))),"OLD",IF(AND(E4362&lt;&gt;"",E4362&lt;&gt;"!!!"),"NEW","")))</f>
        <v> </v>
      </c>
      <c r="G4362" s="23" t="str">
        <f>IF(OR(E4362="",E4362="!!!"),"",IF(OR(J4362=0,AND(J4362=1,K4362=1),AND(J4362=1,I4362="SBJ"),AND(J4362=1,I4362=0)),"?IN_FOCUS",IF(J4362&lt;=2,"?ACTIVATED",IF(J4362&lt;&gt;"","?FAMILIAR",IF(F4362="NEW",IF(ISNA(VLOOKUP(E4362,#REF!,1,FALSE())),"?TYPE_IDENTIFIABLE","?REFERENTIAL"),"_")))))</f>
        <v> </v>
      </c>
      <c r="H4362" s="24" t="str">
        <f>IF(J4362&lt;&gt;1,"",IF(I4362="SBJ","CB","?"))</f>
        <v> </v>
      </c>
      <c r="I4362" s="25" t="str">
        <f>IF(OR(E4362="",E4362="!!!",F4362="NEW"),"",INDEX(B4361:B$2,-1+SUMPRODUCT(MAX(ROW(E4361:E$2)*(E4362=E4361:E$2)))))</f>
        <v> </v>
      </c>
      <c r="J4362" s="25" t="str">
        <f>IF(OR(E4362="",E4362="!!!",F4362="NEW"),"",COUNTBLANK(OFFSET(A$1,,,SUMPRODUCT(MAX(ROW(E$2:E4362)*(E4362=E$2:E4362)))))-COUNTBLANK(OFFSET(A$1,,,SUMPRODUCT(MAX(ROW(E$1:E4361)*(E2=E$1:E4361))))))</f>
        <v> </v>
      </c>
      <c r="K4362" s="25" t="str">
        <f>IF(OR(E4362="",E4362="!!!",F4362="NEW"),"",INDEX(J$1:J4361,SUMPRODUCT(MAX(ROW(E$1:E4361)*(E4362=E$1:E4361)))))</f>
        <v> </v>
      </c>
      <c r="L4362" s="26"/>
    </row>
    <row r="4363" spans="1:12">
      <c r="A4363" s="20" t="s">
        <v>721</v>
      </c>
      <c r="E4363" s="21">
        <f>IF(D4363="?OLD","!!!","")</f>
        <v/>
      </c>
      <c r="F4363" s="22" t="str">
        <f>IF(OR(E4363="",E4363="!!!"),"",IF(NOT(ISNA(VLOOKUP(E4363,E$1:E4362,1,FALSE()))),"OLD",IF(AND(E4363&lt;&gt;"",E4363&lt;&gt;"!!!"),"NEW","")))</f>
        <v> </v>
      </c>
      <c r="G4363" s="23" t="str">
        <f>IF(OR(E4363="",E4363="!!!"),"",IF(OR(J4363=0,AND(J4363=1,K4363=1),AND(J4363=1,I4363="SBJ"),AND(J4363=1,I4363=0)),"?IN_FOCUS",IF(J4363&lt;=2,"?ACTIVATED",IF(J4363&lt;&gt;"","?FAMILIAR",IF(F4363="NEW",IF(ISNA(VLOOKUP(E4363,#REF!,1,FALSE())),"?TYPE_IDENTIFIABLE","?REFERENTIAL"),"_")))))</f>
        <v> </v>
      </c>
      <c r="H4363" s="24" t="str">
        <f>IF(J4363&lt;&gt;1,"",IF(I4363="SBJ","CB","?"))</f>
        <v> </v>
      </c>
      <c r="I4363" s="25" t="str">
        <f>IF(OR(E4363="",E4363="!!!",F4363="NEW"),"",INDEX(B4362:B$2,-1+SUMPRODUCT(MAX(ROW(E4362:E$2)*(E4363=E4362:E$2)))))</f>
        <v> </v>
      </c>
      <c r="J4363" s="25" t="str">
        <f>IF(OR(E4363="",E4363="!!!",F4363="NEW"),"",COUNTBLANK(OFFSET(A$1,,,SUMPRODUCT(MAX(ROW(E$2:E4363)*(E4363=E$2:E4363)))))-COUNTBLANK(OFFSET(A$1,,,SUMPRODUCT(MAX(ROW(E$1:E4362)*(E2=E$1:E4362))))))</f>
        <v> </v>
      </c>
      <c r="K4363" s="25" t="str">
        <f>IF(OR(E4363="",E4363="!!!",F4363="NEW"),"",INDEX(J$1:J4362,SUMPRODUCT(MAX(ROW(E$1:E4362)*(E4363=E$1:E4362)))))</f>
        <v> </v>
      </c>
      <c r="L4363" s="26"/>
    </row>
    <row r="4364" spans="1:12">
      <c r="A4364" s="20" t="s">
        <v>1704</v>
      </c>
      <c r="E4364" s="21">
        <f>IF(D4364="?OLD","!!!","")</f>
        <v/>
      </c>
      <c r="F4364" s="22" t="str">
        <f>IF(OR(E4364="",E4364="!!!"),"",IF(NOT(ISNA(VLOOKUP(E4364,E$1:E4363,1,FALSE()))),"OLD",IF(AND(E4364&lt;&gt;"",E4364&lt;&gt;"!!!"),"NEW","")))</f>
        <v> </v>
      </c>
      <c r="G4364" s="23" t="str">
        <f>IF(OR(E4364="",E4364="!!!"),"",IF(OR(J4364=0,AND(J4364=1,K4364=1),AND(J4364=1,I4364="SBJ"),AND(J4364=1,I4364=0)),"?IN_FOCUS",IF(J4364&lt;=2,"?ACTIVATED",IF(J4364&lt;&gt;"","?FAMILIAR",IF(F4364="NEW",IF(ISNA(VLOOKUP(E4364,#REF!,1,FALSE())),"?TYPE_IDENTIFIABLE","?REFERENTIAL"),"_")))))</f>
        <v> </v>
      </c>
      <c r="H4364" s="24" t="str">
        <f>IF(J4364&lt;&gt;1,"",IF(I4364="SBJ","CB","?"))</f>
        <v> </v>
      </c>
      <c r="I4364" s="25" t="str">
        <f>IF(OR(E4364="",E4364="!!!",F4364="NEW"),"",INDEX(B4363:B$2,-1+SUMPRODUCT(MAX(ROW(E4363:E$2)*(E4364=E4363:E$2)))))</f>
        <v> </v>
      </c>
      <c r="J4364" s="25" t="str">
        <f>IF(OR(E4364="",E4364="!!!",F4364="NEW"),"",COUNTBLANK(OFFSET(A$1,,,SUMPRODUCT(MAX(ROW(E$2:E4364)*(E4364=E$2:E4364)))))-COUNTBLANK(OFFSET(A$1,,,SUMPRODUCT(MAX(ROW(E$1:E4363)*(E2=E$1:E4363))))))</f>
        <v> </v>
      </c>
      <c r="K4364" s="25" t="str">
        <f>IF(OR(E4364="",E4364="!!!",F4364="NEW"),"",INDEX(J$1:J4363,SUMPRODUCT(MAX(ROW(E$1:E4363)*(E4364=E$1:E4363)))))</f>
        <v> </v>
      </c>
      <c r="L4364" s="26"/>
    </row>
    <row r="4365" spans="1:12">
      <c r="A4365" s="20" t="s">
        <v>760</v>
      </c>
      <c r="E4365" s="21">
        <f>IF(D4365="?OLD","!!!","")</f>
        <v/>
      </c>
      <c r="F4365" s="22" t="str">
        <f>IF(OR(E4365="",E4365="!!!"),"",IF(NOT(ISNA(VLOOKUP(E4365,E$1:E4364,1,FALSE()))),"OLD",IF(AND(E4365&lt;&gt;"",E4365&lt;&gt;"!!!"),"NEW","")))</f>
        <v> </v>
      </c>
      <c r="G4365" s="23" t="str">
        <f>IF(OR(E4365="",E4365="!!!"),"",IF(OR(J4365=0,AND(J4365=1,K4365=1),AND(J4365=1,I4365="SBJ"),AND(J4365=1,I4365=0)),"?IN_FOCUS",IF(J4365&lt;=2,"?ACTIVATED",IF(J4365&lt;&gt;"","?FAMILIAR",IF(F4365="NEW",IF(ISNA(VLOOKUP(E4365,#REF!,1,FALSE())),"?TYPE_IDENTIFIABLE","?REFERENTIAL"),"_")))))</f>
        <v> </v>
      </c>
      <c r="H4365" s="24" t="str">
        <f>IF(J4365&lt;&gt;1,"",IF(I4365="SBJ","CB","?"))</f>
        <v> </v>
      </c>
      <c r="I4365" s="25" t="str">
        <f>IF(OR(E4365="",E4365="!!!",F4365="NEW"),"",INDEX(B4364:B$2,-1+SUMPRODUCT(MAX(ROW(E4364:E$2)*(E4365=E4364:E$2)))))</f>
        <v> </v>
      </c>
      <c r="J4365" s="25" t="str">
        <f>IF(OR(E4365="",E4365="!!!",F4365="NEW"),"",COUNTBLANK(OFFSET(A$1,,,SUMPRODUCT(MAX(ROW(E$2:E4365)*(E4365=E$2:E4365)))))-COUNTBLANK(OFFSET(A$1,,,SUMPRODUCT(MAX(ROW(E$1:E4364)*(E2=E$1:E4364))))))</f>
        <v> </v>
      </c>
      <c r="K4365" s="25" t="str">
        <f>IF(OR(E4365="",E4365="!!!",F4365="NEW"),"",INDEX(J$1:J4364,SUMPRODUCT(MAX(ROW(E$1:E4364)*(E4365=E$1:E4364)))))</f>
        <v> </v>
      </c>
      <c r="L4365" s="26"/>
    </row>
    <row r="4366" spans="1:12">
      <c r="A4366" s="20" t="s">
        <v>1039</v>
      </c>
      <c r="B4366" s="27" t="s">
        <v>678</v>
      </c>
      <c r="C4366" s="27" t="s">
        <v>693</v>
      </c>
      <c r="D4366" s="27" t="s">
        <v>687</v>
      </c>
      <c r="E4366" s="21">
        <f>IF(D4366="?OLD","!!!","")</f>
        <v/>
      </c>
      <c r="F4366" s="22" t="str">
        <f>IF(OR(E4366="",E4366="!!!"),"",IF(NOT(ISNA(VLOOKUP(E4366,E$1:E4365,1,FALSE()))),"OLD",IF(AND(E4366&lt;&gt;"",E4366&lt;&gt;"!!!"),"NEW","")))</f>
        <v> </v>
      </c>
      <c r="G4366" s="23" t="str">
        <f>IF(OR(E4366="",E4366="!!!"),"",IF(OR(J4366=0,AND(J4366=1,K4366=1),AND(J4366=1,I4366="SBJ"),AND(J4366=1,I4366=0)),"?IN_FOCUS",IF(J4366&lt;=2,"?ACTIVATED",IF(J4366&lt;&gt;"","?FAMILIAR",IF(F4366="NEW",IF(ISNA(VLOOKUP(E4366,#REF!,1,FALSE())),"?TYPE_IDENTIFIABLE","?REFERENTIAL"),"_")))))</f>
        <v> </v>
      </c>
      <c r="H4366" s="24" t="str">
        <f>IF(J4366&lt;&gt;1,"",IF(I4366="SBJ","CB","?"))</f>
        <v> </v>
      </c>
      <c r="I4366" s="25" t="str">
        <f>IF(OR(E4366="",E4366="!!!",F4366="NEW"),"",INDEX(B4365:B$2,-1+SUMPRODUCT(MAX(ROW(E4365:E$2)*(E4366=E4365:E$2)))))</f>
        <v> </v>
      </c>
      <c r="J4366" s="25" t="str">
        <f>IF(OR(E4366="",E4366="!!!",F4366="NEW"),"",COUNTBLANK(OFFSET(A$1,,,SUMPRODUCT(MAX(ROW(E$2:E4366)*(E4366=E$2:E4366)))))-COUNTBLANK(OFFSET(A$1,,,SUMPRODUCT(MAX(ROW(E$1:E4365)*(E2=E$1:E4365))))))</f>
        <v> </v>
      </c>
      <c r="K4366" s="25" t="str">
        <f>IF(OR(E4366="",E4366="!!!",F4366="NEW"),"",INDEX(J$1:J4365,SUMPRODUCT(MAX(ROW(E$1:E4365)*(E4366=E$1:E4365)))))</f>
        <v> </v>
      </c>
      <c r="L4366" s="26"/>
    </row>
    <row r="4367" spans="1:12">
      <c r="A4367" s="20" t="s">
        <v>1976</v>
      </c>
      <c r="E4367" s="21">
        <f>IF(D4367="?OLD","!!!","")</f>
        <v/>
      </c>
      <c r="F4367" s="22" t="str">
        <f>IF(OR(E4367="",E4367="!!!"),"",IF(NOT(ISNA(VLOOKUP(E4367,E$1:E4366,1,FALSE()))),"OLD",IF(AND(E4367&lt;&gt;"",E4367&lt;&gt;"!!!"),"NEW","")))</f>
        <v> </v>
      </c>
      <c r="G4367" s="23" t="str">
        <f>IF(OR(E4367="",E4367="!!!"),"",IF(OR(J4367=0,AND(J4367=1,K4367=1),AND(J4367=1,I4367="SBJ"),AND(J4367=1,I4367=0)),"?IN_FOCUS",IF(J4367&lt;=2,"?ACTIVATED",IF(J4367&lt;&gt;"","?FAMILIAR",IF(F4367="NEW",IF(ISNA(VLOOKUP(E4367,#REF!,1,FALSE())),"?TYPE_IDENTIFIABLE","?REFERENTIAL"),"_")))))</f>
        <v> </v>
      </c>
      <c r="H4367" s="24" t="str">
        <f>IF(J4367&lt;&gt;1,"",IF(I4367="SBJ","CB","?"))</f>
        <v> </v>
      </c>
      <c r="I4367" s="25" t="str">
        <f>IF(OR(E4367="",E4367="!!!",F4367="NEW"),"",INDEX(B4366:B$2,-1+SUMPRODUCT(MAX(ROW(E4366:E$2)*(E4367=E4366:E$2)))))</f>
        <v> </v>
      </c>
      <c r="J4367" s="25" t="str">
        <f>IF(OR(E4367="",E4367="!!!",F4367="NEW"),"",COUNTBLANK(OFFSET(A$1,,,SUMPRODUCT(MAX(ROW(E$2:E4367)*(E4367=E$2:E4367)))))-COUNTBLANK(OFFSET(A$1,,,SUMPRODUCT(MAX(ROW(E$1:E4366)*(E2=E$1:E4366))))))</f>
        <v> </v>
      </c>
      <c r="K4367" s="25" t="str">
        <f>IF(OR(E4367="",E4367="!!!",F4367="NEW"),"",INDEX(J$1:J4366,SUMPRODUCT(MAX(ROW(E$1:E4366)*(E4367=E$1:E4366)))))</f>
        <v> </v>
      </c>
      <c r="L4367" s="26"/>
    </row>
    <row r="4368" spans="1:12">
      <c r="A4368" s="20" t="s">
        <v>760</v>
      </c>
      <c r="E4368" s="21">
        <f>IF(D4368="?OLD","!!!","")</f>
        <v/>
      </c>
      <c r="F4368" s="22" t="str">
        <f>IF(OR(E4368="",E4368="!!!"),"",IF(NOT(ISNA(VLOOKUP(E4368,E$1:E4367,1,FALSE()))),"OLD",IF(AND(E4368&lt;&gt;"",E4368&lt;&gt;"!!!"),"NEW","")))</f>
        <v> </v>
      </c>
      <c r="G4368" s="23" t="str">
        <f>IF(OR(E4368="",E4368="!!!"),"",IF(OR(J4368=0,AND(J4368=1,K4368=1),AND(J4368=1,I4368="SBJ"),AND(J4368=1,I4368=0)),"?IN_FOCUS",IF(J4368&lt;=2,"?ACTIVATED",IF(J4368&lt;&gt;"","?FAMILIAR",IF(F4368="NEW",IF(ISNA(VLOOKUP(E4368,#REF!,1,FALSE())),"?TYPE_IDENTIFIABLE","?REFERENTIAL"),"_")))))</f>
        <v> </v>
      </c>
      <c r="H4368" s="24" t="str">
        <f>IF(J4368&lt;&gt;1,"",IF(I4368="SBJ","CB","?"))</f>
        <v> </v>
      </c>
      <c r="I4368" s="25" t="str">
        <f>IF(OR(E4368="",E4368="!!!",F4368="NEW"),"",INDEX(B4367:B$2,-1+SUMPRODUCT(MAX(ROW(E4367:E$2)*(E4368=E4367:E$2)))))</f>
        <v> </v>
      </c>
      <c r="J4368" s="25" t="str">
        <f>IF(OR(E4368="",E4368="!!!",F4368="NEW"),"",COUNTBLANK(OFFSET(A$1,,,SUMPRODUCT(MAX(ROW(E$2:E4368)*(E4368=E$2:E4368)))))-COUNTBLANK(OFFSET(A$1,,,SUMPRODUCT(MAX(ROW(E$1:E4367)*(E2=E$1:E4367))))))</f>
        <v> </v>
      </c>
      <c r="K4368" s="25" t="str">
        <f>IF(OR(E4368="",E4368="!!!",F4368="NEW"),"",INDEX(J$1:J4367,SUMPRODUCT(MAX(ROW(E$1:E4367)*(E4368=E$1:E4367)))))</f>
        <v> </v>
      </c>
      <c r="L4368" s="26"/>
    </row>
    <row r="4369" spans="1:12">
      <c r="A4369" s="20" t="s">
        <v>1977</v>
      </c>
      <c r="B4369" s="27" t="s">
        <v>696</v>
      </c>
      <c r="C4369" s="27" t="s">
        <v>693</v>
      </c>
      <c r="D4369" s="27" t="s">
        <v>687</v>
      </c>
      <c r="E4369" s="21">
        <f>IF(D4369="?OLD","!!!","")</f>
        <v/>
      </c>
      <c r="F4369" s="22" t="str">
        <f>IF(OR(E4369="",E4369="!!!"),"",IF(NOT(ISNA(VLOOKUP(E4369,E$1:E4368,1,FALSE()))),"OLD",IF(AND(E4369&lt;&gt;"",E4369&lt;&gt;"!!!"),"NEW","")))</f>
        <v> </v>
      </c>
      <c r="G4369" s="23" t="str">
        <f>IF(OR(E4369="",E4369="!!!"),"",IF(OR(J4369=0,AND(J4369=1,K4369=1),AND(J4369=1,I4369="SBJ"),AND(J4369=1,I4369=0)),"?IN_FOCUS",IF(J4369&lt;=2,"?ACTIVATED",IF(J4369&lt;&gt;"","?FAMILIAR",IF(F4369="NEW",IF(ISNA(VLOOKUP(E4369,#REF!,1,FALSE())),"?TYPE_IDENTIFIABLE","?REFERENTIAL"),"_")))))</f>
        <v> </v>
      </c>
      <c r="H4369" s="24" t="str">
        <f>IF(J4369&lt;&gt;1,"",IF(I4369="SBJ","CB","?"))</f>
        <v> </v>
      </c>
      <c r="I4369" s="25" t="str">
        <f>IF(OR(E4369="",E4369="!!!",F4369="NEW"),"",INDEX(B4368:B$2,-1+SUMPRODUCT(MAX(ROW(E4368:E$2)*(E4369=E4368:E$2)))))</f>
        <v> </v>
      </c>
      <c r="J4369" s="25" t="str">
        <f>IF(OR(E4369="",E4369="!!!",F4369="NEW"),"",COUNTBLANK(OFFSET(A$1,,,SUMPRODUCT(MAX(ROW(E$2:E4369)*(E4369=E$2:E4369)))))-COUNTBLANK(OFFSET(A$1,,,SUMPRODUCT(MAX(ROW(E$1:E4368)*(E2=E$1:E4368))))))</f>
        <v> </v>
      </c>
      <c r="K4369" s="25" t="str">
        <f>IF(OR(E4369="",E4369="!!!",F4369="NEW"),"",INDEX(J$1:J4368,SUMPRODUCT(MAX(ROW(E$1:E4368)*(E4369=E$1:E4368)))))</f>
        <v> </v>
      </c>
      <c r="L4369" s="26"/>
    </row>
    <row r="4370" spans="1:12">
      <c r="A4370" s="20" t="s">
        <v>694</v>
      </c>
      <c r="E4370" s="21">
        <f>IF(D4370="?OLD","!!!","")</f>
        <v/>
      </c>
      <c r="F4370" s="22" t="str">
        <f>IF(OR(E4370="",E4370="!!!"),"",IF(NOT(ISNA(VLOOKUP(E4370,E$1:E4369,1,FALSE()))),"OLD",IF(AND(E4370&lt;&gt;"",E4370&lt;&gt;"!!!"),"NEW","")))</f>
        <v> </v>
      </c>
      <c r="G4370" s="23" t="str">
        <f>IF(OR(E4370="",E4370="!!!"),"",IF(OR(J4370=0,AND(J4370=1,K4370=1),AND(J4370=1,I4370="SBJ"),AND(J4370=1,I4370=0)),"?IN_FOCUS",IF(J4370&lt;=2,"?ACTIVATED",IF(J4370&lt;&gt;"","?FAMILIAR",IF(F4370="NEW",IF(ISNA(VLOOKUP(E4370,#REF!,1,FALSE())),"?TYPE_IDENTIFIABLE","?REFERENTIAL"),"_")))))</f>
        <v> </v>
      </c>
      <c r="H4370" s="24" t="str">
        <f>IF(J4370&lt;&gt;1,"",IF(I4370="SBJ","CB","?"))</f>
        <v> </v>
      </c>
      <c r="I4370" s="25" t="str">
        <f>IF(OR(E4370="",E4370="!!!",F4370="NEW"),"",INDEX(B4369:B$2,-1+SUMPRODUCT(MAX(ROW(E4369:E$2)*(E4370=E4369:E$2)))))</f>
        <v> </v>
      </c>
      <c r="J4370" s="25" t="str">
        <f>IF(OR(E4370="",E4370="!!!",F4370="NEW"),"",COUNTBLANK(OFFSET(A$1,,,SUMPRODUCT(MAX(ROW(E$2:E4370)*(E4370=E$2:E4370)))))-COUNTBLANK(OFFSET(A$1,,,SUMPRODUCT(MAX(ROW(E$1:E4369)*(E2=E$1:E4369))))))</f>
        <v> </v>
      </c>
      <c r="K4370" s="25" t="str">
        <f>IF(OR(E4370="",E4370="!!!",F4370="NEW"),"",INDEX(J$1:J4369,SUMPRODUCT(MAX(ROW(E$1:E4369)*(E4370=E$1:E4369)))))</f>
        <v> </v>
      </c>
      <c r="L4370" s="26"/>
    </row>
    <row r="4371" spans="1:12">
      <c r="A4371" s="20" t="s">
        <v>760</v>
      </c>
      <c r="E4371" s="21">
        <f>IF(D4371="?OLD","!!!","")</f>
        <v/>
      </c>
      <c r="F4371" s="22" t="str">
        <f>IF(OR(E4371="",E4371="!!!"),"",IF(NOT(ISNA(VLOOKUP(E4371,E$1:E4370,1,FALSE()))),"OLD",IF(AND(E4371&lt;&gt;"",E4371&lt;&gt;"!!!"),"NEW","")))</f>
        <v> </v>
      </c>
      <c r="G4371" s="23" t="str">
        <f>IF(OR(E4371="",E4371="!!!"),"",IF(OR(J4371=0,AND(J4371=1,K4371=1),AND(J4371=1,I4371="SBJ"),AND(J4371=1,I4371=0)),"?IN_FOCUS",IF(J4371&lt;=2,"?ACTIVATED",IF(J4371&lt;&gt;"","?FAMILIAR",IF(F4371="NEW",IF(ISNA(VLOOKUP(E4371,#REF!,1,FALSE())),"?TYPE_IDENTIFIABLE","?REFERENTIAL"),"_")))))</f>
        <v> </v>
      </c>
      <c r="H4371" s="24" t="str">
        <f>IF(J4371&lt;&gt;1,"",IF(I4371="SBJ","CB","?"))</f>
        <v> </v>
      </c>
      <c r="I4371" s="25" t="str">
        <f>IF(OR(E4371="",E4371="!!!",F4371="NEW"),"",INDEX(B4370:B$2,-1+SUMPRODUCT(MAX(ROW(E4370:E$2)*(E4371=E4370:E$2)))))</f>
        <v> </v>
      </c>
      <c r="J4371" s="25" t="str">
        <f>IF(OR(E4371="",E4371="!!!",F4371="NEW"),"",COUNTBLANK(OFFSET(A$1,,,SUMPRODUCT(MAX(ROW(E$2:E4371)*(E4371=E$2:E4371)))))-COUNTBLANK(OFFSET(A$1,,,SUMPRODUCT(MAX(ROW(E$1:E4370)*(E2=E$1:E4370))))))</f>
        <v> </v>
      </c>
      <c r="K4371" s="25" t="str">
        <f>IF(OR(E4371="",E4371="!!!",F4371="NEW"),"",INDEX(J$1:J4370,SUMPRODUCT(MAX(ROW(E$1:E4370)*(E4371=E$1:E4370)))))</f>
        <v> </v>
      </c>
      <c r="L4371" s="26"/>
    </row>
    <row r="4372" spans="1:12">
      <c r="A4372" s="20" t="s">
        <v>1978</v>
      </c>
      <c r="B4372" s="27" t="s">
        <v>724</v>
      </c>
      <c r="C4372" s="27" t="s">
        <v>686</v>
      </c>
      <c r="D4372" s="27" t="s">
        <v>687</v>
      </c>
      <c r="E4372" s="21">
        <f>IF(D4372="?OLD","!!!","")</f>
        <v/>
      </c>
      <c r="F4372" s="22" t="str">
        <f>IF(OR(E4372="",E4372="!!!"),"",IF(NOT(ISNA(VLOOKUP(E4372,E$1:E4371,1,FALSE()))),"OLD",IF(AND(E4372&lt;&gt;"",E4372&lt;&gt;"!!!"),"NEW","")))</f>
        <v> </v>
      </c>
      <c r="G4372" s="23" t="str">
        <f>IF(OR(E4372="",E4372="!!!"),"",IF(OR(J4372=0,AND(J4372=1,K4372=1),AND(J4372=1,I4372="SBJ"),AND(J4372=1,I4372=0)),"?IN_FOCUS",IF(J4372&lt;=2,"?ACTIVATED",IF(J4372&lt;&gt;"","?FAMILIAR",IF(F4372="NEW",IF(ISNA(VLOOKUP(E4372,#REF!,1,FALSE())),"?TYPE_IDENTIFIABLE","?REFERENTIAL"),"_")))))</f>
        <v> </v>
      </c>
      <c r="H4372" s="24" t="str">
        <f>IF(J4372&lt;&gt;1,"",IF(I4372="SBJ","CB","?"))</f>
        <v> </v>
      </c>
      <c r="I4372" s="25" t="str">
        <f>IF(OR(E4372="",E4372="!!!",F4372="NEW"),"",INDEX(B4371:B$2,-1+SUMPRODUCT(MAX(ROW(E4371:E$2)*(E4372=E4371:E$2)))))</f>
        <v> </v>
      </c>
      <c r="J4372" s="25" t="str">
        <f>IF(OR(E4372="",E4372="!!!",F4372="NEW"),"",COUNTBLANK(OFFSET(A$1,,,SUMPRODUCT(MAX(ROW(E$2:E4372)*(E4372=E$2:E4372)))))-COUNTBLANK(OFFSET(A$1,,,SUMPRODUCT(MAX(ROW(E$1:E4371)*(E2=E$1:E4371))))))</f>
        <v> </v>
      </c>
      <c r="K4372" s="25" t="str">
        <f>IF(OR(E4372="",E4372="!!!",F4372="NEW"),"",INDEX(J$1:J4371,SUMPRODUCT(MAX(ROW(E$1:E4371)*(E4372=E$1:E4371)))))</f>
        <v> </v>
      </c>
      <c r="L4372" s="26"/>
    </row>
    <row r="4373" spans="1:12">
      <c r="A4373" s="20" t="s">
        <v>682</v>
      </c>
      <c r="E4373" s="21">
        <f>IF(D4373="?OLD","!!!","")</f>
        <v/>
      </c>
      <c r="F4373" s="22" t="str">
        <f>IF(OR(E4373="",E4373="!!!"),"",IF(NOT(ISNA(VLOOKUP(E4373,E$1:E4372,1,FALSE()))),"OLD",IF(AND(E4373&lt;&gt;"",E4373&lt;&gt;"!!!"),"NEW","")))</f>
        <v> </v>
      </c>
      <c r="G4373" s="23" t="str">
        <f>IF(OR(E4373="",E4373="!!!"),"",IF(OR(J4373=0,AND(J4373=1,K4373=1),AND(J4373=1,I4373="SBJ"),AND(J4373=1,I4373=0)),"?IN_FOCUS",IF(J4373&lt;=2,"?ACTIVATED",IF(J4373&lt;&gt;"","?FAMILIAR",IF(F4373="NEW",IF(ISNA(VLOOKUP(E4373,#REF!,1,FALSE())),"?TYPE_IDENTIFIABLE","?REFERENTIAL"),"_")))))</f>
        <v> </v>
      </c>
      <c r="H4373" s="24" t="str">
        <f>IF(J4373&lt;&gt;1,"",IF(I4373="SBJ","CB","?"))</f>
        <v> </v>
      </c>
      <c r="I4373" s="25" t="str">
        <f>IF(OR(E4373="",E4373="!!!",F4373="NEW"),"",INDEX(B4372:B$2,-1+SUMPRODUCT(MAX(ROW(E4372:E$2)*(E4373=E4372:E$2)))))</f>
        <v> </v>
      </c>
      <c r="J4373" s="25" t="str">
        <f>IF(OR(E4373="",E4373="!!!",F4373="NEW"),"",COUNTBLANK(OFFSET(A$1,,,SUMPRODUCT(MAX(ROW(E$2:E4373)*(E4373=E$2:E4373)))))-COUNTBLANK(OFFSET(A$1,,,SUMPRODUCT(MAX(ROW(E$1:E4372)*(E2=E$1:E4372))))))</f>
        <v> </v>
      </c>
      <c r="K4373" s="25" t="str">
        <f>IF(OR(E4373="",E4373="!!!",F4373="NEW"),"",INDEX(J$1:J4372,SUMPRODUCT(MAX(ROW(E$1:E4372)*(E4373=E$1:E4372)))))</f>
        <v> </v>
      </c>
      <c r="L4373" s="26"/>
    </row>
    <row r="4374" spans="1:12">
      <c r="A4374" s="20" t="s">
        <v>814</v>
      </c>
      <c r="E4374" s="21">
        <f>IF(D4374="?OLD","!!!","")</f>
        <v/>
      </c>
      <c r="F4374" s="22" t="str">
        <f>IF(OR(E4374="",E4374="!!!"),"",IF(NOT(ISNA(VLOOKUP(E4374,E$1:E4373,1,FALSE()))),"OLD",IF(AND(E4374&lt;&gt;"",E4374&lt;&gt;"!!!"),"NEW","")))</f>
        <v> </v>
      </c>
      <c r="G4374" s="23" t="str">
        <f>IF(OR(E4374="",E4374="!!!"),"",IF(OR(J4374=0,AND(J4374=1,K4374=1),AND(J4374=1,I4374="SBJ"),AND(J4374=1,I4374=0)),"?IN_FOCUS",IF(J4374&lt;=2,"?ACTIVATED",IF(J4374&lt;&gt;"","?FAMILIAR",IF(F4374="NEW",IF(ISNA(VLOOKUP(E4374,#REF!,1,FALSE())),"?TYPE_IDENTIFIABLE","?REFERENTIAL"),"_")))))</f>
        <v> </v>
      </c>
      <c r="H4374" s="24" t="str">
        <f>IF(J4374&lt;&gt;1,"",IF(I4374="SBJ","CB","?"))</f>
        <v> </v>
      </c>
      <c r="I4374" s="25" t="str">
        <f>IF(OR(E4374="",E4374="!!!",F4374="NEW"),"",INDEX(B4373:B$2,-1+SUMPRODUCT(MAX(ROW(E4373:E$2)*(E4374=E4373:E$2)))))</f>
        <v> </v>
      </c>
      <c r="J4374" s="25" t="str">
        <f>IF(OR(E4374="",E4374="!!!",F4374="NEW"),"",COUNTBLANK(OFFSET(A$1,,,SUMPRODUCT(MAX(ROW(E$2:E4374)*(E4374=E$2:E4374)))))-COUNTBLANK(OFFSET(A$1,,,SUMPRODUCT(MAX(ROW(E$1:E4373)*(E2=E$1:E4373))))))</f>
        <v> </v>
      </c>
      <c r="K4374" s="25" t="str">
        <f>IF(OR(E4374="",E4374="!!!",F4374="NEW"),"",INDEX(J$1:J4373,SUMPRODUCT(MAX(ROW(E$1:E4373)*(E4374=E$1:E4373)))))</f>
        <v> </v>
      </c>
      <c r="L4374" s="26"/>
    </row>
    <row r="4375" spans="1:12">
      <c r="A4375" s="20" t="s">
        <v>1979</v>
      </c>
      <c r="E4375" s="21">
        <f>IF(D4375="?OLD","!!!","")</f>
        <v/>
      </c>
      <c r="F4375" s="22" t="str">
        <f>IF(OR(E4375="",E4375="!!!"),"",IF(NOT(ISNA(VLOOKUP(E4375,E$1:E4374,1,FALSE()))),"OLD",IF(AND(E4375&lt;&gt;"",E4375&lt;&gt;"!!!"),"NEW","")))</f>
        <v> </v>
      </c>
      <c r="G4375" s="23" t="str">
        <f>IF(OR(E4375="",E4375="!!!"),"",IF(OR(J4375=0,AND(J4375=1,K4375=1),AND(J4375=1,I4375="SBJ"),AND(J4375=1,I4375=0)),"?IN_FOCUS",IF(J4375&lt;=2,"?ACTIVATED",IF(J4375&lt;&gt;"","?FAMILIAR",IF(F4375="NEW",IF(ISNA(VLOOKUP(E4375,#REF!,1,FALSE())),"?TYPE_IDENTIFIABLE","?REFERENTIAL"),"_")))))</f>
        <v> </v>
      </c>
      <c r="H4375" s="24" t="str">
        <f>IF(J4375&lt;&gt;1,"",IF(I4375="SBJ","CB","?"))</f>
        <v> </v>
      </c>
      <c r="I4375" s="25" t="str">
        <f>IF(OR(E4375="",E4375="!!!",F4375="NEW"),"",INDEX(B4374:B$2,-1+SUMPRODUCT(MAX(ROW(E4374:E$2)*(E4375=E4374:E$2)))))</f>
        <v> </v>
      </c>
      <c r="J4375" s="25" t="str">
        <f>IF(OR(E4375="",E4375="!!!",F4375="NEW"),"",COUNTBLANK(OFFSET(A$1,,,SUMPRODUCT(MAX(ROW(E$2:E4375)*(E4375=E$2:E4375)))))-COUNTBLANK(OFFSET(A$1,,,SUMPRODUCT(MAX(ROW(E$1:E4374)*(E2=E$1:E4374))))))</f>
        <v> </v>
      </c>
      <c r="K4375" s="25" t="str">
        <f>IF(OR(E4375="",E4375="!!!",F4375="NEW"),"",INDEX(J$1:J4374,SUMPRODUCT(MAX(ROW(E$1:E4374)*(E4375=E$1:E4374)))))</f>
        <v> </v>
      </c>
      <c r="L4375" s="26"/>
    </row>
    <row r="4376" spans="1:12">
      <c r="A4376" s="20" t="s">
        <v>306</v>
      </c>
      <c r="E4376" s="21">
        <f>IF(D4376="?OLD","!!!","")</f>
        <v/>
      </c>
      <c r="F4376" s="22" t="str">
        <f>IF(OR(E4376="",E4376="!!!"),"",IF(NOT(ISNA(VLOOKUP(E4376,E$1:E4375,1,FALSE()))),"OLD",IF(AND(E4376&lt;&gt;"",E4376&lt;&gt;"!!!"),"NEW","")))</f>
        <v> </v>
      </c>
      <c r="G4376" s="23" t="str">
        <f>IF(OR(E4376="",E4376="!!!"),"",IF(OR(J4376=0,AND(J4376=1,K4376=1),AND(J4376=1,I4376="SBJ"),AND(J4376=1,I4376=0)),"?IN_FOCUS",IF(J4376&lt;=2,"?ACTIVATED",IF(J4376&lt;&gt;"","?FAMILIAR",IF(F4376="NEW",IF(ISNA(VLOOKUP(E4376,#REF!,1,FALSE())),"?TYPE_IDENTIFIABLE","?REFERENTIAL"),"_")))))</f>
        <v> </v>
      </c>
      <c r="H4376" s="24" t="str">
        <f>IF(J4376&lt;&gt;1,"",IF(I4376="SBJ","CB","?"))</f>
        <v> </v>
      </c>
      <c r="I4376" s="25" t="str">
        <f>IF(OR(E4376="",E4376="!!!",F4376="NEW"),"",INDEX(B4375:B$2,-1+SUMPRODUCT(MAX(ROW(E4375:E$2)*(E4376=E4375:E$2)))))</f>
        <v> </v>
      </c>
      <c r="J4376" s="25" t="str">
        <f>IF(OR(E4376="",E4376="!!!",F4376="NEW"),"",COUNTBLANK(OFFSET(A$1,,,SUMPRODUCT(MAX(ROW(E$2:E4376)*(E4376=E$2:E4376)))))-COUNTBLANK(OFFSET(A$1,,,SUMPRODUCT(MAX(ROW(E$1:E4375)*(E2=E$1:E4375))))))</f>
        <v> </v>
      </c>
      <c r="K4376" s="25" t="str">
        <f>IF(OR(E4376="",E4376="!!!",F4376="NEW"),"",INDEX(J$1:J4375,SUMPRODUCT(MAX(ROW(E$1:E4375)*(E4376=E$1:E4375)))))</f>
        <v> </v>
      </c>
      <c r="L4376" s="26"/>
    </row>
    <row r="4377" spans="1:12">
      <c r="A4377" s="20" t="s">
        <v>796</v>
      </c>
      <c r="B4377" s="27" t="s">
        <v>724</v>
      </c>
      <c r="C4377" s="27" t="s">
        <v>772</v>
      </c>
      <c r="D4377" s="27" t="s">
        <v>687</v>
      </c>
      <c r="E4377" s="21">
        <f>IF(D4377="?OLD","!!!","")</f>
        <v/>
      </c>
      <c r="F4377" s="22" t="str">
        <f>IF(OR(E4377="",E4377="!!!"),"",IF(NOT(ISNA(VLOOKUP(E4377,E$1:E4376,1,FALSE()))),"OLD",IF(AND(E4377&lt;&gt;"",E4377&lt;&gt;"!!!"),"NEW","")))</f>
        <v> </v>
      </c>
      <c r="G4377" s="23" t="str">
        <f>IF(OR(E4377="",E4377="!!!"),"",IF(OR(J4377=0,AND(J4377=1,K4377=1),AND(J4377=1,I4377="SBJ"),AND(J4377=1,I4377=0)),"?IN_FOCUS",IF(J4377&lt;=2,"?ACTIVATED",IF(J4377&lt;&gt;"","?FAMILIAR",IF(F4377="NEW",IF(ISNA(VLOOKUP(E4377,#REF!,1,FALSE())),"?TYPE_IDENTIFIABLE","?REFERENTIAL"),"_")))))</f>
        <v> </v>
      </c>
      <c r="H4377" s="24" t="str">
        <f>IF(J4377&lt;&gt;1,"",IF(I4377="SBJ","CB","?"))</f>
        <v> </v>
      </c>
      <c r="I4377" s="25" t="str">
        <f>IF(OR(E4377="",E4377="!!!",F4377="NEW"),"",INDEX(B4376:B$2,-1+SUMPRODUCT(MAX(ROW(E4376:E$2)*(E4377=E4376:E$2)))))</f>
        <v> </v>
      </c>
      <c r="J4377" s="25" t="str">
        <f>IF(OR(E4377="",E4377="!!!",F4377="NEW"),"",COUNTBLANK(OFFSET(A$1,,,SUMPRODUCT(MAX(ROW(E$2:E4377)*(E4377=E$2:E4377)))))-COUNTBLANK(OFFSET(A$1,,,SUMPRODUCT(MAX(ROW(E$1:E4376)*(E2=E$1:E4376))))))</f>
        <v> </v>
      </c>
      <c r="K4377" s="25" t="str">
        <f>IF(OR(E4377="",E4377="!!!",F4377="NEW"),"",INDEX(J$1:J4376,SUMPRODUCT(MAX(ROW(E$1:E4376)*(E4377=E$1:E4376)))))</f>
        <v> </v>
      </c>
      <c r="L4377" s="26"/>
    </row>
    <row r="4378" spans="1:12">
      <c r="A4378" s="20" t="s">
        <v>379</v>
      </c>
      <c r="B4378" s="27" t="s">
        <v>791</v>
      </c>
      <c r="C4378" s="27" t="s">
        <v>693</v>
      </c>
      <c r="D4378" s="27" t="s">
        <v>687</v>
      </c>
      <c r="E4378" s="21">
        <f>IF(D4378="?OLD","!!!","")</f>
        <v/>
      </c>
      <c r="F4378" s="22" t="str">
        <f>IF(OR(E4378="",E4378="!!!"),"",IF(NOT(ISNA(VLOOKUP(E4378,E$1:E4377,1,FALSE()))),"OLD",IF(AND(E4378&lt;&gt;"",E4378&lt;&gt;"!!!"),"NEW","")))</f>
        <v> </v>
      </c>
      <c r="G4378" s="23" t="str">
        <f>IF(OR(E4378="",E4378="!!!"),"",IF(OR(J4378=0,AND(J4378=1,K4378=1),AND(J4378=1,I4378="SBJ"),AND(J4378=1,I4378=0)),"?IN_FOCUS",IF(J4378&lt;=2,"?ACTIVATED",IF(J4378&lt;&gt;"","?FAMILIAR",IF(F4378="NEW",IF(ISNA(VLOOKUP(E4378,#REF!,1,FALSE())),"?TYPE_IDENTIFIABLE","?REFERENTIAL"),"_")))))</f>
        <v> </v>
      </c>
      <c r="H4378" s="24" t="str">
        <f>IF(J4378&lt;&gt;1,"",IF(I4378="SBJ","CB","?"))</f>
        <v> </v>
      </c>
      <c r="I4378" s="25" t="str">
        <f>IF(OR(E4378="",E4378="!!!",F4378="NEW"),"",INDEX(B4377:B$2,-1+SUMPRODUCT(MAX(ROW(E4377:E$2)*(E4378=E4377:E$2)))))</f>
        <v> </v>
      </c>
      <c r="J4378" s="25" t="str">
        <f>IF(OR(E4378="",E4378="!!!",F4378="NEW"),"",COUNTBLANK(OFFSET(A$1,,,SUMPRODUCT(MAX(ROW(E$2:E4378)*(E4378=E$2:E4378)))))-COUNTBLANK(OFFSET(A$1,,,SUMPRODUCT(MAX(ROW(E$1:E4377)*(E2=E$1:E4377))))))</f>
        <v> </v>
      </c>
      <c r="K4378" s="25" t="str">
        <f>IF(OR(E4378="",E4378="!!!",F4378="NEW"),"",INDEX(J$1:J4377,SUMPRODUCT(MAX(ROW(E$1:E4377)*(E4378=E$1:E4377)))))</f>
        <v> </v>
      </c>
      <c r="L4378" s="26"/>
    </row>
    <row r="4379" spans="1:12">
      <c r="A4379" s="20" t="s">
        <v>694</v>
      </c>
      <c r="E4379" s="21">
        <f>IF(D4379="?OLD","!!!","")</f>
        <v/>
      </c>
      <c r="F4379" s="22" t="str">
        <f>IF(OR(E4379="",E4379="!!!"),"",IF(NOT(ISNA(VLOOKUP(E4379,E$1:E4378,1,FALSE()))),"OLD",IF(AND(E4379&lt;&gt;"",E4379&lt;&gt;"!!!"),"NEW","")))</f>
        <v> </v>
      </c>
      <c r="G4379" s="23" t="str">
        <f>IF(OR(E4379="",E4379="!!!"),"",IF(OR(J4379=0,AND(J4379=1,K4379=1),AND(J4379=1,I4379="SBJ"),AND(J4379=1,I4379=0)),"?IN_FOCUS",IF(J4379&lt;=2,"?ACTIVATED",IF(J4379&lt;&gt;"","?FAMILIAR",IF(F4379="NEW",IF(ISNA(VLOOKUP(E4379,#REF!,1,FALSE())),"?TYPE_IDENTIFIABLE","?REFERENTIAL"),"_")))))</f>
        <v> </v>
      </c>
      <c r="H4379" s="24" t="str">
        <f>IF(J4379&lt;&gt;1,"",IF(I4379="SBJ","CB","?"))</f>
        <v> </v>
      </c>
      <c r="I4379" s="25" t="str">
        <f>IF(OR(E4379="",E4379="!!!",F4379="NEW"),"",INDEX(B4378:B$2,-1+SUMPRODUCT(MAX(ROW(E4378:E$2)*(E4379=E4378:E$2)))))</f>
        <v> </v>
      </c>
      <c r="J4379" s="25" t="str">
        <f>IF(OR(E4379="",E4379="!!!",F4379="NEW"),"",COUNTBLANK(OFFSET(A$1,,,SUMPRODUCT(MAX(ROW(E$2:E4379)*(E4379=E$2:E4379)))))-COUNTBLANK(OFFSET(A$1,,,SUMPRODUCT(MAX(ROW(E$1:E4378)*(E2=E$1:E4378))))))</f>
        <v> </v>
      </c>
      <c r="K4379" s="25" t="str">
        <f>IF(OR(E4379="",E4379="!!!",F4379="NEW"),"",INDEX(J$1:J4378,SUMPRODUCT(MAX(ROW(E$1:E4378)*(E4379=E$1:E4378)))))</f>
        <v> </v>
      </c>
      <c r="L4379" s="26"/>
    </row>
    <row r="4380" spans="1:12">
      <c r="A4380" s="20" t="s">
        <v>683</v>
      </c>
      <c r="E4380" s="21">
        <f>IF(D4380="?OLD","!!!","")</f>
        <v/>
      </c>
      <c r="F4380" s="22" t="str">
        <f>IF(OR(E4380="",E4380="!!!"),"",IF(NOT(ISNA(VLOOKUP(E4380,E$1:E4379,1,FALSE()))),"OLD",IF(AND(E4380&lt;&gt;"",E4380&lt;&gt;"!!!"),"NEW","")))</f>
        <v> </v>
      </c>
      <c r="G4380" s="23" t="str">
        <f>IF(OR(E4380="",E4380="!!!"),"",IF(OR(J4380=0,AND(J4380=1,K4380=1),AND(J4380=1,I4380="SBJ"),AND(J4380=1,I4380=0)),"?IN_FOCUS",IF(J4380&lt;=2,"?ACTIVATED",IF(J4380&lt;&gt;"","?FAMILIAR",IF(F4380="NEW",IF(ISNA(VLOOKUP(E4380,#REF!,1,FALSE())),"?TYPE_IDENTIFIABLE","?REFERENTIAL"),"_")))))</f>
        <v> </v>
      </c>
      <c r="H4380" s="24" t="str">
        <f>IF(J4380&lt;&gt;1,"",IF(I4380="SBJ","CB","?"))</f>
        <v> </v>
      </c>
      <c r="I4380" s="25" t="str">
        <f>IF(OR(E4380="",E4380="!!!",F4380="NEW"),"",INDEX(B4379:B$2,-1+SUMPRODUCT(MAX(ROW(E4379:E$2)*(E4380=E4379:E$2)))))</f>
        <v> </v>
      </c>
      <c r="J4380" s="25" t="str">
        <f>IF(OR(E4380="",E4380="!!!",F4380="NEW"),"",COUNTBLANK(OFFSET(A$1,,,SUMPRODUCT(MAX(ROW(E$2:E4380)*(E4380=E$2:E4380)))))-COUNTBLANK(OFFSET(A$1,,,SUMPRODUCT(MAX(ROW(E$1:E4379)*(E2=E$1:E4379))))))</f>
        <v> </v>
      </c>
      <c r="K4380" s="25" t="str">
        <f>IF(OR(E4380="",E4380="!!!",F4380="NEW"),"",INDEX(J$1:J4379,SUMPRODUCT(MAX(ROW(E$1:E4379)*(E4380=E$1:E4379)))))</f>
        <v> </v>
      </c>
      <c r="L4380" s="26"/>
    </row>
    <row r="4381" spans="1:12">
      <c r="A4381" s="20" t="s">
        <v>734</v>
      </c>
      <c r="B4381" s="27" t="s">
        <v>724</v>
      </c>
      <c r="C4381" s="27" t="s">
        <v>686</v>
      </c>
      <c r="D4381" s="27" t="s">
        <v>687</v>
      </c>
      <c r="E4381" s="21">
        <f>IF(D4381="?OLD","!!!","")</f>
        <v/>
      </c>
      <c r="F4381" s="22" t="str">
        <f>IF(OR(E4381="",E4381="!!!"),"",IF(NOT(ISNA(VLOOKUP(E4381,E$1:E4380,1,FALSE()))),"OLD",IF(AND(E4381&lt;&gt;"",E4381&lt;&gt;"!!!"),"NEW","")))</f>
        <v> </v>
      </c>
      <c r="G4381" s="23" t="str">
        <f>IF(OR(E4381="",E4381="!!!"),"",IF(OR(J4381=0,AND(J4381=1,K4381=1),AND(J4381=1,I4381="SBJ"),AND(J4381=1,I4381=0)),"?IN_FOCUS",IF(J4381&lt;=2,"?ACTIVATED",IF(J4381&lt;&gt;"","?FAMILIAR",IF(F4381="NEW",IF(ISNA(VLOOKUP(E4381,#REF!,1,FALSE())),"?TYPE_IDENTIFIABLE","?REFERENTIAL"),"_")))))</f>
        <v> </v>
      </c>
      <c r="H4381" s="24" t="str">
        <f>IF(J4381&lt;&gt;1,"",IF(I4381="SBJ","CB","?"))</f>
        <v> </v>
      </c>
      <c r="I4381" s="25" t="str">
        <f>IF(OR(E4381="",E4381="!!!",F4381="NEW"),"",INDEX(B4380:B$2,-1+SUMPRODUCT(MAX(ROW(E4380:E$2)*(E4381=E4380:E$2)))))</f>
        <v> </v>
      </c>
      <c r="J4381" s="25" t="str">
        <f>IF(OR(E4381="",E4381="!!!",F4381="NEW"),"",COUNTBLANK(OFFSET(A$1,,,SUMPRODUCT(MAX(ROW(E$2:E4381)*(E4381=E$2:E4381)))))-COUNTBLANK(OFFSET(A$1,,,SUMPRODUCT(MAX(ROW(E$1:E4380)*(E2=E$1:E4380))))))</f>
        <v> </v>
      </c>
      <c r="K4381" s="25" t="str">
        <f>IF(OR(E4381="",E4381="!!!",F4381="NEW"),"",INDEX(J$1:J4380,SUMPRODUCT(MAX(ROW(E$1:E4380)*(E4381=E$1:E4380)))))</f>
        <v> </v>
      </c>
      <c r="L4381" s="26"/>
    </row>
    <row r="4382" spans="1:12">
      <c r="A4382" s="20" t="s">
        <v>698</v>
      </c>
      <c r="E4382" s="21">
        <f>IF(D4382="?OLD","!!!","")</f>
        <v/>
      </c>
      <c r="F4382" s="22" t="str">
        <f>IF(OR(E4382="",E4382="!!!"),"",IF(NOT(ISNA(VLOOKUP(E4382,E$1:E4381,1,FALSE()))),"OLD",IF(AND(E4382&lt;&gt;"",E4382&lt;&gt;"!!!"),"NEW","")))</f>
        <v> </v>
      </c>
      <c r="G4382" s="23" t="str">
        <f>IF(OR(E4382="",E4382="!!!"),"",IF(OR(J4382=0,AND(J4382=1,K4382=1),AND(J4382=1,I4382="SBJ"),AND(J4382=1,I4382=0)),"?IN_FOCUS",IF(J4382&lt;=2,"?ACTIVATED",IF(J4382&lt;&gt;"","?FAMILIAR",IF(F4382="NEW",IF(ISNA(VLOOKUP(E4382,#REF!,1,FALSE())),"?TYPE_IDENTIFIABLE","?REFERENTIAL"),"_")))))</f>
        <v> </v>
      </c>
      <c r="H4382" s="24" t="str">
        <f>IF(J4382&lt;&gt;1,"",IF(I4382="SBJ","CB","?"))</f>
        <v> </v>
      </c>
      <c r="I4382" s="25" t="str">
        <f>IF(OR(E4382="",E4382="!!!",F4382="NEW"),"",INDEX(B4381:B$2,-1+SUMPRODUCT(MAX(ROW(E4381:E$2)*(E4382=E4381:E$2)))))</f>
        <v> </v>
      </c>
      <c r="J4382" s="25" t="str">
        <f>IF(OR(E4382="",E4382="!!!",F4382="NEW"),"",COUNTBLANK(OFFSET(A$1,,,SUMPRODUCT(MAX(ROW(E$2:E4382)*(E4382=E$2:E4382)))))-COUNTBLANK(OFFSET(A$1,,,SUMPRODUCT(MAX(ROW(E$1:E4381)*(E2=E$1:E4381))))))</f>
        <v> </v>
      </c>
      <c r="K4382" s="25" t="str">
        <f>IF(OR(E4382="",E4382="!!!",F4382="NEW"),"",INDEX(J$1:J4381,SUMPRODUCT(MAX(ROW(E$1:E4381)*(E4382=E$1:E4381)))))</f>
        <v> </v>
      </c>
      <c r="L4382" s="26"/>
    </row>
    <row r="4383" spans="1:12">
      <c r="A4383" s="20"/>
    </row>
    <row r="4384" spans="1:12">
      <c r="A4384" s="20" t="s">
        <v>1980</v>
      </c>
    </row>
    <row r="4385" spans="1:12">
      <c r="A4385" s="20" t="s">
        <v>827</v>
      </c>
      <c r="E4385" s="21">
        <f>IF(D4385="?OLD","!!!","")</f>
        <v/>
      </c>
      <c r="F4385" s="22" t="str">
        <f>IF(OR(E4385="",E4385="!!!"),"",IF(NOT(ISNA(VLOOKUP(E4385,E$1:E4384,1,FALSE()))),"OLD",IF(AND(E4385&lt;&gt;"",E4385&lt;&gt;"!!!"),"NEW","")))</f>
        <v> </v>
      </c>
      <c r="G4385" s="23" t="str">
        <f>IF(OR(E4385="",E4385="!!!"),"",IF(OR(J4385=0,AND(J4385=1,K4385=1),AND(J4385=1,I4385="SBJ"),AND(J4385=1,I4385=0)),"?IN_FOCUS",IF(J4385&lt;=2,"?ACTIVATED",IF(J4385&lt;&gt;"","?FAMILIAR",IF(F4385="NEW",IF(ISNA(VLOOKUP(E4385,#REF!,1,FALSE())),"?TYPE_IDENTIFIABLE","?REFERENTIAL"),"_")))))</f>
        <v> </v>
      </c>
      <c r="H4385" s="24" t="str">
        <f>IF(J4385&lt;&gt;1,"",IF(I4385="SBJ","CB","?"))</f>
        <v> </v>
      </c>
      <c r="I4385" s="25" t="str">
        <f>IF(OR(E4385="",E4385="!!!",F4385="NEW"),"",INDEX(B4384:B$2,-1+SUMPRODUCT(MAX(ROW(E4384:E$2)*(E4385=E4384:E$2)))))</f>
        <v> </v>
      </c>
      <c r="J4385" s="25" t="str">
        <f>IF(OR(E4385="",E4385="!!!",F4385="NEW"),"",COUNTBLANK(OFFSET(A$1,,,SUMPRODUCT(MAX(ROW(E$2:E4385)*(E4385=E$2:E4385)))))-COUNTBLANK(OFFSET(A$1,,,SUMPRODUCT(MAX(ROW(E$1:E4384)*(E2=E$1:E4384))))))</f>
        <v> </v>
      </c>
      <c r="K4385" s="25" t="str">
        <f>IF(OR(E4385="",E4385="!!!",F4385="NEW"),"",INDEX(J$1:J4384,SUMPRODUCT(MAX(ROW(E$1:E4384)*(E4385=E$1:E4384)))))</f>
        <v> </v>
      </c>
      <c r="L4385" s="26"/>
    </row>
    <row r="4386" spans="1:12">
      <c r="A4386" s="20" t="s">
        <v>1527</v>
      </c>
      <c r="E4386" s="21">
        <f>IF(D4386="?OLD","!!!","")</f>
        <v/>
      </c>
      <c r="F4386" s="22" t="str">
        <f>IF(OR(E4386="",E4386="!!!"),"",IF(NOT(ISNA(VLOOKUP(E4386,E$1:E4385,1,FALSE()))),"OLD",IF(AND(E4386&lt;&gt;"",E4386&lt;&gt;"!!!"),"NEW","")))</f>
        <v> </v>
      </c>
      <c r="G4386" s="23" t="str">
        <f>IF(OR(E4386="",E4386="!!!"),"",IF(OR(J4386=0,AND(J4386=1,K4386=1),AND(J4386=1,I4386="SBJ"),AND(J4386=1,I4386=0)),"?IN_FOCUS",IF(J4386&lt;=2,"?ACTIVATED",IF(J4386&lt;&gt;"","?FAMILIAR",IF(F4386="NEW",IF(ISNA(VLOOKUP(E4386,#REF!,1,FALSE())),"?TYPE_IDENTIFIABLE","?REFERENTIAL"),"_")))))</f>
        <v> </v>
      </c>
      <c r="H4386" s="24" t="str">
        <f>IF(J4386&lt;&gt;1,"",IF(I4386="SBJ","CB","?"))</f>
        <v> </v>
      </c>
      <c r="I4386" s="25" t="str">
        <f>IF(OR(E4386="",E4386="!!!",F4386="NEW"),"",INDEX(B4385:B$2,-1+SUMPRODUCT(MAX(ROW(E4385:E$2)*(E4386=E4385:E$2)))))</f>
        <v> </v>
      </c>
      <c r="J4386" s="25" t="str">
        <f>IF(OR(E4386="",E4386="!!!",F4386="NEW"),"",COUNTBLANK(OFFSET(A$1,,,SUMPRODUCT(MAX(ROW(E$2:E4386)*(E4386=E$2:E4386)))))-COUNTBLANK(OFFSET(A$1,,,SUMPRODUCT(MAX(ROW(E$1:E4385)*(E2=E$1:E4385))))))</f>
        <v> </v>
      </c>
      <c r="K4386" s="25" t="str">
        <f>IF(OR(E4386="",E4386="!!!",F4386="NEW"),"",INDEX(J$1:J4385,SUMPRODUCT(MAX(ROW(E$1:E4385)*(E4386=E$1:E4385)))))</f>
        <v> </v>
      </c>
      <c r="L4386" s="26"/>
    </row>
    <row r="4387" spans="1:12">
      <c r="A4387" s="20" t="s">
        <v>830</v>
      </c>
      <c r="B4387" s="27" t="s">
        <v>692</v>
      </c>
      <c r="C4387" s="27" t="s">
        <v>749</v>
      </c>
      <c r="D4387" s="27" t="s">
        <v>687</v>
      </c>
      <c r="E4387" s="21">
        <f>IF(D4387="?OLD","!!!","")</f>
        <v/>
      </c>
      <c r="F4387" s="22" t="str">
        <f>IF(OR(E4387="",E4387="!!!"),"",IF(NOT(ISNA(VLOOKUP(E4387,E$1:E4386,1,FALSE()))),"OLD",IF(AND(E4387&lt;&gt;"",E4387&lt;&gt;"!!!"),"NEW","")))</f>
        <v> </v>
      </c>
      <c r="G4387" s="23" t="str">
        <f>IF(OR(E4387="",E4387="!!!"),"",IF(OR(J4387=0,AND(J4387=1,K4387=1),AND(J4387=1,I4387="SBJ"),AND(J4387=1,I4387=0)),"?IN_FOCUS",IF(J4387&lt;=2,"?ACTIVATED",IF(J4387&lt;&gt;"","?FAMILIAR",IF(F4387="NEW",IF(ISNA(VLOOKUP(E4387,#REF!,1,FALSE())),"?TYPE_IDENTIFIABLE","?REFERENTIAL"),"_")))))</f>
        <v> </v>
      </c>
      <c r="H4387" s="24" t="str">
        <f>IF(J4387&lt;&gt;1,"",IF(I4387="SBJ","CB","?"))</f>
        <v> </v>
      </c>
      <c r="I4387" s="25" t="str">
        <f>IF(OR(E4387="",E4387="!!!",F4387="NEW"),"",INDEX(B4386:B$2,-1+SUMPRODUCT(MAX(ROW(E4386:E$2)*(E4387=E4386:E$2)))))</f>
        <v> </v>
      </c>
      <c r="J4387" s="25" t="str">
        <f>IF(OR(E4387="",E4387="!!!",F4387="NEW"),"",COUNTBLANK(OFFSET(A$1,,,SUMPRODUCT(MAX(ROW(E$2:E4387)*(E4387=E$2:E4387)))))-COUNTBLANK(OFFSET(A$1,,,SUMPRODUCT(MAX(ROW(E$1:E4386)*(E2=E$1:E4386))))))</f>
        <v> </v>
      </c>
      <c r="K4387" s="25" t="str">
        <f>IF(OR(E4387="",E4387="!!!",F4387="NEW"),"",INDEX(J$1:J4386,SUMPRODUCT(MAX(ROW(E$1:E4386)*(E4387=E$1:E4386)))))</f>
        <v> </v>
      </c>
      <c r="L4387" s="26"/>
    </row>
    <row r="4388" spans="1:12">
      <c r="A4388" s="20" t="s">
        <v>814</v>
      </c>
      <c r="E4388" s="21">
        <f>IF(D4388="?OLD","!!!","")</f>
        <v/>
      </c>
      <c r="F4388" s="22" t="str">
        <f>IF(OR(E4388="",E4388="!!!"),"",IF(NOT(ISNA(VLOOKUP(E4388,E$1:E4387,1,FALSE()))),"OLD",IF(AND(E4388&lt;&gt;"",E4388&lt;&gt;"!!!"),"NEW","")))</f>
        <v> </v>
      </c>
      <c r="G4388" s="23" t="str">
        <f>IF(OR(E4388="",E4388="!!!"),"",IF(OR(J4388=0,AND(J4388=1,K4388=1),AND(J4388=1,I4388="SBJ"),AND(J4388=1,I4388=0)),"?IN_FOCUS",IF(J4388&lt;=2,"?ACTIVATED",IF(J4388&lt;&gt;"","?FAMILIAR",IF(F4388="NEW",IF(ISNA(VLOOKUP(E4388,#REF!,1,FALSE())),"?TYPE_IDENTIFIABLE","?REFERENTIAL"),"_")))))</f>
        <v> </v>
      </c>
      <c r="H4388" s="24" t="str">
        <f>IF(J4388&lt;&gt;1,"",IF(I4388="SBJ","CB","?"))</f>
        <v> </v>
      </c>
      <c r="I4388" s="25" t="str">
        <f>IF(OR(E4388="",E4388="!!!",F4388="NEW"),"",INDEX(B4387:B$2,-1+SUMPRODUCT(MAX(ROW(E4387:E$2)*(E4388=E4387:E$2)))))</f>
        <v> </v>
      </c>
      <c r="J4388" s="25" t="str">
        <f>IF(OR(E4388="",E4388="!!!",F4388="NEW"),"",COUNTBLANK(OFFSET(A$1,,,SUMPRODUCT(MAX(ROW(E$2:E4388)*(E4388=E$2:E4388)))))-COUNTBLANK(OFFSET(A$1,,,SUMPRODUCT(MAX(ROW(E$1:E4387)*(E2=E$1:E4387))))))</f>
        <v> </v>
      </c>
      <c r="K4388" s="25" t="str">
        <f>IF(OR(E4388="",E4388="!!!",F4388="NEW"),"",INDEX(J$1:J4387,SUMPRODUCT(MAX(ROW(E$1:E4387)*(E4388=E$1:E4387)))))</f>
        <v> </v>
      </c>
      <c r="L4388" s="26"/>
    </row>
    <row r="4389" spans="1:12">
      <c r="A4389" s="20" t="s">
        <v>1979</v>
      </c>
      <c r="E4389" s="21">
        <f>IF(D4389="?OLD","!!!","")</f>
        <v/>
      </c>
      <c r="F4389" s="22" t="str">
        <f>IF(OR(E4389="",E4389="!!!"),"",IF(NOT(ISNA(VLOOKUP(E4389,E$1:E4388,1,FALSE()))),"OLD",IF(AND(E4389&lt;&gt;"",E4389&lt;&gt;"!!!"),"NEW","")))</f>
        <v> </v>
      </c>
      <c r="G4389" s="23" t="str">
        <f>IF(OR(E4389="",E4389="!!!"),"",IF(OR(J4389=0,AND(J4389=1,K4389=1),AND(J4389=1,I4389="SBJ"),AND(J4389=1,I4389=0)),"?IN_FOCUS",IF(J4389&lt;=2,"?ACTIVATED",IF(J4389&lt;&gt;"","?FAMILIAR",IF(F4389="NEW",IF(ISNA(VLOOKUP(E4389,#REF!,1,FALSE())),"?TYPE_IDENTIFIABLE","?REFERENTIAL"),"_")))))</f>
        <v> </v>
      </c>
      <c r="H4389" s="24" t="str">
        <f>IF(J4389&lt;&gt;1,"",IF(I4389="SBJ","CB","?"))</f>
        <v> </v>
      </c>
      <c r="I4389" s="25" t="str">
        <f>IF(OR(E4389="",E4389="!!!",F4389="NEW"),"",INDEX(B4388:B$2,-1+SUMPRODUCT(MAX(ROW(E4388:E$2)*(E4389=E4388:E$2)))))</f>
        <v> </v>
      </c>
      <c r="J4389" s="25" t="str">
        <f>IF(OR(E4389="",E4389="!!!",F4389="NEW"),"",COUNTBLANK(OFFSET(A$1,,,SUMPRODUCT(MAX(ROW(E$2:E4389)*(E4389=E$2:E4389)))))-COUNTBLANK(OFFSET(A$1,,,SUMPRODUCT(MAX(ROW(E$1:E4388)*(E2=E$1:E4388))))))</f>
        <v> </v>
      </c>
      <c r="K4389" s="25" t="str">
        <f>IF(OR(E4389="",E4389="!!!",F4389="NEW"),"",INDEX(J$1:J4388,SUMPRODUCT(MAX(ROW(E$1:E4388)*(E4389=E$1:E4388)))))</f>
        <v> </v>
      </c>
      <c r="L4389" s="26"/>
    </row>
    <row r="4390" spans="1:12">
      <c r="A4390" s="20" t="s">
        <v>694</v>
      </c>
      <c r="E4390" s="21">
        <f>IF(D4390="?OLD","!!!","")</f>
        <v/>
      </c>
      <c r="F4390" s="22" t="str">
        <f>IF(OR(E4390="",E4390="!!!"),"",IF(NOT(ISNA(VLOOKUP(E4390,E$1:E4389,1,FALSE()))),"OLD",IF(AND(E4390&lt;&gt;"",E4390&lt;&gt;"!!!"),"NEW","")))</f>
        <v> </v>
      </c>
      <c r="G4390" s="23" t="str">
        <f>IF(OR(E4390="",E4390="!!!"),"",IF(OR(J4390=0,AND(J4390=1,K4390=1),AND(J4390=1,I4390="SBJ"),AND(J4390=1,I4390=0)),"?IN_FOCUS",IF(J4390&lt;=2,"?ACTIVATED",IF(J4390&lt;&gt;"","?FAMILIAR",IF(F4390="NEW",IF(ISNA(VLOOKUP(E4390,#REF!,1,FALSE())),"?TYPE_IDENTIFIABLE","?REFERENTIAL"),"_")))))</f>
        <v> </v>
      </c>
      <c r="H4390" s="24" t="str">
        <f>IF(J4390&lt;&gt;1,"",IF(I4390="SBJ","CB","?"))</f>
        <v> </v>
      </c>
      <c r="I4390" s="25" t="str">
        <f>IF(OR(E4390="",E4390="!!!",F4390="NEW"),"",INDEX(B4389:B$2,-1+SUMPRODUCT(MAX(ROW(E4389:E$2)*(E4390=E4389:E$2)))))</f>
        <v> </v>
      </c>
      <c r="J4390" s="25" t="str">
        <f>IF(OR(E4390="",E4390="!!!",F4390="NEW"),"",COUNTBLANK(OFFSET(A$1,,,SUMPRODUCT(MAX(ROW(E$2:E4390)*(E4390=E$2:E4390)))))-COUNTBLANK(OFFSET(A$1,,,SUMPRODUCT(MAX(ROW(E$1:E4389)*(E2=E$1:E4389))))))</f>
        <v> </v>
      </c>
      <c r="K4390" s="25" t="str">
        <f>IF(OR(E4390="",E4390="!!!",F4390="NEW"),"",INDEX(J$1:J4389,SUMPRODUCT(MAX(ROW(E$1:E4389)*(E4390=E$1:E4389)))))</f>
        <v> </v>
      </c>
      <c r="L4390" s="26"/>
    </row>
    <row r="4391" spans="1:12">
      <c r="A4391" s="20" t="s">
        <v>683</v>
      </c>
      <c r="E4391" s="21">
        <f>IF(D4391="?OLD","!!!","")</f>
        <v/>
      </c>
      <c r="F4391" s="22" t="str">
        <f>IF(OR(E4391="",E4391="!!!"),"",IF(NOT(ISNA(VLOOKUP(E4391,E$1:E4390,1,FALSE()))),"OLD",IF(AND(E4391&lt;&gt;"",E4391&lt;&gt;"!!!"),"NEW","")))</f>
        <v> </v>
      </c>
      <c r="G4391" s="23" t="str">
        <f>IF(OR(E4391="",E4391="!!!"),"",IF(OR(J4391=0,AND(J4391=1,K4391=1),AND(J4391=1,I4391="SBJ"),AND(J4391=1,I4391=0)),"?IN_FOCUS",IF(J4391&lt;=2,"?ACTIVATED",IF(J4391&lt;&gt;"","?FAMILIAR",IF(F4391="NEW",IF(ISNA(VLOOKUP(E4391,#REF!,1,FALSE())),"?TYPE_IDENTIFIABLE","?REFERENTIAL"),"_")))))</f>
        <v> </v>
      </c>
      <c r="H4391" s="24" t="str">
        <f>IF(J4391&lt;&gt;1,"",IF(I4391="SBJ","CB","?"))</f>
        <v> </v>
      </c>
      <c r="I4391" s="25" t="str">
        <f>IF(OR(E4391="",E4391="!!!",F4391="NEW"),"",INDEX(B4390:B$2,-1+SUMPRODUCT(MAX(ROW(E4390:E$2)*(E4391=E4390:E$2)))))</f>
        <v> </v>
      </c>
      <c r="J4391" s="25" t="str">
        <f>IF(OR(E4391="",E4391="!!!",F4391="NEW"),"",COUNTBLANK(OFFSET(A$1,,,SUMPRODUCT(MAX(ROW(E$2:E4391)*(E4391=E$2:E4391)))))-COUNTBLANK(OFFSET(A$1,,,SUMPRODUCT(MAX(ROW(E$1:E4390)*(E2=E$1:E4390))))))</f>
        <v> </v>
      </c>
      <c r="K4391" s="25" t="str">
        <f>IF(OR(E4391="",E4391="!!!",F4391="NEW"),"",INDEX(J$1:J4390,SUMPRODUCT(MAX(ROW(E$1:E4390)*(E4391=E$1:E4390)))))</f>
        <v> </v>
      </c>
      <c r="L4391" s="26"/>
    </row>
    <row r="4392" spans="1:12">
      <c r="A4392" s="20" t="s">
        <v>734</v>
      </c>
      <c r="B4392" s="27" t="s">
        <v>791</v>
      </c>
      <c r="C4392" s="27" t="s">
        <v>686</v>
      </c>
      <c r="D4392" s="27" t="s">
        <v>687</v>
      </c>
      <c r="E4392" s="21">
        <f>IF(D4392="?OLD","!!!","")</f>
        <v/>
      </c>
      <c r="F4392" s="22" t="str">
        <f>IF(OR(E4392="",E4392="!!!"),"",IF(NOT(ISNA(VLOOKUP(E4392,E$1:E4391,1,FALSE()))),"OLD",IF(AND(E4392&lt;&gt;"",E4392&lt;&gt;"!!!"),"NEW","")))</f>
        <v> </v>
      </c>
      <c r="G4392" s="23" t="str">
        <f>IF(OR(E4392="",E4392="!!!"),"",IF(OR(J4392=0,AND(J4392=1,K4392=1),AND(J4392=1,I4392="SBJ"),AND(J4392=1,I4392=0)),"?IN_FOCUS",IF(J4392&lt;=2,"?ACTIVATED",IF(J4392&lt;&gt;"","?FAMILIAR",IF(F4392="NEW",IF(ISNA(VLOOKUP(E4392,#REF!,1,FALSE())),"?TYPE_IDENTIFIABLE","?REFERENTIAL"),"_")))))</f>
        <v> </v>
      </c>
      <c r="H4392" s="24" t="str">
        <f>IF(J4392&lt;&gt;1,"",IF(I4392="SBJ","CB","?"))</f>
        <v> </v>
      </c>
      <c r="I4392" s="25" t="str">
        <f>IF(OR(E4392="",E4392="!!!",F4392="NEW"),"",INDEX(B4391:B$2,-1+SUMPRODUCT(MAX(ROW(E4391:E$2)*(E4392=E4391:E$2)))))</f>
        <v> </v>
      </c>
      <c r="J4392" s="25" t="str">
        <f>IF(OR(E4392="",E4392="!!!",F4392="NEW"),"",COUNTBLANK(OFFSET(A$1,,,SUMPRODUCT(MAX(ROW(E$2:E4392)*(E4392=E$2:E4392)))))-COUNTBLANK(OFFSET(A$1,,,SUMPRODUCT(MAX(ROW(E$1:E4391)*(E2=E$1:E4391))))))</f>
        <v> </v>
      </c>
      <c r="K4392" s="25" t="str">
        <f>IF(OR(E4392="",E4392="!!!",F4392="NEW"),"",INDEX(J$1:J4391,SUMPRODUCT(MAX(ROW(E$1:E4391)*(E4392=E$1:E4391)))))</f>
        <v> </v>
      </c>
      <c r="L4392" s="26"/>
    </row>
    <row r="4393" spans="1:12">
      <c r="A4393" s="20" t="s">
        <v>698</v>
      </c>
      <c r="E4393" s="21">
        <f>IF(D4393="?OLD","!!!","")</f>
        <v/>
      </c>
      <c r="F4393" s="22" t="str">
        <f>IF(OR(E4393="",E4393="!!!"),"",IF(NOT(ISNA(VLOOKUP(E4393,E$1:E4392,1,FALSE()))),"OLD",IF(AND(E4393&lt;&gt;"",E4393&lt;&gt;"!!!"),"NEW","")))</f>
        <v> </v>
      </c>
      <c r="G4393" s="23" t="str">
        <f>IF(OR(E4393="",E4393="!!!"),"",IF(OR(J4393=0,AND(J4393=1,K4393=1),AND(J4393=1,I4393="SBJ"),AND(J4393=1,I4393=0)),"?IN_FOCUS",IF(J4393&lt;=2,"?ACTIVATED",IF(J4393&lt;&gt;"","?FAMILIAR",IF(F4393="NEW",IF(ISNA(VLOOKUP(E4393,#REF!,1,FALSE())),"?TYPE_IDENTIFIABLE","?REFERENTIAL"),"_")))))</f>
        <v> </v>
      </c>
      <c r="H4393" s="24" t="str">
        <f>IF(J4393&lt;&gt;1,"",IF(I4393="SBJ","CB","?"))</f>
        <v> </v>
      </c>
      <c r="I4393" s="25" t="str">
        <f>IF(OR(E4393="",E4393="!!!",F4393="NEW"),"",INDEX(B4392:B$2,-1+SUMPRODUCT(MAX(ROW(E4392:E$2)*(E4393=E4392:E$2)))))</f>
        <v> </v>
      </c>
      <c r="J4393" s="25" t="str">
        <f>IF(OR(E4393="",E4393="!!!",F4393="NEW"),"",COUNTBLANK(OFFSET(A$1,,,SUMPRODUCT(MAX(ROW(E$2:E4393)*(E4393=E$2:E4393)))))-COUNTBLANK(OFFSET(A$1,,,SUMPRODUCT(MAX(ROW(E$1:E4392)*(E2=E$1:E4392))))))</f>
        <v> </v>
      </c>
      <c r="K4393" s="25" t="str">
        <f>IF(OR(E4393="",E4393="!!!",F4393="NEW"),"",INDEX(J$1:J4392,SUMPRODUCT(MAX(ROW(E$1:E4392)*(E4393=E$1:E4392)))))</f>
        <v> </v>
      </c>
      <c r="L4393" s="26"/>
    </row>
    <row r="4394" spans="1:12">
      <c r="A4394" s="20"/>
    </row>
    <row r="4395" spans="1:12">
      <c r="A4395" s="20" t="s">
        <v>1981</v>
      </c>
    </row>
    <row r="4396" spans="1:12">
      <c r="A4396" s="20" t="s">
        <v>675</v>
      </c>
      <c r="E4396" s="21">
        <f>IF(D4396="?OLD","!!!","")</f>
        <v/>
      </c>
      <c r="F4396" s="22" t="str">
        <f>IF(OR(E4396="",E4396="!!!"),"",IF(NOT(ISNA(VLOOKUP(E4396,E$1:E4395,1,FALSE()))),"OLD",IF(AND(E4396&lt;&gt;"",E4396&lt;&gt;"!!!"),"NEW","")))</f>
        <v> </v>
      </c>
      <c r="G4396" s="23" t="str">
        <f>IF(OR(E4396="",E4396="!!!"),"",IF(OR(J4396=0,AND(J4396=1,K4396=1),AND(J4396=1,I4396="SBJ"),AND(J4396=1,I4396=0)),"?IN_FOCUS",IF(J4396&lt;=2,"?ACTIVATED",IF(J4396&lt;&gt;"","?FAMILIAR",IF(F4396="NEW",IF(ISNA(VLOOKUP(E4396,#REF!,1,FALSE())),"?TYPE_IDENTIFIABLE","?REFERENTIAL"),"_")))))</f>
        <v> </v>
      </c>
      <c r="H4396" s="24" t="str">
        <f>IF(J4396&lt;&gt;1,"",IF(I4396="SBJ","CB","?"))</f>
        <v> </v>
      </c>
      <c r="I4396" s="25" t="str">
        <f>IF(OR(E4396="",E4396="!!!",F4396="NEW"),"",INDEX(B4395:B$2,-1+SUMPRODUCT(MAX(ROW(E4395:E$2)*(E4396=E4395:E$2)))))</f>
        <v> </v>
      </c>
      <c r="J4396" s="25" t="str">
        <f>IF(OR(E4396="",E4396="!!!",F4396="NEW"),"",COUNTBLANK(OFFSET(A$1,,,SUMPRODUCT(MAX(ROW(E$2:E4396)*(E4396=E$2:E4396)))))-COUNTBLANK(OFFSET(A$1,,,SUMPRODUCT(MAX(ROW(E$1:E4395)*(E2=E$1:E4395))))))</f>
        <v> </v>
      </c>
      <c r="K4396" s="25" t="str">
        <f>IF(OR(E4396="",E4396="!!!",F4396="NEW"),"",INDEX(J$1:J4395,SUMPRODUCT(MAX(ROW(E$1:E4395)*(E4396=E$1:E4395)))))</f>
        <v> </v>
      </c>
      <c r="L4396" s="26"/>
    </row>
    <row r="4397" spans="1:12">
      <c r="A4397" s="20" t="s">
        <v>1740</v>
      </c>
      <c r="E4397" s="21">
        <f>IF(D4397="?OLD","!!!","")</f>
        <v/>
      </c>
      <c r="F4397" s="22" t="str">
        <f>IF(OR(E4397="",E4397="!!!"),"",IF(NOT(ISNA(VLOOKUP(E4397,E$1:E4396,1,FALSE()))),"OLD",IF(AND(E4397&lt;&gt;"",E4397&lt;&gt;"!!!"),"NEW","")))</f>
        <v> </v>
      </c>
      <c r="G4397" s="23" t="str">
        <f>IF(OR(E4397="",E4397="!!!"),"",IF(OR(J4397=0,AND(J4397=1,K4397=1),AND(J4397=1,I4397="SBJ"),AND(J4397=1,I4397=0)),"?IN_FOCUS",IF(J4397&lt;=2,"?ACTIVATED",IF(J4397&lt;&gt;"","?FAMILIAR",IF(F4397="NEW",IF(ISNA(VLOOKUP(E4397,#REF!,1,FALSE())),"?TYPE_IDENTIFIABLE","?REFERENTIAL"),"_")))))</f>
        <v> </v>
      </c>
      <c r="H4397" s="24" t="str">
        <f>IF(J4397&lt;&gt;1,"",IF(I4397="SBJ","CB","?"))</f>
        <v> </v>
      </c>
      <c r="I4397" s="25" t="str">
        <f>IF(OR(E4397="",E4397="!!!",F4397="NEW"),"",INDEX(B4396:B$2,-1+SUMPRODUCT(MAX(ROW(E4396:E$2)*(E4397=E4396:E$2)))))</f>
        <v> </v>
      </c>
      <c r="J4397" s="25" t="str">
        <f>IF(OR(E4397="",E4397="!!!",F4397="NEW"),"",COUNTBLANK(OFFSET(A$1,,,SUMPRODUCT(MAX(ROW(E$2:E4397)*(E4397=E$2:E4397)))))-COUNTBLANK(OFFSET(A$1,,,SUMPRODUCT(MAX(ROW(E$1:E4396)*(E2=E$1:E4396))))))</f>
        <v> </v>
      </c>
      <c r="K4397" s="25" t="str">
        <f>IF(OR(E4397="",E4397="!!!",F4397="NEW"),"",INDEX(J$1:J4396,SUMPRODUCT(MAX(ROW(E$1:E4396)*(E4397=E$1:E4396)))))</f>
        <v> </v>
      </c>
      <c r="L4397" s="26"/>
    </row>
    <row r="4398" spans="1:12">
      <c r="A4398" s="20" t="s">
        <v>682</v>
      </c>
      <c r="E4398" s="21">
        <f>IF(D4398="?OLD","!!!","")</f>
        <v/>
      </c>
      <c r="F4398" s="22" t="str">
        <f>IF(OR(E4398="",E4398="!!!"),"",IF(NOT(ISNA(VLOOKUP(E4398,E$1:E4397,1,FALSE()))),"OLD",IF(AND(E4398&lt;&gt;"",E4398&lt;&gt;"!!!"),"NEW","")))</f>
        <v> </v>
      </c>
      <c r="G4398" s="23" t="str">
        <f>IF(OR(E4398="",E4398="!!!"),"",IF(OR(J4398=0,AND(J4398=1,K4398=1),AND(J4398=1,I4398="SBJ"),AND(J4398=1,I4398=0)),"?IN_FOCUS",IF(J4398&lt;=2,"?ACTIVATED",IF(J4398&lt;&gt;"","?FAMILIAR",IF(F4398="NEW",IF(ISNA(VLOOKUP(E4398,#REF!,1,FALSE())),"?TYPE_IDENTIFIABLE","?REFERENTIAL"),"_")))))</f>
        <v> </v>
      </c>
      <c r="H4398" s="24" t="str">
        <f>IF(J4398&lt;&gt;1,"",IF(I4398="SBJ","CB","?"))</f>
        <v> </v>
      </c>
      <c r="I4398" s="25" t="str">
        <f>IF(OR(E4398="",E4398="!!!",F4398="NEW"),"",INDEX(B4397:B$2,-1+SUMPRODUCT(MAX(ROW(E4397:E$2)*(E4398=E4397:E$2)))))</f>
        <v> </v>
      </c>
      <c r="J4398" s="25" t="str">
        <f>IF(OR(E4398="",E4398="!!!",F4398="NEW"),"",COUNTBLANK(OFFSET(A$1,,,SUMPRODUCT(MAX(ROW(E$2:E4398)*(E4398=E$2:E4398)))))-COUNTBLANK(OFFSET(A$1,,,SUMPRODUCT(MAX(ROW(E$1:E4397)*(E2=E$1:E4397))))))</f>
        <v> </v>
      </c>
      <c r="K4398" s="25" t="str">
        <f>IF(OR(E4398="",E4398="!!!",F4398="NEW"),"",INDEX(J$1:J4397,SUMPRODUCT(MAX(ROW(E$1:E4397)*(E4398=E$1:E4397)))))</f>
        <v> </v>
      </c>
      <c r="L4398" s="26"/>
    </row>
    <row r="4399" spans="1:12">
      <c r="A4399" s="20" t="s">
        <v>1982</v>
      </c>
      <c r="E4399" s="21">
        <f>IF(D4399="?OLD","!!!","")</f>
        <v/>
      </c>
      <c r="F4399" s="22" t="str">
        <f>IF(OR(E4399="",E4399="!!!"),"",IF(NOT(ISNA(VLOOKUP(E4399,E$1:E4398,1,FALSE()))),"OLD",IF(AND(E4399&lt;&gt;"",E4399&lt;&gt;"!!!"),"NEW","")))</f>
        <v> </v>
      </c>
      <c r="G4399" s="23" t="str">
        <f>IF(OR(E4399="",E4399="!!!"),"",IF(OR(J4399=0,AND(J4399=1,K4399=1),AND(J4399=1,I4399="SBJ"),AND(J4399=1,I4399=0)),"?IN_FOCUS",IF(J4399&lt;=2,"?ACTIVATED",IF(J4399&lt;&gt;"","?FAMILIAR",IF(F4399="NEW",IF(ISNA(VLOOKUP(E4399,#REF!,1,FALSE())),"?TYPE_IDENTIFIABLE","?REFERENTIAL"),"_")))))</f>
        <v> </v>
      </c>
      <c r="H4399" s="24" t="str">
        <f>IF(J4399&lt;&gt;1,"",IF(I4399="SBJ","CB","?"))</f>
        <v> </v>
      </c>
      <c r="I4399" s="25" t="str">
        <f>IF(OR(E4399="",E4399="!!!",F4399="NEW"),"",INDEX(B4398:B$2,-1+SUMPRODUCT(MAX(ROW(E4398:E$2)*(E4399=E4398:E$2)))))</f>
        <v> </v>
      </c>
      <c r="J4399" s="25" t="str">
        <f>IF(OR(E4399="",E4399="!!!",F4399="NEW"),"",COUNTBLANK(OFFSET(A$1,,,SUMPRODUCT(MAX(ROW(E$2:E4399)*(E4399=E$2:E4399)))))-COUNTBLANK(OFFSET(A$1,,,SUMPRODUCT(MAX(ROW(E$1:E4398)*(E2=E$1:E4398))))))</f>
        <v> </v>
      </c>
      <c r="K4399" s="25" t="str">
        <f>IF(OR(E4399="",E4399="!!!",F4399="NEW"),"",INDEX(J$1:J4398,SUMPRODUCT(MAX(ROW(E$1:E4398)*(E4399=E$1:E4398)))))</f>
        <v> </v>
      </c>
      <c r="L4399" s="26"/>
    </row>
    <row r="4400" spans="1:12">
      <c r="A4400" s="20" t="s">
        <v>683</v>
      </c>
      <c r="E4400" s="21">
        <f>IF(D4400="?OLD","!!!","")</f>
        <v/>
      </c>
      <c r="F4400" s="22" t="str">
        <f>IF(OR(E4400="",E4400="!!!"),"",IF(NOT(ISNA(VLOOKUP(E4400,E$1:E4399,1,FALSE()))),"OLD",IF(AND(E4400&lt;&gt;"",E4400&lt;&gt;"!!!"),"NEW","")))</f>
        <v> </v>
      </c>
      <c r="G4400" s="23" t="str">
        <f>IF(OR(E4400="",E4400="!!!"),"",IF(OR(J4400=0,AND(J4400=1,K4400=1),AND(J4400=1,I4400="SBJ"),AND(J4400=1,I4400=0)),"?IN_FOCUS",IF(J4400&lt;=2,"?ACTIVATED",IF(J4400&lt;&gt;"","?FAMILIAR",IF(F4400="NEW",IF(ISNA(VLOOKUP(E4400,#REF!,1,FALSE())),"?TYPE_IDENTIFIABLE","?REFERENTIAL"),"_")))))</f>
        <v> </v>
      </c>
      <c r="H4400" s="24" t="str">
        <f>IF(J4400&lt;&gt;1,"",IF(I4400="SBJ","CB","?"))</f>
        <v> </v>
      </c>
      <c r="I4400" s="25" t="str">
        <f>IF(OR(E4400="",E4400="!!!",F4400="NEW"),"",INDEX(B4399:B$2,-1+SUMPRODUCT(MAX(ROW(E4399:E$2)*(E4400=E4399:E$2)))))</f>
        <v> </v>
      </c>
      <c r="J4400" s="25" t="str">
        <f>IF(OR(E4400="",E4400="!!!",F4400="NEW"),"",COUNTBLANK(OFFSET(A$1,,,SUMPRODUCT(MAX(ROW(E$2:E4400)*(E4400=E$2:E4400)))))-COUNTBLANK(OFFSET(A$1,,,SUMPRODUCT(MAX(ROW(E$1:E4399)*(E2=E$1:E4399))))))</f>
        <v> </v>
      </c>
      <c r="K4400" s="25" t="str">
        <f>IF(OR(E4400="",E4400="!!!",F4400="NEW"),"",INDEX(J$1:J4399,SUMPRODUCT(MAX(ROW(E$1:E4399)*(E4400=E$1:E4399)))))</f>
        <v> </v>
      </c>
      <c r="L4400" s="26"/>
    </row>
    <row r="4401" spans="1:12">
      <c r="A4401" s="20" t="s">
        <v>306</v>
      </c>
      <c r="E4401" s="21">
        <f>IF(D4401="?OLD","!!!","")</f>
        <v/>
      </c>
      <c r="F4401" s="22" t="str">
        <f>IF(OR(E4401="",E4401="!!!"),"",IF(NOT(ISNA(VLOOKUP(E4401,E$1:E4400,1,FALSE()))),"OLD",IF(AND(E4401&lt;&gt;"",E4401&lt;&gt;"!!!"),"NEW","")))</f>
        <v> </v>
      </c>
      <c r="G4401" s="23" t="str">
        <f>IF(OR(E4401="",E4401="!!!"),"",IF(OR(J4401=0,AND(J4401=1,K4401=1),AND(J4401=1,I4401="SBJ"),AND(J4401=1,I4401=0)),"?IN_FOCUS",IF(J4401&lt;=2,"?ACTIVATED",IF(J4401&lt;&gt;"","?FAMILIAR",IF(F4401="NEW",IF(ISNA(VLOOKUP(E4401,#REF!,1,FALSE())),"?TYPE_IDENTIFIABLE","?REFERENTIAL"),"_")))))</f>
        <v> </v>
      </c>
      <c r="H4401" s="24" t="str">
        <f>IF(J4401&lt;&gt;1,"",IF(I4401="SBJ","CB","?"))</f>
        <v> </v>
      </c>
      <c r="I4401" s="25" t="str">
        <f>IF(OR(E4401="",E4401="!!!",F4401="NEW"),"",INDEX(B4400:B$2,-1+SUMPRODUCT(MAX(ROW(E4400:E$2)*(E4401=E4400:E$2)))))</f>
        <v> </v>
      </c>
      <c r="J4401" s="25" t="str">
        <f>IF(OR(E4401="",E4401="!!!",F4401="NEW"),"",COUNTBLANK(OFFSET(A$1,,,SUMPRODUCT(MAX(ROW(E$2:E4401)*(E4401=E$2:E4401)))))-COUNTBLANK(OFFSET(A$1,,,SUMPRODUCT(MAX(ROW(E$1:E4400)*(E2=E$1:E4400))))))</f>
        <v> </v>
      </c>
      <c r="K4401" s="25" t="str">
        <f>IF(OR(E4401="",E4401="!!!",F4401="NEW"),"",INDEX(J$1:J4400,SUMPRODUCT(MAX(ROW(E$1:E4400)*(E4401=E$1:E4400)))))</f>
        <v> </v>
      </c>
      <c r="L4401" s="26"/>
    </row>
    <row r="4402" spans="1:12">
      <c r="A4402" s="20" t="s">
        <v>1983</v>
      </c>
      <c r="B4402" s="27" t="s">
        <v>696</v>
      </c>
      <c r="C4402" s="27" t="s">
        <v>686</v>
      </c>
      <c r="D4402" s="27" t="s">
        <v>687</v>
      </c>
      <c r="E4402" s="21">
        <f>IF(D4402="?OLD","!!!","")</f>
        <v/>
      </c>
      <c r="F4402" s="22" t="str">
        <f>IF(OR(E4402="",E4402="!!!"),"",IF(NOT(ISNA(VLOOKUP(E4402,E$1:E4401,1,FALSE()))),"OLD",IF(AND(E4402&lt;&gt;"",E4402&lt;&gt;"!!!"),"NEW","")))</f>
        <v> </v>
      </c>
      <c r="G4402" s="23" t="str">
        <f>IF(OR(E4402="",E4402="!!!"),"",IF(OR(J4402=0,AND(J4402=1,K4402=1),AND(J4402=1,I4402="SBJ"),AND(J4402=1,I4402=0)),"?IN_FOCUS",IF(J4402&lt;=2,"?ACTIVATED",IF(J4402&lt;&gt;"","?FAMILIAR",IF(F4402="NEW",IF(ISNA(VLOOKUP(E4402,#REF!,1,FALSE())),"?TYPE_IDENTIFIABLE","?REFERENTIAL"),"_")))))</f>
        <v> </v>
      </c>
      <c r="H4402" s="24" t="str">
        <f>IF(J4402&lt;&gt;1,"",IF(I4402="SBJ","CB","?"))</f>
        <v> </v>
      </c>
      <c r="I4402" s="25" t="str">
        <f>IF(OR(E4402="",E4402="!!!",F4402="NEW"),"",INDEX(B4401:B$2,-1+SUMPRODUCT(MAX(ROW(E4401:E$2)*(E4402=E4401:E$2)))))</f>
        <v> </v>
      </c>
      <c r="J4402" s="25" t="str">
        <f>IF(OR(E4402="",E4402="!!!",F4402="NEW"),"",COUNTBLANK(OFFSET(A$1,,,SUMPRODUCT(MAX(ROW(E$2:E4402)*(E4402=E$2:E4402)))))-COUNTBLANK(OFFSET(A$1,,,SUMPRODUCT(MAX(ROW(E$1:E4401)*(E2=E$1:E4401))))))</f>
        <v> </v>
      </c>
      <c r="K4402" s="25" t="str">
        <f>IF(OR(E4402="",E4402="!!!",F4402="NEW"),"",INDEX(J$1:J4401,SUMPRODUCT(MAX(ROW(E$1:E4401)*(E4402=E$1:E4401)))))</f>
        <v> </v>
      </c>
      <c r="L4402" s="26"/>
    </row>
    <row r="4403" spans="1:12">
      <c r="A4403" s="20" t="s">
        <v>732</v>
      </c>
      <c r="B4403" s="27" t="s">
        <v>821</v>
      </c>
      <c r="E4403" s="21">
        <f>IF(D4403="?OLD","!!!","")</f>
        <v/>
      </c>
      <c r="F4403" s="22" t="str">
        <f>IF(OR(E4403="",E4403="!!!"),"",IF(NOT(ISNA(VLOOKUP(E4403,E$1:E4402,1,FALSE()))),"OLD",IF(AND(E4403&lt;&gt;"",E4403&lt;&gt;"!!!"),"NEW","")))</f>
        <v> </v>
      </c>
      <c r="G4403" s="23" t="str">
        <f>IF(OR(E4403="",E4403="!!!"),"",IF(OR(J4403=0,AND(J4403=1,K4403=1),AND(J4403=1,I4403="SBJ"),AND(J4403=1,I4403=0)),"?IN_FOCUS",IF(J4403&lt;=2,"?ACTIVATED",IF(J4403&lt;&gt;"","?FAMILIAR",IF(F4403="NEW",IF(ISNA(VLOOKUP(E4403,#REF!,1,FALSE())),"?TYPE_IDENTIFIABLE","?REFERENTIAL"),"_")))))</f>
        <v> </v>
      </c>
      <c r="H4403" s="24" t="str">
        <f>IF(J4403&lt;&gt;1,"",IF(I4403="SBJ","CB","?"))</f>
        <v> </v>
      </c>
      <c r="I4403" s="25" t="str">
        <f>IF(OR(E4403="",E4403="!!!",F4403="NEW"),"",INDEX(B4402:B$2,-1+SUMPRODUCT(MAX(ROW(E4402:E$2)*(E4403=E4402:E$2)))))</f>
        <v> </v>
      </c>
      <c r="J4403" s="25" t="str">
        <f>IF(OR(E4403="",E4403="!!!",F4403="NEW"),"",COUNTBLANK(OFFSET(A$1,,,SUMPRODUCT(MAX(ROW(E$2:E4403)*(E4403=E$2:E4403)))))-COUNTBLANK(OFFSET(A$1,,,SUMPRODUCT(MAX(ROW(E$1:E4402)*(E2=E$1:E4402))))))</f>
        <v> </v>
      </c>
      <c r="K4403" s="25" t="str">
        <f>IF(OR(E4403="",E4403="!!!",F4403="NEW"),"",INDEX(J$1:J4402,SUMPRODUCT(MAX(ROW(E$1:E4402)*(E4403=E$1:E4402)))))</f>
        <v> </v>
      </c>
      <c r="L4403" s="26"/>
    </row>
    <row r="4404" spans="1:12">
      <c r="A4404" s="20" t="s">
        <v>750</v>
      </c>
      <c r="E4404" s="21">
        <f>IF(D4404="?OLD","!!!","")</f>
        <v/>
      </c>
      <c r="F4404" s="22" t="str">
        <f>IF(OR(E4404="",E4404="!!!"),"",IF(NOT(ISNA(VLOOKUP(E4404,E$1:E4403,1,FALSE()))),"OLD",IF(AND(E4404&lt;&gt;"",E4404&lt;&gt;"!!!"),"NEW","")))</f>
        <v> </v>
      </c>
      <c r="G4404" s="23" t="str">
        <f>IF(OR(E4404="",E4404="!!!"),"",IF(OR(J4404=0,AND(J4404=1,K4404=1),AND(J4404=1,I4404="SBJ"),AND(J4404=1,I4404=0)),"?IN_FOCUS",IF(J4404&lt;=2,"?ACTIVATED",IF(J4404&lt;&gt;"","?FAMILIAR",IF(F4404="NEW",IF(ISNA(VLOOKUP(E4404,#REF!,1,FALSE())),"?TYPE_IDENTIFIABLE","?REFERENTIAL"),"_")))))</f>
        <v> </v>
      </c>
      <c r="H4404" s="24" t="str">
        <f>IF(J4404&lt;&gt;1,"",IF(I4404="SBJ","CB","?"))</f>
        <v> </v>
      </c>
      <c r="I4404" s="25" t="str">
        <f>IF(OR(E4404="",E4404="!!!",F4404="NEW"),"",INDEX(B4403:B$2,-1+SUMPRODUCT(MAX(ROW(E4403:E$2)*(E4404=E4403:E$2)))))</f>
        <v> </v>
      </c>
      <c r="J4404" s="25" t="str">
        <f>IF(OR(E4404="",E4404="!!!",F4404="NEW"),"",COUNTBLANK(OFFSET(A$1,,,SUMPRODUCT(MAX(ROW(E$2:E4404)*(E4404=E$2:E4404)))))-COUNTBLANK(OFFSET(A$1,,,SUMPRODUCT(MAX(ROW(E$1:E4403)*(E2=E$1:E4403))))))</f>
        <v> </v>
      </c>
      <c r="K4404" s="25" t="str">
        <f>IF(OR(E4404="",E4404="!!!",F4404="NEW"),"",INDEX(J$1:J4403,SUMPRODUCT(MAX(ROW(E$1:E4403)*(E4404=E$1:E4403)))))</f>
        <v> </v>
      </c>
      <c r="L4404" s="26"/>
    </row>
    <row r="4405" spans="1:12">
      <c r="A4405" s="20" t="s">
        <v>1984</v>
      </c>
      <c r="E4405" s="21">
        <f>IF(D4405="?OLD","!!!","")</f>
        <v/>
      </c>
      <c r="F4405" s="22" t="str">
        <f>IF(OR(E4405="",E4405="!!!"),"",IF(NOT(ISNA(VLOOKUP(E4405,E$1:E4404,1,FALSE()))),"OLD",IF(AND(E4405&lt;&gt;"",E4405&lt;&gt;"!!!"),"NEW","")))</f>
        <v> </v>
      </c>
      <c r="G4405" s="23" t="str">
        <f>IF(OR(E4405="",E4405="!!!"),"",IF(OR(J4405=0,AND(J4405=1,K4405=1),AND(J4405=1,I4405="SBJ"),AND(J4405=1,I4405=0)),"?IN_FOCUS",IF(J4405&lt;=2,"?ACTIVATED",IF(J4405&lt;&gt;"","?FAMILIAR",IF(F4405="NEW",IF(ISNA(VLOOKUP(E4405,#REF!,1,FALSE())),"?TYPE_IDENTIFIABLE","?REFERENTIAL"),"_")))))</f>
        <v> </v>
      </c>
      <c r="H4405" s="24" t="str">
        <f>IF(J4405&lt;&gt;1,"",IF(I4405="SBJ","CB","?"))</f>
        <v> </v>
      </c>
      <c r="I4405" s="25" t="str">
        <f>IF(OR(E4405="",E4405="!!!",F4405="NEW"),"",INDEX(B4404:B$2,-1+SUMPRODUCT(MAX(ROW(E4404:E$2)*(E4405=E4404:E$2)))))</f>
        <v> </v>
      </c>
      <c r="J4405" s="25" t="str">
        <f>IF(OR(E4405="",E4405="!!!",F4405="NEW"),"",COUNTBLANK(OFFSET(A$1,,,SUMPRODUCT(MAX(ROW(E$2:E4405)*(E4405=E$2:E4405)))))-COUNTBLANK(OFFSET(A$1,,,SUMPRODUCT(MAX(ROW(E$1:E4404)*(E2=E$1:E4404))))))</f>
        <v> </v>
      </c>
      <c r="K4405" s="25" t="str">
        <f>IF(OR(E4405="",E4405="!!!",F4405="NEW"),"",INDEX(J$1:J4404,SUMPRODUCT(MAX(ROW(E$1:E4404)*(E4405=E$1:E4404)))))</f>
        <v> </v>
      </c>
      <c r="L4405" s="26"/>
    </row>
    <row r="4406" spans="1:12">
      <c r="A4406" s="20" t="s">
        <v>682</v>
      </c>
      <c r="E4406" s="21">
        <f>IF(D4406="?OLD","!!!","")</f>
        <v/>
      </c>
      <c r="F4406" s="22" t="str">
        <f>IF(OR(E4406="",E4406="!!!"),"",IF(NOT(ISNA(VLOOKUP(E4406,E$1:E4405,1,FALSE()))),"OLD",IF(AND(E4406&lt;&gt;"",E4406&lt;&gt;"!!!"),"NEW","")))</f>
        <v> </v>
      </c>
      <c r="G4406" s="23" t="str">
        <f>IF(OR(E4406="",E4406="!!!"),"",IF(OR(J4406=0,AND(J4406=1,K4406=1),AND(J4406=1,I4406="SBJ"),AND(J4406=1,I4406=0)),"?IN_FOCUS",IF(J4406&lt;=2,"?ACTIVATED",IF(J4406&lt;&gt;"","?FAMILIAR",IF(F4406="NEW",IF(ISNA(VLOOKUP(E4406,#REF!,1,FALSE())),"?TYPE_IDENTIFIABLE","?REFERENTIAL"),"_")))))</f>
        <v> </v>
      </c>
      <c r="H4406" s="24" t="str">
        <f>IF(J4406&lt;&gt;1,"",IF(I4406="SBJ","CB","?"))</f>
        <v> </v>
      </c>
      <c r="I4406" s="25" t="str">
        <f>IF(OR(E4406="",E4406="!!!",F4406="NEW"),"",INDEX(B4405:B$2,-1+SUMPRODUCT(MAX(ROW(E4405:E$2)*(E4406=E4405:E$2)))))</f>
        <v> </v>
      </c>
      <c r="J4406" s="25" t="str">
        <f>IF(OR(E4406="",E4406="!!!",F4406="NEW"),"",COUNTBLANK(OFFSET(A$1,,,SUMPRODUCT(MAX(ROW(E$2:E4406)*(E4406=E$2:E4406)))))-COUNTBLANK(OFFSET(A$1,,,SUMPRODUCT(MAX(ROW(E$1:E4405)*(E2=E$1:E4405))))))</f>
        <v> </v>
      </c>
      <c r="K4406" s="25" t="str">
        <f>IF(OR(E4406="",E4406="!!!",F4406="NEW"),"",INDEX(J$1:J4405,SUMPRODUCT(MAX(ROW(E$1:E4405)*(E4406=E$1:E4405)))))</f>
        <v> </v>
      </c>
      <c r="L4406" s="26"/>
    </row>
    <row r="4407" spans="1:12">
      <c r="A4407" s="20" t="s">
        <v>747</v>
      </c>
      <c r="B4407" s="27" t="s">
        <v>685</v>
      </c>
      <c r="C4407" s="27" t="s">
        <v>749</v>
      </c>
      <c r="D4407" s="27" t="s">
        <v>687</v>
      </c>
      <c r="E4407" s="21">
        <f>IF(D4407="?OLD","!!!","")</f>
        <v/>
      </c>
      <c r="F4407" s="22" t="str">
        <f>IF(OR(E4407="",E4407="!!!"),"",IF(NOT(ISNA(VLOOKUP(E4407,E$1:E4406,1,FALSE()))),"OLD",IF(AND(E4407&lt;&gt;"",E4407&lt;&gt;"!!!"),"NEW","")))</f>
        <v> </v>
      </c>
      <c r="G4407" s="23" t="str">
        <f>IF(OR(E4407="",E4407="!!!"),"",IF(OR(J4407=0,AND(J4407=1,K4407=1),AND(J4407=1,I4407="SBJ"),AND(J4407=1,I4407=0)),"?IN_FOCUS",IF(J4407&lt;=2,"?ACTIVATED",IF(J4407&lt;&gt;"","?FAMILIAR",IF(F4407="NEW",IF(ISNA(VLOOKUP(E4407,#REF!,1,FALSE())),"?TYPE_IDENTIFIABLE","?REFERENTIAL"),"_")))))</f>
        <v> </v>
      </c>
      <c r="H4407" s="24" t="str">
        <f>IF(J4407&lt;&gt;1,"",IF(I4407="SBJ","CB","?"))</f>
        <v> </v>
      </c>
      <c r="I4407" s="25" t="str">
        <f>IF(OR(E4407="",E4407="!!!",F4407="NEW"),"",INDEX(B4406:B$2,-1+SUMPRODUCT(MAX(ROW(E4406:E$2)*(E4407=E4406:E$2)))))</f>
        <v> </v>
      </c>
      <c r="J4407" s="25" t="str">
        <f>IF(OR(E4407="",E4407="!!!",F4407="NEW"),"",COUNTBLANK(OFFSET(A$1,,,SUMPRODUCT(MAX(ROW(E$2:E4407)*(E4407=E$2:E4407)))))-COUNTBLANK(OFFSET(A$1,,,SUMPRODUCT(MAX(ROW(E$1:E4406)*(E2=E$1:E4406))))))</f>
        <v> </v>
      </c>
      <c r="K4407" s="25" t="str">
        <f>IF(OR(E4407="",E4407="!!!",F4407="NEW"),"",INDEX(J$1:J4406,SUMPRODUCT(MAX(ROW(E$1:E4406)*(E4407=E$1:E4406)))))</f>
        <v> </v>
      </c>
      <c r="L4407" s="26"/>
    </row>
    <row r="4408" spans="1:12">
      <c r="A4408" s="20" t="s">
        <v>1310</v>
      </c>
      <c r="E4408" s="21">
        <f>IF(D4408="?OLD","!!!","")</f>
        <v/>
      </c>
      <c r="F4408" s="22" t="str">
        <f>IF(OR(E4408="",E4408="!!!"),"",IF(NOT(ISNA(VLOOKUP(E4408,E$1:E4407,1,FALSE()))),"OLD",IF(AND(E4408&lt;&gt;"",E4408&lt;&gt;"!!!"),"NEW","")))</f>
        <v> </v>
      </c>
      <c r="G4408" s="23" t="str">
        <f>IF(OR(E4408="",E4408="!!!"),"",IF(OR(J4408=0,AND(J4408=1,K4408=1),AND(J4408=1,I4408="SBJ"),AND(J4408=1,I4408=0)),"?IN_FOCUS",IF(J4408&lt;=2,"?ACTIVATED",IF(J4408&lt;&gt;"","?FAMILIAR",IF(F4408="NEW",IF(ISNA(VLOOKUP(E4408,#REF!,1,FALSE())),"?TYPE_IDENTIFIABLE","?REFERENTIAL"),"_")))))</f>
        <v> </v>
      </c>
      <c r="H4408" s="24" t="str">
        <f>IF(J4408&lt;&gt;1,"",IF(I4408="SBJ","CB","?"))</f>
        <v> </v>
      </c>
      <c r="I4408" s="25" t="str">
        <f>IF(OR(E4408="",E4408="!!!",F4408="NEW"),"",INDEX(B4407:B$2,-1+SUMPRODUCT(MAX(ROW(E4407:E$2)*(E4408=E4407:E$2)))))</f>
        <v> </v>
      </c>
      <c r="J4408" s="25" t="str">
        <f>IF(OR(E4408="",E4408="!!!",F4408="NEW"),"",COUNTBLANK(OFFSET(A$1,,,SUMPRODUCT(MAX(ROW(E$2:E4408)*(E4408=E$2:E4408)))))-COUNTBLANK(OFFSET(A$1,,,SUMPRODUCT(MAX(ROW(E$1:E4407)*(E2=E$1:E4407))))))</f>
        <v> </v>
      </c>
      <c r="K4408" s="25" t="str">
        <f>IF(OR(E4408="",E4408="!!!",F4408="NEW"),"",INDEX(J$1:J4407,SUMPRODUCT(MAX(ROW(E$1:E4407)*(E4408=E$1:E4407)))))</f>
        <v> </v>
      </c>
      <c r="L4408" s="26"/>
    </row>
    <row r="4409" spans="1:12">
      <c r="A4409" s="20" t="s">
        <v>732</v>
      </c>
      <c r="E4409" s="21">
        <f>IF(D4409="?OLD","!!!","")</f>
        <v/>
      </c>
      <c r="F4409" s="22" t="str">
        <f>IF(OR(E4409="",E4409="!!!"),"",IF(NOT(ISNA(VLOOKUP(E4409,E$1:E4408,1,FALSE()))),"OLD",IF(AND(E4409&lt;&gt;"",E4409&lt;&gt;"!!!"),"NEW","")))</f>
        <v> </v>
      </c>
      <c r="G4409" s="23" t="str">
        <f>IF(OR(E4409="",E4409="!!!"),"",IF(OR(J4409=0,AND(J4409=1,K4409=1),AND(J4409=1,I4409="SBJ"),AND(J4409=1,I4409=0)),"?IN_FOCUS",IF(J4409&lt;=2,"?ACTIVATED",IF(J4409&lt;&gt;"","?FAMILIAR",IF(F4409="NEW",IF(ISNA(VLOOKUP(E4409,#REF!,1,FALSE())),"?TYPE_IDENTIFIABLE","?REFERENTIAL"),"_")))))</f>
        <v> </v>
      </c>
      <c r="H4409" s="24" t="str">
        <f>IF(J4409&lt;&gt;1,"",IF(I4409="SBJ","CB","?"))</f>
        <v> </v>
      </c>
      <c r="I4409" s="25" t="str">
        <f>IF(OR(E4409="",E4409="!!!",F4409="NEW"),"",INDEX(B4408:B$2,-1+SUMPRODUCT(MAX(ROW(E4408:E$2)*(E4409=E4408:E$2)))))</f>
        <v> </v>
      </c>
      <c r="J4409" s="25" t="str">
        <f>IF(OR(E4409="",E4409="!!!",F4409="NEW"),"",COUNTBLANK(OFFSET(A$1,,,SUMPRODUCT(MAX(ROW(E$2:E4409)*(E4409=E$2:E4409)))))-COUNTBLANK(OFFSET(A$1,,,SUMPRODUCT(MAX(ROW(E$1:E4408)*(E2=E$1:E4408))))))</f>
        <v> </v>
      </c>
      <c r="K4409" s="25" t="str">
        <f>IF(OR(E4409="",E4409="!!!",F4409="NEW"),"",INDEX(J$1:J4408,SUMPRODUCT(MAX(ROW(E$1:E4408)*(E4409=E$1:E4408)))))</f>
        <v> </v>
      </c>
      <c r="L4409" s="26"/>
    </row>
    <row r="4410" spans="1:12">
      <c r="A4410" s="20" t="s">
        <v>782</v>
      </c>
      <c r="E4410" s="21">
        <f>IF(D4410="?OLD","!!!","")</f>
        <v/>
      </c>
      <c r="F4410" s="22" t="str">
        <f>IF(OR(E4410="",E4410="!!!"),"",IF(NOT(ISNA(VLOOKUP(E4410,E$1:E4409,1,FALSE()))),"OLD",IF(AND(E4410&lt;&gt;"",E4410&lt;&gt;"!!!"),"NEW","")))</f>
        <v> </v>
      </c>
      <c r="G4410" s="23" t="str">
        <f>IF(OR(E4410="",E4410="!!!"),"",IF(OR(J4410=0,AND(J4410=1,K4410=1),AND(J4410=1,I4410="SBJ"),AND(J4410=1,I4410=0)),"?IN_FOCUS",IF(J4410&lt;=2,"?ACTIVATED",IF(J4410&lt;&gt;"","?FAMILIAR",IF(F4410="NEW",IF(ISNA(VLOOKUP(E4410,#REF!,1,FALSE())),"?TYPE_IDENTIFIABLE","?REFERENTIAL"),"_")))))</f>
        <v> </v>
      </c>
      <c r="H4410" s="24" t="str">
        <f>IF(J4410&lt;&gt;1,"",IF(I4410="SBJ","CB","?"))</f>
        <v> </v>
      </c>
      <c r="I4410" s="25" t="str">
        <f>IF(OR(E4410="",E4410="!!!",F4410="NEW"),"",INDEX(B4409:B$2,-1+SUMPRODUCT(MAX(ROW(E4409:E$2)*(E4410=E4409:E$2)))))</f>
        <v> </v>
      </c>
      <c r="J4410" s="25" t="str">
        <f>IF(OR(E4410="",E4410="!!!",F4410="NEW"),"",COUNTBLANK(OFFSET(A$1,,,SUMPRODUCT(MAX(ROW(E$2:E4410)*(E4410=E$2:E4410)))))-COUNTBLANK(OFFSET(A$1,,,SUMPRODUCT(MAX(ROW(E$1:E4409)*(E2=E$1:E4409))))))</f>
        <v> </v>
      </c>
      <c r="K4410" s="25" t="str">
        <f>IF(OR(E4410="",E4410="!!!",F4410="NEW"),"",INDEX(J$1:J4409,SUMPRODUCT(MAX(ROW(E$1:E4409)*(E4410=E$1:E4409)))))</f>
        <v> </v>
      </c>
      <c r="L4410" s="26"/>
    </row>
    <row r="4411" spans="1:12">
      <c r="A4411" s="20" t="s">
        <v>1203</v>
      </c>
      <c r="B4411" s="27" t="s">
        <v>807</v>
      </c>
      <c r="C4411" s="27" t="s">
        <v>749</v>
      </c>
      <c r="D4411" s="27" t="s">
        <v>687</v>
      </c>
      <c r="E4411" s="21">
        <f>IF(D4411="?OLD","!!!","")</f>
        <v/>
      </c>
      <c r="F4411" s="22" t="str">
        <f>IF(OR(E4411="",E4411="!!!"),"",IF(NOT(ISNA(VLOOKUP(E4411,E$1:E4410,1,FALSE()))),"OLD",IF(AND(E4411&lt;&gt;"",E4411&lt;&gt;"!!!"),"NEW","")))</f>
        <v> </v>
      </c>
      <c r="G4411" s="23" t="str">
        <f>IF(OR(E4411="",E4411="!!!"),"",IF(OR(J4411=0,AND(J4411=1,K4411=1),AND(J4411=1,I4411="SBJ"),AND(J4411=1,I4411=0)),"?IN_FOCUS",IF(J4411&lt;=2,"?ACTIVATED",IF(J4411&lt;&gt;"","?FAMILIAR",IF(F4411="NEW",IF(ISNA(VLOOKUP(E4411,#REF!,1,FALSE())),"?TYPE_IDENTIFIABLE","?REFERENTIAL"),"_")))))</f>
        <v> </v>
      </c>
      <c r="H4411" s="24" t="str">
        <f>IF(J4411&lt;&gt;1,"",IF(I4411="SBJ","CB","?"))</f>
        <v> </v>
      </c>
      <c r="I4411" s="25" t="str">
        <f>IF(OR(E4411="",E4411="!!!",F4411="NEW"),"",INDEX(B4410:B$2,-1+SUMPRODUCT(MAX(ROW(E4410:E$2)*(E4411=E4410:E$2)))))</f>
        <v> </v>
      </c>
      <c r="J4411" s="25" t="str">
        <f>IF(OR(E4411="",E4411="!!!",F4411="NEW"),"",COUNTBLANK(OFFSET(A$1,,,SUMPRODUCT(MAX(ROW(E$2:E4411)*(E4411=E$2:E4411)))))-COUNTBLANK(OFFSET(A$1,,,SUMPRODUCT(MAX(ROW(E$1:E4410)*(E2=E$1:E4410))))))</f>
        <v> </v>
      </c>
      <c r="K4411" s="25" t="str">
        <f>IF(OR(E4411="",E4411="!!!",F4411="NEW"),"",INDEX(J$1:J4410,SUMPRODUCT(MAX(ROW(E$1:E4410)*(E4411=E$1:E4410)))))</f>
        <v> </v>
      </c>
      <c r="L4411" s="26"/>
    </row>
    <row r="4412" spans="1:12">
      <c r="A4412" s="20" t="s">
        <v>1485</v>
      </c>
      <c r="E4412" s="21">
        <f>IF(D4412="?OLD","!!!","")</f>
        <v/>
      </c>
      <c r="F4412" s="22" t="str">
        <f>IF(OR(E4412="",E4412="!!!"),"",IF(NOT(ISNA(VLOOKUP(E4412,E$1:E4411,1,FALSE()))),"OLD",IF(AND(E4412&lt;&gt;"",E4412&lt;&gt;"!!!"),"NEW","")))</f>
        <v> </v>
      </c>
      <c r="G4412" s="23" t="str">
        <f>IF(OR(E4412="",E4412="!!!"),"",IF(OR(J4412=0,AND(J4412=1,K4412=1),AND(J4412=1,I4412="SBJ"),AND(J4412=1,I4412=0)),"?IN_FOCUS",IF(J4412&lt;=2,"?ACTIVATED",IF(J4412&lt;&gt;"","?FAMILIAR",IF(F4412="NEW",IF(ISNA(VLOOKUP(E4412,#REF!,1,FALSE())),"?TYPE_IDENTIFIABLE","?REFERENTIAL"),"_")))))</f>
        <v> </v>
      </c>
      <c r="H4412" s="24" t="str">
        <f>IF(J4412&lt;&gt;1,"",IF(I4412="SBJ","CB","?"))</f>
        <v> </v>
      </c>
      <c r="I4412" s="25" t="str">
        <f>IF(OR(E4412="",E4412="!!!",F4412="NEW"),"",INDEX(B4411:B$2,-1+SUMPRODUCT(MAX(ROW(E4411:E$2)*(E4412=E4411:E$2)))))</f>
        <v> </v>
      </c>
      <c r="J4412" s="25" t="str">
        <f>IF(OR(E4412="",E4412="!!!",F4412="NEW"),"",COUNTBLANK(OFFSET(A$1,,,SUMPRODUCT(MAX(ROW(E$2:E4412)*(E4412=E$2:E4412)))))-COUNTBLANK(OFFSET(A$1,,,SUMPRODUCT(MAX(ROW(E$1:E4411)*(E2=E$1:E4411))))))</f>
        <v> </v>
      </c>
      <c r="K4412" s="25" t="str">
        <f>IF(OR(E4412="",E4412="!!!",F4412="NEW"),"",INDEX(J$1:J4411,SUMPRODUCT(MAX(ROW(E$1:E4411)*(E4412=E$1:E4411)))))</f>
        <v> </v>
      </c>
      <c r="L4412" s="26"/>
    </row>
    <row r="4413" spans="1:12">
      <c r="A4413" s="20" t="s">
        <v>853</v>
      </c>
      <c r="B4413" s="27" t="s">
        <v>810</v>
      </c>
      <c r="E4413" s="21">
        <f>IF(D4413="?OLD","!!!","")</f>
        <v/>
      </c>
      <c r="F4413" s="22" t="str">
        <f>IF(OR(E4413="",E4413="!!!"),"",IF(NOT(ISNA(VLOOKUP(E4413,E$1:E4412,1,FALSE()))),"OLD",IF(AND(E4413&lt;&gt;"",E4413&lt;&gt;"!!!"),"NEW","")))</f>
        <v> </v>
      </c>
      <c r="G4413" s="23" t="str">
        <f>IF(OR(E4413="",E4413="!!!"),"",IF(OR(J4413=0,AND(J4413=1,K4413=1),AND(J4413=1,I4413="SBJ"),AND(J4413=1,I4413=0)),"?IN_FOCUS",IF(J4413&lt;=2,"?ACTIVATED",IF(J4413&lt;&gt;"","?FAMILIAR",IF(F4413="NEW",IF(ISNA(VLOOKUP(E4413,#REF!,1,FALSE())),"?TYPE_IDENTIFIABLE","?REFERENTIAL"),"_")))))</f>
        <v> </v>
      </c>
      <c r="H4413" s="24" t="str">
        <f>IF(J4413&lt;&gt;1,"",IF(I4413="SBJ","CB","?"))</f>
        <v> </v>
      </c>
      <c r="I4413" s="25" t="str">
        <f>IF(OR(E4413="",E4413="!!!",F4413="NEW"),"",INDEX(B4412:B$2,-1+SUMPRODUCT(MAX(ROW(E4412:E$2)*(E4413=E4412:E$2)))))</f>
        <v> </v>
      </c>
      <c r="J4413" s="25" t="str">
        <f>IF(OR(E4413="",E4413="!!!",F4413="NEW"),"",COUNTBLANK(OFFSET(A$1,,,SUMPRODUCT(MAX(ROW(E$2:E4413)*(E4413=E$2:E4413)))))-COUNTBLANK(OFFSET(A$1,,,SUMPRODUCT(MAX(ROW(E$1:E4412)*(E2=E$1:E4412))))))</f>
        <v> </v>
      </c>
      <c r="K4413" s="25" t="str">
        <f>IF(OR(E4413="",E4413="!!!",F4413="NEW"),"",INDEX(J$1:J4412,SUMPRODUCT(MAX(ROW(E$1:E4412)*(E4413=E$1:E4412)))))</f>
        <v> </v>
      </c>
      <c r="L4413" s="26"/>
    </row>
    <row r="4414" spans="1:12">
      <c r="A4414" s="20" t="s">
        <v>694</v>
      </c>
      <c r="E4414" s="21">
        <f>IF(D4414="?OLD","!!!","")</f>
        <v/>
      </c>
      <c r="F4414" s="22" t="str">
        <f>IF(OR(E4414="",E4414="!!!"),"",IF(NOT(ISNA(VLOOKUP(E4414,E$1:E4413,1,FALSE()))),"OLD",IF(AND(E4414&lt;&gt;"",E4414&lt;&gt;"!!!"),"NEW","")))</f>
        <v> </v>
      </c>
      <c r="G4414" s="23" t="str">
        <f>IF(OR(E4414="",E4414="!!!"),"",IF(OR(J4414=0,AND(J4414=1,K4414=1),AND(J4414=1,I4414="SBJ"),AND(J4414=1,I4414=0)),"?IN_FOCUS",IF(J4414&lt;=2,"?ACTIVATED",IF(J4414&lt;&gt;"","?FAMILIAR",IF(F4414="NEW",IF(ISNA(VLOOKUP(E4414,#REF!,1,FALSE())),"?TYPE_IDENTIFIABLE","?REFERENTIAL"),"_")))))</f>
        <v> </v>
      </c>
      <c r="H4414" s="24" t="str">
        <f>IF(J4414&lt;&gt;1,"",IF(I4414="SBJ","CB","?"))</f>
        <v> </v>
      </c>
      <c r="I4414" s="25" t="str">
        <f>IF(OR(E4414="",E4414="!!!",F4414="NEW"),"",INDEX(B4413:B$2,-1+SUMPRODUCT(MAX(ROW(E4413:E$2)*(E4414=E4413:E$2)))))</f>
        <v> </v>
      </c>
      <c r="J4414" s="25" t="str">
        <f>IF(OR(E4414="",E4414="!!!",F4414="NEW"),"",COUNTBLANK(OFFSET(A$1,,,SUMPRODUCT(MAX(ROW(E$2:E4414)*(E4414=E$2:E4414)))))-COUNTBLANK(OFFSET(A$1,,,SUMPRODUCT(MAX(ROW(E$1:E4413)*(E2=E$1:E4413))))))</f>
        <v> </v>
      </c>
      <c r="K4414" s="25" t="str">
        <f>IF(OR(E4414="",E4414="!!!",F4414="NEW"),"",INDEX(J$1:J4413,SUMPRODUCT(MAX(ROW(E$1:E4413)*(E4414=E$1:E4413)))))</f>
        <v> </v>
      </c>
      <c r="L4414" s="26"/>
    </row>
    <row r="4415" spans="1:12">
      <c r="A4415" s="20" t="s">
        <v>958</v>
      </c>
      <c r="E4415" s="21">
        <f>IF(D4415="?OLD","!!!","")</f>
        <v/>
      </c>
      <c r="F4415" s="22" t="str">
        <f>IF(OR(E4415="",E4415="!!!"),"",IF(NOT(ISNA(VLOOKUP(E4415,E$1:E4414,1,FALSE()))),"OLD",IF(AND(E4415&lt;&gt;"",E4415&lt;&gt;"!!!"),"NEW","")))</f>
        <v> </v>
      </c>
      <c r="G4415" s="23" t="str">
        <f>IF(OR(E4415="",E4415="!!!"),"",IF(OR(J4415=0,AND(J4415=1,K4415=1),AND(J4415=1,I4415="SBJ"),AND(J4415=1,I4415=0)),"?IN_FOCUS",IF(J4415&lt;=2,"?ACTIVATED",IF(J4415&lt;&gt;"","?FAMILIAR",IF(F4415="NEW",IF(ISNA(VLOOKUP(E4415,#REF!,1,FALSE())),"?TYPE_IDENTIFIABLE","?REFERENTIAL"),"_")))))</f>
        <v> </v>
      </c>
      <c r="H4415" s="24" t="str">
        <f>IF(J4415&lt;&gt;1,"",IF(I4415="SBJ","CB","?"))</f>
        <v> </v>
      </c>
      <c r="I4415" s="25" t="str">
        <f>IF(OR(E4415="",E4415="!!!",F4415="NEW"),"",INDEX(B4414:B$2,-1+SUMPRODUCT(MAX(ROW(E4414:E$2)*(E4415=E4414:E$2)))))</f>
        <v> </v>
      </c>
      <c r="J4415" s="25" t="str">
        <f>IF(OR(E4415="",E4415="!!!",F4415="NEW"),"",COUNTBLANK(OFFSET(A$1,,,SUMPRODUCT(MAX(ROW(E$2:E4415)*(E4415=E$2:E4415)))))-COUNTBLANK(OFFSET(A$1,,,SUMPRODUCT(MAX(ROW(E$1:E4414)*(E2=E$1:E4414))))))</f>
        <v> </v>
      </c>
      <c r="K4415" s="25" t="str">
        <f>IF(OR(E4415="",E4415="!!!",F4415="NEW"),"",INDEX(J$1:J4414,SUMPRODUCT(MAX(ROW(E$1:E4414)*(E4415=E$1:E4414)))))</f>
        <v> </v>
      </c>
      <c r="L4415" s="26"/>
    </row>
    <row r="4416" spans="1:12">
      <c r="A4416" s="20" t="s">
        <v>1094</v>
      </c>
      <c r="B4416" s="27" t="s">
        <v>812</v>
      </c>
      <c r="C4416" s="27" t="s">
        <v>686</v>
      </c>
      <c r="D4416" s="27" t="s">
        <v>687</v>
      </c>
      <c r="E4416" s="21">
        <f>IF(D4416="?OLD","!!!","")</f>
        <v/>
      </c>
      <c r="F4416" s="22" t="str">
        <f>IF(OR(E4416="",E4416="!!!"),"",IF(NOT(ISNA(VLOOKUP(E4416,E$1:E4415,1,FALSE()))),"OLD",IF(AND(E4416&lt;&gt;"",E4416&lt;&gt;"!!!"),"NEW","")))</f>
        <v> </v>
      </c>
      <c r="G4416" s="23" t="str">
        <f>IF(OR(E4416="",E4416="!!!"),"",IF(OR(J4416=0,AND(J4416=1,K4416=1),AND(J4416=1,I4416="SBJ"),AND(J4416=1,I4416=0)),"?IN_FOCUS",IF(J4416&lt;=2,"?ACTIVATED",IF(J4416&lt;&gt;"","?FAMILIAR",IF(F4416="NEW",IF(ISNA(VLOOKUP(E4416,#REF!,1,FALSE())),"?TYPE_IDENTIFIABLE","?REFERENTIAL"),"_")))))</f>
        <v> </v>
      </c>
      <c r="H4416" s="24" t="str">
        <f>IF(J4416&lt;&gt;1,"",IF(I4416="SBJ","CB","?"))</f>
        <v> </v>
      </c>
      <c r="I4416" s="25" t="str">
        <f>IF(OR(E4416="",E4416="!!!",F4416="NEW"),"",INDEX(B4415:B$2,-1+SUMPRODUCT(MAX(ROW(E4415:E$2)*(E4416=E4415:E$2)))))</f>
        <v> </v>
      </c>
      <c r="J4416" s="25" t="str">
        <f>IF(OR(E4416="",E4416="!!!",F4416="NEW"),"",COUNTBLANK(OFFSET(A$1,,,SUMPRODUCT(MAX(ROW(E$2:E4416)*(E4416=E$2:E4416)))))-COUNTBLANK(OFFSET(A$1,,,SUMPRODUCT(MAX(ROW(E$1:E4415)*(E2=E$1:E4415))))))</f>
        <v> </v>
      </c>
      <c r="K4416" s="25" t="str">
        <f>IF(OR(E4416="",E4416="!!!",F4416="NEW"),"",INDEX(J$1:J4415,SUMPRODUCT(MAX(ROW(E$1:E4415)*(E4416=E$1:E4415)))))</f>
        <v> </v>
      </c>
      <c r="L4416" s="26"/>
    </row>
    <row r="4417" spans="1:12">
      <c r="A4417" s="20" t="s">
        <v>732</v>
      </c>
      <c r="B4417" s="27" t="s">
        <v>1066</v>
      </c>
      <c r="E4417" s="21">
        <f>IF(D4417="?OLD","!!!","")</f>
        <v/>
      </c>
      <c r="F4417" s="22" t="str">
        <f>IF(OR(E4417="",E4417="!!!"),"",IF(NOT(ISNA(VLOOKUP(E4417,E$1:E4416,1,FALSE()))),"OLD",IF(AND(E4417&lt;&gt;"",E4417&lt;&gt;"!!!"),"NEW","")))</f>
        <v> </v>
      </c>
      <c r="G4417" s="23" t="str">
        <f>IF(OR(E4417="",E4417="!!!"),"",IF(OR(J4417=0,AND(J4417=1,K4417=1),AND(J4417=1,I4417="SBJ"),AND(J4417=1,I4417=0)),"?IN_FOCUS",IF(J4417&lt;=2,"?ACTIVATED",IF(J4417&lt;&gt;"","?FAMILIAR",IF(F4417="NEW",IF(ISNA(VLOOKUP(E4417,#REF!,1,FALSE())),"?TYPE_IDENTIFIABLE","?REFERENTIAL"),"_")))))</f>
        <v> </v>
      </c>
      <c r="H4417" s="24" t="str">
        <f>IF(J4417&lt;&gt;1,"",IF(I4417="SBJ","CB","?"))</f>
        <v> </v>
      </c>
      <c r="I4417" s="25" t="str">
        <f>IF(OR(E4417="",E4417="!!!",F4417="NEW"),"",INDEX(B4416:B$2,-1+SUMPRODUCT(MAX(ROW(E4416:E$2)*(E4417=E4416:E$2)))))</f>
        <v> </v>
      </c>
      <c r="J4417" s="25" t="str">
        <f>IF(OR(E4417="",E4417="!!!",F4417="NEW"),"",COUNTBLANK(OFFSET(A$1,,,SUMPRODUCT(MAX(ROW(E$2:E4417)*(E4417=E$2:E4417)))))-COUNTBLANK(OFFSET(A$1,,,SUMPRODUCT(MAX(ROW(E$1:E4416)*(E2=E$1:E4416))))))</f>
        <v> </v>
      </c>
      <c r="K4417" s="25" t="str">
        <f>IF(OR(E4417="",E4417="!!!",F4417="NEW"),"",INDEX(J$1:J4416,SUMPRODUCT(MAX(ROW(E$1:E4416)*(E4417=E$1:E4416)))))</f>
        <v> </v>
      </c>
      <c r="L4417" s="26"/>
    </row>
    <row r="4418" spans="1:12">
      <c r="A4418" s="20" t="s">
        <v>1703</v>
      </c>
      <c r="E4418" s="21">
        <f>IF(D4418="?OLD","!!!","")</f>
        <v/>
      </c>
      <c r="F4418" s="22" t="str">
        <f>IF(OR(E4418="",E4418="!!!"),"",IF(NOT(ISNA(VLOOKUP(E4418,E$1:E4417,1,FALSE()))),"OLD",IF(AND(E4418&lt;&gt;"",E4418&lt;&gt;"!!!"),"NEW","")))</f>
        <v> </v>
      </c>
      <c r="G4418" s="23" t="str">
        <f>IF(OR(E4418="",E4418="!!!"),"",IF(OR(J4418=0,AND(J4418=1,K4418=1),AND(J4418=1,I4418="SBJ"),AND(J4418=1,I4418=0)),"?IN_FOCUS",IF(J4418&lt;=2,"?ACTIVATED",IF(J4418&lt;&gt;"","?FAMILIAR",IF(F4418="NEW",IF(ISNA(VLOOKUP(E4418,#REF!,1,FALSE())),"?TYPE_IDENTIFIABLE","?REFERENTIAL"),"_")))))</f>
        <v> </v>
      </c>
      <c r="H4418" s="24" t="str">
        <f>IF(J4418&lt;&gt;1,"",IF(I4418="SBJ","CB","?"))</f>
        <v> </v>
      </c>
      <c r="I4418" s="25" t="str">
        <f>IF(OR(E4418="",E4418="!!!",F4418="NEW"),"",INDEX(B4417:B$2,-1+SUMPRODUCT(MAX(ROW(E4417:E$2)*(E4418=E4417:E$2)))))</f>
        <v> </v>
      </c>
      <c r="J4418" s="25" t="str">
        <f>IF(OR(E4418="",E4418="!!!",F4418="NEW"),"",COUNTBLANK(OFFSET(A$1,,,SUMPRODUCT(MAX(ROW(E$2:E4418)*(E4418=E$2:E4418)))))-COUNTBLANK(OFFSET(A$1,,,SUMPRODUCT(MAX(ROW(E$1:E4417)*(E2=E$1:E4417))))))</f>
        <v> </v>
      </c>
      <c r="K4418" s="25" t="str">
        <f>IF(OR(E4418="",E4418="!!!",F4418="NEW"),"",INDEX(J$1:J4417,SUMPRODUCT(MAX(ROW(E$1:E4417)*(E4418=E$1:E4417)))))</f>
        <v> </v>
      </c>
      <c r="L4418" s="26"/>
    </row>
    <row r="4419" spans="1:12">
      <c r="A4419" s="20" t="s">
        <v>1609</v>
      </c>
      <c r="E4419" s="21">
        <f>IF(D4419="?OLD","!!!","")</f>
        <v/>
      </c>
      <c r="F4419" s="22" t="str">
        <f>IF(OR(E4419="",E4419="!!!"),"",IF(NOT(ISNA(VLOOKUP(E4419,E$1:E4418,1,FALSE()))),"OLD",IF(AND(E4419&lt;&gt;"",E4419&lt;&gt;"!!!"),"NEW","")))</f>
        <v> </v>
      </c>
      <c r="G4419" s="23" t="str">
        <f>IF(OR(E4419="",E4419="!!!"),"",IF(OR(J4419=0,AND(J4419=1,K4419=1),AND(J4419=1,I4419="SBJ"),AND(J4419=1,I4419=0)),"?IN_FOCUS",IF(J4419&lt;=2,"?ACTIVATED",IF(J4419&lt;&gt;"","?FAMILIAR",IF(F4419="NEW",IF(ISNA(VLOOKUP(E4419,#REF!,1,FALSE())),"?TYPE_IDENTIFIABLE","?REFERENTIAL"),"_")))))</f>
        <v> </v>
      </c>
      <c r="H4419" s="24" t="str">
        <f>IF(J4419&lt;&gt;1,"",IF(I4419="SBJ","CB","?"))</f>
        <v> </v>
      </c>
      <c r="I4419" s="25" t="str">
        <f>IF(OR(E4419="",E4419="!!!",F4419="NEW"),"",INDEX(B4418:B$2,-1+SUMPRODUCT(MAX(ROW(E4418:E$2)*(E4419=E4418:E$2)))))</f>
        <v> </v>
      </c>
      <c r="J4419" s="25" t="str">
        <f>IF(OR(E4419="",E4419="!!!",F4419="NEW"),"",COUNTBLANK(OFFSET(A$1,,,SUMPRODUCT(MAX(ROW(E$2:E4419)*(E4419=E$2:E4419)))))-COUNTBLANK(OFFSET(A$1,,,SUMPRODUCT(MAX(ROW(E$1:E4418)*(E2=E$1:E4418))))))</f>
        <v> </v>
      </c>
      <c r="K4419" s="25" t="str">
        <f>IF(OR(E4419="",E4419="!!!",F4419="NEW"),"",INDEX(J$1:J4418,SUMPRODUCT(MAX(ROW(E$1:E4418)*(E4419=E$1:E4418)))))</f>
        <v> </v>
      </c>
      <c r="L4419" s="26"/>
    </row>
    <row r="4420" spans="1:12">
      <c r="A4420" s="20" t="s">
        <v>683</v>
      </c>
      <c r="E4420" s="21">
        <f>IF(D4420="?OLD","!!!","")</f>
        <v/>
      </c>
      <c r="F4420" s="22" t="str">
        <f>IF(OR(E4420="",E4420="!!!"),"",IF(NOT(ISNA(VLOOKUP(E4420,E$1:E4419,1,FALSE()))),"OLD",IF(AND(E4420&lt;&gt;"",E4420&lt;&gt;"!!!"),"NEW","")))</f>
        <v> </v>
      </c>
      <c r="G4420" s="23" t="str">
        <f>IF(OR(E4420="",E4420="!!!"),"",IF(OR(J4420=0,AND(J4420=1,K4420=1),AND(J4420=1,I4420="SBJ"),AND(J4420=1,I4420=0)),"?IN_FOCUS",IF(J4420&lt;=2,"?ACTIVATED",IF(J4420&lt;&gt;"","?FAMILIAR",IF(F4420="NEW",IF(ISNA(VLOOKUP(E4420,#REF!,1,FALSE())),"?TYPE_IDENTIFIABLE","?REFERENTIAL"),"_")))))</f>
        <v> </v>
      </c>
      <c r="H4420" s="24" t="str">
        <f>IF(J4420&lt;&gt;1,"",IF(I4420="SBJ","CB","?"))</f>
        <v> </v>
      </c>
      <c r="I4420" s="25" t="str">
        <f>IF(OR(E4420="",E4420="!!!",F4420="NEW"),"",INDEX(B4419:B$2,-1+SUMPRODUCT(MAX(ROW(E4419:E$2)*(E4420=E4419:E$2)))))</f>
        <v> </v>
      </c>
      <c r="J4420" s="25" t="str">
        <f>IF(OR(E4420="",E4420="!!!",F4420="NEW"),"",COUNTBLANK(OFFSET(A$1,,,SUMPRODUCT(MAX(ROW(E$2:E4420)*(E4420=E$2:E4420)))))-COUNTBLANK(OFFSET(A$1,,,SUMPRODUCT(MAX(ROW(E$1:E4419)*(E2=E$1:E4419))))))</f>
        <v> </v>
      </c>
      <c r="K4420" s="25" t="str">
        <f>IF(OR(E4420="",E4420="!!!",F4420="NEW"),"",INDEX(J$1:J4419,SUMPRODUCT(MAX(ROW(E$1:E4419)*(E4420=E$1:E4419)))))</f>
        <v> </v>
      </c>
      <c r="L4420" s="26"/>
    </row>
    <row r="4421" spans="1:12">
      <c r="A4421" s="20" t="s">
        <v>1985</v>
      </c>
      <c r="E4421" s="21">
        <f>IF(D4421="?OLD","!!!","")</f>
        <v/>
      </c>
      <c r="F4421" s="22" t="str">
        <f>IF(OR(E4421="",E4421="!!!"),"",IF(NOT(ISNA(VLOOKUP(E4421,E$1:E4420,1,FALSE()))),"OLD",IF(AND(E4421&lt;&gt;"",E4421&lt;&gt;"!!!"),"NEW","")))</f>
        <v> </v>
      </c>
      <c r="G4421" s="23" t="str">
        <f>IF(OR(E4421="",E4421="!!!"),"",IF(OR(J4421=0,AND(J4421=1,K4421=1),AND(J4421=1,I4421="SBJ"),AND(J4421=1,I4421=0)),"?IN_FOCUS",IF(J4421&lt;=2,"?ACTIVATED",IF(J4421&lt;&gt;"","?FAMILIAR",IF(F4421="NEW",IF(ISNA(VLOOKUP(E4421,#REF!,1,FALSE())),"?TYPE_IDENTIFIABLE","?REFERENTIAL"),"_")))))</f>
        <v> </v>
      </c>
      <c r="H4421" s="24" t="str">
        <f>IF(J4421&lt;&gt;1,"",IF(I4421="SBJ","CB","?"))</f>
        <v> </v>
      </c>
      <c r="I4421" s="25" t="str">
        <f>IF(OR(E4421="",E4421="!!!",F4421="NEW"),"",INDEX(B4420:B$2,-1+SUMPRODUCT(MAX(ROW(E4420:E$2)*(E4421=E4420:E$2)))))</f>
        <v> </v>
      </c>
      <c r="J4421" s="25" t="str">
        <f>IF(OR(E4421="",E4421="!!!",F4421="NEW"),"",COUNTBLANK(OFFSET(A$1,,,SUMPRODUCT(MAX(ROW(E$2:E4421)*(E4421=E$2:E4421)))))-COUNTBLANK(OFFSET(A$1,,,SUMPRODUCT(MAX(ROW(E$1:E4420)*(E2=E$1:E4420))))))</f>
        <v> </v>
      </c>
      <c r="K4421" s="25" t="str">
        <f>IF(OR(E4421="",E4421="!!!",F4421="NEW"),"",INDEX(J$1:J4420,SUMPRODUCT(MAX(ROW(E$1:E4420)*(E4421=E$1:E4420)))))</f>
        <v> </v>
      </c>
      <c r="L4421" s="26"/>
    </row>
    <row r="4422" spans="1:12">
      <c r="A4422" s="20" t="s">
        <v>682</v>
      </c>
      <c r="E4422" s="21">
        <f>IF(D4422="?OLD","!!!","")</f>
        <v/>
      </c>
      <c r="F4422" s="22" t="str">
        <f>IF(OR(E4422="",E4422="!!!"),"",IF(NOT(ISNA(VLOOKUP(E4422,E$1:E4421,1,FALSE()))),"OLD",IF(AND(E4422&lt;&gt;"",E4422&lt;&gt;"!!!"),"NEW","")))</f>
        <v> </v>
      </c>
      <c r="G4422" s="23" t="str">
        <f>IF(OR(E4422="",E4422="!!!"),"",IF(OR(J4422=0,AND(J4422=1,K4422=1),AND(J4422=1,I4422="SBJ"),AND(J4422=1,I4422=0)),"?IN_FOCUS",IF(J4422&lt;=2,"?ACTIVATED",IF(J4422&lt;&gt;"","?FAMILIAR",IF(F4422="NEW",IF(ISNA(VLOOKUP(E4422,#REF!,1,FALSE())),"?TYPE_IDENTIFIABLE","?REFERENTIAL"),"_")))))</f>
        <v> </v>
      </c>
      <c r="H4422" s="24" t="str">
        <f>IF(J4422&lt;&gt;1,"",IF(I4422="SBJ","CB","?"))</f>
        <v> </v>
      </c>
      <c r="I4422" s="25" t="str">
        <f>IF(OR(E4422="",E4422="!!!",F4422="NEW"),"",INDEX(B4421:B$2,-1+SUMPRODUCT(MAX(ROW(E4421:E$2)*(E4422=E4421:E$2)))))</f>
        <v> </v>
      </c>
      <c r="J4422" s="25" t="str">
        <f>IF(OR(E4422="",E4422="!!!",F4422="NEW"),"",COUNTBLANK(OFFSET(A$1,,,SUMPRODUCT(MAX(ROW(E$2:E4422)*(E4422=E$2:E4422)))))-COUNTBLANK(OFFSET(A$1,,,SUMPRODUCT(MAX(ROW(E$1:E4421)*(E2=E$1:E4421))))))</f>
        <v> </v>
      </c>
      <c r="K4422" s="25" t="str">
        <f>IF(OR(E4422="",E4422="!!!",F4422="NEW"),"",INDEX(J$1:J4421,SUMPRODUCT(MAX(ROW(E$1:E4421)*(E4422=E$1:E4421)))))</f>
        <v> </v>
      </c>
      <c r="L4422" s="26"/>
    </row>
    <row r="4423" spans="1:12">
      <c r="A4423" s="20" t="s">
        <v>1050</v>
      </c>
      <c r="E4423" s="21">
        <f>IF(D4423="?OLD","!!!","")</f>
        <v/>
      </c>
      <c r="F4423" s="22" t="str">
        <f>IF(OR(E4423="",E4423="!!!"),"",IF(NOT(ISNA(VLOOKUP(E4423,E$1:E4422,1,FALSE()))),"OLD",IF(AND(E4423&lt;&gt;"",E4423&lt;&gt;"!!!"),"NEW","")))</f>
        <v> </v>
      </c>
      <c r="G4423" s="23" t="str">
        <f>IF(OR(E4423="",E4423="!!!"),"",IF(OR(J4423=0,AND(J4423=1,K4423=1),AND(J4423=1,I4423="SBJ"),AND(J4423=1,I4423=0)),"?IN_FOCUS",IF(J4423&lt;=2,"?ACTIVATED",IF(J4423&lt;&gt;"","?FAMILIAR",IF(F4423="NEW",IF(ISNA(VLOOKUP(E4423,#REF!,1,FALSE())),"?TYPE_IDENTIFIABLE","?REFERENTIAL"),"_")))))</f>
        <v> </v>
      </c>
      <c r="H4423" s="24" t="str">
        <f>IF(J4423&lt;&gt;1,"",IF(I4423="SBJ","CB","?"))</f>
        <v> </v>
      </c>
      <c r="I4423" s="25" t="str">
        <f>IF(OR(E4423="",E4423="!!!",F4423="NEW"),"",INDEX(B4422:B$2,-1+SUMPRODUCT(MAX(ROW(E4422:E$2)*(E4423=E4422:E$2)))))</f>
        <v> </v>
      </c>
      <c r="J4423" s="25" t="str">
        <f>IF(OR(E4423="",E4423="!!!",F4423="NEW"),"",COUNTBLANK(OFFSET(A$1,,,SUMPRODUCT(MAX(ROW(E$2:E4423)*(E4423=E$2:E4423)))))-COUNTBLANK(OFFSET(A$1,,,SUMPRODUCT(MAX(ROW(E$1:E4422)*(E2=E$1:E4422))))))</f>
        <v> </v>
      </c>
      <c r="K4423" s="25" t="str">
        <f>IF(OR(E4423="",E4423="!!!",F4423="NEW"),"",INDEX(J$1:J4422,SUMPRODUCT(MAX(ROW(E$1:E4422)*(E4423=E$1:E4422)))))</f>
        <v> </v>
      </c>
      <c r="L4423" s="26"/>
    </row>
    <row r="4424" spans="1:12">
      <c r="A4424" s="20" t="s">
        <v>1986</v>
      </c>
      <c r="B4424" s="27" t="s">
        <v>1759</v>
      </c>
      <c r="E4424" s="21">
        <f>IF(D4424="?OLD","!!!","")</f>
        <v/>
      </c>
      <c r="F4424" s="22" t="str">
        <f>IF(OR(E4424="",E4424="!!!"),"",IF(NOT(ISNA(VLOOKUP(E4424,E$1:E4423,1,FALSE()))),"OLD",IF(AND(E4424&lt;&gt;"",E4424&lt;&gt;"!!!"),"NEW","")))</f>
        <v> </v>
      </c>
      <c r="G4424" s="23" t="str">
        <f>IF(OR(E4424="",E4424="!!!"),"",IF(OR(J4424=0,AND(J4424=1,K4424=1),AND(J4424=1,I4424="SBJ"),AND(J4424=1,I4424=0)),"?IN_FOCUS",IF(J4424&lt;=2,"?ACTIVATED",IF(J4424&lt;&gt;"","?FAMILIAR",IF(F4424="NEW",IF(ISNA(VLOOKUP(E4424,#REF!,1,FALSE())),"?TYPE_IDENTIFIABLE","?REFERENTIAL"),"_")))))</f>
        <v> </v>
      </c>
      <c r="H4424" s="24" t="str">
        <f>IF(J4424&lt;&gt;1,"",IF(I4424="SBJ","CB","?"))</f>
        <v> </v>
      </c>
      <c r="I4424" s="25" t="str">
        <f>IF(OR(E4424="",E4424="!!!",F4424="NEW"),"",INDEX(B4423:B$2,-1+SUMPRODUCT(MAX(ROW(E4423:E$2)*(E4424=E4423:E$2)))))</f>
        <v> </v>
      </c>
      <c r="J4424" s="25" t="str">
        <f>IF(OR(E4424="",E4424="!!!",F4424="NEW"),"",COUNTBLANK(OFFSET(A$1,,,SUMPRODUCT(MAX(ROW(E$2:E4424)*(E4424=E$2:E4424)))))-COUNTBLANK(OFFSET(A$1,,,SUMPRODUCT(MAX(ROW(E$1:E4423)*(E2=E$1:E4423))))))</f>
        <v> </v>
      </c>
      <c r="K4424" s="25" t="str">
        <f>IF(OR(E4424="",E4424="!!!",F4424="NEW"),"",INDEX(J$1:J4423,SUMPRODUCT(MAX(ROW(E$1:E4423)*(E4424=E$1:E4423)))))</f>
        <v> </v>
      </c>
      <c r="L4424" s="26"/>
    </row>
    <row r="4425" spans="1:12">
      <c r="A4425" s="20" t="s">
        <v>682</v>
      </c>
      <c r="E4425" s="21">
        <f>IF(D4425="?OLD","!!!","")</f>
        <v/>
      </c>
      <c r="F4425" s="22" t="str">
        <f>IF(OR(E4425="",E4425="!!!"),"",IF(NOT(ISNA(VLOOKUP(E4425,E$1:E4424,1,FALSE()))),"OLD",IF(AND(E4425&lt;&gt;"",E4425&lt;&gt;"!!!"),"NEW","")))</f>
        <v> </v>
      </c>
      <c r="G4425" s="23" t="str">
        <f>IF(OR(E4425="",E4425="!!!"),"",IF(OR(J4425=0,AND(J4425=1,K4425=1),AND(J4425=1,I4425="SBJ"),AND(J4425=1,I4425=0)),"?IN_FOCUS",IF(J4425&lt;=2,"?ACTIVATED",IF(J4425&lt;&gt;"","?FAMILIAR",IF(F4425="NEW",IF(ISNA(VLOOKUP(E4425,#REF!,1,FALSE())),"?TYPE_IDENTIFIABLE","?REFERENTIAL"),"_")))))</f>
        <v> </v>
      </c>
      <c r="H4425" s="24" t="str">
        <f>IF(J4425&lt;&gt;1,"",IF(I4425="SBJ","CB","?"))</f>
        <v> </v>
      </c>
      <c r="I4425" s="25" t="str">
        <f>IF(OR(E4425="",E4425="!!!",F4425="NEW"),"",INDEX(B4424:B$2,-1+SUMPRODUCT(MAX(ROW(E4424:E$2)*(E4425=E4424:E$2)))))</f>
        <v> </v>
      </c>
      <c r="J4425" s="25" t="str">
        <f>IF(OR(E4425="",E4425="!!!",F4425="NEW"),"",COUNTBLANK(OFFSET(A$1,,,SUMPRODUCT(MAX(ROW(E$2:E4425)*(E4425=E$2:E4425)))))-COUNTBLANK(OFFSET(A$1,,,SUMPRODUCT(MAX(ROW(E$1:E4424)*(E2=E$1:E4424))))))</f>
        <v> </v>
      </c>
      <c r="K4425" s="25" t="str">
        <f>IF(OR(E4425="",E4425="!!!",F4425="NEW"),"",INDEX(J$1:J4424,SUMPRODUCT(MAX(ROW(E$1:E4424)*(E4425=E$1:E4424)))))</f>
        <v> </v>
      </c>
      <c r="L4425" s="26"/>
    </row>
    <row r="4426" spans="1:12">
      <c r="A4426" s="20" t="s">
        <v>676</v>
      </c>
      <c r="E4426" s="21">
        <f>IF(D4426="?OLD","!!!","")</f>
        <v/>
      </c>
      <c r="F4426" s="22" t="str">
        <f>IF(OR(E4426="",E4426="!!!"),"",IF(NOT(ISNA(VLOOKUP(E4426,E$1:E4425,1,FALSE()))),"OLD",IF(AND(E4426&lt;&gt;"",E4426&lt;&gt;"!!!"),"NEW","")))</f>
        <v> </v>
      </c>
      <c r="G4426" s="23" t="str">
        <f>IF(OR(E4426="",E4426="!!!"),"",IF(OR(J4426=0,AND(J4426=1,K4426=1),AND(J4426=1,I4426="SBJ"),AND(J4426=1,I4426=0)),"?IN_FOCUS",IF(J4426&lt;=2,"?ACTIVATED",IF(J4426&lt;&gt;"","?FAMILIAR",IF(F4426="NEW",IF(ISNA(VLOOKUP(E4426,#REF!,1,FALSE())),"?TYPE_IDENTIFIABLE","?REFERENTIAL"),"_")))))</f>
        <v> </v>
      </c>
      <c r="H4426" s="24" t="str">
        <f>IF(J4426&lt;&gt;1,"",IF(I4426="SBJ","CB","?"))</f>
        <v> </v>
      </c>
      <c r="I4426" s="25" t="str">
        <f>IF(OR(E4426="",E4426="!!!",F4426="NEW"),"",INDEX(B4425:B$2,-1+SUMPRODUCT(MAX(ROW(E4425:E$2)*(E4426=E4425:E$2)))))</f>
        <v> </v>
      </c>
      <c r="J4426" s="25" t="str">
        <f>IF(OR(E4426="",E4426="!!!",F4426="NEW"),"",COUNTBLANK(OFFSET(A$1,,,SUMPRODUCT(MAX(ROW(E$2:E4426)*(E4426=E$2:E4426)))))-COUNTBLANK(OFFSET(A$1,,,SUMPRODUCT(MAX(ROW(E$1:E4425)*(E2=E$1:E4425))))))</f>
        <v> </v>
      </c>
      <c r="K4426" s="25" t="str">
        <f>IF(OR(E4426="",E4426="!!!",F4426="NEW"),"",INDEX(J$1:J4425,SUMPRODUCT(MAX(ROW(E$1:E4425)*(E4426=E$1:E4425)))))</f>
        <v> </v>
      </c>
      <c r="L4426" s="26"/>
    </row>
    <row r="4427" spans="1:12">
      <c r="A4427" s="20" t="s">
        <v>1987</v>
      </c>
      <c r="E4427" s="21">
        <f>IF(D4427="?OLD","!!!","")</f>
        <v/>
      </c>
      <c r="F4427" s="22" t="str">
        <f>IF(OR(E4427="",E4427="!!!"),"",IF(NOT(ISNA(VLOOKUP(E4427,E$1:E4426,1,FALSE()))),"OLD",IF(AND(E4427&lt;&gt;"",E4427&lt;&gt;"!!!"),"NEW","")))</f>
        <v> </v>
      </c>
      <c r="G4427" s="23" t="str">
        <f>IF(OR(E4427="",E4427="!!!"),"",IF(OR(J4427=0,AND(J4427=1,K4427=1),AND(J4427=1,I4427="SBJ"),AND(J4427=1,I4427=0)),"?IN_FOCUS",IF(J4427&lt;=2,"?ACTIVATED",IF(J4427&lt;&gt;"","?FAMILIAR",IF(F4427="NEW",IF(ISNA(VLOOKUP(E4427,#REF!,1,FALSE())),"?TYPE_IDENTIFIABLE","?REFERENTIAL"),"_")))))</f>
        <v> </v>
      </c>
      <c r="H4427" s="24" t="str">
        <f>IF(J4427&lt;&gt;1,"",IF(I4427="SBJ","CB","?"))</f>
        <v> </v>
      </c>
      <c r="I4427" s="25" t="str">
        <f>IF(OR(E4427="",E4427="!!!",F4427="NEW"),"",INDEX(B4426:B$2,-1+SUMPRODUCT(MAX(ROW(E4426:E$2)*(E4427=E4426:E$2)))))</f>
        <v> </v>
      </c>
      <c r="J4427" s="25" t="str">
        <f>IF(OR(E4427="",E4427="!!!",F4427="NEW"),"",COUNTBLANK(OFFSET(A$1,,,SUMPRODUCT(MAX(ROW(E$2:E4427)*(E4427=E$2:E4427)))))-COUNTBLANK(OFFSET(A$1,,,SUMPRODUCT(MAX(ROW(E$1:E4426)*(E2=E$1:E4426))))))</f>
        <v> </v>
      </c>
      <c r="K4427" s="25" t="str">
        <f>IF(OR(E4427="",E4427="!!!",F4427="NEW"),"",INDEX(J$1:J4426,SUMPRODUCT(MAX(ROW(E$1:E4426)*(E4427=E$1:E4426)))))</f>
        <v> </v>
      </c>
      <c r="L4427" s="26"/>
    </row>
    <row r="4428" spans="1:12">
      <c r="A4428" s="20" t="s">
        <v>1988</v>
      </c>
      <c r="B4428" s="27" t="s">
        <v>735</v>
      </c>
      <c r="C4428" s="27" t="s">
        <v>679</v>
      </c>
      <c r="E4428" s="21">
        <f>IF(D4428="?OLD","!!!","")</f>
        <v/>
      </c>
      <c r="F4428" s="22" t="str">
        <f>IF(OR(E4428="",E4428="!!!"),"",IF(NOT(ISNA(VLOOKUP(E4428,E$1:E4427,1,FALSE()))),"OLD",IF(AND(E4428&lt;&gt;"",E4428&lt;&gt;"!!!"),"NEW","")))</f>
        <v> </v>
      </c>
      <c r="G4428" s="23" t="str">
        <f>IF(OR(E4428="",E4428="!!!"),"",IF(OR(J4428=0,AND(J4428=1,K4428=1),AND(J4428=1,I4428="SBJ"),AND(J4428=1,I4428=0)),"?IN_FOCUS",IF(J4428&lt;=2,"?ACTIVATED",IF(J4428&lt;&gt;"","?FAMILIAR",IF(F4428="NEW",IF(ISNA(VLOOKUP(E4428,#REF!,1,FALSE())),"?TYPE_IDENTIFIABLE","?REFERENTIAL"),"_")))))</f>
        <v> </v>
      </c>
      <c r="H4428" s="24" t="str">
        <f>IF(J4428&lt;&gt;1,"",IF(I4428="SBJ","CB","?"))</f>
        <v> </v>
      </c>
      <c r="I4428" s="25" t="str">
        <f>IF(OR(E4428="",E4428="!!!",F4428="NEW"),"",INDEX(B4427:B$2,-1+SUMPRODUCT(MAX(ROW(E4427:E$2)*(E4428=E4427:E$2)))))</f>
        <v> </v>
      </c>
      <c r="J4428" s="25" t="str">
        <f>IF(OR(E4428="",E4428="!!!",F4428="NEW"),"",COUNTBLANK(OFFSET(A$1,,,SUMPRODUCT(MAX(ROW(E$2:E4428)*(E4428=E$2:E4428)))))-COUNTBLANK(OFFSET(A$1,,,SUMPRODUCT(MAX(ROW(E$1:E4427)*(E2=E$1:E4427))))))</f>
        <v> </v>
      </c>
      <c r="K4428" s="25" t="str">
        <f>IF(OR(E4428="",E4428="!!!",F4428="NEW"),"",INDEX(J$1:J4427,SUMPRODUCT(MAX(ROW(E$1:E4427)*(E4428=E$1:E4427)))))</f>
        <v> </v>
      </c>
      <c r="L4428" s="26"/>
    </row>
    <row r="4429" spans="1:12">
      <c r="A4429" s="20" t="s">
        <v>682</v>
      </c>
      <c r="E4429" s="21">
        <f>IF(D4429="?OLD","!!!","")</f>
        <v/>
      </c>
      <c r="F4429" s="22" t="str">
        <f>IF(OR(E4429="",E4429="!!!"),"",IF(NOT(ISNA(VLOOKUP(E4429,E$1:E4428,1,FALSE()))),"OLD",IF(AND(E4429&lt;&gt;"",E4429&lt;&gt;"!!!"),"NEW","")))</f>
        <v> </v>
      </c>
      <c r="G4429" s="23" t="str">
        <f>IF(OR(E4429="",E4429="!!!"),"",IF(OR(J4429=0,AND(J4429=1,K4429=1),AND(J4429=1,I4429="SBJ"),AND(J4429=1,I4429=0)),"?IN_FOCUS",IF(J4429&lt;=2,"?ACTIVATED",IF(J4429&lt;&gt;"","?FAMILIAR",IF(F4429="NEW",IF(ISNA(VLOOKUP(E4429,#REF!,1,FALSE())),"?TYPE_IDENTIFIABLE","?REFERENTIAL"),"_")))))</f>
        <v> </v>
      </c>
      <c r="H4429" s="24" t="str">
        <f>IF(J4429&lt;&gt;1,"",IF(I4429="SBJ","CB","?"))</f>
        <v> </v>
      </c>
      <c r="I4429" s="25" t="str">
        <f>IF(OR(E4429="",E4429="!!!",F4429="NEW"),"",INDEX(B4428:B$2,-1+SUMPRODUCT(MAX(ROW(E4428:E$2)*(E4429=E4428:E$2)))))</f>
        <v> </v>
      </c>
      <c r="J4429" s="25" t="str">
        <f>IF(OR(E4429="",E4429="!!!",F4429="NEW"),"",COUNTBLANK(OFFSET(A$1,,,SUMPRODUCT(MAX(ROW(E$2:E4429)*(E4429=E$2:E4429)))))-COUNTBLANK(OFFSET(A$1,,,SUMPRODUCT(MAX(ROW(E$1:E4428)*(E2=E$1:E4428))))))</f>
        <v> </v>
      </c>
      <c r="K4429" s="25" t="str">
        <f>IF(OR(E4429="",E4429="!!!",F4429="NEW"),"",INDEX(J$1:J4428,SUMPRODUCT(MAX(ROW(E$1:E4428)*(E4429=E$1:E4428)))))</f>
        <v> </v>
      </c>
      <c r="L4429" s="26"/>
    </row>
    <row r="4430" spans="1:12">
      <c r="A4430" s="20" t="s">
        <v>683</v>
      </c>
      <c r="E4430" s="21">
        <f>IF(D4430="?OLD","!!!","")</f>
        <v/>
      </c>
      <c r="F4430" s="22" t="str">
        <f>IF(OR(E4430="",E4430="!!!"),"",IF(NOT(ISNA(VLOOKUP(E4430,E$1:E4429,1,FALSE()))),"OLD",IF(AND(E4430&lt;&gt;"",E4430&lt;&gt;"!!!"),"NEW","")))</f>
        <v> </v>
      </c>
      <c r="G4430" s="23" t="str">
        <f>IF(OR(E4430="",E4430="!!!"),"",IF(OR(J4430=0,AND(J4430=1,K4430=1),AND(J4430=1,I4430="SBJ"),AND(J4430=1,I4430=0)),"?IN_FOCUS",IF(J4430&lt;=2,"?ACTIVATED",IF(J4430&lt;&gt;"","?FAMILIAR",IF(F4430="NEW",IF(ISNA(VLOOKUP(E4430,#REF!,1,FALSE())),"?TYPE_IDENTIFIABLE","?REFERENTIAL"),"_")))))</f>
        <v> </v>
      </c>
      <c r="H4430" s="24" t="str">
        <f>IF(J4430&lt;&gt;1,"",IF(I4430="SBJ","CB","?"))</f>
        <v> </v>
      </c>
      <c r="I4430" s="25" t="str">
        <f>IF(OR(E4430="",E4430="!!!",F4430="NEW"),"",INDEX(B4429:B$2,-1+SUMPRODUCT(MAX(ROW(E4429:E$2)*(E4430=E4429:E$2)))))</f>
        <v> </v>
      </c>
      <c r="J4430" s="25" t="str">
        <f>IF(OR(E4430="",E4430="!!!",F4430="NEW"),"",COUNTBLANK(OFFSET(A$1,,,SUMPRODUCT(MAX(ROW(E$2:E4430)*(E4430=E$2:E4430)))))-COUNTBLANK(OFFSET(A$1,,,SUMPRODUCT(MAX(ROW(E$1:E4429)*(E2=E$1:E4429))))))</f>
        <v> </v>
      </c>
      <c r="K4430" s="25" t="str">
        <f>IF(OR(E4430="",E4430="!!!",F4430="NEW"),"",INDEX(J$1:J4429,SUMPRODUCT(MAX(ROW(E$1:E4429)*(E4430=E$1:E4429)))))</f>
        <v> </v>
      </c>
      <c r="L4430" s="26"/>
    </row>
    <row r="4431" spans="1:12">
      <c r="A4431" s="20" t="s">
        <v>1000</v>
      </c>
      <c r="B4431" s="27" t="s">
        <v>735</v>
      </c>
      <c r="C4431" s="27" t="s">
        <v>772</v>
      </c>
      <c r="D4431" s="27" t="s">
        <v>687</v>
      </c>
      <c r="E4431" s="21">
        <f>IF(D4431="?OLD","!!!","")</f>
        <v/>
      </c>
      <c r="F4431" s="22" t="str">
        <f>IF(OR(E4431="",E4431="!!!"),"",IF(NOT(ISNA(VLOOKUP(E4431,E$1:E4430,1,FALSE()))),"OLD",IF(AND(E4431&lt;&gt;"",E4431&lt;&gt;"!!!"),"NEW","")))</f>
        <v> </v>
      </c>
      <c r="G4431" s="23" t="str">
        <f>IF(OR(E4431="",E4431="!!!"),"",IF(OR(J4431=0,AND(J4431=1,K4431=1),AND(J4431=1,I4431="SBJ"),AND(J4431=1,I4431=0)),"?IN_FOCUS",IF(J4431&lt;=2,"?ACTIVATED",IF(J4431&lt;&gt;"","?FAMILIAR",IF(F4431="NEW",IF(ISNA(VLOOKUP(E4431,#REF!,1,FALSE())),"?TYPE_IDENTIFIABLE","?REFERENTIAL"),"_")))))</f>
        <v> </v>
      </c>
      <c r="H4431" s="24" t="str">
        <f>IF(J4431&lt;&gt;1,"",IF(I4431="SBJ","CB","?"))</f>
        <v> </v>
      </c>
      <c r="I4431" s="25" t="str">
        <f>IF(OR(E4431="",E4431="!!!",F4431="NEW"),"",INDEX(B4430:B$2,-1+SUMPRODUCT(MAX(ROW(E4430:E$2)*(E4431=E4430:E$2)))))</f>
        <v> </v>
      </c>
      <c r="J4431" s="25" t="str">
        <f>IF(OR(E4431="",E4431="!!!",F4431="NEW"),"",COUNTBLANK(OFFSET(A$1,,,SUMPRODUCT(MAX(ROW(E$2:E4431)*(E4431=E$2:E4431)))))-COUNTBLANK(OFFSET(A$1,,,SUMPRODUCT(MAX(ROW(E$1:E4430)*(E2=E$1:E4430))))))</f>
        <v> </v>
      </c>
      <c r="K4431" s="25" t="str">
        <f>IF(OR(E4431="",E4431="!!!",F4431="NEW"),"",INDEX(J$1:J4430,SUMPRODUCT(MAX(ROW(E$1:E4430)*(E4431=E$1:E4430)))))</f>
        <v> </v>
      </c>
      <c r="L4431" s="26"/>
    </row>
    <row r="4432" spans="1:12">
      <c r="A4432" s="20" t="s">
        <v>784</v>
      </c>
      <c r="B4432" s="27" t="s">
        <v>744</v>
      </c>
      <c r="C4432" s="27" t="s">
        <v>686</v>
      </c>
      <c r="D4432" s="27" t="s">
        <v>687</v>
      </c>
      <c r="E4432" s="21">
        <f>IF(D4432="?OLD","!!!","")</f>
        <v/>
      </c>
      <c r="F4432" s="22" t="str">
        <f>IF(OR(E4432="",E4432="!!!"),"",IF(NOT(ISNA(VLOOKUP(E4432,E$1:E4431,1,FALSE()))),"OLD",IF(AND(E4432&lt;&gt;"",E4432&lt;&gt;"!!!"),"NEW","")))</f>
        <v> </v>
      </c>
      <c r="G4432" s="23" t="str">
        <f>IF(OR(E4432="",E4432="!!!"),"",IF(OR(J4432=0,AND(J4432=1,K4432=1),AND(J4432=1,I4432="SBJ"),AND(J4432=1,I4432=0)),"?IN_FOCUS",IF(J4432&lt;=2,"?ACTIVATED",IF(J4432&lt;&gt;"","?FAMILIAR",IF(F4432="NEW",IF(ISNA(VLOOKUP(E4432,#REF!,1,FALSE())),"?TYPE_IDENTIFIABLE","?REFERENTIAL"),"_")))))</f>
        <v> </v>
      </c>
      <c r="H4432" s="24" t="str">
        <f>IF(J4432&lt;&gt;1,"",IF(I4432="SBJ","CB","?"))</f>
        <v> </v>
      </c>
      <c r="I4432" s="25" t="str">
        <f>IF(OR(E4432="",E4432="!!!",F4432="NEW"),"",INDEX(B4431:B$2,-1+SUMPRODUCT(MAX(ROW(E4431:E$2)*(E4432=E4431:E$2)))))</f>
        <v> </v>
      </c>
      <c r="J4432" s="25" t="str">
        <f>IF(OR(E4432="",E4432="!!!",F4432="NEW"),"",COUNTBLANK(OFFSET(A$1,,,SUMPRODUCT(MAX(ROW(E$2:E4432)*(E4432=E$2:E4432)))))-COUNTBLANK(OFFSET(A$1,,,SUMPRODUCT(MAX(ROW(E$1:E4431)*(E2=E$1:E4431))))))</f>
        <v> </v>
      </c>
      <c r="K4432" s="25" t="str">
        <f>IF(OR(E4432="",E4432="!!!",F4432="NEW"),"",INDEX(J$1:J4431,SUMPRODUCT(MAX(ROW(E$1:E4431)*(E4432=E$1:E4431)))))</f>
        <v> </v>
      </c>
      <c r="L4432" s="26"/>
    </row>
    <row r="4433" spans="1:12">
      <c r="A4433" s="20" t="s">
        <v>682</v>
      </c>
      <c r="E4433" s="21">
        <f>IF(D4433="?OLD","!!!","")</f>
        <v/>
      </c>
      <c r="F4433" s="22" t="str">
        <f>IF(OR(E4433="",E4433="!!!"),"",IF(NOT(ISNA(VLOOKUP(E4433,E$1:E4432,1,FALSE()))),"OLD",IF(AND(E4433&lt;&gt;"",E4433&lt;&gt;"!!!"),"NEW","")))</f>
        <v> </v>
      </c>
      <c r="G4433" s="23" t="str">
        <f>IF(OR(E4433="",E4433="!!!"),"",IF(OR(J4433=0,AND(J4433=1,K4433=1),AND(J4433=1,I4433="SBJ"),AND(J4433=1,I4433=0)),"?IN_FOCUS",IF(J4433&lt;=2,"?ACTIVATED",IF(J4433&lt;&gt;"","?FAMILIAR",IF(F4433="NEW",IF(ISNA(VLOOKUP(E4433,#REF!,1,FALSE())),"?TYPE_IDENTIFIABLE","?REFERENTIAL"),"_")))))</f>
        <v> </v>
      </c>
      <c r="H4433" s="24" t="str">
        <f>IF(J4433&lt;&gt;1,"",IF(I4433="SBJ","CB","?"))</f>
        <v> </v>
      </c>
      <c r="I4433" s="25" t="str">
        <f>IF(OR(E4433="",E4433="!!!",F4433="NEW"),"",INDEX(B4432:B$2,-1+SUMPRODUCT(MAX(ROW(E4432:E$2)*(E4433=E4432:E$2)))))</f>
        <v> </v>
      </c>
      <c r="J4433" s="25" t="str">
        <f>IF(OR(E4433="",E4433="!!!",F4433="NEW"),"",COUNTBLANK(OFFSET(A$1,,,SUMPRODUCT(MAX(ROW(E$2:E4433)*(E4433=E$2:E4433)))))-COUNTBLANK(OFFSET(A$1,,,SUMPRODUCT(MAX(ROW(E$1:E4432)*(E2=E$1:E4432))))))</f>
        <v> </v>
      </c>
      <c r="K4433" s="25" t="str">
        <f>IF(OR(E4433="",E4433="!!!",F4433="NEW"),"",INDEX(J$1:J4432,SUMPRODUCT(MAX(ROW(E$1:E4432)*(E4433=E$1:E4432)))))</f>
        <v> </v>
      </c>
      <c r="L4433" s="26"/>
    </row>
    <row r="4434" spans="1:12">
      <c r="A4434" s="20" t="s">
        <v>703</v>
      </c>
      <c r="E4434" s="21">
        <f>IF(D4434="?OLD","!!!","")</f>
        <v/>
      </c>
      <c r="F4434" s="22" t="str">
        <f>IF(OR(E4434="",E4434="!!!"),"",IF(NOT(ISNA(VLOOKUP(E4434,E$1:E4433,1,FALSE()))),"OLD",IF(AND(E4434&lt;&gt;"",E4434&lt;&gt;"!!!"),"NEW","")))</f>
        <v> </v>
      </c>
      <c r="G4434" s="23" t="str">
        <f>IF(OR(E4434="",E4434="!!!"),"",IF(OR(J4434=0,AND(J4434=1,K4434=1),AND(J4434=1,I4434="SBJ"),AND(J4434=1,I4434=0)),"?IN_FOCUS",IF(J4434&lt;=2,"?ACTIVATED",IF(J4434&lt;&gt;"","?FAMILIAR",IF(F4434="NEW",IF(ISNA(VLOOKUP(E4434,#REF!,1,FALSE())),"?TYPE_IDENTIFIABLE","?REFERENTIAL"),"_")))))</f>
        <v> </v>
      </c>
      <c r="H4434" s="24" t="str">
        <f>IF(J4434&lt;&gt;1,"",IF(I4434="SBJ","CB","?"))</f>
        <v> </v>
      </c>
      <c r="I4434" s="25" t="str">
        <f>IF(OR(E4434="",E4434="!!!",F4434="NEW"),"",INDEX(B4433:B$2,-1+SUMPRODUCT(MAX(ROW(E4433:E$2)*(E4434=E4433:E$2)))))</f>
        <v> </v>
      </c>
      <c r="J4434" s="25" t="str">
        <f>IF(OR(E4434="",E4434="!!!",F4434="NEW"),"",COUNTBLANK(OFFSET(A$1,,,SUMPRODUCT(MAX(ROW(E$2:E4434)*(E4434=E$2:E4434)))))-COUNTBLANK(OFFSET(A$1,,,SUMPRODUCT(MAX(ROW(E$1:E4433)*(E2=E$1:E4433))))))</f>
        <v> </v>
      </c>
      <c r="K4434" s="25" t="str">
        <f>IF(OR(E4434="",E4434="!!!",F4434="NEW"),"",INDEX(J$1:J4433,SUMPRODUCT(MAX(ROW(E$1:E4433)*(E4434=E$1:E4433)))))</f>
        <v> </v>
      </c>
      <c r="L4434" s="26"/>
    </row>
    <row r="4435" spans="1:12">
      <c r="A4435" s="20" t="s">
        <v>682</v>
      </c>
      <c r="E4435" s="21">
        <f>IF(D4435="?OLD","!!!","")</f>
        <v/>
      </c>
      <c r="F4435" s="22" t="str">
        <f>IF(OR(E4435="",E4435="!!!"),"",IF(NOT(ISNA(VLOOKUP(E4435,E$1:E4434,1,FALSE()))),"OLD",IF(AND(E4435&lt;&gt;"",E4435&lt;&gt;"!!!"),"NEW","")))</f>
        <v> </v>
      </c>
      <c r="G4435" s="23" t="str">
        <f>IF(OR(E4435="",E4435="!!!"),"",IF(OR(J4435=0,AND(J4435=1,K4435=1),AND(J4435=1,I4435="SBJ"),AND(J4435=1,I4435=0)),"?IN_FOCUS",IF(J4435&lt;=2,"?ACTIVATED",IF(J4435&lt;&gt;"","?FAMILIAR",IF(F4435="NEW",IF(ISNA(VLOOKUP(E4435,#REF!,1,FALSE())),"?TYPE_IDENTIFIABLE","?REFERENTIAL"),"_")))))</f>
        <v> </v>
      </c>
      <c r="H4435" s="24" t="str">
        <f>IF(J4435&lt;&gt;1,"",IF(I4435="SBJ","CB","?"))</f>
        <v> </v>
      </c>
      <c r="I4435" s="25" t="str">
        <f>IF(OR(E4435="",E4435="!!!",F4435="NEW"),"",INDEX(B4434:B$2,-1+SUMPRODUCT(MAX(ROW(E4434:E$2)*(E4435=E4434:E$2)))))</f>
        <v> </v>
      </c>
      <c r="J4435" s="25" t="str">
        <f>IF(OR(E4435="",E4435="!!!",F4435="NEW"),"",COUNTBLANK(OFFSET(A$1,,,SUMPRODUCT(MAX(ROW(E$2:E4435)*(E4435=E$2:E4435)))))-COUNTBLANK(OFFSET(A$1,,,SUMPRODUCT(MAX(ROW(E$1:E4434)*(E2=E$1:E4434))))))</f>
        <v> </v>
      </c>
      <c r="K4435" s="25" t="str">
        <f>IF(OR(E4435="",E4435="!!!",F4435="NEW"),"",INDEX(J$1:J4434,SUMPRODUCT(MAX(ROW(E$1:E4434)*(E4435=E$1:E4434)))))</f>
        <v> </v>
      </c>
      <c r="L4435" s="26"/>
    </row>
    <row r="4436" spans="1:12">
      <c r="A4436" s="20" t="s">
        <v>782</v>
      </c>
      <c r="E4436" s="21">
        <f>IF(D4436="?OLD","!!!","")</f>
        <v/>
      </c>
      <c r="F4436" s="22" t="str">
        <f>IF(OR(E4436="",E4436="!!!"),"",IF(NOT(ISNA(VLOOKUP(E4436,E$1:E4435,1,FALSE()))),"OLD",IF(AND(E4436&lt;&gt;"",E4436&lt;&gt;"!!!"),"NEW","")))</f>
        <v> </v>
      </c>
      <c r="G4436" s="23" t="str">
        <f>IF(OR(E4436="",E4436="!!!"),"",IF(OR(J4436=0,AND(J4436=1,K4436=1),AND(J4436=1,I4436="SBJ"),AND(J4436=1,I4436=0)),"?IN_FOCUS",IF(J4436&lt;=2,"?ACTIVATED",IF(J4436&lt;&gt;"","?FAMILIAR",IF(F4436="NEW",IF(ISNA(VLOOKUP(E4436,#REF!,1,FALSE())),"?TYPE_IDENTIFIABLE","?REFERENTIAL"),"_")))))</f>
        <v> </v>
      </c>
      <c r="H4436" s="24" t="str">
        <f>IF(J4436&lt;&gt;1,"",IF(I4436="SBJ","CB","?"))</f>
        <v> </v>
      </c>
      <c r="I4436" s="25" t="str">
        <f>IF(OR(E4436="",E4436="!!!",F4436="NEW"),"",INDEX(B4435:B$2,-1+SUMPRODUCT(MAX(ROW(E4435:E$2)*(E4436=E4435:E$2)))))</f>
        <v> </v>
      </c>
      <c r="J4436" s="25" t="str">
        <f>IF(OR(E4436="",E4436="!!!",F4436="NEW"),"",COUNTBLANK(OFFSET(A$1,,,SUMPRODUCT(MAX(ROW(E$2:E4436)*(E4436=E$2:E4436)))))-COUNTBLANK(OFFSET(A$1,,,SUMPRODUCT(MAX(ROW(E$1:E4435)*(E2=E$1:E4435))))))</f>
        <v> </v>
      </c>
      <c r="K4436" s="25" t="str">
        <f>IF(OR(E4436="",E4436="!!!",F4436="NEW"),"",INDEX(J$1:J4435,SUMPRODUCT(MAX(ROW(E$1:E4435)*(E4436=E$1:E4435)))))</f>
        <v> </v>
      </c>
      <c r="L4436" s="26"/>
    </row>
    <row r="4437" spans="1:12">
      <c r="A4437" s="20" t="s">
        <v>1989</v>
      </c>
      <c r="E4437" s="21">
        <f>IF(D4437="?OLD","!!!","")</f>
        <v/>
      </c>
      <c r="F4437" s="22" t="str">
        <f>IF(OR(E4437="",E4437="!!!"),"",IF(NOT(ISNA(VLOOKUP(E4437,E$1:E4436,1,FALSE()))),"OLD",IF(AND(E4437&lt;&gt;"",E4437&lt;&gt;"!!!"),"NEW","")))</f>
        <v> </v>
      </c>
      <c r="G4437" s="23" t="str">
        <f>IF(OR(E4437="",E4437="!!!"),"",IF(OR(J4437=0,AND(J4437=1,K4437=1),AND(J4437=1,I4437="SBJ"),AND(J4437=1,I4437=0)),"?IN_FOCUS",IF(J4437&lt;=2,"?ACTIVATED",IF(J4437&lt;&gt;"","?FAMILIAR",IF(F4437="NEW",IF(ISNA(VLOOKUP(E4437,#REF!,1,FALSE())),"?TYPE_IDENTIFIABLE","?REFERENTIAL"),"_")))))</f>
        <v> </v>
      </c>
      <c r="H4437" s="24" t="str">
        <f>IF(J4437&lt;&gt;1,"",IF(I4437="SBJ","CB","?"))</f>
        <v> </v>
      </c>
      <c r="I4437" s="25" t="str">
        <f>IF(OR(E4437="",E4437="!!!",F4437="NEW"),"",INDEX(B4436:B$2,-1+SUMPRODUCT(MAX(ROW(E4436:E$2)*(E4437=E4436:E$2)))))</f>
        <v> </v>
      </c>
      <c r="J4437" s="25" t="str">
        <f>IF(OR(E4437="",E4437="!!!",F4437="NEW"),"",COUNTBLANK(OFFSET(A$1,,,SUMPRODUCT(MAX(ROW(E$2:E4437)*(E4437=E$2:E4437)))))-COUNTBLANK(OFFSET(A$1,,,SUMPRODUCT(MAX(ROW(E$1:E4436)*(E2=E$1:E4436))))))</f>
        <v> </v>
      </c>
      <c r="K4437" s="25" t="str">
        <f>IF(OR(E4437="",E4437="!!!",F4437="NEW"),"",INDEX(J$1:J4436,SUMPRODUCT(MAX(ROW(E$1:E4436)*(E4437=E$1:E4436)))))</f>
        <v> </v>
      </c>
      <c r="L4437" s="26"/>
    </row>
    <row r="4438" spans="1:12">
      <c r="A4438" s="20" t="s">
        <v>683</v>
      </c>
      <c r="E4438" s="21">
        <f>IF(D4438="?OLD","!!!","")</f>
        <v/>
      </c>
      <c r="F4438" s="22" t="str">
        <f>IF(OR(E4438="",E4438="!!!"),"",IF(NOT(ISNA(VLOOKUP(E4438,E$1:E4437,1,FALSE()))),"OLD",IF(AND(E4438&lt;&gt;"",E4438&lt;&gt;"!!!"),"NEW","")))</f>
        <v> </v>
      </c>
      <c r="G4438" s="23" t="str">
        <f>IF(OR(E4438="",E4438="!!!"),"",IF(OR(J4438=0,AND(J4438=1,K4438=1),AND(J4438=1,I4438="SBJ"),AND(J4438=1,I4438=0)),"?IN_FOCUS",IF(J4438&lt;=2,"?ACTIVATED",IF(J4438&lt;&gt;"","?FAMILIAR",IF(F4438="NEW",IF(ISNA(VLOOKUP(E4438,#REF!,1,FALSE())),"?TYPE_IDENTIFIABLE","?REFERENTIAL"),"_")))))</f>
        <v> </v>
      </c>
      <c r="H4438" s="24" t="str">
        <f>IF(J4438&lt;&gt;1,"",IF(I4438="SBJ","CB","?"))</f>
        <v> </v>
      </c>
      <c r="I4438" s="25" t="str">
        <f>IF(OR(E4438="",E4438="!!!",F4438="NEW"),"",INDEX(B4437:B$2,-1+SUMPRODUCT(MAX(ROW(E4437:E$2)*(E4438=E4437:E$2)))))</f>
        <v> </v>
      </c>
      <c r="J4438" s="25" t="str">
        <f>IF(OR(E4438="",E4438="!!!",F4438="NEW"),"",COUNTBLANK(OFFSET(A$1,,,SUMPRODUCT(MAX(ROW(E$2:E4438)*(E4438=E$2:E4438)))))-COUNTBLANK(OFFSET(A$1,,,SUMPRODUCT(MAX(ROW(E$1:E4437)*(E2=E$1:E4437))))))</f>
        <v> </v>
      </c>
      <c r="K4438" s="25" t="str">
        <f>IF(OR(E4438="",E4438="!!!",F4438="NEW"),"",INDEX(J$1:J4437,SUMPRODUCT(MAX(ROW(E$1:E4437)*(E4438=E$1:E4437)))))</f>
        <v> </v>
      </c>
      <c r="L4438" s="26"/>
    </row>
    <row r="4439" spans="1:12">
      <c r="A4439" s="20" t="s">
        <v>1000</v>
      </c>
      <c r="B4439" s="27" t="s">
        <v>1450</v>
      </c>
      <c r="C4439" s="27" t="s">
        <v>772</v>
      </c>
      <c r="D4439" s="27" t="s">
        <v>687</v>
      </c>
      <c r="E4439" s="21">
        <f>IF(D4439="?OLD","!!!","")</f>
        <v/>
      </c>
      <c r="F4439" s="22" t="str">
        <f>IF(OR(E4439="",E4439="!!!"),"",IF(NOT(ISNA(VLOOKUP(E4439,E$1:E4438,1,FALSE()))),"OLD",IF(AND(E4439&lt;&gt;"",E4439&lt;&gt;"!!!"),"NEW","")))</f>
        <v> </v>
      </c>
      <c r="G4439" s="23" t="str">
        <f>IF(OR(E4439="",E4439="!!!"),"",IF(OR(J4439=0,AND(J4439=1,K4439=1),AND(J4439=1,I4439="SBJ"),AND(J4439=1,I4439=0)),"?IN_FOCUS",IF(J4439&lt;=2,"?ACTIVATED",IF(J4439&lt;&gt;"","?FAMILIAR",IF(F4439="NEW",IF(ISNA(VLOOKUP(E4439,#REF!,1,FALSE())),"?TYPE_IDENTIFIABLE","?REFERENTIAL"),"_")))))</f>
        <v> </v>
      </c>
      <c r="H4439" s="24" t="str">
        <f>IF(J4439&lt;&gt;1,"",IF(I4439="SBJ","CB","?"))</f>
        <v> </v>
      </c>
      <c r="I4439" s="25" t="str">
        <f>IF(OR(E4439="",E4439="!!!",F4439="NEW"),"",INDEX(B4438:B$2,-1+SUMPRODUCT(MAX(ROW(E4438:E$2)*(E4439=E4438:E$2)))))</f>
        <v> </v>
      </c>
      <c r="J4439" s="25" t="str">
        <f>IF(OR(E4439="",E4439="!!!",F4439="NEW"),"",COUNTBLANK(OFFSET(A$1,,,SUMPRODUCT(MAX(ROW(E$2:E4439)*(E4439=E$2:E4439)))))-COUNTBLANK(OFFSET(A$1,,,SUMPRODUCT(MAX(ROW(E$1:E4438)*(E2=E$1:E4438))))))</f>
        <v> </v>
      </c>
      <c r="K4439" s="25" t="str">
        <f>IF(OR(E4439="",E4439="!!!",F4439="NEW"),"",INDEX(J$1:J4438,SUMPRODUCT(MAX(ROW(E$1:E4438)*(E4439=E$1:E4438)))))</f>
        <v> </v>
      </c>
      <c r="L4439" s="26"/>
    </row>
    <row r="4440" spans="1:12">
      <c r="A4440" s="20" t="s">
        <v>784</v>
      </c>
      <c r="B4440" s="27" t="s">
        <v>735</v>
      </c>
      <c r="C4440" s="27" t="s">
        <v>686</v>
      </c>
      <c r="D4440" s="27" t="s">
        <v>687</v>
      </c>
      <c r="E4440" s="21">
        <f>IF(D4440="?OLD","!!!","")</f>
        <v/>
      </c>
      <c r="F4440" s="22" t="str">
        <f>IF(OR(E4440="",E4440="!!!"),"",IF(NOT(ISNA(VLOOKUP(E4440,E$1:E4439,1,FALSE()))),"OLD",IF(AND(E4440&lt;&gt;"",E4440&lt;&gt;"!!!"),"NEW","")))</f>
        <v> </v>
      </c>
      <c r="G4440" s="23" t="str">
        <f>IF(OR(E4440="",E4440="!!!"),"",IF(OR(J4440=0,AND(J4440=1,K4440=1),AND(J4440=1,I4440="SBJ"),AND(J4440=1,I4440=0)),"?IN_FOCUS",IF(J4440&lt;=2,"?ACTIVATED",IF(J4440&lt;&gt;"","?FAMILIAR",IF(F4440="NEW",IF(ISNA(VLOOKUP(E4440,#REF!,1,FALSE())),"?TYPE_IDENTIFIABLE","?REFERENTIAL"),"_")))))</f>
        <v> </v>
      </c>
      <c r="H4440" s="24" t="str">
        <f>IF(J4440&lt;&gt;1,"",IF(I4440="SBJ","CB","?"))</f>
        <v> </v>
      </c>
      <c r="I4440" s="25" t="str">
        <f>IF(OR(E4440="",E4440="!!!",F4440="NEW"),"",INDEX(B4439:B$2,-1+SUMPRODUCT(MAX(ROW(E4439:E$2)*(E4440=E4439:E$2)))))</f>
        <v> </v>
      </c>
      <c r="J4440" s="25" t="str">
        <f>IF(OR(E4440="",E4440="!!!",F4440="NEW"),"",COUNTBLANK(OFFSET(A$1,,,SUMPRODUCT(MAX(ROW(E$2:E4440)*(E4440=E$2:E4440)))))-COUNTBLANK(OFFSET(A$1,,,SUMPRODUCT(MAX(ROW(E$1:E4439)*(E2=E$1:E4439))))))</f>
        <v> </v>
      </c>
      <c r="K4440" s="25" t="str">
        <f>IF(OR(E4440="",E4440="!!!",F4440="NEW"),"",INDEX(J$1:J4439,SUMPRODUCT(MAX(ROW(E$1:E4439)*(E4440=E$1:E4439)))))</f>
        <v> </v>
      </c>
      <c r="L4440" s="26"/>
    </row>
    <row r="4441" spans="1:12">
      <c r="A4441" s="20" t="s">
        <v>682</v>
      </c>
      <c r="E4441" s="21">
        <f>IF(D4441="?OLD","!!!","")</f>
        <v/>
      </c>
      <c r="F4441" s="22" t="str">
        <f>IF(OR(E4441="",E4441="!!!"),"",IF(NOT(ISNA(VLOOKUP(E4441,E$1:E4440,1,FALSE()))),"OLD",IF(AND(E4441&lt;&gt;"",E4441&lt;&gt;"!!!"),"NEW","")))</f>
        <v> </v>
      </c>
      <c r="G4441" s="23" t="str">
        <f>IF(OR(E4441="",E4441="!!!"),"",IF(OR(J4441=0,AND(J4441=1,K4441=1),AND(J4441=1,I4441="SBJ"),AND(J4441=1,I4441=0)),"?IN_FOCUS",IF(J4441&lt;=2,"?ACTIVATED",IF(J4441&lt;&gt;"","?FAMILIAR",IF(F4441="NEW",IF(ISNA(VLOOKUP(E4441,#REF!,1,FALSE())),"?TYPE_IDENTIFIABLE","?REFERENTIAL"),"_")))))</f>
        <v> </v>
      </c>
      <c r="H4441" s="24" t="str">
        <f>IF(J4441&lt;&gt;1,"",IF(I4441="SBJ","CB","?"))</f>
        <v> </v>
      </c>
      <c r="I4441" s="25" t="str">
        <f>IF(OR(E4441="",E4441="!!!",F4441="NEW"),"",INDEX(B4440:B$2,-1+SUMPRODUCT(MAX(ROW(E4440:E$2)*(E4441=E4440:E$2)))))</f>
        <v> </v>
      </c>
      <c r="J4441" s="25" t="str">
        <f>IF(OR(E4441="",E4441="!!!",F4441="NEW"),"",COUNTBLANK(OFFSET(A$1,,,SUMPRODUCT(MAX(ROW(E$2:E4441)*(E4441=E$2:E4441)))))-COUNTBLANK(OFFSET(A$1,,,SUMPRODUCT(MAX(ROW(E$1:E4440)*(E2=E$1:E4440))))))</f>
        <v> </v>
      </c>
      <c r="K4441" s="25" t="str">
        <f>IF(OR(E4441="",E4441="!!!",F4441="NEW"),"",INDEX(J$1:J4440,SUMPRODUCT(MAX(ROW(E$1:E4440)*(E4441=E$1:E4440)))))</f>
        <v> </v>
      </c>
      <c r="L4441" s="26"/>
    </row>
    <row r="4442" spans="1:12">
      <c r="A4442" s="20" t="s">
        <v>1990</v>
      </c>
      <c r="E4442" s="21">
        <f>IF(D4442="?OLD","!!!","")</f>
        <v/>
      </c>
      <c r="F4442" s="22" t="str">
        <f>IF(OR(E4442="",E4442="!!!"),"",IF(NOT(ISNA(VLOOKUP(E4442,E$1:E4441,1,FALSE()))),"OLD",IF(AND(E4442&lt;&gt;"",E4442&lt;&gt;"!!!"),"NEW","")))</f>
        <v> </v>
      </c>
      <c r="G4442" s="23" t="str">
        <f>IF(OR(E4442="",E4442="!!!"),"",IF(OR(J4442=0,AND(J4442=1,K4442=1),AND(J4442=1,I4442="SBJ"),AND(J4442=1,I4442=0)),"?IN_FOCUS",IF(J4442&lt;=2,"?ACTIVATED",IF(J4442&lt;&gt;"","?FAMILIAR",IF(F4442="NEW",IF(ISNA(VLOOKUP(E4442,#REF!,1,FALSE())),"?TYPE_IDENTIFIABLE","?REFERENTIAL"),"_")))))</f>
        <v> </v>
      </c>
      <c r="H4442" s="24" t="str">
        <f>IF(J4442&lt;&gt;1,"",IF(I4442="SBJ","CB","?"))</f>
        <v> </v>
      </c>
      <c r="I4442" s="25" t="str">
        <f>IF(OR(E4442="",E4442="!!!",F4442="NEW"),"",INDEX(B4441:B$2,-1+SUMPRODUCT(MAX(ROW(E4441:E$2)*(E4442=E4441:E$2)))))</f>
        <v> </v>
      </c>
      <c r="J4442" s="25" t="str">
        <f>IF(OR(E4442="",E4442="!!!",F4442="NEW"),"",COUNTBLANK(OFFSET(A$1,,,SUMPRODUCT(MAX(ROW(E$2:E4442)*(E4442=E$2:E4442)))))-COUNTBLANK(OFFSET(A$1,,,SUMPRODUCT(MAX(ROW(E$1:E4441)*(E2=E$1:E4441))))))</f>
        <v> </v>
      </c>
      <c r="K4442" s="25" t="str">
        <f>IF(OR(E4442="",E4442="!!!",F4442="NEW"),"",INDEX(J$1:J4441,SUMPRODUCT(MAX(ROW(E$1:E4441)*(E4442=E$1:E4441)))))</f>
        <v> </v>
      </c>
      <c r="L4442" s="26"/>
    </row>
    <row r="4443" spans="1:12">
      <c r="A4443" s="20" t="s">
        <v>1991</v>
      </c>
      <c r="B4443" s="27" t="s">
        <v>791</v>
      </c>
      <c r="C4443" s="27" t="s">
        <v>749</v>
      </c>
      <c r="D4443" s="27" t="s">
        <v>687</v>
      </c>
      <c r="E4443" s="21">
        <f>IF(D4443="?OLD","!!!","")</f>
        <v/>
      </c>
      <c r="F4443" s="22" t="str">
        <f>IF(OR(E4443="",E4443="!!!"),"",IF(NOT(ISNA(VLOOKUP(E4443,E$1:E4442,1,FALSE()))),"OLD",IF(AND(E4443&lt;&gt;"",E4443&lt;&gt;"!!!"),"NEW","")))</f>
        <v> </v>
      </c>
      <c r="G4443" s="23" t="str">
        <f>IF(OR(E4443="",E4443="!!!"),"",IF(OR(J4443=0,AND(J4443=1,K4443=1),AND(J4443=1,I4443="SBJ"),AND(J4443=1,I4443=0)),"?IN_FOCUS",IF(J4443&lt;=2,"?ACTIVATED",IF(J4443&lt;&gt;"","?FAMILIAR",IF(F4443="NEW",IF(ISNA(VLOOKUP(E4443,#REF!,1,FALSE())),"?TYPE_IDENTIFIABLE","?REFERENTIAL"),"_")))))</f>
        <v> </v>
      </c>
      <c r="H4443" s="24" t="str">
        <f>IF(J4443&lt;&gt;1,"",IF(I4443="SBJ","CB","?"))</f>
        <v> </v>
      </c>
      <c r="I4443" s="25" t="str">
        <f>IF(OR(E4443="",E4443="!!!",F4443="NEW"),"",INDEX(B4442:B$2,-1+SUMPRODUCT(MAX(ROW(E4442:E$2)*(E4443=E4442:E$2)))))</f>
        <v> </v>
      </c>
      <c r="J4443" s="25" t="str">
        <f>IF(OR(E4443="",E4443="!!!",F4443="NEW"),"",COUNTBLANK(OFFSET(A$1,,,SUMPRODUCT(MAX(ROW(E$2:E4443)*(E4443=E$2:E4443)))))-COUNTBLANK(OFFSET(A$1,,,SUMPRODUCT(MAX(ROW(E$1:E4442)*(E2=E$1:E4442))))))</f>
        <v> </v>
      </c>
      <c r="K4443" s="25" t="str">
        <f>IF(OR(E4443="",E4443="!!!",F4443="NEW"),"",INDEX(J$1:J4442,SUMPRODUCT(MAX(ROW(E$1:E4442)*(E4443=E$1:E4442)))))</f>
        <v> </v>
      </c>
      <c r="L4443" s="26"/>
    </row>
    <row r="4444" spans="1:12">
      <c r="A4444" s="20" t="s">
        <v>1992</v>
      </c>
      <c r="E4444" s="21">
        <f>IF(D4444="?OLD","!!!","")</f>
        <v/>
      </c>
      <c r="F4444" s="22" t="str">
        <f>IF(OR(E4444="",E4444="!!!"),"",IF(NOT(ISNA(VLOOKUP(E4444,E$1:E4443,1,FALSE()))),"OLD",IF(AND(E4444&lt;&gt;"",E4444&lt;&gt;"!!!"),"NEW","")))</f>
        <v> </v>
      </c>
      <c r="G4444" s="23" t="str">
        <f>IF(OR(E4444="",E4444="!!!"),"",IF(OR(J4444=0,AND(J4444=1,K4444=1),AND(J4444=1,I4444="SBJ"),AND(J4444=1,I4444=0)),"?IN_FOCUS",IF(J4444&lt;=2,"?ACTIVATED",IF(J4444&lt;&gt;"","?FAMILIAR",IF(F4444="NEW",IF(ISNA(VLOOKUP(E4444,#REF!,1,FALSE())),"?TYPE_IDENTIFIABLE","?REFERENTIAL"),"_")))))</f>
        <v> </v>
      </c>
      <c r="H4444" s="24" t="str">
        <f>IF(J4444&lt;&gt;1,"",IF(I4444="SBJ","CB","?"))</f>
        <v> </v>
      </c>
      <c r="I4444" s="25" t="str">
        <f>IF(OR(E4444="",E4444="!!!",F4444="NEW"),"",INDEX(B4443:B$2,-1+SUMPRODUCT(MAX(ROW(E4443:E$2)*(E4444=E4443:E$2)))))</f>
        <v> </v>
      </c>
      <c r="J4444" s="25" t="str">
        <f>IF(OR(E4444="",E4444="!!!",F4444="NEW"),"",COUNTBLANK(OFFSET(A$1,,,SUMPRODUCT(MAX(ROW(E$2:E4444)*(E4444=E$2:E4444)))))-COUNTBLANK(OFFSET(A$1,,,SUMPRODUCT(MAX(ROW(E$1:E4443)*(E2=E$1:E4443))))))</f>
        <v> </v>
      </c>
      <c r="K4444" s="25" t="str">
        <f>IF(OR(E4444="",E4444="!!!",F4444="NEW"),"",INDEX(J$1:J4443,SUMPRODUCT(MAX(ROW(E$1:E4443)*(E4444=E$1:E4443)))))</f>
        <v> </v>
      </c>
      <c r="L4444" s="26"/>
    </row>
    <row r="4445" spans="1:12">
      <c r="A4445" s="20" t="s">
        <v>676</v>
      </c>
      <c r="E4445" s="21">
        <f>IF(D4445="?OLD","!!!","")</f>
        <v/>
      </c>
      <c r="F4445" s="22" t="str">
        <f>IF(OR(E4445="",E4445="!!!"),"",IF(NOT(ISNA(VLOOKUP(E4445,E$1:E4444,1,FALSE()))),"OLD",IF(AND(E4445&lt;&gt;"",E4445&lt;&gt;"!!!"),"NEW","")))</f>
        <v> </v>
      </c>
      <c r="G4445" s="23" t="str">
        <f>IF(OR(E4445="",E4445="!!!"),"",IF(OR(J4445=0,AND(J4445=1,K4445=1),AND(J4445=1,I4445="SBJ"),AND(J4445=1,I4445=0)),"?IN_FOCUS",IF(J4445&lt;=2,"?ACTIVATED",IF(J4445&lt;&gt;"","?FAMILIAR",IF(F4445="NEW",IF(ISNA(VLOOKUP(E4445,#REF!,1,FALSE())),"?TYPE_IDENTIFIABLE","?REFERENTIAL"),"_")))))</f>
        <v> </v>
      </c>
      <c r="H4445" s="24" t="str">
        <f>IF(J4445&lt;&gt;1,"",IF(I4445="SBJ","CB","?"))</f>
        <v> </v>
      </c>
      <c r="I4445" s="25" t="str">
        <f>IF(OR(E4445="",E4445="!!!",F4445="NEW"),"",INDEX(B4444:B$2,-1+SUMPRODUCT(MAX(ROW(E4444:E$2)*(E4445=E4444:E$2)))))</f>
        <v> </v>
      </c>
      <c r="J4445" s="25" t="str">
        <f>IF(OR(E4445="",E4445="!!!",F4445="NEW"),"",COUNTBLANK(OFFSET(A$1,,,SUMPRODUCT(MAX(ROW(E$2:E4445)*(E4445=E$2:E4445)))))-COUNTBLANK(OFFSET(A$1,,,SUMPRODUCT(MAX(ROW(E$1:E4444)*(E2=E$1:E4444))))))</f>
        <v> </v>
      </c>
      <c r="K4445" s="25" t="str">
        <f>IF(OR(E4445="",E4445="!!!",F4445="NEW"),"",INDEX(J$1:J4444,SUMPRODUCT(MAX(ROW(E$1:E4444)*(E4445=E$1:E4444)))))</f>
        <v> </v>
      </c>
      <c r="L4445" s="26"/>
    </row>
    <row r="4446" spans="1:12">
      <c r="A4446" s="20" t="s">
        <v>683</v>
      </c>
      <c r="E4446" s="21">
        <f>IF(D4446="?OLD","!!!","")</f>
        <v/>
      </c>
      <c r="F4446" s="22" t="str">
        <f>IF(OR(E4446="",E4446="!!!"),"",IF(NOT(ISNA(VLOOKUP(E4446,E$1:E4445,1,FALSE()))),"OLD",IF(AND(E4446&lt;&gt;"",E4446&lt;&gt;"!!!"),"NEW","")))</f>
        <v> </v>
      </c>
      <c r="G4446" s="23" t="str">
        <f>IF(OR(E4446="",E4446="!!!"),"",IF(OR(J4446=0,AND(J4446=1,K4446=1),AND(J4446=1,I4446="SBJ"),AND(J4446=1,I4446=0)),"?IN_FOCUS",IF(J4446&lt;=2,"?ACTIVATED",IF(J4446&lt;&gt;"","?FAMILIAR",IF(F4446="NEW",IF(ISNA(VLOOKUP(E4446,#REF!,1,FALSE())),"?TYPE_IDENTIFIABLE","?REFERENTIAL"),"_")))))</f>
        <v> </v>
      </c>
      <c r="H4446" s="24" t="str">
        <f>IF(J4446&lt;&gt;1,"",IF(I4446="SBJ","CB","?"))</f>
        <v> </v>
      </c>
      <c r="I4446" s="25" t="str">
        <f>IF(OR(E4446="",E4446="!!!",F4446="NEW"),"",INDEX(B4445:B$2,-1+SUMPRODUCT(MAX(ROW(E4445:E$2)*(E4446=E4445:E$2)))))</f>
        <v> </v>
      </c>
      <c r="J4446" s="25" t="str">
        <f>IF(OR(E4446="",E4446="!!!",F4446="NEW"),"",COUNTBLANK(OFFSET(A$1,,,SUMPRODUCT(MAX(ROW(E$2:E4446)*(E4446=E$2:E4446)))))-COUNTBLANK(OFFSET(A$1,,,SUMPRODUCT(MAX(ROW(E$1:E4445)*(E2=E$1:E4445))))))</f>
        <v> </v>
      </c>
      <c r="K4446" s="25" t="str">
        <f>IF(OR(E4446="",E4446="!!!",F4446="NEW"),"",INDEX(J$1:J4445,SUMPRODUCT(MAX(ROW(E$1:E4445)*(E4446=E$1:E4445)))))</f>
        <v> </v>
      </c>
      <c r="L4446" s="26"/>
    </row>
    <row r="4447" spans="1:12">
      <c r="A4447" s="20" t="s">
        <v>771</v>
      </c>
      <c r="B4447" s="27" t="s">
        <v>724</v>
      </c>
      <c r="C4447" s="27" t="s">
        <v>772</v>
      </c>
      <c r="D4447" s="27" t="s">
        <v>687</v>
      </c>
      <c r="E4447" s="21">
        <f>IF(D4447="?OLD","!!!","")</f>
        <v/>
      </c>
      <c r="F4447" s="22" t="str">
        <f>IF(OR(E4447="",E4447="!!!"),"",IF(NOT(ISNA(VLOOKUP(E4447,E$1:E4446,1,FALSE()))),"OLD",IF(AND(E4447&lt;&gt;"",E4447&lt;&gt;"!!!"),"NEW","")))</f>
        <v> </v>
      </c>
      <c r="G4447" s="23" t="str">
        <f>IF(OR(E4447="",E4447="!!!"),"",IF(OR(J4447=0,AND(J4447=1,K4447=1),AND(J4447=1,I4447="SBJ"),AND(J4447=1,I4447=0)),"?IN_FOCUS",IF(J4447&lt;=2,"?ACTIVATED",IF(J4447&lt;&gt;"","?FAMILIAR",IF(F4447="NEW",IF(ISNA(VLOOKUP(E4447,#REF!,1,FALSE())),"?TYPE_IDENTIFIABLE","?REFERENTIAL"),"_")))))</f>
        <v> </v>
      </c>
      <c r="H4447" s="24" t="str">
        <f>IF(J4447&lt;&gt;1,"",IF(I4447="SBJ","CB","?"))</f>
        <v> </v>
      </c>
      <c r="I4447" s="25" t="str">
        <f>IF(OR(E4447="",E4447="!!!",F4447="NEW"),"",INDEX(B4446:B$2,-1+SUMPRODUCT(MAX(ROW(E4446:E$2)*(E4447=E4446:E$2)))))</f>
        <v> </v>
      </c>
      <c r="J4447" s="25" t="str">
        <f>IF(OR(E4447="",E4447="!!!",F4447="NEW"),"",COUNTBLANK(OFFSET(A$1,,,SUMPRODUCT(MAX(ROW(E$2:E4447)*(E4447=E$2:E4447)))))-COUNTBLANK(OFFSET(A$1,,,SUMPRODUCT(MAX(ROW(E$1:E4446)*(E2=E$1:E4446))))))</f>
        <v> </v>
      </c>
      <c r="K4447" s="25" t="str">
        <f>IF(OR(E4447="",E4447="!!!",F4447="NEW"),"",INDEX(J$1:J4446,SUMPRODUCT(MAX(ROW(E$1:E4446)*(E4447=E$1:E4446)))))</f>
        <v> </v>
      </c>
      <c r="L4447" s="26"/>
    </row>
    <row r="4448" spans="1:12">
      <c r="A4448" s="20" t="s">
        <v>784</v>
      </c>
      <c r="B4448" s="27" t="s">
        <v>696</v>
      </c>
      <c r="C4448" s="27" t="s">
        <v>686</v>
      </c>
      <c r="D4448" s="27" t="s">
        <v>687</v>
      </c>
      <c r="E4448" s="21">
        <f>IF(D4448="?OLD","!!!","")</f>
        <v/>
      </c>
      <c r="F4448" s="22" t="str">
        <f>IF(OR(E4448="",E4448="!!!"),"",IF(NOT(ISNA(VLOOKUP(E4448,E$1:E4447,1,FALSE()))),"OLD",IF(AND(E4448&lt;&gt;"",E4448&lt;&gt;"!!!"),"NEW","")))</f>
        <v> </v>
      </c>
      <c r="G4448" s="23" t="str">
        <f>IF(OR(E4448="",E4448="!!!"),"",IF(OR(J4448=0,AND(J4448=1,K4448=1),AND(J4448=1,I4448="SBJ"),AND(J4448=1,I4448=0)),"?IN_FOCUS",IF(J4448&lt;=2,"?ACTIVATED",IF(J4448&lt;&gt;"","?FAMILIAR",IF(F4448="NEW",IF(ISNA(VLOOKUP(E4448,#REF!,1,FALSE())),"?TYPE_IDENTIFIABLE","?REFERENTIAL"),"_")))))</f>
        <v> </v>
      </c>
      <c r="H4448" s="24" t="str">
        <f>IF(J4448&lt;&gt;1,"",IF(I4448="SBJ","CB","?"))</f>
        <v> </v>
      </c>
      <c r="I4448" s="25" t="str">
        <f>IF(OR(E4448="",E4448="!!!",F4448="NEW"),"",INDEX(B4447:B$2,-1+SUMPRODUCT(MAX(ROW(E4447:E$2)*(E4448=E4447:E$2)))))</f>
        <v> </v>
      </c>
      <c r="J4448" s="25" t="str">
        <f>IF(OR(E4448="",E4448="!!!",F4448="NEW"),"",COUNTBLANK(OFFSET(A$1,,,SUMPRODUCT(MAX(ROW(E$2:E4448)*(E4448=E$2:E4448)))))-COUNTBLANK(OFFSET(A$1,,,SUMPRODUCT(MAX(ROW(E$1:E4447)*(E2=E$1:E4447))))))</f>
        <v> </v>
      </c>
      <c r="K4448" s="25" t="str">
        <f>IF(OR(E4448="",E4448="!!!",F4448="NEW"),"",INDEX(J$1:J4447,SUMPRODUCT(MAX(ROW(E$1:E4447)*(E4448=E$1:E4447)))))</f>
        <v> </v>
      </c>
      <c r="L4448" s="26"/>
    </row>
    <row r="4449" spans="1:12">
      <c r="A4449" s="20" t="s">
        <v>682</v>
      </c>
      <c r="E4449" s="21">
        <f>IF(D4449="?OLD","!!!","")</f>
        <v/>
      </c>
      <c r="F4449" s="22" t="str">
        <f>IF(OR(E4449="",E4449="!!!"),"",IF(NOT(ISNA(VLOOKUP(E4449,E$1:E4448,1,FALSE()))),"OLD",IF(AND(E4449&lt;&gt;"",E4449&lt;&gt;"!!!"),"NEW","")))</f>
        <v> </v>
      </c>
      <c r="G4449" s="23" t="str">
        <f>IF(OR(E4449="",E4449="!!!"),"",IF(OR(J4449=0,AND(J4449=1,K4449=1),AND(J4449=1,I4449="SBJ"),AND(J4449=1,I4449=0)),"?IN_FOCUS",IF(J4449&lt;=2,"?ACTIVATED",IF(J4449&lt;&gt;"","?FAMILIAR",IF(F4449="NEW",IF(ISNA(VLOOKUP(E4449,#REF!,1,FALSE())),"?TYPE_IDENTIFIABLE","?REFERENTIAL"),"_")))))</f>
        <v> </v>
      </c>
      <c r="H4449" s="24" t="str">
        <f>IF(J4449&lt;&gt;1,"",IF(I4449="SBJ","CB","?"))</f>
        <v> </v>
      </c>
      <c r="I4449" s="25" t="str">
        <f>IF(OR(E4449="",E4449="!!!",F4449="NEW"),"",INDEX(B4448:B$2,-1+SUMPRODUCT(MAX(ROW(E4448:E$2)*(E4449=E4448:E$2)))))</f>
        <v> </v>
      </c>
      <c r="J4449" s="25" t="str">
        <f>IF(OR(E4449="",E4449="!!!",F4449="NEW"),"",COUNTBLANK(OFFSET(A$1,,,SUMPRODUCT(MAX(ROW(E$2:E4449)*(E4449=E$2:E4449)))))-COUNTBLANK(OFFSET(A$1,,,SUMPRODUCT(MAX(ROW(E$1:E4448)*(E2=E$1:E4448))))))</f>
        <v> </v>
      </c>
      <c r="K4449" s="25" t="str">
        <f>IF(OR(E4449="",E4449="!!!",F4449="NEW"),"",INDEX(J$1:J4448,SUMPRODUCT(MAX(ROW(E$1:E4448)*(E4449=E$1:E4448)))))</f>
        <v> </v>
      </c>
      <c r="L4449" s="26"/>
    </row>
    <row r="4450" spans="1:12">
      <c r="A4450" s="20" t="s">
        <v>703</v>
      </c>
      <c r="E4450" s="21">
        <f>IF(D4450="?OLD","!!!","")</f>
        <v/>
      </c>
      <c r="F4450" s="22" t="str">
        <f>IF(OR(E4450="",E4450="!!!"),"",IF(NOT(ISNA(VLOOKUP(E4450,E$1:E4449,1,FALSE()))),"OLD",IF(AND(E4450&lt;&gt;"",E4450&lt;&gt;"!!!"),"NEW","")))</f>
        <v> </v>
      </c>
      <c r="G4450" s="23" t="str">
        <f>IF(OR(E4450="",E4450="!!!"),"",IF(OR(J4450=0,AND(J4450=1,K4450=1),AND(J4450=1,I4450="SBJ"),AND(J4450=1,I4450=0)),"?IN_FOCUS",IF(J4450&lt;=2,"?ACTIVATED",IF(J4450&lt;&gt;"","?FAMILIAR",IF(F4450="NEW",IF(ISNA(VLOOKUP(E4450,#REF!,1,FALSE())),"?TYPE_IDENTIFIABLE","?REFERENTIAL"),"_")))))</f>
        <v> </v>
      </c>
      <c r="H4450" s="24" t="str">
        <f>IF(J4450&lt;&gt;1,"",IF(I4450="SBJ","CB","?"))</f>
        <v> </v>
      </c>
      <c r="I4450" s="25" t="str">
        <f>IF(OR(E4450="",E4450="!!!",F4450="NEW"),"",INDEX(B4449:B$2,-1+SUMPRODUCT(MAX(ROW(E4449:E$2)*(E4450=E4449:E$2)))))</f>
        <v> </v>
      </c>
      <c r="J4450" s="25" t="str">
        <f>IF(OR(E4450="",E4450="!!!",F4450="NEW"),"",COUNTBLANK(OFFSET(A$1,,,SUMPRODUCT(MAX(ROW(E$2:E4450)*(E4450=E$2:E4450)))))-COUNTBLANK(OFFSET(A$1,,,SUMPRODUCT(MAX(ROW(E$1:E4449)*(E2=E$1:E4449))))))</f>
        <v> </v>
      </c>
      <c r="K4450" s="25" t="str">
        <f>IF(OR(E4450="",E4450="!!!",F4450="NEW"),"",INDEX(J$1:J4449,SUMPRODUCT(MAX(ROW(E$1:E4449)*(E4450=E$1:E4449)))))</f>
        <v> </v>
      </c>
      <c r="L4450" s="26"/>
    </row>
    <row r="4451" spans="1:12">
      <c r="A4451" s="20" t="s">
        <v>732</v>
      </c>
      <c r="E4451" s="21">
        <f>IF(D4451="?OLD","!!!","")</f>
        <v/>
      </c>
      <c r="F4451" s="22" t="str">
        <f>IF(OR(E4451="",E4451="!!!"),"",IF(NOT(ISNA(VLOOKUP(E4451,E$1:E4450,1,FALSE()))),"OLD",IF(AND(E4451&lt;&gt;"",E4451&lt;&gt;"!!!"),"NEW","")))</f>
        <v> </v>
      </c>
      <c r="G4451" s="23" t="str">
        <f>IF(OR(E4451="",E4451="!!!"),"",IF(OR(J4451=0,AND(J4451=1,K4451=1),AND(J4451=1,I4451="SBJ"),AND(J4451=1,I4451=0)),"?IN_FOCUS",IF(J4451&lt;=2,"?ACTIVATED",IF(J4451&lt;&gt;"","?FAMILIAR",IF(F4451="NEW",IF(ISNA(VLOOKUP(E4451,#REF!,1,FALSE())),"?TYPE_IDENTIFIABLE","?REFERENTIAL"),"_")))))</f>
        <v> </v>
      </c>
      <c r="H4451" s="24" t="str">
        <f>IF(J4451&lt;&gt;1,"",IF(I4451="SBJ","CB","?"))</f>
        <v> </v>
      </c>
      <c r="I4451" s="25" t="str">
        <f>IF(OR(E4451="",E4451="!!!",F4451="NEW"),"",INDEX(B4450:B$2,-1+SUMPRODUCT(MAX(ROW(E4450:E$2)*(E4451=E4450:E$2)))))</f>
        <v> </v>
      </c>
      <c r="J4451" s="25" t="str">
        <f>IF(OR(E4451="",E4451="!!!",F4451="NEW"),"",COUNTBLANK(OFFSET(A$1,,,SUMPRODUCT(MAX(ROW(E$2:E4451)*(E4451=E$2:E4451)))))-COUNTBLANK(OFFSET(A$1,,,SUMPRODUCT(MAX(ROW(E$1:E4450)*(E2=E$1:E4450))))))</f>
        <v> </v>
      </c>
      <c r="K4451" s="25" t="str">
        <f>IF(OR(E4451="",E4451="!!!",F4451="NEW"),"",INDEX(J$1:J4450,SUMPRODUCT(MAX(ROW(E$1:E4450)*(E4451=E$1:E4450)))))</f>
        <v> </v>
      </c>
      <c r="L4451" s="26"/>
    </row>
    <row r="4452" spans="1:12">
      <c r="A4452" s="20" t="s">
        <v>897</v>
      </c>
      <c r="E4452" s="21">
        <f>IF(D4452="?OLD","!!!","")</f>
        <v/>
      </c>
      <c r="F4452" s="22" t="str">
        <f>IF(OR(E4452="",E4452="!!!"),"",IF(NOT(ISNA(VLOOKUP(E4452,E$1:E4451,1,FALSE()))),"OLD",IF(AND(E4452&lt;&gt;"",E4452&lt;&gt;"!!!"),"NEW","")))</f>
        <v> </v>
      </c>
      <c r="G4452" s="23" t="str">
        <f>IF(OR(E4452="",E4452="!!!"),"",IF(OR(J4452=0,AND(J4452=1,K4452=1),AND(J4452=1,I4452="SBJ"),AND(J4452=1,I4452=0)),"?IN_FOCUS",IF(J4452&lt;=2,"?ACTIVATED",IF(J4452&lt;&gt;"","?FAMILIAR",IF(F4452="NEW",IF(ISNA(VLOOKUP(E4452,#REF!,1,FALSE())),"?TYPE_IDENTIFIABLE","?REFERENTIAL"),"_")))))</f>
        <v> </v>
      </c>
      <c r="H4452" s="24" t="str">
        <f>IF(J4452&lt;&gt;1,"",IF(I4452="SBJ","CB","?"))</f>
        <v> </v>
      </c>
      <c r="I4452" s="25" t="str">
        <f>IF(OR(E4452="",E4452="!!!",F4452="NEW"),"",INDEX(B4451:B$2,-1+SUMPRODUCT(MAX(ROW(E4451:E$2)*(E4452=E4451:E$2)))))</f>
        <v> </v>
      </c>
      <c r="J4452" s="25" t="str">
        <f>IF(OR(E4452="",E4452="!!!",F4452="NEW"),"",COUNTBLANK(OFFSET(A$1,,,SUMPRODUCT(MAX(ROW(E$2:E4452)*(E4452=E$2:E4452)))))-COUNTBLANK(OFFSET(A$1,,,SUMPRODUCT(MAX(ROW(E$1:E4451)*(E2=E$1:E4451))))))</f>
        <v> </v>
      </c>
      <c r="K4452" s="25" t="str">
        <f>IF(OR(E4452="",E4452="!!!",F4452="NEW"),"",INDEX(J$1:J4451,SUMPRODUCT(MAX(ROW(E$1:E4451)*(E4452=E$1:E4451)))))</f>
        <v> </v>
      </c>
      <c r="L4452" s="26"/>
    </row>
    <row r="4453" spans="1:12">
      <c r="A4453" s="20" t="s">
        <v>734</v>
      </c>
      <c r="B4453" s="27" t="s">
        <v>787</v>
      </c>
      <c r="C4453" s="27" t="s">
        <v>899</v>
      </c>
      <c r="D4453" s="27" t="s">
        <v>687</v>
      </c>
      <c r="E4453" s="21">
        <f>IF(D4453="?OLD","!!!","")</f>
        <v/>
      </c>
      <c r="F4453" s="22" t="str">
        <f>IF(OR(E4453="",E4453="!!!"),"",IF(NOT(ISNA(VLOOKUP(E4453,E$1:E4452,1,FALSE()))),"OLD",IF(AND(E4453&lt;&gt;"",E4453&lt;&gt;"!!!"),"NEW","")))</f>
        <v> </v>
      </c>
      <c r="G4453" s="23" t="str">
        <f>IF(OR(E4453="",E4453="!!!"),"",IF(OR(J4453=0,AND(J4453=1,K4453=1),AND(J4453=1,I4453="SBJ"),AND(J4453=1,I4453=0)),"?IN_FOCUS",IF(J4453&lt;=2,"?ACTIVATED",IF(J4453&lt;&gt;"","?FAMILIAR",IF(F4453="NEW",IF(ISNA(VLOOKUP(E4453,#REF!,1,FALSE())),"?TYPE_IDENTIFIABLE","?REFERENTIAL"),"_")))))</f>
        <v> </v>
      </c>
      <c r="H4453" s="24" t="str">
        <f>IF(J4453&lt;&gt;1,"",IF(I4453="SBJ","CB","?"))</f>
        <v> </v>
      </c>
      <c r="I4453" s="25" t="str">
        <f>IF(OR(E4453="",E4453="!!!",F4453="NEW"),"",INDEX(B4452:B$2,-1+SUMPRODUCT(MAX(ROW(E4452:E$2)*(E4453=E4452:E$2)))))</f>
        <v> </v>
      </c>
      <c r="J4453" s="25" t="str">
        <f>IF(OR(E4453="",E4453="!!!",F4453="NEW"),"",COUNTBLANK(OFFSET(A$1,,,SUMPRODUCT(MAX(ROW(E$2:E4453)*(E4453=E$2:E4453)))))-COUNTBLANK(OFFSET(A$1,,,SUMPRODUCT(MAX(ROW(E$1:E4452)*(E2=E$1:E4452))))))</f>
        <v> </v>
      </c>
      <c r="K4453" s="25" t="str">
        <f>IF(OR(E4453="",E4453="!!!",F4453="NEW"),"",INDEX(J$1:J4452,SUMPRODUCT(MAX(ROW(E$1:E4452)*(E4453=E$1:E4452)))))</f>
        <v> </v>
      </c>
      <c r="L4453" s="26"/>
    </row>
    <row r="4454" spans="1:12">
      <c r="A4454" s="20" t="s">
        <v>1217</v>
      </c>
      <c r="E4454" s="21">
        <f>IF(D4454="?OLD","!!!","")</f>
        <v/>
      </c>
      <c r="F4454" s="22" t="str">
        <f>IF(OR(E4454="",E4454="!!!"),"",IF(NOT(ISNA(VLOOKUP(E4454,E$1:E4453,1,FALSE()))),"OLD",IF(AND(E4454&lt;&gt;"",E4454&lt;&gt;"!!!"),"NEW","")))</f>
        <v> </v>
      </c>
      <c r="G4454" s="23" t="str">
        <f>IF(OR(E4454="",E4454="!!!"),"",IF(OR(J4454=0,AND(J4454=1,K4454=1),AND(J4454=1,I4454="SBJ"),AND(J4454=1,I4454=0)),"?IN_FOCUS",IF(J4454&lt;=2,"?ACTIVATED",IF(J4454&lt;&gt;"","?FAMILIAR",IF(F4454="NEW",IF(ISNA(VLOOKUP(E4454,#REF!,1,FALSE())),"?TYPE_IDENTIFIABLE","?REFERENTIAL"),"_")))))</f>
        <v> </v>
      </c>
      <c r="H4454" s="24" t="str">
        <f>IF(J4454&lt;&gt;1,"",IF(I4454="SBJ","CB","?"))</f>
        <v> </v>
      </c>
      <c r="I4454" s="25" t="str">
        <f>IF(OR(E4454="",E4454="!!!",F4454="NEW"),"",INDEX(B4453:B$2,-1+SUMPRODUCT(MAX(ROW(E4453:E$2)*(E4454=E4453:E$2)))))</f>
        <v> </v>
      </c>
      <c r="J4454" s="25" t="str">
        <f>IF(OR(E4454="",E4454="!!!",F4454="NEW"),"",COUNTBLANK(OFFSET(A$1,,,SUMPRODUCT(MAX(ROW(E$2:E4454)*(E4454=E$2:E4454)))))-COUNTBLANK(OFFSET(A$1,,,SUMPRODUCT(MAX(ROW(E$1:E4453)*(E2=E$1:E4453))))))</f>
        <v> </v>
      </c>
      <c r="K4454" s="25" t="str">
        <f>IF(OR(E4454="",E4454="!!!",F4454="NEW"),"",INDEX(J$1:J4453,SUMPRODUCT(MAX(ROW(E$1:E4453)*(E4454=E$1:E4453)))))</f>
        <v> </v>
      </c>
      <c r="L4454" s="26"/>
    </row>
    <row r="4455" spans="1:12">
      <c r="A4455" s="20" t="s">
        <v>1993</v>
      </c>
      <c r="E4455" s="21">
        <f>IF(D4455="?OLD","!!!","")</f>
        <v/>
      </c>
      <c r="F4455" s="22" t="str">
        <f>IF(OR(E4455="",E4455="!!!"),"",IF(NOT(ISNA(VLOOKUP(E4455,E$1:E4454,1,FALSE()))),"OLD",IF(AND(E4455&lt;&gt;"",E4455&lt;&gt;"!!!"),"NEW","")))</f>
        <v> </v>
      </c>
      <c r="G4455" s="23" t="str">
        <f>IF(OR(E4455="",E4455="!!!"),"",IF(OR(J4455=0,AND(J4455=1,K4455=1),AND(J4455=1,I4455="SBJ"),AND(J4455=1,I4455=0)),"?IN_FOCUS",IF(J4455&lt;=2,"?ACTIVATED",IF(J4455&lt;&gt;"","?FAMILIAR",IF(F4455="NEW",IF(ISNA(VLOOKUP(E4455,#REF!,1,FALSE())),"?TYPE_IDENTIFIABLE","?REFERENTIAL"),"_")))))</f>
        <v> </v>
      </c>
      <c r="H4455" s="24" t="str">
        <f>IF(J4455&lt;&gt;1,"",IF(I4455="SBJ","CB","?"))</f>
        <v> </v>
      </c>
      <c r="I4455" s="25" t="str">
        <f>IF(OR(E4455="",E4455="!!!",F4455="NEW"),"",INDEX(B4454:B$2,-1+SUMPRODUCT(MAX(ROW(E4454:E$2)*(E4455=E4454:E$2)))))</f>
        <v> </v>
      </c>
      <c r="J4455" s="25" t="str">
        <f>IF(OR(E4455="",E4455="!!!",F4455="NEW"),"",COUNTBLANK(OFFSET(A$1,,,SUMPRODUCT(MAX(ROW(E$2:E4455)*(E4455=E$2:E4455)))))-COUNTBLANK(OFFSET(A$1,,,SUMPRODUCT(MAX(ROW(E$1:E4454)*(E2=E$1:E4454))))))</f>
        <v> </v>
      </c>
      <c r="K4455" s="25" t="str">
        <f>IF(OR(E4455="",E4455="!!!",F4455="NEW"),"",INDEX(J$1:J4454,SUMPRODUCT(MAX(ROW(E$1:E4454)*(E4455=E$1:E4454)))))</f>
        <v> </v>
      </c>
      <c r="L4455" s="26"/>
    </row>
    <row r="4456" spans="1:12">
      <c r="A4456" s="20" t="s">
        <v>733</v>
      </c>
      <c r="E4456" s="21">
        <f>IF(D4456="?OLD","!!!","")</f>
        <v/>
      </c>
      <c r="F4456" s="22" t="str">
        <f>IF(OR(E4456="",E4456="!!!"),"",IF(NOT(ISNA(VLOOKUP(E4456,E$1:E4455,1,FALSE()))),"OLD",IF(AND(E4456&lt;&gt;"",E4456&lt;&gt;"!!!"),"NEW","")))</f>
        <v> </v>
      </c>
      <c r="G4456" s="23" t="str">
        <f>IF(OR(E4456="",E4456="!!!"),"",IF(OR(J4456=0,AND(J4456=1,K4456=1),AND(J4456=1,I4456="SBJ"),AND(J4456=1,I4456=0)),"?IN_FOCUS",IF(J4456&lt;=2,"?ACTIVATED",IF(J4456&lt;&gt;"","?FAMILIAR",IF(F4456="NEW",IF(ISNA(VLOOKUP(E4456,#REF!,1,FALSE())),"?TYPE_IDENTIFIABLE","?REFERENTIAL"),"_")))))</f>
        <v> </v>
      </c>
      <c r="H4456" s="24" t="str">
        <f>IF(J4456&lt;&gt;1,"",IF(I4456="SBJ","CB","?"))</f>
        <v> </v>
      </c>
      <c r="I4456" s="25" t="str">
        <f>IF(OR(E4456="",E4456="!!!",F4456="NEW"),"",INDEX(B4455:B$2,-1+SUMPRODUCT(MAX(ROW(E4455:E$2)*(E4456=E4455:E$2)))))</f>
        <v> </v>
      </c>
      <c r="J4456" s="25" t="str">
        <f>IF(OR(E4456="",E4456="!!!",F4456="NEW"),"",COUNTBLANK(OFFSET(A$1,,,SUMPRODUCT(MAX(ROW(E$2:E4456)*(E4456=E$2:E4456)))))-COUNTBLANK(OFFSET(A$1,,,SUMPRODUCT(MAX(ROW(E$1:E4455)*(E2=E$1:E4455))))))</f>
        <v> </v>
      </c>
      <c r="K4456" s="25" t="str">
        <f>IF(OR(E4456="",E4456="!!!",F4456="NEW"),"",INDEX(J$1:J4455,SUMPRODUCT(MAX(ROW(E$1:E4455)*(E4456=E$1:E4455)))))</f>
        <v> </v>
      </c>
      <c r="L4456" s="26"/>
    </row>
    <row r="4457" spans="1:12">
      <c r="A4457" s="20" t="s">
        <v>1048</v>
      </c>
      <c r="B4457" s="27" t="s">
        <v>791</v>
      </c>
      <c r="C4457" s="27" t="s">
        <v>736</v>
      </c>
      <c r="E4457" s="21">
        <f>IF(D4457="?OLD","!!!","")</f>
        <v/>
      </c>
      <c r="F4457" s="22" t="str">
        <f>IF(OR(E4457="",E4457="!!!"),"",IF(NOT(ISNA(VLOOKUP(E4457,E$1:E4456,1,FALSE()))),"OLD",IF(AND(E4457&lt;&gt;"",E4457&lt;&gt;"!!!"),"NEW","")))</f>
        <v> </v>
      </c>
      <c r="G4457" s="23" t="str">
        <f>IF(OR(E4457="",E4457="!!!"),"",IF(OR(J4457=0,AND(J4457=1,K4457=1),AND(J4457=1,I4457="SBJ"),AND(J4457=1,I4457=0)),"?IN_FOCUS",IF(J4457&lt;=2,"?ACTIVATED",IF(J4457&lt;&gt;"","?FAMILIAR",IF(F4457="NEW",IF(ISNA(VLOOKUP(E4457,#REF!,1,FALSE())),"?TYPE_IDENTIFIABLE","?REFERENTIAL"),"_")))))</f>
        <v> </v>
      </c>
      <c r="H4457" s="24" t="str">
        <f>IF(J4457&lt;&gt;1,"",IF(I4457="SBJ","CB","?"))</f>
        <v> </v>
      </c>
      <c r="I4457" s="25" t="str">
        <f>IF(OR(E4457="",E4457="!!!",F4457="NEW"),"",INDEX(B4456:B$2,-1+SUMPRODUCT(MAX(ROW(E4456:E$2)*(E4457=E4456:E$2)))))</f>
        <v> </v>
      </c>
      <c r="J4457" s="25" t="str">
        <f>IF(OR(E4457="",E4457="!!!",F4457="NEW"),"",COUNTBLANK(OFFSET(A$1,,,SUMPRODUCT(MAX(ROW(E$2:E4457)*(E4457=E$2:E4457)))))-COUNTBLANK(OFFSET(A$1,,,SUMPRODUCT(MAX(ROW(E$1:E4456)*(E2=E$1:E4456))))))</f>
        <v> </v>
      </c>
      <c r="K4457" s="25" t="str">
        <f>IF(OR(E4457="",E4457="!!!",F4457="NEW"),"",INDEX(J$1:J4456,SUMPRODUCT(MAX(ROW(E$1:E4456)*(E4457=E$1:E4456)))))</f>
        <v> </v>
      </c>
      <c r="L4457" s="26"/>
    </row>
    <row r="4458" spans="1:12">
      <c r="A4458" s="20" t="s">
        <v>1207</v>
      </c>
      <c r="E4458" s="21">
        <f>IF(D4458="?OLD","!!!","")</f>
        <v/>
      </c>
      <c r="F4458" s="22" t="str">
        <f>IF(OR(E4458="",E4458="!!!"),"",IF(NOT(ISNA(VLOOKUP(E4458,E$1:E4457,1,FALSE()))),"OLD",IF(AND(E4458&lt;&gt;"",E4458&lt;&gt;"!!!"),"NEW","")))</f>
        <v> </v>
      </c>
      <c r="G4458" s="23" t="str">
        <f>IF(OR(E4458="",E4458="!!!"),"",IF(OR(J4458=0,AND(J4458=1,K4458=1),AND(J4458=1,I4458="SBJ"),AND(J4458=1,I4458=0)),"?IN_FOCUS",IF(J4458&lt;=2,"?ACTIVATED",IF(J4458&lt;&gt;"","?FAMILIAR",IF(F4458="NEW",IF(ISNA(VLOOKUP(E4458,#REF!,1,FALSE())),"?TYPE_IDENTIFIABLE","?REFERENTIAL"),"_")))))</f>
        <v> </v>
      </c>
      <c r="H4458" s="24" t="str">
        <f>IF(J4458&lt;&gt;1,"",IF(I4458="SBJ","CB","?"))</f>
        <v> </v>
      </c>
      <c r="I4458" s="25" t="str">
        <f>IF(OR(E4458="",E4458="!!!",F4458="NEW"),"",INDEX(B4457:B$2,-1+SUMPRODUCT(MAX(ROW(E4457:E$2)*(E4458=E4457:E$2)))))</f>
        <v> </v>
      </c>
      <c r="J4458" s="25" t="str">
        <f>IF(OR(E4458="",E4458="!!!",F4458="NEW"),"",COUNTBLANK(OFFSET(A$1,,,SUMPRODUCT(MAX(ROW(E$2:E4458)*(E4458=E$2:E4458)))))-COUNTBLANK(OFFSET(A$1,,,SUMPRODUCT(MAX(ROW(E$1:E4457)*(E2=E$1:E4457))))))</f>
        <v> </v>
      </c>
      <c r="K4458" s="25" t="str">
        <f>IF(OR(E4458="",E4458="!!!",F4458="NEW"),"",INDEX(J$1:J4457,SUMPRODUCT(MAX(ROW(E$1:E4457)*(E4458=E$1:E4457)))))</f>
        <v> </v>
      </c>
      <c r="L4458" s="26"/>
    </row>
    <row r="4459" spans="1:12">
      <c r="A4459" s="20" t="s">
        <v>852</v>
      </c>
      <c r="E4459" s="21">
        <f>IF(D4459="?OLD","!!!","")</f>
        <v/>
      </c>
      <c r="F4459" s="22" t="str">
        <f>IF(OR(E4459="",E4459="!!!"),"",IF(NOT(ISNA(VLOOKUP(E4459,E$1:E4458,1,FALSE()))),"OLD",IF(AND(E4459&lt;&gt;"",E4459&lt;&gt;"!!!"),"NEW","")))</f>
        <v> </v>
      </c>
      <c r="G4459" s="23" t="str">
        <f>IF(OR(E4459="",E4459="!!!"),"",IF(OR(J4459=0,AND(J4459=1,K4459=1),AND(J4459=1,I4459="SBJ"),AND(J4459=1,I4459=0)),"?IN_FOCUS",IF(J4459&lt;=2,"?ACTIVATED",IF(J4459&lt;&gt;"","?FAMILIAR",IF(F4459="NEW",IF(ISNA(VLOOKUP(E4459,#REF!,1,FALSE())),"?TYPE_IDENTIFIABLE","?REFERENTIAL"),"_")))))</f>
        <v> </v>
      </c>
      <c r="H4459" s="24" t="str">
        <f>IF(J4459&lt;&gt;1,"",IF(I4459="SBJ","CB","?"))</f>
        <v> </v>
      </c>
      <c r="I4459" s="25" t="str">
        <f>IF(OR(E4459="",E4459="!!!",F4459="NEW"),"",INDEX(B4458:B$2,-1+SUMPRODUCT(MAX(ROW(E4458:E$2)*(E4459=E4458:E$2)))))</f>
        <v> </v>
      </c>
      <c r="J4459" s="25" t="str">
        <f>IF(OR(E4459="",E4459="!!!",F4459="NEW"),"",COUNTBLANK(OFFSET(A$1,,,SUMPRODUCT(MAX(ROW(E$2:E4459)*(E4459=E$2:E4459)))))-COUNTBLANK(OFFSET(A$1,,,SUMPRODUCT(MAX(ROW(E$1:E4458)*(E2=E$1:E4458))))))</f>
        <v> </v>
      </c>
      <c r="K4459" s="25" t="str">
        <f>IF(OR(E4459="",E4459="!!!",F4459="NEW"),"",INDEX(J$1:J4458,SUMPRODUCT(MAX(ROW(E$1:E4458)*(E4459=E$1:E4458)))))</f>
        <v> </v>
      </c>
      <c r="L4459" s="26"/>
    </row>
    <row r="4460" spans="1:12">
      <c r="A4460" s="20" t="s">
        <v>1248</v>
      </c>
      <c r="E4460" s="21">
        <f>IF(D4460="?OLD","!!!","")</f>
        <v/>
      </c>
      <c r="F4460" s="22" t="str">
        <f>IF(OR(E4460="",E4460="!!!"),"",IF(NOT(ISNA(VLOOKUP(E4460,E$1:E4459,1,FALSE()))),"OLD",IF(AND(E4460&lt;&gt;"",E4460&lt;&gt;"!!!"),"NEW","")))</f>
        <v> </v>
      </c>
      <c r="G4460" s="23" t="str">
        <f>IF(OR(E4460="",E4460="!!!"),"",IF(OR(J4460=0,AND(J4460=1,K4460=1),AND(J4460=1,I4460="SBJ"),AND(J4460=1,I4460=0)),"?IN_FOCUS",IF(J4460&lt;=2,"?ACTIVATED",IF(J4460&lt;&gt;"","?FAMILIAR",IF(F4460="NEW",IF(ISNA(VLOOKUP(E4460,#REF!,1,FALSE())),"?TYPE_IDENTIFIABLE","?REFERENTIAL"),"_")))))</f>
        <v> </v>
      </c>
      <c r="H4460" s="24" t="str">
        <f>IF(J4460&lt;&gt;1,"",IF(I4460="SBJ","CB","?"))</f>
        <v> </v>
      </c>
      <c r="I4460" s="25" t="str">
        <f>IF(OR(E4460="",E4460="!!!",F4460="NEW"),"",INDEX(B4459:B$2,-1+SUMPRODUCT(MAX(ROW(E4459:E$2)*(E4460=E4459:E$2)))))</f>
        <v> </v>
      </c>
      <c r="J4460" s="25" t="str">
        <f>IF(OR(E4460="",E4460="!!!",F4460="NEW"),"",COUNTBLANK(OFFSET(A$1,,,SUMPRODUCT(MAX(ROW(E$2:E4460)*(E4460=E$2:E4460)))))-COUNTBLANK(OFFSET(A$1,,,SUMPRODUCT(MAX(ROW(E$1:E4459)*(E2=E$1:E4459))))))</f>
        <v> </v>
      </c>
      <c r="K4460" s="25" t="str">
        <f>IF(OR(E4460="",E4460="!!!",F4460="NEW"),"",INDEX(J$1:J4459,SUMPRODUCT(MAX(ROW(E$1:E4459)*(E4460=E$1:E4459)))))</f>
        <v> </v>
      </c>
      <c r="L4460" s="26"/>
    </row>
    <row r="4461" spans="1:12">
      <c r="A4461" s="20" t="s">
        <v>782</v>
      </c>
      <c r="E4461" s="21">
        <f>IF(D4461="?OLD","!!!","")</f>
        <v/>
      </c>
      <c r="F4461" s="22" t="str">
        <f>IF(OR(E4461="",E4461="!!!"),"",IF(NOT(ISNA(VLOOKUP(E4461,E$1:E4460,1,FALSE()))),"OLD",IF(AND(E4461&lt;&gt;"",E4461&lt;&gt;"!!!"),"NEW","")))</f>
        <v> </v>
      </c>
      <c r="G4461" s="23" t="str">
        <f>IF(OR(E4461="",E4461="!!!"),"",IF(OR(J4461=0,AND(J4461=1,K4461=1),AND(J4461=1,I4461="SBJ"),AND(J4461=1,I4461=0)),"?IN_FOCUS",IF(J4461&lt;=2,"?ACTIVATED",IF(J4461&lt;&gt;"","?FAMILIAR",IF(F4461="NEW",IF(ISNA(VLOOKUP(E4461,#REF!,1,FALSE())),"?TYPE_IDENTIFIABLE","?REFERENTIAL"),"_")))))</f>
        <v> </v>
      </c>
      <c r="H4461" s="24" t="str">
        <f>IF(J4461&lt;&gt;1,"",IF(I4461="SBJ","CB","?"))</f>
        <v> </v>
      </c>
      <c r="I4461" s="25" t="str">
        <f>IF(OR(E4461="",E4461="!!!",F4461="NEW"),"",INDEX(B4460:B$2,-1+SUMPRODUCT(MAX(ROW(E4460:E$2)*(E4461=E4460:E$2)))))</f>
        <v> </v>
      </c>
      <c r="J4461" s="25" t="str">
        <f>IF(OR(E4461="",E4461="!!!",F4461="NEW"),"",COUNTBLANK(OFFSET(A$1,,,SUMPRODUCT(MAX(ROW(E$2:E4461)*(E4461=E$2:E4461)))))-COUNTBLANK(OFFSET(A$1,,,SUMPRODUCT(MAX(ROW(E$1:E4460)*(E2=E$1:E4460))))))</f>
        <v> </v>
      </c>
      <c r="K4461" s="25" t="str">
        <f>IF(OR(E4461="",E4461="!!!",F4461="NEW"),"",INDEX(J$1:J4460,SUMPRODUCT(MAX(ROW(E$1:E4460)*(E4461=E$1:E4460)))))</f>
        <v> </v>
      </c>
      <c r="L4461" s="26"/>
    </row>
    <row r="4462" spans="1:12">
      <c r="A4462" s="20" t="s">
        <v>1994</v>
      </c>
      <c r="E4462" s="21">
        <f>IF(D4462="?OLD","!!!","")</f>
        <v/>
      </c>
      <c r="F4462" s="22" t="str">
        <f>IF(OR(E4462="",E4462="!!!"),"",IF(NOT(ISNA(VLOOKUP(E4462,E$1:E4461,1,FALSE()))),"OLD",IF(AND(E4462&lt;&gt;"",E4462&lt;&gt;"!!!"),"NEW","")))</f>
        <v> </v>
      </c>
      <c r="G4462" s="23" t="str">
        <f>IF(OR(E4462="",E4462="!!!"),"",IF(OR(J4462=0,AND(J4462=1,K4462=1),AND(J4462=1,I4462="SBJ"),AND(J4462=1,I4462=0)),"?IN_FOCUS",IF(J4462&lt;=2,"?ACTIVATED",IF(J4462&lt;&gt;"","?FAMILIAR",IF(F4462="NEW",IF(ISNA(VLOOKUP(E4462,#REF!,1,FALSE())),"?TYPE_IDENTIFIABLE","?REFERENTIAL"),"_")))))</f>
        <v> </v>
      </c>
      <c r="H4462" s="24" t="str">
        <f>IF(J4462&lt;&gt;1,"",IF(I4462="SBJ","CB","?"))</f>
        <v> </v>
      </c>
      <c r="I4462" s="25" t="str">
        <f>IF(OR(E4462="",E4462="!!!",F4462="NEW"),"",INDEX(B4461:B$2,-1+SUMPRODUCT(MAX(ROW(E4461:E$2)*(E4462=E4461:E$2)))))</f>
        <v> </v>
      </c>
      <c r="J4462" s="25" t="str">
        <f>IF(OR(E4462="",E4462="!!!",F4462="NEW"),"",COUNTBLANK(OFFSET(A$1,,,SUMPRODUCT(MAX(ROW(E$2:E4462)*(E4462=E$2:E4462)))))-COUNTBLANK(OFFSET(A$1,,,SUMPRODUCT(MAX(ROW(E$1:E4461)*(E2=E$1:E4461))))))</f>
        <v> </v>
      </c>
      <c r="K4462" s="25" t="str">
        <f>IF(OR(E4462="",E4462="!!!",F4462="NEW"),"",INDEX(J$1:J4461,SUMPRODUCT(MAX(ROW(E$1:E4461)*(E4462=E$1:E4461)))))</f>
        <v> </v>
      </c>
      <c r="L4462" s="26"/>
    </row>
    <row r="4463" spans="1:12">
      <c r="A4463" s="20" t="s">
        <v>698</v>
      </c>
      <c r="E4463" s="21">
        <f>IF(D4463="?OLD","!!!","")</f>
        <v/>
      </c>
      <c r="F4463" s="22" t="str">
        <f>IF(OR(E4463="",E4463="!!!"),"",IF(NOT(ISNA(VLOOKUP(E4463,E$1:E4462,1,FALSE()))),"OLD",IF(AND(E4463&lt;&gt;"",E4463&lt;&gt;"!!!"),"NEW","")))</f>
        <v> </v>
      </c>
      <c r="G4463" s="23" t="str">
        <f>IF(OR(E4463="",E4463="!!!"),"",IF(OR(J4463=0,AND(J4463=1,K4463=1),AND(J4463=1,I4463="SBJ"),AND(J4463=1,I4463=0)),"?IN_FOCUS",IF(J4463&lt;=2,"?ACTIVATED",IF(J4463&lt;&gt;"","?FAMILIAR",IF(F4463="NEW",IF(ISNA(VLOOKUP(E4463,#REF!,1,FALSE())),"?TYPE_IDENTIFIABLE","?REFERENTIAL"),"_")))))</f>
        <v> </v>
      </c>
      <c r="H4463" s="24" t="str">
        <f>IF(J4463&lt;&gt;1,"",IF(I4463="SBJ","CB","?"))</f>
        <v> </v>
      </c>
      <c r="I4463" s="25" t="str">
        <f>IF(OR(E4463="",E4463="!!!",F4463="NEW"),"",INDEX(B4462:B$2,-1+SUMPRODUCT(MAX(ROW(E4462:E$2)*(E4463=E4462:E$2)))))</f>
        <v> </v>
      </c>
      <c r="J4463" s="25" t="str">
        <f>IF(OR(E4463="",E4463="!!!",F4463="NEW"),"",COUNTBLANK(OFFSET(A$1,,,SUMPRODUCT(MAX(ROW(E$2:E4463)*(E4463=E$2:E4463)))))-COUNTBLANK(OFFSET(A$1,,,SUMPRODUCT(MAX(ROW(E$1:E4462)*(E2=E$1:E4462))))))</f>
        <v> </v>
      </c>
      <c r="K4463" s="25" t="str">
        <f>IF(OR(E4463="",E4463="!!!",F4463="NEW"),"",INDEX(J$1:J4462,SUMPRODUCT(MAX(ROW(E$1:E4462)*(E4463=E$1:E4462)))))</f>
        <v> </v>
      </c>
      <c r="L4463" s="26"/>
    </row>
    <row r="4464" spans="1:12">
      <c r="A4464" s="20"/>
    </row>
    <row r="4465" spans="1:12">
      <c r="A4465" s="20" t="s">
        <v>1995</v>
      </c>
    </row>
    <row r="4466" spans="1:12">
      <c r="A4466" s="20" t="s">
        <v>1996</v>
      </c>
      <c r="E4466" s="21">
        <f>IF(D4466="?OLD","!!!","")</f>
        <v/>
      </c>
      <c r="F4466" s="22" t="str">
        <f>IF(OR(E4466="",E4466="!!!"),"",IF(NOT(ISNA(VLOOKUP(E4466,E$1:E4465,1,FALSE()))),"OLD",IF(AND(E4466&lt;&gt;"",E4466&lt;&gt;"!!!"),"NEW","")))</f>
        <v> </v>
      </c>
      <c r="G4466" s="23" t="str">
        <f>IF(OR(E4466="",E4466="!!!"),"",IF(OR(J4466=0,AND(J4466=1,K4466=1),AND(J4466=1,I4466="SBJ"),AND(J4466=1,I4466=0)),"?IN_FOCUS",IF(J4466&lt;=2,"?ACTIVATED",IF(J4466&lt;&gt;"","?FAMILIAR",IF(F4466="NEW",IF(ISNA(VLOOKUP(E4466,#REF!,1,FALSE())),"?TYPE_IDENTIFIABLE","?REFERENTIAL"),"_")))))</f>
        <v> </v>
      </c>
      <c r="H4466" s="24" t="str">
        <f>IF(J4466&lt;&gt;1,"",IF(I4466="SBJ","CB","?"))</f>
        <v> </v>
      </c>
      <c r="I4466" s="25" t="str">
        <f>IF(OR(E4466="",E4466="!!!",F4466="NEW"),"",INDEX(B4465:B$2,-1+SUMPRODUCT(MAX(ROW(E4465:E$2)*(E4466=E4465:E$2)))))</f>
        <v> </v>
      </c>
      <c r="J4466" s="25" t="str">
        <f>IF(OR(E4466="",E4466="!!!",F4466="NEW"),"",COUNTBLANK(OFFSET(A$1,,,SUMPRODUCT(MAX(ROW(E$2:E4466)*(E4466=E$2:E4466)))))-COUNTBLANK(OFFSET(A$1,,,SUMPRODUCT(MAX(ROW(E$1:E4465)*(E2=E$1:E4465))))))</f>
        <v> </v>
      </c>
      <c r="K4466" s="25" t="str">
        <f>IF(OR(E4466="",E4466="!!!",F4466="NEW"),"",INDEX(J$1:J4465,SUMPRODUCT(MAX(ROW(E$1:E4465)*(E4466=E$1:E4465)))))</f>
        <v> </v>
      </c>
      <c r="L4466" s="26"/>
    </row>
    <row r="4467" spans="1:12">
      <c r="A4467" s="20" t="s">
        <v>886</v>
      </c>
      <c r="B4467" s="27" t="s">
        <v>692</v>
      </c>
      <c r="C4467" s="27" t="s">
        <v>749</v>
      </c>
      <c r="D4467" s="27" t="s">
        <v>687</v>
      </c>
      <c r="E4467" s="21">
        <f>IF(D4467="?OLD","!!!","")</f>
        <v/>
      </c>
      <c r="F4467" s="22" t="str">
        <f>IF(OR(E4467="",E4467="!!!"),"",IF(NOT(ISNA(VLOOKUP(E4467,E$1:E4466,1,FALSE()))),"OLD",IF(AND(E4467&lt;&gt;"",E4467&lt;&gt;"!!!"),"NEW","")))</f>
        <v> </v>
      </c>
      <c r="G4467" s="23" t="str">
        <f>IF(OR(E4467="",E4467="!!!"),"",IF(OR(J4467=0,AND(J4467=1,K4467=1),AND(J4467=1,I4467="SBJ"),AND(J4467=1,I4467=0)),"?IN_FOCUS",IF(J4467&lt;=2,"?ACTIVATED",IF(J4467&lt;&gt;"","?FAMILIAR",IF(F4467="NEW",IF(ISNA(VLOOKUP(E4467,#REF!,1,FALSE())),"?TYPE_IDENTIFIABLE","?REFERENTIAL"),"_")))))</f>
        <v> </v>
      </c>
      <c r="H4467" s="24" t="str">
        <f>IF(J4467&lt;&gt;1,"",IF(I4467="SBJ","CB","?"))</f>
        <v> </v>
      </c>
      <c r="I4467" s="25" t="str">
        <f>IF(OR(E4467="",E4467="!!!",F4467="NEW"),"",INDEX(B4466:B$2,-1+SUMPRODUCT(MAX(ROW(E4466:E$2)*(E4467=E4466:E$2)))))</f>
        <v> </v>
      </c>
      <c r="J4467" s="25" t="str">
        <f>IF(OR(E4467="",E4467="!!!",F4467="NEW"),"",COUNTBLANK(OFFSET(A$1,,,SUMPRODUCT(MAX(ROW(E$2:E4467)*(E4467=E$2:E4467)))))-COUNTBLANK(OFFSET(A$1,,,SUMPRODUCT(MAX(ROW(E$1:E4466)*(E2=E$1:E4466))))))</f>
        <v> </v>
      </c>
      <c r="K4467" s="25" t="str">
        <f>IF(OR(E4467="",E4467="!!!",F4467="NEW"),"",INDEX(J$1:J4466,SUMPRODUCT(MAX(ROW(E$1:E4466)*(E4467=E$1:E4466)))))</f>
        <v> </v>
      </c>
      <c r="L4467" s="26"/>
    </row>
    <row r="4468" spans="1:12">
      <c r="A4468" s="20" t="s">
        <v>683</v>
      </c>
      <c r="E4468" s="21">
        <f>IF(D4468="?OLD","!!!","")</f>
        <v/>
      </c>
      <c r="F4468" s="22" t="str">
        <f>IF(OR(E4468="",E4468="!!!"),"",IF(NOT(ISNA(VLOOKUP(E4468,E$1:E4467,1,FALSE()))),"OLD",IF(AND(E4468&lt;&gt;"",E4468&lt;&gt;"!!!"),"NEW","")))</f>
        <v> </v>
      </c>
      <c r="G4468" s="23" t="str">
        <f>IF(OR(E4468="",E4468="!!!"),"",IF(OR(J4468=0,AND(J4468=1,K4468=1),AND(J4468=1,I4468="SBJ"),AND(J4468=1,I4468=0)),"?IN_FOCUS",IF(J4468&lt;=2,"?ACTIVATED",IF(J4468&lt;&gt;"","?FAMILIAR",IF(F4468="NEW",IF(ISNA(VLOOKUP(E4468,#REF!,1,FALSE())),"?TYPE_IDENTIFIABLE","?REFERENTIAL"),"_")))))</f>
        <v> </v>
      </c>
      <c r="H4468" s="24" t="str">
        <f>IF(J4468&lt;&gt;1,"",IF(I4468="SBJ","CB","?"))</f>
        <v> </v>
      </c>
      <c r="I4468" s="25" t="str">
        <f>IF(OR(E4468="",E4468="!!!",F4468="NEW"),"",INDEX(B4467:B$2,-1+SUMPRODUCT(MAX(ROW(E4467:E$2)*(E4468=E4467:E$2)))))</f>
        <v> </v>
      </c>
      <c r="J4468" s="25" t="str">
        <f>IF(OR(E4468="",E4468="!!!",F4468="NEW"),"",COUNTBLANK(OFFSET(A$1,,,SUMPRODUCT(MAX(ROW(E$2:E4468)*(E4468=E$2:E4468)))))-COUNTBLANK(OFFSET(A$1,,,SUMPRODUCT(MAX(ROW(E$1:E4467)*(E2=E$1:E4467))))))</f>
        <v> </v>
      </c>
      <c r="K4468" s="25" t="str">
        <f>IF(OR(E4468="",E4468="!!!",F4468="NEW"),"",INDEX(J$1:J4467,SUMPRODUCT(MAX(ROW(E$1:E4467)*(E4468=E$1:E4467)))))</f>
        <v> </v>
      </c>
      <c r="L4468" s="26"/>
    </row>
    <row r="4469" spans="1:12">
      <c r="A4469" s="20" t="s">
        <v>733</v>
      </c>
      <c r="E4469" s="21">
        <f>IF(D4469="?OLD","!!!","")</f>
        <v/>
      </c>
      <c r="F4469" s="22" t="str">
        <f>IF(OR(E4469="",E4469="!!!"),"",IF(NOT(ISNA(VLOOKUP(E4469,E$1:E4468,1,FALSE()))),"OLD",IF(AND(E4469&lt;&gt;"",E4469&lt;&gt;"!!!"),"NEW","")))</f>
        <v> </v>
      </c>
      <c r="G4469" s="23" t="str">
        <f>IF(OR(E4469="",E4469="!!!"),"",IF(OR(J4469=0,AND(J4469=1,K4469=1),AND(J4469=1,I4469="SBJ"),AND(J4469=1,I4469=0)),"?IN_FOCUS",IF(J4469&lt;=2,"?ACTIVATED",IF(J4469&lt;&gt;"","?FAMILIAR",IF(F4469="NEW",IF(ISNA(VLOOKUP(E4469,#REF!,1,FALSE())),"?TYPE_IDENTIFIABLE","?REFERENTIAL"),"_")))))</f>
        <v> </v>
      </c>
      <c r="H4469" s="24" t="str">
        <f>IF(J4469&lt;&gt;1,"",IF(I4469="SBJ","CB","?"))</f>
        <v> </v>
      </c>
      <c r="I4469" s="25" t="str">
        <f>IF(OR(E4469="",E4469="!!!",F4469="NEW"),"",INDEX(B4468:B$2,-1+SUMPRODUCT(MAX(ROW(E4468:E$2)*(E4469=E4468:E$2)))))</f>
        <v> </v>
      </c>
      <c r="J4469" s="25" t="str">
        <f>IF(OR(E4469="",E4469="!!!",F4469="NEW"),"",COUNTBLANK(OFFSET(A$1,,,SUMPRODUCT(MAX(ROW(E$2:E4469)*(E4469=E$2:E4469)))))-COUNTBLANK(OFFSET(A$1,,,SUMPRODUCT(MAX(ROW(E$1:E4468)*(E2=E$1:E4468))))))</f>
        <v> </v>
      </c>
      <c r="K4469" s="25" t="str">
        <f>IF(OR(E4469="",E4469="!!!",F4469="NEW"),"",INDEX(J$1:J4468,SUMPRODUCT(MAX(ROW(E$1:E4468)*(E4469=E$1:E4468)))))</f>
        <v> </v>
      </c>
      <c r="L4469" s="26"/>
    </row>
    <row r="4470" spans="1:12">
      <c r="A4470" s="20" t="s">
        <v>1997</v>
      </c>
      <c r="B4470" s="27" t="s">
        <v>692</v>
      </c>
      <c r="C4470" s="27" t="s">
        <v>736</v>
      </c>
      <c r="E4470" s="21">
        <f>IF(D4470="?OLD","!!!","")</f>
        <v/>
      </c>
      <c r="F4470" s="22" t="str">
        <f>IF(OR(E4470="",E4470="!!!"),"",IF(NOT(ISNA(VLOOKUP(E4470,E$1:E4469,1,FALSE()))),"OLD",IF(AND(E4470&lt;&gt;"",E4470&lt;&gt;"!!!"),"NEW","")))</f>
        <v> </v>
      </c>
      <c r="G4470" s="23" t="str">
        <f>IF(OR(E4470="",E4470="!!!"),"",IF(OR(J4470=0,AND(J4470=1,K4470=1),AND(J4470=1,I4470="SBJ"),AND(J4470=1,I4470=0)),"?IN_FOCUS",IF(J4470&lt;=2,"?ACTIVATED",IF(J4470&lt;&gt;"","?FAMILIAR",IF(F4470="NEW",IF(ISNA(VLOOKUP(E4470,#REF!,1,FALSE())),"?TYPE_IDENTIFIABLE","?REFERENTIAL"),"_")))))</f>
        <v> </v>
      </c>
      <c r="H4470" s="24" t="str">
        <f>IF(J4470&lt;&gt;1,"",IF(I4470="SBJ","CB","?"))</f>
        <v> </v>
      </c>
      <c r="I4470" s="25" t="str">
        <f>IF(OR(E4470="",E4470="!!!",F4470="NEW"),"",INDEX(B4469:B$2,-1+SUMPRODUCT(MAX(ROW(E4469:E$2)*(E4470=E4469:E$2)))))</f>
        <v> </v>
      </c>
      <c r="J4470" s="25" t="str">
        <f>IF(OR(E4470="",E4470="!!!",F4470="NEW"),"",COUNTBLANK(OFFSET(A$1,,,SUMPRODUCT(MAX(ROW(E$2:E4470)*(E4470=E$2:E4470)))))-COUNTBLANK(OFFSET(A$1,,,SUMPRODUCT(MAX(ROW(E$1:E4469)*(E2=E$1:E4469))))))</f>
        <v> </v>
      </c>
      <c r="K4470" s="25" t="str">
        <f>IF(OR(E4470="",E4470="!!!",F4470="NEW"),"",INDEX(J$1:J4469,SUMPRODUCT(MAX(ROW(E$1:E4469)*(E4470=E$1:E4469)))))</f>
        <v> </v>
      </c>
      <c r="L4470" s="26"/>
    </row>
    <row r="4471" spans="1:12">
      <c r="A4471" s="20" t="s">
        <v>1998</v>
      </c>
      <c r="E4471" s="21">
        <f>IF(D4471="?OLD","!!!","")</f>
        <v/>
      </c>
      <c r="F4471" s="22" t="str">
        <f>IF(OR(E4471="",E4471="!!!"),"",IF(NOT(ISNA(VLOOKUP(E4471,E$1:E4470,1,FALSE()))),"OLD",IF(AND(E4471&lt;&gt;"",E4471&lt;&gt;"!!!"),"NEW","")))</f>
        <v> </v>
      </c>
      <c r="G4471" s="23" t="str">
        <f>IF(OR(E4471="",E4471="!!!"),"",IF(OR(J4471=0,AND(J4471=1,K4471=1),AND(J4471=1,I4471="SBJ"),AND(J4471=1,I4471=0)),"?IN_FOCUS",IF(J4471&lt;=2,"?ACTIVATED",IF(J4471&lt;&gt;"","?FAMILIAR",IF(F4471="NEW",IF(ISNA(VLOOKUP(E4471,#REF!,1,FALSE())),"?TYPE_IDENTIFIABLE","?REFERENTIAL"),"_")))))</f>
        <v> </v>
      </c>
      <c r="H4471" s="24" t="str">
        <f>IF(J4471&lt;&gt;1,"",IF(I4471="SBJ","CB","?"))</f>
        <v> </v>
      </c>
      <c r="I4471" s="25" t="str">
        <f>IF(OR(E4471="",E4471="!!!",F4471="NEW"),"",INDEX(B4470:B$2,-1+SUMPRODUCT(MAX(ROW(E4470:E$2)*(E4471=E4470:E$2)))))</f>
        <v> </v>
      </c>
      <c r="J4471" s="25" t="str">
        <f>IF(OR(E4471="",E4471="!!!",F4471="NEW"),"",COUNTBLANK(OFFSET(A$1,,,SUMPRODUCT(MAX(ROW(E$2:E4471)*(E4471=E$2:E4471)))))-COUNTBLANK(OFFSET(A$1,,,SUMPRODUCT(MAX(ROW(E$1:E4470)*(E2=E$1:E4470))))))</f>
        <v> </v>
      </c>
      <c r="K4471" s="25" t="str">
        <f>IF(OR(E4471="",E4471="!!!",F4471="NEW"),"",INDEX(J$1:J4470,SUMPRODUCT(MAX(ROW(E$1:E4470)*(E4471=E$1:E4470)))))</f>
        <v> </v>
      </c>
      <c r="L4471" s="26"/>
    </row>
    <row r="4472" spans="1:12">
      <c r="A4472" s="20" t="s">
        <v>682</v>
      </c>
      <c r="E4472" s="21">
        <f>IF(D4472="?OLD","!!!","")</f>
        <v/>
      </c>
      <c r="F4472" s="22" t="str">
        <f>IF(OR(E4472="",E4472="!!!"),"",IF(NOT(ISNA(VLOOKUP(E4472,E$1:E4471,1,FALSE()))),"OLD",IF(AND(E4472&lt;&gt;"",E4472&lt;&gt;"!!!"),"NEW","")))</f>
        <v> </v>
      </c>
      <c r="G4472" s="23" t="str">
        <f>IF(OR(E4472="",E4472="!!!"),"",IF(OR(J4472=0,AND(J4472=1,K4472=1),AND(J4472=1,I4472="SBJ"),AND(J4472=1,I4472=0)),"?IN_FOCUS",IF(J4472&lt;=2,"?ACTIVATED",IF(J4472&lt;&gt;"","?FAMILIAR",IF(F4472="NEW",IF(ISNA(VLOOKUP(E4472,#REF!,1,FALSE())),"?TYPE_IDENTIFIABLE","?REFERENTIAL"),"_")))))</f>
        <v> </v>
      </c>
      <c r="H4472" s="24" t="str">
        <f>IF(J4472&lt;&gt;1,"",IF(I4472="SBJ","CB","?"))</f>
        <v> </v>
      </c>
      <c r="I4472" s="25" t="str">
        <f>IF(OR(E4472="",E4472="!!!",F4472="NEW"),"",INDEX(B4471:B$2,-1+SUMPRODUCT(MAX(ROW(E4471:E$2)*(E4472=E4471:E$2)))))</f>
        <v> </v>
      </c>
      <c r="J4472" s="25" t="str">
        <f>IF(OR(E4472="",E4472="!!!",F4472="NEW"),"",COUNTBLANK(OFFSET(A$1,,,SUMPRODUCT(MAX(ROW(E$2:E4472)*(E4472=E$2:E4472)))))-COUNTBLANK(OFFSET(A$1,,,SUMPRODUCT(MAX(ROW(E$1:E4471)*(E2=E$1:E4471))))))</f>
        <v> </v>
      </c>
      <c r="K4472" s="25" t="str">
        <f>IF(OR(E4472="",E4472="!!!",F4472="NEW"),"",INDEX(J$1:J4471,SUMPRODUCT(MAX(ROW(E$1:E4471)*(E4472=E$1:E4471)))))</f>
        <v> </v>
      </c>
      <c r="L4472" s="26"/>
    </row>
    <row r="4473" spans="1:12">
      <c r="A4473" s="20" t="s">
        <v>1880</v>
      </c>
      <c r="E4473" s="21">
        <f>IF(D4473="?OLD","!!!","")</f>
        <v/>
      </c>
      <c r="F4473" s="22" t="str">
        <f>IF(OR(E4473="",E4473="!!!"),"",IF(NOT(ISNA(VLOOKUP(E4473,E$1:E4472,1,FALSE()))),"OLD",IF(AND(E4473&lt;&gt;"",E4473&lt;&gt;"!!!"),"NEW","")))</f>
        <v> </v>
      </c>
      <c r="G4473" s="23" t="str">
        <f>IF(OR(E4473="",E4473="!!!"),"",IF(OR(J4473=0,AND(J4473=1,K4473=1),AND(J4473=1,I4473="SBJ"),AND(J4473=1,I4473=0)),"?IN_FOCUS",IF(J4473&lt;=2,"?ACTIVATED",IF(J4473&lt;&gt;"","?FAMILIAR",IF(F4473="NEW",IF(ISNA(VLOOKUP(E4473,#REF!,1,FALSE())),"?TYPE_IDENTIFIABLE","?REFERENTIAL"),"_")))))</f>
        <v> </v>
      </c>
      <c r="H4473" s="24" t="str">
        <f>IF(J4473&lt;&gt;1,"",IF(I4473="SBJ","CB","?"))</f>
        <v> </v>
      </c>
      <c r="I4473" s="25" t="str">
        <f>IF(OR(E4473="",E4473="!!!",F4473="NEW"),"",INDEX(B4472:B$2,-1+SUMPRODUCT(MAX(ROW(E4472:E$2)*(E4473=E4472:E$2)))))</f>
        <v> </v>
      </c>
      <c r="J4473" s="25" t="str">
        <f>IF(OR(E4473="",E4473="!!!",F4473="NEW"),"",COUNTBLANK(OFFSET(A$1,,,SUMPRODUCT(MAX(ROW(E$2:E4473)*(E4473=E$2:E4473)))))-COUNTBLANK(OFFSET(A$1,,,SUMPRODUCT(MAX(ROW(E$1:E4472)*(E2=E$1:E4472))))))</f>
        <v> </v>
      </c>
      <c r="K4473" s="25" t="str">
        <f>IF(OR(E4473="",E4473="!!!",F4473="NEW"),"",INDEX(J$1:J4472,SUMPRODUCT(MAX(ROW(E$1:E4472)*(E4473=E$1:E4472)))))</f>
        <v> </v>
      </c>
      <c r="L4473" s="26"/>
    </row>
    <row r="4474" spans="1:12">
      <c r="A4474" s="20" t="s">
        <v>683</v>
      </c>
      <c r="E4474" s="21">
        <f>IF(D4474="?OLD","!!!","")</f>
        <v/>
      </c>
      <c r="F4474" s="22" t="str">
        <f>IF(OR(E4474="",E4474="!!!"),"",IF(NOT(ISNA(VLOOKUP(E4474,E$1:E4473,1,FALSE()))),"OLD",IF(AND(E4474&lt;&gt;"",E4474&lt;&gt;"!!!"),"NEW","")))</f>
        <v> </v>
      </c>
      <c r="G4474" s="23" t="str">
        <f>IF(OR(E4474="",E4474="!!!"),"",IF(OR(J4474=0,AND(J4474=1,K4474=1),AND(J4474=1,I4474="SBJ"),AND(J4474=1,I4474=0)),"?IN_FOCUS",IF(J4474&lt;=2,"?ACTIVATED",IF(J4474&lt;&gt;"","?FAMILIAR",IF(F4474="NEW",IF(ISNA(VLOOKUP(E4474,#REF!,1,FALSE())),"?TYPE_IDENTIFIABLE","?REFERENTIAL"),"_")))))</f>
        <v> </v>
      </c>
      <c r="H4474" s="24" t="str">
        <f>IF(J4474&lt;&gt;1,"",IF(I4474="SBJ","CB","?"))</f>
        <v> </v>
      </c>
      <c r="I4474" s="25" t="str">
        <f>IF(OR(E4474="",E4474="!!!",F4474="NEW"),"",INDEX(B4473:B$2,-1+SUMPRODUCT(MAX(ROW(E4473:E$2)*(E4474=E4473:E$2)))))</f>
        <v> </v>
      </c>
      <c r="J4474" s="25" t="str">
        <f>IF(OR(E4474="",E4474="!!!",F4474="NEW"),"",COUNTBLANK(OFFSET(A$1,,,SUMPRODUCT(MAX(ROW(E$2:E4474)*(E4474=E$2:E4474)))))-COUNTBLANK(OFFSET(A$1,,,SUMPRODUCT(MAX(ROW(E$1:E4473)*(E2=E$1:E4473))))))</f>
        <v> </v>
      </c>
      <c r="K4474" s="25" t="str">
        <f>IF(OR(E4474="",E4474="!!!",F4474="NEW"),"",INDEX(J$1:J4473,SUMPRODUCT(MAX(ROW(E$1:E4473)*(E4474=E$1:E4473)))))</f>
        <v> </v>
      </c>
      <c r="L4474" s="26"/>
    </row>
    <row r="4475" spans="1:12">
      <c r="A4475" s="20" t="s">
        <v>733</v>
      </c>
      <c r="E4475" s="21">
        <f>IF(D4475="?OLD","!!!","")</f>
        <v/>
      </c>
      <c r="F4475" s="22" t="str">
        <f>IF(OR(E4475="",E4475="!!!"),"",IF(NOT(ISNA(VLOOKUP(E4475,E$1:E4474,1,FALSE()))),"OLD",IF(AND(E4475&lt;&gt;"",E4475&lt;&gt;"!!!"),"NEW","")))</f>
        <v> </v>
      </c>
      <c r="G4475" s="23" t="str">
        <f>IF(OR(E4475="",E4475="!!!"),"",IF(OR(J4475=0,AND(J4475=1,K4475=1),AND(J4475=1,I4475="SBJ"),AND(J4475=1,I4475=0)),"?IN_FOCUS",IF(J4475&lt;=2,"?ACTIVATED",IF(J4475&lt;&gt;"","?FAMILIAR",IF(F4475="NEW",IF(ISNA(VLOOKUP(E4475,#REF!,1,FALSE())),"?TYPE_IDENTIFIABLE","?REFERENTIAL"),"_")))))</f>
        <v> </v>
      </c>
      <c r="H4475" s="24" t="str">
        <f>IF(J4475&lt;&gt;1,"",IF(I4475="SBJ","CB","?"))</f>
        <v> </v>
      </c>
      <c r="I4475" s="25" t="str">
        <f>IF(OR(E4475="",E4475="!!!",F4475="NEW"),"",INDEX(B4474:B$2,-1+SUMPRODUCT(MAX(ROW(E4474:E$2)*(E4475=E4474:E$2)))))</f>
        <v> </v>
      </c>
      <c r="J4475" s="25" t="str">
        <f>IF(OR(E4475="",E4475="!!!",F4475="NEW"),"",COUNTBLANK(OFFSET(A$1,,,SUMPRODUCT(MAX(ROW(E$2:E4475)*(E4475=E$2:E4475)))))-COUNTBLANK(OFFSET(A$1,,,SUMPRODUCT(MAX(ROW(E$1:E4474)*(E2=E$1:E4474))))))</f>
        <v> </v>
      </c>
      <c r="K4475" s="25" t="str">
        <f>IF(OR(E4475="",E4475="!!!",F4475="NEW"),"",INDEX(J$1:J4474,SUMPRODUCT(MAX(ROW(E$1:E4474)*(E4475=E$1:E4474)))))</f>
        <v> </v>
      </c>
      <c r="L4475" s="26"/>
    </row>
    <row r="4476" spans="1:12">
      <c r="A4476" s="20" t="s">
        <v>1999</v>
      </c>
      <c r="B4476" s="27" t="s">
        <v>696</v>
      </c>
      <c r="C4476" s="27" t="s">
        <v>745</v>
      </c>
      <c r="D4476" s="27" t="s">
        <v>687</v>
      </c>
      <c r="E4476" s="21">
        <f>IF(D4476="?OLD","!!!","")</f>
        <v/>
      </c>
      <c r="F4476" s="22" t="str">
        <f>IF(OR(E4476="",E4476="!!!"),"",IF(NOT(ISNA(VLOOKUP(E4476,E$1:E4475,1,FALSE()))),"OLD",IF(AND(E4476&lt;&gt;"",E4476&lt;&gt;"!!!"),"NEW","")))</f>
        <v> </v>
      </c>
      <c r="G4476" s="23" t="str">
        <f>IF(OR(E4476="",E4476="!!!"),"",IF(OR(J4476=0,AND(J4476=1,K4476=1),AND(J4476=1,I4476="SBJ"),AND(J4476=1,I4476=0)),"?IN_FOCUS",IF(J4476&lt;=2,"?ACTIVATED",IF(J4476&lt;&gt;"","?FAMILIAR",IF(F4476="NEW",IF(ISNA(VLOOKUP(E4476,#REF!,1,FALSE())),"?TYPE_IDENTIFIABLE","?REFERENTIAL"),"_")))))</f>
        <v> </v>
      </c>
      <c r="H4476" s="24" t="str">
        <f>IF(J4476&lt;&gt;1,"",IF(I4476="SBJ","CB","?"))</f>
        <v> </v>
      </c>
      <c r="I4476" s="25" t="str">
        <f>IF(OR(E4476="",E4476="!!!",F4476="NEW"),"",INDEX(B4475:B$2,-1+SUMPRODUCT(MAX(ROW(E4475:E$2)*(E4476=E4475:E$2)))))</f>
        <v> </v>
      </c>
      <c r="J4476" s="25" t="str">
        <f>IF(OR(E4476="",E4476="!!!",F4476="NEW"),"",COUNTBLANK(OFFSET(A$1,,,SUMPRODUCT(MAX(ROW(E$2:E4476)*(E4476=E$2:E4476)))))-COUNTBLANK(OFFSET(A$1,,,SUMPRODUCT(MAX(ROW(E$1:E4475)*(E2=E$1:E4475))))))</f>
        <v> </v>
      </c>
      <c r="K4476" s="25" t="str">
        <f>IF(OR(E4476="",E4476="!!!",F4476="NEW"),"",INDEX(J$1:J4475,SUMPRODUCT(MAX(ROW(E$1:E4475)*(E4476=E$1:E4475)))))</f>
        <v> </v>
      </c>
      <c r="L4476" s="26"/>
    </row>
    <row r="4477" spans="1:12">
      <c r="A4477" s="20" t="s">
        <v>682</v>
      </c>
      <c r="E4477" s="21">
        <f>IF(D4477="?OLD","!!!","")</f>
        <v/>
      </c>
      <c r="F4477" s="22" t="str">
        <f>IF(OR(E4477="",E4477="!!!"),"",IF(NOT(ISNA(VLOOKUP(E4477,E$1:E4476,1,FALSE()))),"OLD",IF(AND(E4477&lt;&gt;"",E4477&lt;&gt;"!!!"),"NEW","")))</f>
        <v> </v>
      </c>
      <c r="G4477" s="23" t="str">
        <f>IF(OR(E4477="",E4477="!!!"),"",IF(OR(J4477=0,AND(J4477=1,K4477=1),AND(J4477=1,I4477="SBJ"),AND(J4477=1,I4477=0)),"?IN_FOCUS",IF(J4477&lt;=2,"?ACTIVATED",IF(J4477&lt;&gt;"","?FAMILIAR",IF(F4477="NEW",IF(ISNA(VLOOKUP(E4477,#REF!,1,FALSE())),"?TYPE_IDENTIFIABLE","?REFERENTIAL"),"_")))))</f>
        <v> </v>
      </c>
      <c r="H4477" s="24" t="str">
        <f>IF(J4477&lt;&gt;1,"",IF(I4477="SBJ","CB","?"))</f>
        <v> </v>
      </c>
      <c r="I4477" s="25" t="str">
        <f>IF(OR(E4477="",E4477="!!!",F4477="NEW"),"",INDEX(B4476:B$2,-1+SUMPRODUCT(MAX(ROW(E4476:E$2)*(E4477=E4476:E$2)))))</f>
        <v> </v>
      </c>
      <c r="J4477" s="25" t="str">
        <f>IF(OR(E4477="",E4477="!!!",F4477="NEW"),"",COUNTBLANK(OFFSET(A$1,,,SUMPRODUCT(MAX(ROW(E$2:E4477)*(E4477=E$2:E4477)))))-COUNTBLANK(OFFSET(A$1,,,SUMPRODUCT(MAX(ROW(E$1:E4476)*(E2=E$1:E4476))))))</f>
        <v> </v>
      </c>
      <c r="K4477" s="25" t="str">
        <f>IF(OR(E4477="",E4477="!!!",F4477="NEW"),"",INDEX(J$1:J4476,SUMPRODUCT(MAX(ROW(E$1:E4476)*(E4477=E$1:E4476)))))</f>
        <v> </v>
      </c>
      <c r="L4477" s="26"/>
    </row>
    <row r="4478" spans="1:12">
      <c r="A4478" s="20" t="s">
        <v>2000</v>
      </c>
      <c r="E4478" s="21">
        <f>IF(D4478="?OLD","!!!","")</f>
        <v/>
      </c>
      <c r="F4478" s="22" t="str">
        <f>IF(OR(E4478="",E4478="!!!"),"",IF(NOT(ISNA(VLOOKUP(E4478,E$1:E4477,1,FALSE()))),"OLD",IF(AND(E4478&lt;&gt;"",E4478&lt;&gt;"!!!"),"NEW","")))</f>
        <v> </v>
      </c>
      <c r="G4478" s="23" t="str">
        <f>IF(OR(E4478="",E4478="!!!"),"",IF(OR(J4478=0,AND(J4478=1,K4478=1),AND(J4478=1,I4478="SBJ"),AND(J4478=1,I4478=0)),"?IN_FOCUS",IF(J4478&lt;=2,"?ACTIVATED",IF(J4478&lt;&gt;"","?FAMILIAR",IF(F4478="NEW",IF(ISNA(VLOOKUP(E4478,#REF!,1,FALSE())),"?TYPE_IDENTIFIABLE","?REFERENTIAL"),"_")))))</f>
        <v> </v>
      </c>
      <c r="H4478" s="24" t="str">
        <f>IF(J4478&lt;&gt;1,"",IF(I4478="SBJ","CB","?"))</f>
        <v> </v>
      </c>
      <c r="I4478" s="25" t="str">
        <f>IF(OR(E4478="",E4478="!!!",F4478="NEW"),"",INDEX(B4477:B$2,-1+SUMPRODUCT(MAX(ROW(E4477:E$2)*(E4478=E4477:E$2)))))</f>
        <v> </v>
      </c>
      <c r="J4478" s="25" t="str">
        <f>IF(OR(E4478="",E4478="!!!",F4478="NEW"),"",COUNTBLANK(OFFSET(A$1,,,SUMPRODUCT(MAX(ROW(E$2:E4478)*(E4478=E$2:E4478)))))-COUNTBLANK(OFFSET(A$1,,,SUMPRODUCT(MAX(ROW(E$1:E4477)*(E2=E$1:E4477))))))</f>
        <v> </v>
      </c>
      <c r="K4478" s="25" t="str">
        <f>IF(OR(E4478="",E4478="!!!",F4478="NEW"),"",INDEX(J$1:J4477,SUMPRODUCT(MAX(ROW(E$1:E4477)*(E4478=E$1:E4477)))))</f>
        <v> </v>
      </c>
      <c r="L4478" s="26"/>
    </row>
    <row r="4479" spans="1:12">
      <c r="A4479" s="20" t="s">
        <v>676</v>
      </c>
      <c r="E4479" s="21">
        <f>IF(D4479="?OLD","!!!","")</f>
        <v/>
      </c>
      <c r="F4479" s="22" t="str">
        <f>IF(OR(E4479="",E4479="!!!"),"",IF(NOT(ISNA(VLOOKUP(E4479,E$1:E4478,1,FALSE()))),"OLD",IF(AND(E4479&lt;&gt;"",E4479&lt;&gt;"!!!"),"NEW","")))</f>
        <v> </v>
      </c>
      <c r="G4479" s="23" t="str">
        <f>IF(OR(E4479="",E4479="!!!"),"",IF(OR(J4479=0,AND(J4479=1,K4479=1),AND(J4479=1,I4479="SBJ"),AND(J4479=1,I4479=0)),"?IN_FOCUS",IF(J4479&lt;=2,"?ACTIVATED",IF(J4479&lt;&gt;"","?FAMILIAR",IF(F4479="NEW",IF(ISNA(VLOOKUP(E4479,#REF!,1,FALSE())),"?TYPE_IDENTIFIABLE","?REFERENTIAL"),"_")))))</f>
        <v> </v>
      </c>
      <c r="H4479" s="24" t="str">
        <f>IF(J4479&lt;&gt;1,"",IF(I4479="SBJ","CB","?"))</f>
        <v> </v>
      </c>
      <c r="I4479" s="25" t="str">
        <f>IF(OR(E4479="",E4479="!!!",F4479="NEW"),"",INDEX(B4478:B$2,-1+SUMPRODUCT(MAX(ROW(E4478:E$2)*(E4479=E4478:E$2)))))</f>
        <v> </v>
      </c>
      <c r="J4479" s="25" t="str">
        <f>IF(OR(E4479="",E4479="!!!",F4479="NEW"),"",COUNTBLANK(OFFSET(A$1,,,SUMPRODUCT(MAX(ROW(E$2:E4479)*(E4479=E$2:E4479)))))-COUNTBLANK(OFFSET(A$1,,,SUMPRODUCT(MAX(ROW(E$1:E4478)*(E2=E$1:E4478))))))</f>
        <v> </v>
      </c>
      <c r="K4479" s="25" t="str">
        <f>IF(OR(E4479="",E4479="!!!",F4479="NEW"),"",INDEX(J$1:J4478,SUMPRODUCT(MAX(ROW(E$1:E4478)*(E4479=E$1:E4478)))))</f>
        <v> </v>
      </c>
      <c r="L4479" s="26"/>
    </row>
    <row r="4480" spans="1:12">
      <c r="A4480" s="20" t="s">
        <v>306</v>
      </c>
      <c r="E4480" s="21">
        <f>IF(D4480="?OLD","!!!","")</f>
        <v/>
      </c>
      <c r="F4480" s="22" t="str">
        <f>IF(OR(E4480="",E4480="!!!"),"",IF(NOT(ISNA(VLOOKUP(E4480,E$1:E4479,1,FALSE()))),"OLD",IF(AND(E4480&lt;&gt;"",E4480&lt;&gt;"!!!"),"NEW","")))</f>
        <v> </v>
      </c>
      <c r="G4480" s="23" t="str">
        <f>IF(OR(E4480="",E4480="!!!"),"",IF(OR(J4480=0,AND(J4480=1,K4480=1),AND(J4480=1,I4480="SBJ"),AND(J4480=1,I4480=0)),"?IN_FOCUS",IF(J4480&lt;=2,"?ACTIVATED",IF(J4480&lt;&gt;"","?FAMILIAR",IF(F4480="NEW",IF(ISNA(VLOOKUP(E4480,#REF!,1,FALSE())),"?TYPE_IDENTIFIABLE","?REFERENTIAL"),"_")))))</f>
        <v> </v>
      </c>
      <c r="H4480" s="24" t="str">
        <f>IF(J4480&lt;&gt;1,"",IF(I4480="SBJ","CB","?"))</f>
        <v> </v>
      </c>
      <c r="I4480" s="25" t="str">
        <f>IF(OR(E4480="",E4480="!!!",F4480="NEW"),"",INDEX(B4479:B$2,-1+SUMPRODUCT(MAX(ROW(E4479:E$2)*(E4480=E4479:E$2)))))</f>
        <v> </v>
      </c>
      <c r="J4480" s="25" t="str">
        <f>IF(OR(E4480="",E4480="!!!",F4480="NEW"),"",COUNTBLANK(OFFSET(A$1,,,SUMPRODUCT(MAX(ROW(E$2:E4480)*(E4480=E$2:E4480)))))-COUNTBLANK(OFFSET(A$1,,,SUMPRODUCT(MAX(ROW(E$1:E4479)*(E2=E$1:E4479))))))</f>
        <v> </v>
      </c>
      <c r="K4480" s="25" t="str">
        <f>IF(OR(E4480="",E4480="!!!",F4480="NEW"),"",INDEX(J$1:J4479,SUMPRODUCT(MAX(ROW(E$1:E4479)*(E4480=E$1:E4479)))))</f>
        <v> </v>
      </c>
      <c r="L4480" s="26"/>
    </row>
    <row r="4481" spans="1:12">
      <c r="A4481" s="20" t="s">
        <v>2001</v>
      </c>
      <c r="B4481" s="27" t="s">
        <v>791</v>
      </c>
      <c r="C4481" s="27" t="s">
        <v>686</v>
      </c>
      <c r="D4481" s="27" t="s">
        <v>687</v>
      </c>
      <c r="E4481" s="21">
        <f>IF(D4481="?OLD","!!!","")</f>
        <v/>
      </c>
      <c r="F4481" s="22" t="str">
        <f>IF(OR(E4481="",E4481="!!!"),"",IF(NOT(ISNA(VLOOKUP(E4481,E$1:E4480,1,FALSE()))),"OLD",IF(AND(E4481&lt;&gt;"",E4481&lt;&gt;"!!!"),"NEW","")))</f>
        <v> </v>
      </c>
      <c r="G4481" s="23" t="str">
        <f>IF(OR(E4481="",E4481="!!!"),"",IF(OR(J4481=0,AND(J4481=1,K4481=1),AND(J4481=1,I4481="SBJ"),AND(J4481=1,I4481=0)),"?IN_FOCUS",IF(J4481&lt;=2,"?ACTIVATED",IF(J4481&lt;&gt;"","?FAMILIAR",IF(F4481="NEW",IF(ISNA(VLOOKUP(E4481,#REF!,1,FALSE())),"?TYPE_IDENTIFIABLE","?REFERENTIAL"),"_")))))</f>
        <v> </v>
      </c>
      <c r="H4481" s="24" t="str">
        <f>IF(J4481&lt;&gt;1,"",IF(I4481="SBJ","CB","?"))</f>
        <v> </v>
      </c>
      <c r="I4481" s="25" t="str">
        <f>IF(OR(E4481="",E4481="!!!",F4481="NEW"),"",INDEX(B4480:B$2,-1+SUMPRODUCT(MAX(ROW(E4480:E$2)*(E4481=E4480:E$2)))))</f>
        <v> </v>
      </c>
      <c r="J4481" s="25" t="str">
        <f>IF(OR(E4481="",E4481="!!!",F4481="NEW"),"",COUNTBLANK(OFFSET(A$1,,,SUMPRODUCT(MAX(ROW(E$2:E4481)*(E4481=E$2:E4481)))))-COUNTBLANK(OFFSET(A$1,,,SUMPRODUCT(MAX(ROW(E$1:E4480)*(E2=E$1:E4480))))))</f>
        <v> </v>
      </c>
      <c r="K4481" s="25" t="str">
        <f>IF(OR(E4481="",E4481="!!!",F4481="NEW"),"",INDEX(J$1:J4480,SUMPRODUCT(MAX(ROW(E$1:E4480)*(E4481=E$1:E4480)))))</f>
        <v> </v>
      </c>
      <c r="L4481" s="26"/>
    </row>
    <row r="4482" spans="1:12">
      <c r="A4482" s="20" t="s">
        <v>2002</v>
      </c>
      <c r="E4482" s="21">
        <f>IF(D4482="?OLD","!!!","")</f>
        <v/>
      </c>
      <c r="F4482" s="22" t="str">
        <f>IF(OR(E4482="",E4482="!!!"),"",IF(NOT(ISNA(VLOOKUP(E4482,E$1:E4481,1,FALSE()))),"OLD",IF(AND(E4482&lt;&gt;"",E4482&lt;&gt;"!!!"),"NEW","")))</f>
        <v> </v>
      </c>
      <c r="G4482" s="23" t="str">
        <f>IF(OR(E4482="",E4482="!!!"),"",IF(OR(J4482=0,AND(J4482=1,K4482=1),AND(J4482=1,I4482="SBJ"),AND(J4482=1,I4482=0)),"?IN_FOCUS",IF(J4482&lt;=2,"?ACTIVATED",IF(J4482&lt;&gt;"","?FAMILIAR",IF(F4482="NEW",IF(ISNA(VLOOKUP(E4482,#REF!,1,FALSE())),"?TYPE_IDENTIFIABLE","?REFERENTIAL"),"_")))))</f>
        <v> </v>
      </c>
      <c r="H4482" s="24" t="str">
        <f>IF(J4482&lt;&gt;1,"",IF(I4482="SBJ","CB","?"))</f>
        <v> </v>
      </c>
      <c r="I4482" s="25" t="str">
        <f>IF(OR(E4482="",E4482="!!!",F4482="NEW"),"",INDEX(B4481:B$2,-1+SUMPRODUCT(MAX(ROW(E4481:E$2)*(E4482=E4481:E$2)))))</f>
        <v> </v>
      </c>
      <c r="J4482" s="25" t="str">
        <f>IF(OR(E4482="",E4482="!!!",F4482="NEW"),"",COUNTBLANK(OFFSET(A$1,,,SUMPRODUCT(MAX(ROW(E$2:E4482)*(E4482=E$2:E4482)))))-COUNTBLANK(OFFSET(A$1,,,SUMPRODUCT(MAX(ROW(E$1:E4481)*(E2=E$1:E4481))))))</f>
        <v> </v>
      </c>
      <c r="K4482" s="25" t="str">
        <f>IF(OR(E4482="",E4482="!!!",F4482="NEW"),"",INDEX(J$1:J4481,SUMPRODUCT(MAX(ROW(E$1:E4481)*(E4482=E$1:E4481)))))</f>
        <v> </v>
      </c>
      <c r="L4482" s="26"/>
    </row>
    <row r="4483" spans="1:12">
      <c r="A4483" s="20" t="s">
        <v>703</v>
      </c>
      <c r="E4483" s="21">
        <f>IF(D4483="?OLD","!!!","")</f>
        <v/>
      </c>
      <c r="F4483" s="22" t="str">
        <f>IF(OR(E4483="",E4483="!!!"),"",IF(NOT(ISNA(VLOOKUP(E4483,E$1:E4482,1,FALSE()))),"OLD",IF(AND(E4483&lt;&gt;"",E4483&lt;&gt;"!!!"),"NEW","")))</f>
        <v> </v>
      </c>
      <c r="G4483" s="23" t="str">
        <f>IF(OR(E4483="",E4483="!!!"),"",IF(OR(J4483=0,AND(J4483=1,K4483=1),AND(J4483=1,I4483="SBJ"),AND(J4483=1,I4483=0)),"?IN_FOCUS",IF(J4483&lt;=2,"?ACTIVATED",IF(J4483&lt;&gt;"","?FAMILIAR",IF(F4483="NEW",IF(ISNA(VLOOKUP(E4483,#REF!,1,FALSE())),"?TYPE_IDENTIFIABLE","?REFERENTIAL"),"_")))))</f>
        <v> </v>
      </c>
      <c r="H4483" s="24" t="str">
        <f>IF(J4483&lt;&gt;1,"",IF(I4483="SBJ","CB","?"))</f>
        <v> </v>
      </c>
      <c r="I4483" s="25" t="str">
        <f>IF(OR(E4483="",E4483="!!!",F4483="NEW"),"",INDEX(B4482:B$2,-1+SUMPRODUCT(MAX(ROW(E4482:E$2)*(E4483=E4482:E$2)))))</f>
        <v> </v>
      </c>
      <c r="J4483" s="25" t="str">
        <f>IF(OR(E4483="",E4483="!!!",F4483="NEW"),"",COUNTBLANK(OFFSET(A$1,,,SUMPRODUCT(MAX(ROW(E$2:E4483)*(E4483=E$2:E4483)))))-COUNTBLANK(OFFSET(A$1,,,SUMPRODUCT(MAX(ROW(E$1:E4482)*(E2=E$1:E4482))))))</f>
        <v> </v>
      </c>
      <c r="K4483" s="25" t="str">
        <f>IF(OR(E4483="",E4483="!!!",F4483="NEW"),"",INDEX(J$1:J4482,SUMPRODUCT(MAX(ROW(E$1:E4482)*(E4483=E$1:E4482)))))</f>
        <v> </v>
      </c>
      <c r="L4483" s="26"/>
    </row>
    <row r="4484" spans="1:12">
      <c r="A4484" s="20" t="s">
        <v>2003</v>
      </c>
      <c r="E4484" s="21">
        <f>IF(D4484="?OLD","!!!","")</f>
        <v/>
      </c>
      <c r="F4484" s="22" t="str">
        <f>IF(OR(E4484="",E4484="!!!"),"",IF(NOT(ISNA(VLOOKUP(E4484,E$1:E4483,1,FALSE()))),"OLD",IF(AND(E4484&lt;&gt;"",E4484&lt;&gt;"!!!"),"NEW","")))</f>
        <v> </v>
      </c>
      <c r="G4484" s="23" t="str">
        <f>IF(OR(E4484="",E4484="!!!"),"",IF(OR(J4484=0,AND(J4484=1,K4484=1),AND(J4484=1,I4484="SBJ"),AND(J4484=1,I4484=0)),"?IN_FOCUS",IF(J4484&lt;=2,"?ACTIVATED",IF(J4484&lt;&gt;"","?FAMILIAR",IF(F4484="NEW",IF(ISNA(VLOOKUP(E4484,#REF!,1,FALSE())),"?TYPE_IDENTIFIABLE","?REFERENTIAL"),"_")))))</f>
        <v> </v>
      </c>
      <c r="H4484" s="24" t="str">
        <f>IF(J4484&lt;&gt;1,"",IF(I4484="SBJ","CB","?"))</f>
        <v> </v>
      </c>
      <c r="I4484" s="25" t="str">
        <f>IF(OR(E4484="",E4484="!!!",F4484="NEW"),"",INDEX(B4483:B$2,-1+SUMPRODUCT(MAX(ROW(E4483:E$2)*(E4484=E4483:E$2)))))</f>
        <v> </v>
      </c>
      <c r="J4484" s="25" t="str">
        <f>IF(OR(E4484="",E4484="!!!",F4484="NEW"),"",COUNTBLANK(OFFSET(A$1,,,SUMPRODUCT(MAX(ROW(E$2:E4484)*(E4484=E$2:E4484)))))-COUNTBLANK(OFFSET(A$1,,,SUMPRODUCT(MAX(ROW(E$1:E4483)*(E2=E$1:E4483))))))</f>
        <v> </v>
      </c>
      <c r="K4484" s="25" t="str">
        <f>IF(OR(E4484="",E4484="!!!",F4484="NEW"),"",INDEX(J$1:J4483,SUMPRODUCT(MAX(ROW(E$1:E4483)*(E4484=E$1:E4483)))))</f>
        <v> </v>
      </c>
      <c r="L4484" s="26"/>
    </row>
    <row r="4485" spans="1:12">
      <c r="A4485" s="20" t="s">
        <v>890</v>
      </c>
      <c r="B4485" s="27" t="s">
        <v>791</v>
      </c>
      <c r="C4485" s="27" t="s">
        <v>749</v>
      </c>
      <c r="D4485" s="27" t="s">
        <v>687</v>
      </c>
      <c r="E4485" s="21">
        <f>IF(D4485="?OLD","!!!","")</f>
        <v/>
      </c>
      <c r="F4485" s="22" t="str">
        <f>IF(OR(E4485="",E4485="!!!"),"",IF(NOT(ISNA(VLOOKUP(E4485,E$1:E4484,1,FALSE()))),"OLD",IF(AND(E4485&lt;&gt;"",E4485&lt;&gt;"!!!"),"NEW","")))</f>
        <v> </v>
      </c>
      <c r="G4485" s="23" t="str">
        <f>IF(OR(E4485="",E4485="!!!"),"",IF(OR(J4485=0,AND(J4485=1,K4485=1),AND(J4485=1,I4485="SBJ"),AND(J4485=1,I4485=0)),"?IN_FOCUS",IF(J4485&lt;=2,"?ACTIVATED",IF(J4485&lt;&gt;"","?FAMILIAR",IF(F4485="NEW",IF(ISNA(VLOOKUP(E4485,#REF!,1,FALSE())),"?TYPE_IDENTIFIABLE","?REFERENTIAL"),"_")))))</f>
        <v> </v>
      </c>
      <c r="H4485" s="24" t="str">
        <f>IF(J4485&lt;&gt;1,"",IF(I4485="SBJ","CB","?"))</f>
        <v> </v>
      </c>
      <c r="I4485" s="25" t="str">
        <f>IF(OR(E4485="",E4485="!!!",F4485="NEW"),"",INDEX(B4484:B$2,-1+SUMPRODUCT(MAX(ROW(E4484:E$2)*(E4485=E4484:E$2)))))</f>
        <v> </v>
      </c>
      <c r="J4485" s="25" t="str">
        <f>IF(OR(E4485="",E4485="!!!",F4485="NEW"),"",COUNTBLANK(OFFSET(A$1,,,SUMPRODUCT(MAX(ROW(E$2:E4485)*(E4485=E$2:E4485)))))-COUNTBLANK(OFFSET(A$1,,,SUMPRODUCT(MAX(ROW(E$1:E4484)*(E2=E$1:E4484))))))</f>
        <v> </v>
      </c>
      <c r="K4485" s="25" t="str">
        <f>IF(OR(E4485="",E4485="!!!",F4485="NEW"),"",INDEX(J$1:J4484,SUMPRODUCT(MAX(ROW(E$1:E4484)*(E4485=E$1:E4484)))))</f>
        <v> </v>
      </c>
      <c r="L4485" s="26"/>
    </row>
    <row r="4486" spans="1:12">
      <c r="A4486" s="20" t="s">
        <v>733</v>
      </c>
      <c r="E4486" s="21">
        <f>IF(D4486="?OLD","!!!","")</f>
        <v/>
      </c>
      <c r="F4486" s="22" t="str">
        <f>IF(OR(E4486="",E4486="!!!"),"",IF(NOT(ISNA(VLOOKUP(E4486,E$1:E4485,1,FALSE()))),"OLD",IF(AND(E4486&lt;&gt;"",E4486&lt;&gt;"!!!"),"NEW","")))</f>
        <v> </v>
      </c>
      <c r="G4486" s="23" t="str">
        <f>IF(OR(E4486="",E4486="!!!"),"",IF(OR(J4486=0,AND(J4486=1,K4486=1),AND(J4486=1,I4486="SBJ"),AND(J4486=1,I4486=0)),"?IN_FOCUS",IF(J4486&lt;=2,"?ACTIVATED",IF(J4486&lt;&gt;"","?FAMILIAR",IF(F4486="NEW",IF(ISNA(VLOOKUP(E4486,#REF!,1,FALSE())),"?TYPE_IDENTIFIABLE","?REFERENTIAL"),"_")))))</f>
        <v> </v>
      </c>
      <c r="H4486" s="24" t="str">
        <f>IF(J4486&lt;&gt;1,"",IF(I4486="SBJ","CB","?"))</f>
        <v> </v>
      </c>
      <c r="I4486" s="25" t="str">
        <f>IF(OR(E4486="",E4486="!!!",F4486="NEW"),"",INDEX(B4485:B$2,-1+SUMPRODUCT(MAX(ROW(E4485:E$2)*(E4486=E4485:E$2)))))</f>
        <v> </v>
      </c>
      <c r="J4486" s="25" t="str">
        <f>IF(OR(E4486="",E4486="!!!",F4486="NEW"),"",COUNTBLANK(OFFSET(A$1,,,SUMPRODUCT(MAX(ROW(E$2:E4486)*(E4486=E$2:E4486)))))-COUNTBLANK(OFFSET(A$1,,,SUMPRODUCT(MAX(ROW(E$1:E4485)*(E2=E$1:E4485))))))</f>
        <v> </v>
      </c>
      <c r="K4486" s="25" t="str">
        <f>IF(OR(E4486="",E4486="!!!",F4486="NEW"),"",INDEX(J$1:J4485,SUMPRODUCT(MAX(ROW(E$1:E4485)*(E4486=E$1:E4485)))))</f>
        <v> </v>
      </c>
      <c r="L4486" s="26"/>
    </row>
    <row r="4487" spans="1:12">
      <c r="A4487" s="20" t="s">
        <v>2004</v>
      </c>
      <c r="B4487" s="27" t="s">
        <v>791</v>
      </c>
      <c r="C4487" s="27" t="s">
        <v>693</v>
      </c>
      <c r="D4487" s="27" t="s">
        <v>687</v>
      </c>
      <c r="E4487" s="21">
        <f>IF(D4487="?OLD","!!!","")</f>
        <v/>
      </c>
      <c r="F4487" s="22" t="str">
        <f>IF(OR(E4487="",E4487="!!!"),"",IF(NOT(ISNA(VLOOKUP(E4487,E$1:E4486,1,FALSE()))),"OLD",IF(AND(E4487&lt;&gt;"",E4487&lt;&gt;"!!!"),"NEW","")))</f>
        <v> </v>
      </c>
      <c r="G4487" s="23" t="str">
        <f>IF(OR(E4487="",E4487="!!!"),"",IF(OR(J4487=0,AND(J4487=1,K4487=1),AND(J4487=1,I4487="SBJ"),AND(J4487=1,I4487=0)),"?IN_FOCUS",IF(J4487&lt;=2,"?ACTIVATED",IF(J4487&lt;&gt;"","?FAMILIAR",IF(F4487="NEW",IF(ISNA(VLOOKUP(E4487,#REF!,1,FALSE())),"?TYPE_IDENTIFIABLE","?REFERENTIAL"),"_")))))</f>
        <v> </v>
      </c>
      <c r="H4487" s="24" t="str">
        <f>IF(J4487&lt;&gt;1,"",IF(I4487="SBJ","CB","?"))</f>
        <v> </v>
      </c>
      <c r="I4487" s="25" t="str">
        <f>IF(OR(E4487="",E4487="!!!",F4487="NEW"),"",INDEX(B4486:B$2,-1+SUMPRODUCT(MAX(ROW(E4486:E$2)*(E4487=E4486:E$2)))))</f>
        <v> </v>
      </c>
      <c r="J4487" s="25" t="str">
        <f>IF(OR(E4487="",E4487="!!!",F4487="NEW"),"",COUNTBLANK(OFFSET(A$1,,,SUMPRODUCT(MAX(ROW(E$2:E4487)*(E4487=E$2:E4487)))))-COUNTBLANK(OFFSET(A$1,,,SUMPRODUCT(MAX(ROW(E$1:E4486)*(E2=E$1:E4486))))))</f>
        <v> </v>
      </c>
      <c r="K4487" s="25" t="str">
        <f>IF(OR(E4487="",E4487="!!!",F4487="NEW"),"",INDEX(J$1:J4486,SUMPRODUCT(MAX(ROW(E$1:E4486)*(E4487=E$1:E4486)))))</f>
        <v> </v>
      </c>
      <c r="L4487" s="26"/>
    </row>
    <row r="4488" spans="1:12">
      <c r="A4488" s="20" t="s">
        <v>694</v>
      </c>
      <c r="E4488" s="21">
        <f>IF(D4488="?OLD","!!!","")</f>
        <v/>
      </c>
      <c r="F4488" s="22" t="str">
        <f>IF(OR(E4488="",E4488="!!!"),"",IF(NOT(ISNA(VLOOKUP(E4488,E$1:E4487,1,FALSE()))),"OLD",IF(AND(E4488&lt;&gt;"",E4488&lt;&gt;"!!!"),"NEW","")))</f>
        <v> </v>
      </c>
      <c r="G4488" s="23" t="str">
        <f>IF(OR(E4488="",E4488="!!!"),"",IF(OR(J4488=0,AND(J4488=1,K4488=1),AND(J4488=1,I4488="SBJ"),AND(J4488=1,I4488=0)),"?IN_FOCUS",IF(J4488&lt;=2,"?ACTIVATED",IF(J4488&lt;&gt;"","?FAMILIAR",IF(F4488="NEW",IF(ISNA(VLOOKUP(E4488,#REF!,1,FALSE())),"?TYPE_IDENTIFIABLE","?REFERENTIAL"),"_")))))</f>
        <v> </v>
      </c>
      <c r="H4488" s="24" t="str">
        <f>IF(J4488&lt;&gt;1,"",IF(I4488="SBJ","CB","?"))</f>
        <v> </v>
      </c>
      <c r="I4488" s="25" t="str">
        <f>IF(OR(E4488="",E4488="!!!",F4488="NEW"),"",INDEX(B4487:B$2,-1+SUMPRODUCT(MAX(ROW(E4487:E$2)*(E4488=E4487:E$2)))))</f>
        <v> </v>
      </c>
      <c r="J4488" s="25" t="str">
        <f>IF(OR(E4488="",E4488="!!!",F4488="NEW"),"",COUNTBLANK(OFFSET(A$1,,,SUMPRODUCT(MAX(ROW(E$2:E4488)*(E4488=E$2:E4488)))))-COUNTBLANK(OFFSET(A$1,,,SUMPRODUCT(MAX(ROW(E$1:E4487)*(E2=E$1:E4487))))))</f>
        <v> </v>
      </c>
      <c r="K4488" s="25" t="str">
        <f>IF(OR(E4488="",E4488="!!!",F4488="NEW"),"",INDEX(J$1:J4487,SUMPRODUCT(MAX(ROW(E$1:E4487)*(E4488=E$1:E4487)))))</f>
        <v> </v>
      </c>
      <c r="L4488" s="26"/>
    </row>
    <row r="4489" spans="1:12">
      <c r="A4489" s="20" t="s">
        <v>1571</v>
      </c>
      <c r="B4489" s="27" t="s">
        <v>724</v>
      </c>
      <c r="C4489" s="27" t="s">
        <v>679</v>
      </c>
      <c r="E4489" s="21">
        <f>IF(D4489="?OLD","!!!","")</f>
        <v/>
      </c>
      <c r="F4489" s="22" t="str">
        <f>IF(OR(E4489="",E4489="!!!"),"",IF(NOT(ISNA(VLOOKUP(E4489,E$1:E4488,1,FALSE()))),"OLD",IF(AND(E4489&lt;&gt;"",E4489&lt;&gt;"!!!"),"NEW","")))</f>
        <v> </v>
      </c>
      <c r="G4489" s="23" t="str">
        <f>IF(OR(E4489="",E4489="!!!"),"",IF(OR(J4489=0,AND(J4489=1,K4489=1),AND(J4489=1,I4489="SBJ"),AND(J4489=1,I4489=0)),"?IN_FOCUS",IF(J4489&lt;=2,"?ACTIVATED",IF(J4489&lt;&gt;"","?FAMILIAR",IF(F4489="NEW",IF(ISNA(VLOOKUP(E4489,#REF!,1,FALSE())),"?TYPE_IDENTIFIABLE","?REFERENTIAL"),"_")))))</f>
        <v> </v>
      </c>
      <c r="H4489" s="24" t="str">
        <f>IF(J4489&lt;&gt;1,"",IF(I4489="SBJ","CB","?"))</f>
        <v> </v>
      </c>
      <c r="I4489" s="25" t="str">
        <f>IF(OR(E4489="",E4489="!!!",F4489="NEW"),"",INDEX(B4488:B$2,-1+SUMPRODUCT(MAX(ROW(E4488:E$2)*(E4489=E4488:E$2)))))</f>
        <v> </v>
      </c>
      <c r="J4489" s="25" t="str">
        <f>IF(OR(E4489="",E4489="!!!",F4489="NEW"),"",COUNTBLANK(OFFSET(A$1,,,SUMPRODUCT(MAX(ROW(E$2:E4489)*(E4489=E$2:E4489)))))-COUNTBLANK(OFFSET(A$1,,,SUMPRODUCT(MAX(ROW(E$1:E4488)*(E2=E$1:E4488))))))</f>
        <v> </v>
      </c>
      <c r="K4489" s="25" t="str">
        <f>IF(OR(E4489="",E4489="!!!",F4489="NEW"),"",INDEX(J$1:J4488,SUMPRODUCT(MAX(ROW(E$1:E4488)*(E4489=E$1:E4488)))))</f>
        <v> </v>
      </c>
      <c r="L4489" s="26"/>
    </row>
    <row r="4490" spans="1:12">
      <c r="A4490" s="20" t="s">
        <v>698</v>
      </c>
      <c r="E4490" s="21">
        <f>IF(D4490="?OLD","!!!","")</f>
        <v/>
      </c>
      <c r="F4490" s="22" t="str">
        <f>IF(OR(E4490="",E4490="!!!"),"",IF(NOT(ISNA(VLOOKUP(E4490,E$1:E4489,1,FALSE()))),"OLD",IF(AND(E4490&lt;&gt;"",E4490&lt;&gt;"!!!"),"NEW","")))</f>
        <v> </v>
      </c>
      <c r="G4490" s="23" t="str">
        <f>IF(OR(E4490="",E4490="!!!"),"",IF(OR(J4490=0,AND(J4490=1,K4490=1),AND(J4490=1,I4490="SBJ"),AND(J4490=1,I4490=0)),"?IN_FOCUS",IF(J4490&lt;=2,"?ACTIVATED",IF(J4490&lt;&gt;"","?FAMILIAR",IF(F4490="NEW",IF(ISNA(VLOOKUP(E4490,#REF!,1,FALSE())),"?TYPE_IDENTIFIABLE","?REFERENTIAL"),"_")))))</f>
        <v> </v>
      </c>
      <c r="H4490" s="24" t="str">
        <f>IF(J4490&lt;&gt;1,"",IF(I4490="SBJ","CB","?"))</f>
        <v> </v>
      </c>
      <c r="I4490" s="25" t="str">
        <f>IF(OR(E4490="",E4490="!!!",F4490="NEW"),"",INDEX(B4489:B$2,-1+SUMPRODUCT(MAX(ROW(E4489:E$2)*(E4490=E4489:E$2)))))</f>
        <v> </v>
      </c>
      <c r="J4490" s="25" t="str">
        <f>IF(OR(E4490="",E4490="!!!",F4490="NEW"),"",COUNTBLANK(OFFSET(A$1,,,SUMPRODUCT(MAX(ROW(E$2:E4490)*(E4490=E$2:E4490)))))-COUNTBLANK(OFFSET(A$1,,,SUMPRODUCT(MAX(ROW(E$1:E4489)*(E2=E$1:E4489))))))</f>
        <v> </v>
      </c>
      <c r="K4490" s="25" t="str">
        <f>IF(OR(E4490="",E4490="!!!",F4490="NEW"),"",INDEX(J$1:J4489,SUMPRODUCT(MAX(ROW(E$1:E4489)*(E4490=E$1:E4489)))))</f>
        <v> </v>
      </c>
      <c r="L4490" s="26"/>
    </row>
    <row r="4491" spans="1:12">
      <c r="A4491" s="20"/>
    </row>
    <row r="4492" spans="1:12">
      <c r="A4492" s="20" t="s">
        <v>2005</v>
      </c>
    </row>
    <row r="4493" spans="1:12">
      <c r="A4493" s="20" t="s">
        <v>2006</v>
      </c>
      <c r="E4493" s="21">
        <f>IF(D4493="?OLD","!!!","")</f>
        <v/>
      </c>
      <c r="F4493" s="22" t="str">
        <f>IF(OR(E4493="",E4493="!!!"),"",IF(NOT(ISNA(VLOOKUP(E4493,E$1:E4492,1,FALSE()))),"OLD",IF(AND(E4493&lt;&gt;"",E4493&lt;&gt;"!!!"),"NEW","")))</f>
        <v> </v>
      </c>
      <c r="G4493" s="23" t="str">
        <f>IF(OR(E4493="",E4493="!!!"),"",IF(OR(J4493=0,AND(J4493=1,K4493=1),AND(J4493=1,I4493="SBJ"),AND(J4493=1,I4493=0)),"?IN_FOCUS",IF(J4493&lt;=2,"?ACTIVATED",IF(J4493&lt;&gt;"","?FAMILIAR",IF(F4493="NEW",IF(ISNA(VLOOKUP(E4493,#REF!,1,FALSE())),"?TYPE_IDENTIFIABLE","?REFERENTIAL"),"_")))))</f>
        <v> </v>
      </c>
      <c r="H4493" s="24" t="str">
        <f>IF(J4493&lt;&gt;1,"",IF(I4493="SBJ","CB","?"))</f>
        <v> </v>
      </c>
      <c r="I4493" s="25" t="str">
        <f>IF(OR(E4493="",E4493="!!!",F4493="NEW"),"",INDEX(B4492:B$2,-1+SUMPRODUCT(MAX(ROW(E4492:E$2)*(E4493=E4492:E$2)))))</f>
        <v> </v>
      </c>
      <c r="J4493" s="25" t="str">
        <f>IF(OR(E4493="",E4493="!!!",F4493="NEW"),"",COUNTBLANK(OFFSET(A$1,,,SUMPRODUCT(MAX(ROW(E$2:E4493)*(E4493=E$2:E4493)))))-COUNTBLANK(OFFSET(A$1,,,SUMPRODUCT(MAX(ROW(E$1:E4492)*(E2=E$1:E4492))))))</f>
        <v> </v>
      </c>
      <c r="K4493" s="25" t="str">
        <f>IF(OR(E4493="",E4493="!!!",F4493="NEW"),"",INDEX(J$1:J4492,SUMPRODUCT(MAX(ROW(E$1:E4492)*(E4493=E$1:E4492)))))</f>
        <v> </v>
      </c>
      <c r="L4493" s="26"/>
    </row>
    <row r="4494" spans="1:12">
      <c r="A4494" s="20" t="s">
        <v>804</v>
      </c>
      <c r="B4494" s="27" t="s">
        <v>678</v>
      </c>
      <c r="C4494" s="27" t="s">
        <v>679</v>
      </c>
      <c r="E4494" s="21">
        <f>IF(D4494="?OLD","!!!","")</f>
        <v/>
      </c>
      <c r="F4494" s="22" t="str">
        <f>IF(OR(E4494="",E4494="!!!"),"",IF(NOT(ISNA(VLOOKUP(E4494,E$1:E4493,1,FALSE()))),"OLD",IF(AND(E4494&lt;&gt;"",E4494&lt;&gt;"!!!"),"NEW","")))</f>
        <v> </v>
      </c>
      <c r="G4494" s="23" t="str">
        <f>IF(OR(E4494="",E4494="!!!"),"",IF(OR(J4494=0,AND(J4494=1,K4494=1),AND(J4494=1,I4494="SBJ"),AND(J4494=1,I4494=0)),"?IN_FOCUS",IF(J4494&lt;=2,"?ACTIVATED",IF(J4494&lt;&gt;"","?FAMILIAR",IF(F4494="NEW",IF(ISNA(VLOOKUP(E4494,#REF!,1,FALSE())),"?TYPE_IDENTIFIABLE","?REFERENTIAL"),"_")))))</f>
        <v> </v>
      </c>
      <c r="H4494" s="24" t="str">
        <f>IF(J4494&lt;&gt;1,"",IF(I4494="SBJ","CB","?"))</f>
        <v> </v>
      </c>
      <c r="I4494" s="25" t="str">
        <f>IF(OR(E4494="",E4494="!!!",F4494="NEW"),"",INDEX(B4493:B$2,-1+SUMPRODUCT(MAX(ROW(E4493:E$2)*(E4494=E4493:E$2)))))</f>
        <v> </v>
      </c>
      <c r="J4494" s="25" t="str">
        <f>IF(OR(E4494="",E4494="!!!",F4494="NEW"),"",COUNTBLANK(OFFSET(A$1,,,SUMPRODUCT(MAX(ROW(E$2:E4494)*(E4494=E$2:E4494)))))-COUNTBLANK(OFFSET(A$1,,,SUMPRODUCT(MAX(ROW(E$1:E4493)*(E2=E$1:E4493))))))</f>
        <v> </v>
      </c>
      <c r="K4494" s="25" t="str">
        <f>IF(OR(E4494="",E4494="!!!",F4494="NEW"),"",INDEX(J$1:J4493,SUMPRODUCT(MAX(ROW(E$1:E4493)*(E4494=E$1:E4493)))))</f>
        <v> </v>
      </c>
      <c r="L4494" s="26"/>
    </row>
    <row r="4495" spans="1:12">
      <c r="A4495" s="20" t="s">
        <v>2007</v>
      </c>
      <c r="E4495" s="21">
        <f>IF(D4495="?OLD","!!!","")</f>
        <v/>
      </c>
      <c r="F4495" s="22" t="str">
        <f>IF(OR(E4495="",E4495="!!!"),"",IF(NOT(ISNA(VLOOKUP(E4495,E$1:E4494,1,FALSE()))),"OLD",IF(AND(E4495&lt;&gt;"",E4495&lt;&gt;"!!!"),"NEW","")))</f>
        <v> </v>
      </c>
      <c r="G4495" s="23" t="str">
        <f>IF(OR(E4495="",E4495="!!!"),"",IF(OR(J4495=0,AND(J4495=1,K4495=1),AND(J4495=1,I4495="SBJ"),AND(J4495=1,I4495=0)),"?IN_FOCUS",IF(J4495&lt;=2,"?ACTIVATED",IF(J4495&lt;&gt;"","?FAMILIAR",IF(F4495="NEW",IF(ISNA(VLOOKUP(E4495,#REF!,1,FALSE())),"?TYPE_IDENTIFIABLE","?REFERENTIAL"),"_")))))</f>
        <v> </v>
      </c>
      <c r="H4495" s="24" t="str">
        <f>IF(J4495&lt;&gt;1,"",IF(I4495="SBJ","CB","?"))</f>
        <v> </v>
      </c>
      <c r="I4495" s="25" t="str">
        <f>IF(OR(E4495="",E4495="!!!",F4495="NEW"),"",INDEX(B4494:B$2,-1+SUMPRODUCT(MAX(ROW(E4494:E$2)*(E4495=E4494:E$2)))))</f>
        <v> </v>
      </c>
      <c r="J4495" s="25" t="str">
        <f>IF(OR(E4495="",E4495="!!!",F4495="NEW"),"",COUNTBLANK(OFFSET(A$1,,,SUMPRODUCT(MAX(ROW(E$2:E4495)*(E4495=E$2:E4495)))))-COUNTBLANK(OFFSET(A$1,,,SUMPRODUCT(MAX(ROW(E$1:E4494)*(E2=E$1:E4494))))))</f>
        <v> </v>
      </c>
      <c r="K4495" s="25" t="str">
        <f>IF(OR(E4495="",E4495="!!!",F4495="NEW"),"",INDEX(J$1:J4494,SUMPRODUCT(MAX(ROW(E$1:E4494)*(E4495=E$1:E4494)))))</f>
        <v> </v>
      </c>
      <c r="L4495" s="26"/>
    </row>
    <row r="4496" spans="1:12">
      <c r="A4496" s="20" t="s">
        <v>698</v>
      </c>
      <c r="E4496" s="21">
        <f>IF(D4496="?OLD","!!!","")</f>
        <v/>
      </c>
      <c r="F4496" s="22" t="str">
        <f>IF(OR(E4496="",E4496="!!!"),"",IF(NOT(ISNA(VLOOKUP(E4496,E$1:E4495,1,FALSE()))),"OLD",IF(AND(E4496&lt;&gt;"",E4496&lt;&gt;"!!!"),"NEW","")))</f>
        <v> </v>
      </c>
      <c r="G4496" s="23" t="str">
        <f>IF(OR(E4496="",E4496="!!!"),"",IF(OR(J4496=0,AND(J4496=1,K4496=1),AND(J4496=1,I4496="SBJ"),AND(J4496=1,I4496=0)),"?IN_FOCUS",IF(J4496&lt;=2,"?ACTIVATED",IF(J4496&lt;&gt;"","?FAMILIAR",IF(F4496="NEW",IF(ISNA(VLOOKUP(E4496,#REF!,1,FALSE())),"?TYPE_IDENTIFIABLE","?REFERENTIAL"),"_")))))</f>
        <v> </v>
      </c>
      <c r="H4496" s="24" t="str">
        <f>IF(J4496&lt;&gt;1,"",IF(I4496="SBJ","CB","?"))</f>
        <v> </v>
      </c>
      <c r="I4496" s="25" t="str">
        <f>IF(OR(E4496="",E4496="!!!",F4496="NEW"),"",INDEX(B4495:B$2,-1+SUMPRODUCT(MAX(ROW(E4495:E$2)*(E4496=E4495:E$2)))))</f>
        <v> </v>
      </c>
      <c r="J4496" s="25" t="str">
        <f>IF(OR(E4496="",E4496="!!!",F4496="NEW"),"",COUNTBLANK(OFFSET(A$1,,,SUMPRODUCT(MAX(ROW(E$2:E4496)*(E4496=E$2:E4496)))))-COUNTBLANK(OFFSET(A$1,,,SUMPRODUCT(MAX(ROW(E$1:E4495)*(E2=E$1:E4495))))))</f>
        <v> </v>
      </c>
      <c r="K4496" s="25" t="str">
        <f>IF(OR(E4496="",E4496="!!!",F4496="NEW"),"",INDEX(J$1:J4495,SUMPRODUCT(MAX(ROW(E$1:E4495)*(E4496=E$1:E4495)))))</f>
        <v> </v>
      </c>
      <c r="L4496" s="26"/>
    </row>
    <row r="4497" spans="1:12">
      <c r="A4497" s="20"/>
    </row>
    <row r="4498" spans="1:12">
      <c r="A4498" s="20" t="s">
        <v>2008</v>
      </c>
    </row>
    <row r="4499" spans="1:12">
      <c r="A4499" s="20" t="s">
        <v>770</v>
      </c>
      <c r="E4499" s="21">
        <f>IF(D4499="?OLD","!!!","")</f>
        <v/>
      </c>
      <c r="F4499" s="22" t="str">
        <f>IF(OR(E4499="",E4499="!!!"),"",IF(NOT(ISNA(VLOOKUP(E4499,E$1:E4498,1,FALSE()))),"OLD",IF(AND(E4499&lt;&gt;"",E4499&lt;&gt;"!!!"),"NEW","")))</f>
        <v> </v>
      </c>
      <c r="G4499" s="23" t="str">
        <f>IF(OR(E4499="",E4499="!!!"),"",IF(OR(J4499=0,AND(J4499=1,K4499=1),AND(J4499=1,I4499="SBJ"),AND(J4499=1,I4499=0)),"?IN_FOCUS",IF(J4499&lt;=2,"?ACTIVATED",IF(J4499&lt;&gt;"","?FAMILIAR",IF(F4499="NEW",IF(ISNA(VLOOKUP(E4499,#REF!,1,FALSE())),"?TYPE_IDENTIFIABLE","?REFERENTIAL"),"_")))))</f>
        <v> </v>
      </c>
      <c r="H4499" s="24" t="str">
        <f>IF(J4499&lt;&gt;1,"",IF(I4499="SBJ","CB","?"))</f>
        <v> </v>
      </c>
      <c r="I4499" s="25" t="str">
        <f>IF(OR(E4499="",E4499="!!!",F4499="NEW"),"",INDEX(B4498:B$2,-1+SUMPRODUCT(MAX(ROW(E4498:E$2)*(E4499=E4498:E$2)))))</f>
        <v> </v>
      </c>
      <c r="J4499" s="25" t="str">
        <f>IF(OR(E4499="",E4499="!!!",F4499="NEW"),"",COUNTBLANK(OFFSET(A$1,,,SUMPRODUCT(MAX(ROW(E$2:E4499)*(E4499=E$2:E4499)))))-COUNTBLANK(OFFSET(A$1,,,SUMPRODUCT(MAX(ROW(E$1:E4498)*(E2=E$1:E4498))))))</f>
        <v> </v>
      </c>
      <c r="K4499" s="25" t="str">
        <f>IF(OR(E4499="",E4499="!!!",F4499="NEW"),"",INDEX(J$1:J4498,SUMPRODUCT(MAX(ROW(E$1:E4498)*(E4499=E$1:E4498)))))</f>
        <v> </v>
      </c>
      <c r="L4499" s="26"/>
    </row>
    <row r="4500" spans="1:12">
      <c r="A4500" s="20" t="s">
        <v>306</v>
      </c>
      <c r="E4500" s="21">
        <f>IF(D4500="?OLD","!!!","")</f>
        <v/>
      </c>
      <c r="F4500" s="22" t="str">
        <f>IF(OR(E4500="",E4500="!!!"),"",IF(NOT(ISNA(VLOOKUP(E4500,E$1:E4499,1,FALSE()))),"OLD",IF(AND(E4500&lt;&gt;"",E4500&lt;&gt;"!!!"),"NEW","")))</f>
        <v> </v>
      </c>
      <c r="G4500" s="23" t="str">
        <f>IF(OR(E4500="",E4500="!!!"),"",IF(OR(J4500=0,AND(J4500=1,K4500=1),AND(J4500=1,I4500="SBJ"),AND(J4500=1,I4500=0)),"?IN_FOCUS",IF(J4500&lt;=2,"?ACTIVATED",IF(J4500&lt;&gt;"","?FAMILIAR",IF(F4500="NEW",IF(ISNA(VLOOKUP(E4500,#REF!,1,FALSE())),"?TYPE_IDENTIFIABLE","?REFERENTIAL"),"_")))))</f>
        <v> </v>
      </c>
      <c r="H4500" s="24" t="str">
        <f>IF(J4500&lt;&gt;1,"",IF(I4500="SBJ","CB","?"))</f>
        <v> </v>
      </c>
      <c r="I4500" s="25" t="str">
        <f>IF(OR(E4500="",E4500="!!!",F4500="NEW"),"",INDEX(B4499:B$2,-1+SUMPRODUCT(MAX(ROW(E4499:E$2)*(E4500=E4499:E$2)))))</f>
        <v> </v>
      </c>
      <c r="J4500" s="25" t="str">
        <f>IF(OR(E4500="",E4500="!!!",F4500="NEW"),"",COUNTBLANK(OFFSET(A$1,,,SUMPRODUCT(MAX(ROW(E$2:E4500)*(E4500=E$2:E4500)))))-COUNTBLANK(OFFSET(A$1,,,SUMPRODUCT(MAX(ROW(E$1:E4499)*(E2=E$1:E4499))))))</f>
        <v> </v>
      </c>
      <c r="K4500" s="25" t="str">
        <f>IF(OR(E4500="",E4500="!!!",F4500="NEW"),"",INDEX(J$1:J4499,SUMPRODUCT(MAX(ROW(E$1:E4499)*(E4500=E$1:E4499)))))</f>
        <v> </v>
      </c>
      <c r="L4500" s="26"/>
    </row>
    <row r="4501" spans="1:12">
      <c r="A4501" s="20" t="s">
        <v>2009</v>
      </c>
      <c r="B4501" s="27" t="s">
        <v>678</v>
      </c>
      <c r="C4501" s="27" t="s">
        <v>693</v>
      </c>
      <c r="D4501" s="27" t="s">
        <v>687</v>
      </c>
      <c r="E4501" s="21">
        <f>IF(D4501="?OLD","!!!","")</f>
        <v/>
      </c>
      <c r="F4501" s="22" t="str">
        <f>IF(OR(E4501="",E4501="!!!"),"",IF(NOT(ISNA(VLOOKUP(E4501,E$1:E4500,1,FALSE()))),"OLD",IF(AND(E4501&lt;&gt;"",E4501&lt;&gt;"!!!"),"NEW","")))</f>
        <v> </v>
      </c>
      <c r="G4501" s="23" t="str">
        <f>IF(OR(E4501="",E4501="!!!"),"",IF(OR(J4501=0,AND(J4501=1,K4501=1),AND(J4501=1,I4501="SBJ"),AND(J4501=1,I4501=0)),"?IN_FOCUS",IF(J4501&lt;=2,"?ACTIVATED",IF(J4501&lt;&gt;"","?FAMILIAR",IF(F4501="NEW",IF(ISNA(VLOOKUP(E4501,#REF!,1,FALSE())),"?TYPE_IDENTIFIABLE","?REFERENTIAL"),"_")))))</f>
        <v> </v>
      </c>
      <c r="H4501" s="24" t="str">
        <f>IF(J4501&lt;&gt;1,"",IF(I4501="SBJ","CB","?"))</f>
        <v> </v>
      </c>
      <c r="I4501" s="25" t="str">
        <f>IF(OR(E4501="",E4501="!!!",F4501="NEW"),"",INDEX(B4500:B$2,-1+SUMPRODUCT(MAX(ROW(E4500:E$2)*(E4501=E4500:E$2)))))</f>
        <v> </v>
      </c>
      <c r="J4501" s="25" t="str">
        <f>IF(OR(E4501="",E4501="!!!",F4501="NEW"),"",COUNTBLANK(OFFSET(A$1,,,SUMPRODUCT(MAX(ROW(E$2:E4501)*(E4501=E$2:E4501)))))-COUNTBLANK(OFFSET(A$1,,,SUMPRODUCT(MAX(ROW(E$1:E4500)*(E2=E$1:E4500))))))</f>
        <v> </v>
      </c>
      <c r="K4501" s="25" t="str">
        <f>IF(OR(E4501="",E4501="!!!",F4501="NEW"),"",INDEX(J$1:J4500,SUMPRODUCT(MAX(ROW(E$1:E4500)*(E4501=E$1:E4500)))))</f>
        <v> </v>
      </c>
      <c r="L4501" s="26"/>
    </row>
    <row r="4502" spans="1:12">
      <c r="A4502" s="20" t="s">
        <v>694</v>
      </c>
      <c r="E4502" s="21">
        <f>IF(D4502="?OLD","!!!","")</f>
        <v/>
      </c>
      <c r="F4502" s="22" t="str">
        <f>IF(OR(E4502="",E4502="!!!"),"",IF(NOT(ISNA(VLOOKUP(E4502,E$1:E4501,1,FALSE()))),"OLD",IF(AND(E4502&lt;&gt;"",E4502&lt;&gt;"!!!"),"NEW","")))</f>
        <v> </v>
      </c>
      <c r="G4502" s="23" t="str">
        <f>IF(OR(E4502="",E4502="!!!"),"",IF(OR(J4502=0,AND(J4502=1,K4502=1),AND(J4502=1,I4502="SBJ"),AND(J4502=1,I4502=0)),"?IN_FOCUS",IF(J4502&lt;=2,"?ACTIVATED",IF(J4502&lt;&gt;"","?FAMILIAR",IF(F4502="NEW",IF(ISNA(VLOOKUP(E4502,#REF!,1,FALSE())),"?TYPE_IDENTIFIABLE","?REFERENTIAL"),"_")))))</f>
        <v> </v>
      </c>
      <c r="H4502" s="24" t="str">
        <f>IF(J4502&lt;&gt;1,"",IF(I4502="SBJ","CB","?"))</f>
        <v> </v>
      </c>
      <c r="I4502" s="25" t="str">
        <f>IF(OR(E4502="",E4502="!!!",F4502="NEW"),"",INDEX(B4501:B$2,-1+SUMPRODUCT(MAX(ROW(E4501:E$2)*(E4502=E4501:E$2)))))</f>
        <v> </v>
      </c>
      <c r="J4502" s="25" t="str">
        <f>IF(OR(E4502="",E4502="!!!",F4502="NEW"),"",COUNTBLANK(OFFSET(A$1,,,SUMPRODUCT(MAX(ROW(E$2:E4502)*(E4502=E$2:E4502)))))-COUNTBLANK(OFFSET(A$1,,,SUMPRODUCT(MAX(ROW(E$1:E4501)*(E2=E$1:E4501))))))</f>
        <v> </v>
      </c>
      <c r="K4502" s="25" t="str">
        <f>IF(OR(E4502="",E4502="!!!",F4502="NEW"),"",INDEX(J$1:J4501,SUMPRODUCT(MAX(ROW(E$1:E4501)*(E4502=E$1:E4501)))))</f>
        <v> </v>
      </c>
      <c r="L4502" s="26"/>
    </row>
    <row r="4503" spans="1:12">
      <c r="A4503" s="20" t="s">
        <v>1909</v>
      </c>
      <c r="E4503" s="21">
        <f>IF(D4503="?OLD","!!!","")</f>
        <v/>
      </c>
      <c r="F4503" s="22" t="str">
        <f>IF(OR(E4503="",E4503="!!!"),"",IF(NOT(ISNA(VLOOKUP(E4503,E$1:E4502,1,FALSE()))),"OLD",IF(AND(E4503&lt;&gt;"",E4503&lt;&gt;"!!!"),"NEW","")))</f>
        <v> </v>
      </c>
      <c r="G4503" s="23" t="str">
        <f>IF(OR(E4503="",E4503="!!!"),"",IF(OR(J4503=0,AND(J4503=1,K4503=1),AND(J4503=1,I4503="SBJ"),AND(J4503=1,I4503=0)),"?IN_FOCUS",IF(J4503&lt;=2,"?ACTIVATED",IF(J4503&lt;&gt;"","?FAMILIAR",IF(F4503="NEW",IF(ISNA(VLOOKUP(E4503,#REF!,1,FALSE())),"?TYPE_IDENTIFIABLE","?REFERENTIAL"),"_")))))</f>
        <v> </v>
      </c>
      <c r="H4503" s="24" t="str">
        <f>IF(J4503&lt;&gt;1,"",IF(I4503="SBJ","CB","?"))</f>
        <v> </v>
      </c>
      <c r="I4503" s="25" t="str">
        <f>IF(OR(E4503="",E4503="!!!",F4503="NEW"),"",INDEX(B4502:B$2,-1+SUMPRODUCT(MAX(ROW(E4502:E$2)*(E4503=E4502:E$2)))))</f>
        <v> </v>
      </c>
      <c r="J4503" s="25" t="str">
        <f>IF(OR(E4503="",E4503="!!!",F4503="NEW"),"",COUNTBLANK(OFFSET(A$1,,,SUMPRODUCT(MAX(ROW(E$2:E4503)*(E4503=E$2:E4503)))))-COUNTBLANK(OFFSET(A$1,,,SUMPRODUCT(MAX(ROW(E$1:E4502)*(E2=E$1:E4502))))))</f>
        <v> </v>
      </c>
      <c r="K4503" s="25" t="str">
        <f>IF(OR(E4503="",E4503="!!!",F4503="NEW"),"",INDEX(J$1:J4502,SUMPRODUCT(MAX(ROW(E$1:E4502)*(E4503=E$1:E4502)))))</f>
        <v> </v>
      </c>
      <c r="L4503" s="26"/>
    </row>
    <row r="4504" spans="1:12">
      <c r="A4504" s="20" t="s">
        <v>1698</v>
      </c>
      <c r="B4504" s="27" t="s">
        <v>696</v>
      </c>
      <c r="C4504" s="27" t="s">
        <v>693</v>
      </c>
      <c r="D4504" s="27" t="s">
        <v>687</v>
      </c>
      <c r="E4504" s="21">
        <f>IF(D4504="?OLD","!!!","")</f>
        <v/>
      </c>
      <c r="F4504" s="22" t="str">
        <f>IF(OR(E4504="",E4504="!!!"),"",IF(NOT(ISNA(VLOOKUP(E4504,E$1:E4503,1,FALSE()))),"OLD",IF(AND(E4504&lt;&gt;"",E4504&lt;&gt;"!!!"),"NEW","")))</f>
        <v> </v>
      </c>
      <c r="G4504" s="23" t="str">
        <f>IF(OR(E4504="",E4504="!!!"),"",IF(OR(J4504=0,AND(J4504=1,K4504=1),AND(J4504=1,I4504="SBJ"),AND(J4504=1,I4504=0)),"?IN_FOCUS",IF(J4504&lt;=2,"?ACTIVATED",IF(J4504&lt;&gt;"","?FAMILIAR",IF(F4504="NEW",IF(ISNA(VLOOKUP(E4504,#REF!,1,FALSE())),"?TYPE_IDENTIFIABLE","?REFERENTIAL"),"_")))))</f>
        <v> </v>
      </c>
      <c r="H4504" s="24" t="str">
        <f>IF(J4504&lt;&gt;1,"",IF(I4504="SBJ","CB","?"))</f>
        <v> </v>
      </c>
      <c r="I4504" s="25" t="str">
        <f>IF(OR(E4504="",E4504="!!!",F4504="NEW"),"",INDEX(B4503:B$2,-1+SUMPRODUCT(MAX(ROW(E4503:E$2)*(E4504=E4503:E$2)))))</f>
        <v> </v>
      </c>
      <c r="J4504" s="25" t="str">
        <f>IF(OR(E4504="",E4504="!!!",F4504="NEW"),"",COUNTBLANK(OFFSET(A$1,,,SUMPRODUCT(MAX(ROW(E$2:E4504)*(E4504=E$2:E4504)))))-COUNTBLANK(OFFSET(A$1,,,SUMPRODUCT(MAX(ROW(E$1:E4503)*(E2=E$1:E4503))))))</f>
        <v> </v>
      </c>
      <c r="K4504" s="25" t="str">
        <f>IF(OR(E4504="",E4504="!!!",F4504="NEW"),"",INDEX(J$1:J4503,SUMPRODUCT(MAX(ROW(E$1:E4503)*(E4504=E$1:E4503)))))</f>
        <v> </v>
      </c>
      <c r="L4504" s="26"/>
    </row>
    <row r="4505" spans="1:12">
      <c r="A4505" s="20" t="s">
        <v>694</v>
      </c>
      <c r="E4505" s="21">
        <f>IF(D4505="?OLD","!!!","")</f>
        <v/>
      </c>
      <c r="F4505" s="22" t="str">
        <f>IF(OR(E4505="",E4505="!!!"),"",IF(NOT(ISNA(VLOOKUP(E4505,E$1:E4504,1,FALSE()))),"OLD",IF(AND(E4505&lt;&gt;"",E4505&lt;&gt;"!!!"),"NEW","")))</f>
        <v> </v>
      </c>
      <c r="G4505" s="23" t="str">
        <f>IF(OR(E4505="",E4505="!!!"),"",IF(OR(J4505=0,AND(J4505=1,K4505=1),AND(J4505=1,I4505="SBJ"),AND(J4505=1,I4505=0)),"?IN_FOCUS",IF(J4505&lt;=2,"?ACTIVATED",IF(J4505&lt;&gt;"","?FAMILIAR",IF(F4505="NEW",IF(ISNA(VLOOKUP(E4505,#REF!,1,FALSE())),"?TYPE_IDENTIFIABLE","?REFERENTIAL"),"_")))))</f>
        <v> </v>
      </c>
      <c r="H4505" s="24" t="str">
        <f>IF(J4505&lt;&gt;1,"",IF(I4505="SBJ","CB","?"))</f>
        <v> </v>
      </c>
      <c r="I4505" s="25" t="str">
        <f>IF(OR(E4505="",E4505="!!!",F4505="NEW"),"",INDEX(B4504:B$2,-1+SUMPRODUCT(MAX(ROW(E4504:E$2)*(E4505=E4504:E$2)))))</f>
        <v> </v>
      </c>
      <c r="J4505" s="25" t="str">
        <f>IF(OR(E4505="",E4505="!!!",F4505="NEW"),"",COUNTBLANK(OFFSET(A$1,,,SUMPRODUCT(MAX(ROW(E$2:E4505)*(E4505=E$2:E4505)))))-COUNTBLANK(OFFSET(A$1,,,SUMPRODUCT(MAX(ROW(E$1:E4504)*(E2=E$1:E4504))))))</f>
        <v> </v>
      </c>
      <c r="K4505" s="25" t="str">
        <f>IF(OR(E4505="",E4505="!!!",F4505="NEW"),"",INDEX(J$1:J4504,SUMPRODUCT(MAX(ROW(E$1:E4504)*(E4505=E$1:E4504)))))</f>
        <v> </v>
      </c>
      <c r="L4505" s="26"/>
    </row>
    <row r="4506" spans="1:12">
      <c r="A4506" s="20" t="s">
        <v>2010</v>
      </c>
      <c r="B4506" s="27" t="s">
        <v>724</v>
      </c>
      <c r="C4506" s="27" t="s">
        <v>679</v>
      </c>
      <c r="E4506" s="21">
        <f>IF(D4506="?OLD","!!!","")</f>
        <v/>
      </c>
      <c r="F4506" s="22" t="str">
        <f>IF(OR(E4506="",E4506="!!!"),"",IF(NOT(ISNA(VLOOKUP(E4506,E$1:E4505,1,FALSE()))),"OLD",IF(AND(E4506&lt;&gt;"",E4506&lt;&gt;"!!!"),"NEW","")))</f>
        <v> </v>
      </c>
      <c r="G4506" s="23" t="str">
        <f>IF(OR(E4506="",E4506="!!!"),"",IF(OR(J4506=0,AND(J4506=1,K4506=1),AND(J4506=1,I4506="SBJ"),AND(J4506=1,I4506=0)),"?IN_FOCUS",IF(J4506&lt;=2,"?ACTIVATED",IF(J4506&lt;&gt;"","?FAMILIAR",IF(F4506="NEW",IF(ISNA(VLOOKUP(E4506,#REF!,1,FALSE())),"?TYPE_IDENTIFIABLE","?REFERENTIAL"),"_")))))</f>
        <v> </v>
      </c>
      <c r="H4506" s="24" t="str">
        <f>IF(J4506&lt;&gt;1,"",IF(I4506="SBJ","CB","?"))</f>
        <v> </v>
      </c>
      <c r="I4506" s="25" t="str">
        <f>IF(OR(E4506="",E4506="!!!",F4506="NEW"),"",INDEX(B4505:B$2,-1+SUMPRODUCT(MAX(ROW(E4505:E$2)*(E4506=E4505:E$2)))))</f>
        <v> </v>
      </c>
      <c r="J4506" s="25" t="str">
        <f>IF(OR(E4506="",E4506="!!!",F4506="NEW"),"",COUNTBLANK(OFFSET(A$1,,,SUMPRODUCT(MAX(ROW(E$2:E4506)*(E4506=E$2:E4506)))))-COUNTBLANK(OFFSET(A$1,,,SUMPRODUCT(MAX(ROW(E$1:E4505)*(E2=E$1:E4505))))))</f>
        <v> </v>
      </c>
      <c r="K4506" s="25" t="str">
        <f>IF(OR(E4506="",E4506="!!!",F4506="NEW"),"",INDEX(J$1:J4505,SUMPRODUCT(MAX(ROW(E$1:E4505)*(E4506=E$1:E4505)))))</f>
        <v> </v>
      </c>
      <c r="L4506" s="26"/>
    </row>
    <row r="4507" spans="1:12">
      <c r="A4507" s="20" t="s">
        <v>682</v>
      </c>
      <c r="E4507" s="21">
        <f>IF(D4507="?OLD","!!!","")</f>
        <v/>
      </c>
      <c r="F4507" s="22" t="str">
        <f>IF(OR(E4507="",E4507="!!!"),"",IF(NOT(ISNA(VLOOKUP(E4507,E$1:E4506,1,FALSE()))),"OLD",IF(AND(E4507&lt;&gt;"",E4507&lt;&gt;"!!!"),"NEW","")))</f>
        <v> </v>
      </c>
      <c r="G4507" s="23" t="str">
        <f>IF(OR(E4507="",E4507="!!!"),"",IF(OR(J4507=0,AND(J4507=1,K4507=1),AND(J4507=1,I4507="SBJ"),AND(J4507=1,I4507=0)),"?IN_FOCUS",IF(J4507&lt;=2,"?ACTIVATED",IF(J4507&lt;&gt;"","?FAMILIAR",IF(F4507="NEW",IF(ISNA(VLOOKUP(E4507,#REF!,1,FALSE())),"?TYPE_IDENTIFIABLE","?REFERENTIAL"),"_")))))</f>
        <v> </v>
      </c>
      <c r="H4507" s="24" t="str">
        <f>IF(J4507&lt;&gt;1,"",IF(I4507="SBJ","CB","?"))</f>
        <v> </v>
      </c>
      <c r="I4507" s="25" t="str">
        <f>IF(OR(E4507="",E4507="!!!",F4507="NEW"),"",INDEX(B4506:B$2,-1+SUMPRODUCT(MAX(ROW(E4506:E$2)*(E4507=E4506:E$2)))))</f>
        <v> </v>
      </c>
      <c r="J4507" s="25" t="str">
        <f>IF(OR(E4507="",E4507="!!!",F4507="NEW"),"",COUNTBLANK(OFFSET(A$1,,,SUMPRODUCT(MAX(ROW(E$2:E4507)*(E4507=E$2:E4507)))))-COUNTBLANK(OFFSET(A$1,,,SUMPRODUCT(MAX(ROW(E$1:E4506)*(E2=E$1:E4506))))))</f>
        <v> </v>
      </c>
      <c r="K4507" s="25" t="str">
        <f>IF(OR(E4507="",E4507="!!!",F4507="NEW"),"",INDEX(J$1:J4506,SUMPRODUCT(MAX(ROW(E$1:E4506)*(E4507=E$1:E4506)))))</f>
        <v> </v>
      </c>
      <c r="L4507" s="26"/>
    </row>
    <row r="4508" spans="1:12">
      <c r="A4508" s="20" t="s">
        <v>1209</v>
      </c>
      <c r="E4508" s="21">
        <f>IF(D4508="?OLD","!!!","")</f>
        <v/>
      </c>
      <c r="F4508" s="22" t="str">
        <f>IF(OR(E4508="",E4508="!!!"),"",IF(NOT(ISNA(VLOOKUP(E4508,E$1:E4507,1,FALSE()))),"OLD",IF(AND(E4508&lt;&gt;"",E4508&lt;&gt;"!!!"),"NEW","")))</f>
        <v> </v>
      </c>
      <c r="G4508" s="23" t="str">
        <f>IF(OR(E4508="",E4508="!!!"),"",IF(OR(J4508=0,AND(J4508=1,K4508=1),AND(J4508=1,I4508="SBJ"),AND(J4508=1,I4508=0)),"?IN_FOCUS",IF(J4508&lt;=2,"?ACTIVATED",IF(J4508&lt;&gt;"","?FAMILIAR",IF(F4508="NEW",IF(ISNA(VLOOKUP(E4508,#REF!,1,FALSE())),"?TYPE_IDENTIFIABLE","?REFERENTIAL"),"_")))))</f>
        <v> </v>
      </c>
      <c r="H4508" s="24" t="str">
        <f>IF(J4508&lt;&gt;1,"",IF(I4508="SBJ","CB","?"))</f>
        <v> </v>
      </c>
      <c r="I4508" s="25" t="str">
        <f>IF(OR(E4508="",E4508="!!!",F4508="NEW"),"",INDEX(B4507:B$2,-1+SUMPRODUCT(MAX(ROW(E4507:E$2)*(E4508=E4507:E$2)))))</f>
        <v> </v>
      </c>
      <c r="J4508" s="25" t="str">
        <f>IF(OR(E4508="",E4508="!!!",F4508="NEW"),"",COUNTBLANK(OFFSET(A$1,,,SUMPRODUCT(MAX(ROW(E$2:E4508)*(E4508=E$2:E4508)))))-COUNTBLANK(OFFSET(A$1,,,SUMPRODUCT(MAX(ROW(E$1:E4507)*(E2=E$1:E4507))))))</f>
        <v> </v>
      </c>
      <c r="K4508" s="25" t="str">
        <f>IF(OR(E4508="",E4508="!!!",F4508="NEW"),"",INDEX(J$1:J4507,SUMPRODUCT(MAX(ROW(E$1:E4507)*(E4508=E$1:E4507)))))</f>
        <v> </v>
      </c>
      <c r="L4508" s="26"/>
    </row>
    <row r="4509" spans="1:12">
      <c r="A4509" s="20" t="s">
        <v>804</v>
      </c>
      <c r="B4509" s="27" t="s">
        <v>692</v>
      </c>
      <c r="C4509" s="27" t="s">
        <v>749</v>
      </c>
      <c r="D4509" s="27" t="s">
        <v>687</v>
      </c>
      <c r="E4509" s="21">
        <f>IF(D4509="?OLD","!!!","")</f>
        <v/>
      </c>
      <c r="F4509" s="22" t="str">
        <f>IF(OR(E4509="",E4509="!!!"),"",IF(NOT(ISNA(VLOOKUP(E4509,E$1:E4508,1,FALSE()))),"OLD",IF(AND(E4509&lt;&gt;"",E4509&lt;&gt;"!!!"),"NEW","")))</f>
        <v> </v>
      </c>
      <c r="G4509" s="23" t="str">
        <f>IF(OR(E4509="",E4509="!!!"),"",IF(OR(J4509=0,AND(J4509=1,K4509=1),AND(J4509=1,I4509="SBJ"),AND(J4509=1,I4509=0)),"?IN_FOCUS",IF(J4509&lt;=2,"?ACTIVATED",IF(J4509&lt;&gt;"","?FAMILIAR",IF(F4509="NEW",IF(ISNA(VLOOKUP(E4509,#REF!,1,FALSE())),"?TYPE_IDENTIFIABLE","?REFERENTIAL"),"_")))))</f>
        <v> </v>
      </c>
      <c r="H4509" s="24" t="str">
        <f>IF(J4509&lt;&gt;1,"",IF(I4509="SBJ","CB","?"))</f>
        <v> </v>
      </c>
      <c r="I4509" s="25" t="str">
        <f>IF(OR(E4509="",E4509="!!!",F4509="NEW"),"",INDEX(B4508:B$2,-1+SUMPRODUCT(MAX(ROW(E4508:E$2)*(E4509=E4508:E$2)))))</f>
        <v> </v>
      </c>
      <c r="J4509" s="25" t="str">
        <f>IF(OR(E4509="",E4509="!!!",F4509="NEW"),"",COUNTBLANK(OFFSET(A$1,,,SUMPRODUCT(MAX(ROW(E$2:E4509)*(E4509=E$2:E4509)))))-COUNTBLANK(OFFSET(A$1,,,SUMPRODUCT(MAX(ROW(E$1:E4508)*(E2=E$1:E4508))))))</f>
        <v> </v>
      </c>
      <c r="K4509" s="25" t="str">
        <f>IF(OR(E4509="",E4509="!!!",F4509="NEW"),"",INDEX(J$1:J4508,SUMPRODUCT(MAX(ROW(E$1:E4508)*(E4509=E$1:E4508)))))</f>
        <v> </v>
      </c>
      <c r="L4509" s="26"/>
    </row>
    <row r="4510" spans="1:12">
      <c r="A4510" s="20" t="s">
        <v>732</v>
      </c>
      <c r="E4510" s="21">
        <f>IF(D4510="?OLD","!!!","")</f>
        <v/>
      </c>
      <c r="F4510" s="22" t="str">
        <f>IF(OR(E4510="",E4510="!!!"),"",IF(NOT(ISNA(VLOOKUP(E4510,E$1:E4509,1,FALSE()))),"OLD",IF(AND(E4510&lt;&gt;"",E4510&lt;&gt;"!!!"),"NEW","")))</f>
        <v> </v>
      </c>
      <c r="G4510" s="23" t="str">
        <f>IF(OR(E4510="",E4510="!!!"),"",IF(OR(J4510=0,AND(J4510=1,K4510=1),AND(J4510=1,I4510="SBJ"),AND(J4510=1,I4510=0)),"?IN_FOCUS",IF(J4510&lt;=2,"?ACTIVATED",IF(J4510&lt;&gt;"","?FAMILIAR",IF(F4510="NEW",IF(ISNA(VLOOKUP(E4510,#REF!,1,FALSE())),"?TYPE_IDENTIFIABLE","?REFERENTIAL"),"_")))))</f>
        <v> </v>
      </c>
      <c r="H4510" s="24" t="str">
        <f>IF(J4510&lt;&gt;1,"",IF(I4510="SBJ","CB","?"))</f>
        <v> </v>
      </c>
      <c r="I4510" s="25" t="str">
        <f>IF(OR(E4510="",E4510="!!!",F4510="NEW"),"",INDEX(B4509:B$2,-1+SUMPRODUCT(MAX(ROW(E4509:E$2)*(E4510=E4509:E$2)))))</f>
        <v> </v>
      </c>
      <c r="J4510" s="25" t="str">
        <f>IF(OR(E4510="",E4510="!!!",F4510="NEW"),"",COUNTBLANK(OFFSET(A$1,,,SUMPRODUCT(MAX(ROW(E$2:E4510)*(E4510=E$2:E4510)))))-COUNTBLANK(OFFSET(A$1,,,SUMPRODUCT(MAX(ROW(E$1:E4509)*(E2=E$1:E4509))))))</f>
        <v> </v>
      </c>
      <c r="K4510" s="25" t="str">
        <f>IF(OR(E4510="",E4510="!!!",F4510="NEW"),"",INDEX(J$1:J4509,SUMPRODUCT(MAX(ROW(E$1:E4509)*(E4510=E$1:E4509)))))</f>
        <v> </v>
      </c>
      <c r="L4510" s="26"/>
    </row>
    <row r="4511" spans="1:12">
      <c r="A4511" s="20" t="s">
        <v>306</v>
      </c>
      <c r="E4511" s="21">
        <f>IF(D4511="?OLD","!!!","")</f>
        <v/>
      </c>
      <c r="F4511" s="22" t="str">
        <f>IF(OR(E4511="",E4511="!!!"),"",IF(NOT(ISNA(VLOOKUP(E4511,E$1:E4510,1,FALSE()))),"OLD",IF(AND(E4511&lt;&gt;"",E4511&lt;&gt;"!!!"),"NEW","")))</f>
        <v> </v>
      </c>
      <c r="G4511" s="23" t="str">
        <f>IF(OR(E4511="",E4511="!!!"),"",IF(OR(J4511=0,AND(J4511=1,K4511=1),AND(J4511=1,I4511="SBJ"),AND(J4511=1,I4511=0)),"?IN_FOCUS",IF(J4511&lt;=2,"?ACTIVATED",IF(J4511&lt;&gt;"","?FAMILIAR",IF(F4511="NEW",IF(ISNA(VLOOKUP(E4511,#REF!,1,FALSE())),"?TYPE_IDENTIFIABLE","?REFERENTIAL"),"_")))))</f>
        <v> </v>
      </c>
      <c r="H4511" s="24" t="str">
        <f>IF(J4511&lt;&gt;1,"",IF(I4511="SBJ","CB","?"))</f>
        <v> </v>
      </c>
      <c r="I4511" s="25" t="str">
        <f>IF(OR(E4511="",E4511="!!!",F4511="NEW"),"",INDEX(B4510:B$2,-1+SUMPRODUCT(MAX(ROW(E4510:E$2)*(E4511=E4510:E$2)))))</f>
        <v> </v>
      </c>
      <c r="J4511" s="25" t="str">
        <f>IF(OR(E4511="",E4511="!!!",F4511="NEW"),"",COUNTBLANK(OFFSET(A$1,,,SUMPRODUCT(MAX(ROW(E$2:E4511)*(E4511=E$2:E4511)))))-COUNTBLANK(OFFSET(A$1,,,SUMPRODUCT(MAX(ROW(E$1:E4510)*(E2=E$1:E4510))))))</f>
        <v> </v>
      </c>
      <c r="K4511" s="25" t="str">
        <f>IF(OR(E4511="",E4511="!!!",F4511="NEW"),"",INDEX(J$1:J4510,SUMPRODUCT(MAX(ROW(E$1:E4510)*(E4511=E$1:E4510)))))</f>
        <v> </v>
      </c>
      <c r="L4511" s="26"/>
    </row>
    <row r="4512" spans="1:12">
      <c r="A4512" s="20" t="s">
        <v>1540</v>
      </c>
      <c r="B4512" s="27" t="s">
        <v>787</v>
      </c>
      <c r="C4512" s="27" t="s">
        <v>686</v>
      </c>
      <c r="D4512" s="27" t="s">
        <v>687</v>
      </c>
      <c r="E4512" s="21">
        <f>IF(D4512="?OLD","!!!","")</f>
        <v/>
      </c>
      <c r="F4512" s="22" t="str">
        <f>IF(OR(E4512="",E4512="!!!"),"",IF(NOT(ISNA(VLOOKUP(E4512,E$1:E4511,1,FALSE()))),"OLD",IF(AND(E4512&lt;&gt;"",E4512&lt;&gt;"!!!"),"NEW","")))</f>
        <v> </v>
      </c>
      <c r="G4512" s="23" t="str">
        <f>IF(OR(E4512="",E4512="!!!"),"",IF(OR(J4512=0,AND(J4512=1,K4512=1),AND(J4512=1,I4512="SBJ"),AND(J4512=1,I4512=0)),"?IN_FOCUS",IF(J4512&lt;=2,"?ACTIVATED",IF(J4512&lt;&gt;"","?FAMILIAR",IF(F4512="NEW",IF(ISNA(VLOOKUP(E4512,#REF!,1,FALSE())),"?TYPE_IDENTIFIABLE","?REFERENTIAL"),"_")))))</f>
        <v> </v>
      </c>
      <c r="H4512" s="24" t="str">
        <f>IF(J4512&lt;&gt;1,"",IF(I4512="SBJ","CB","?"))</f>
        <v> </v>
      </c>
      <c r="I4512" s="25" t="str">
        <f>IF(OR(E4512="",E4512="!!!",F4512="NEW"),"",INDEX(B4511:B$2,-1+SUMPRODUCT(MAX(ROW(E4511:E$2)*(E4512=E4511:E$2)))))</f>
        <v> </v>
      </c>
      <c r="J4512" s="25" t="str">
        <f>IF(OR(E4512="",E4512="!!!",F4512="NEW"),"",COUNTBLANK(OFFSET(A$1,,,SUMPRODUCT(MAX(ROW(E$2:E4512)*(E4512=E$2:E4512)))))-COUNTBLANK(OFFSET(A$1,,,SUMPRODUCT(MAX(ROW(E$1:E4511)*(E2=E$1:E4511))))))</f>
        <v> </v>
      </c>
      <c r="K4512" s="25" t="str">
        <f>IF(OR(E4512="",E4512="!!!",F4512="NEW"),"",INDEX(J$1:J4511,SUMPRODUCT(MAX(ROW(E$1:E4511)*(E4512=E$1:E4511)))))</f>
        <v> </v>
      </c>
      <c r="L4512" s="26"/>
    </row>
    <row r="4513" spans="1:12">
      <c r="A4513" s="20" t="s">
        <v>833</v>
      </c>
      <c r="E4513" s="21">
        <f>IF(D4513="?OLD","!!!","")</f>
        <v/>
      </c>
      <c r="F4513" s="22" t="str">
        <f>IF(OR(E4513="",E4513="!!!"),"",IF(NOT(ISNA(VLOOKUP(E4513,E$1:E4512,1,FALSE()))),"OLD",IF(AND(E4513&lt;&gt;"",E4513&lt;&gt;"!!!"),"NEW","")))</f>
        <v> </v>
      </c>
      <c r="G4513" s="23" t="str">
        <f>IF(OR(E4513="",E4513="!!!"),"",IF(OR(J4513=0,AND(J4513=1,K4513=1),AND(J4513=1,I4513="SBJ"),AND(J4513=1,I4513=0)),"?IN_FOCUS",IF(J4513&lt;=2,"?ACTIVATED",IF(J4513&lt;&gt;"","?FAMILIAR",IF(F4513="NEW",IF(ISNA(VLOOKUP(E4513,#REF!,1,FALSE())),"?TYPE_IDENTIFIABLE","?REFERENTIAL"),"_")))))</f>
        <v> </v>
      </c>
      <c r="H4513" s="24" t="str">
        <f>IF(J4513&lt;&gt;1,"",IF(I4513="SBJ","CB","?"))</f>
        <v> </v>
      </c>
      <c r="I4513" s="25" t="str">
        <f>IF(OR(E4513="",E4513="!!!",F4513="NEW"),"",INDEX(B4512:B$2,-1+SUMPRODUCT(MAX(ROW(E4512:E$2)*(E4513=E4512:E$2)))))</f>
        <v> </v>
      </c>
      <c r="J4513" s="25" t="str">
        <f>IF(OR(E4513="",E4513="!!!",F4513="NEW"),"",COUNTBLANK(OFFSET(A$1,,,SUMPRODUCT(MAX(ROW(E$2:E4513)*(E4513=E$2:E4513)))))-COUNTBLANK(OFFSET(A$1,,,SUMPRODUCT(MAX(ROW(E$1:E4512)*(E2=E$1:E4512))))))</f>
        <v> </v>
      </c>
      <c r="K4513" s="25" t="str">
        <f>IF(OR(E4513="",E4513="!!!",F4513="NEW"),"",INDEX(J$1:J4512,SUMPRODUCT(MAX(ROW(E$1:E4512)*(E4513=E$1:E4512)))))</f>
        <v> </v>
      </c>
      <c r="L4513" s="26"/>
    </row>
    <row r="4514" spans="1:12">
      <c r="A4514" s="20" t="s">
        <v>2011</v>
      </c>
      <c r="E4514" s="21">
        <f>IF(D4514="?OLD","!!!","")</f>
        <v/>
      </c>
      <c r="F4514" s="22" t="str">
        <f>IF(OR(E4514="",E4514="!!!"),"",IF(NOT(ISNA(VLOOKUP(E4514,E$1:E4513,1,FALSE()))),"OLD",IF(AND(E4514&lt;&gt;"",E4514&lt;&gt;"!!!"),"NEW","")))</f>
        <v> </v>
      </c>
      <c r="G4514" s="23" t="str">
        <f>IF(OR(E4514="",E4514="!!!"),"",IF(OR(J4514=0,AND(J4514=1,K4514=1),AND(J4514=1,I4514="SBJ"),AND(J4514=1,I4514=0)),"?IN_FOCUS",IF(J4514&lt;=2,"?ACTIVATED",IF(J4514&lt;&gt;"","?FAMILIAR",IF(F4514="NEW",IF(ISNA(VLOOKUP(E4514,#REF!,1,FALSE())),"?TYPE_IDENTIFIABLE","?REFERENTIAL"),"_")))))</f>
        <v> </v>
      </c>
      <c r="H4514" s="24" t="str">
        <f>IF(J4514&lt;&gt;1,"",IF(I4514="SBJ","CB","?"))</f>
        <v> </v>
      </c>
      <c r="I4514" s="25" t="str">
        <f>IF(OR(E4514="",E4514="!!!",F4514="NEW"),"",INDEX(B4513:B$2,-1+SUMPRODUCT(MAX(ROW(E4513:E$2)*(E4514=E4513:E$2)))))</f>
        <v> </v>
      </c>
      <c r="J4514" s="25" t="str">
        <f>IF(OR(E4514="",E4514="!!!",F4514="NEW"),"",COUNTBLANK(OFFSET(A$1,,,SUMPRODUCT(MAX(ROW(E$2:E4514)*(E4514=E$2:E4514)))))-COUNTBLANK(OFFSET(A$1,,,SUMPRODUCT(MAX(ROW(E$1:E4513)*(E2=E$1:E4513))))))</f>
        <v> </v>
      </c>
      <c r="K4514" s="25" t="str">
        <f>IF(OR(E4514="",E4514="!!!",F4514="NEW"),"",INDEX(J$1:J4513,SUMPRODUCT(MAX(ROW(E$1:E4513)*(E4514=E$1:E4513)))))</f>
        <v> </v>
      </c>
      <c r="L4514" s="26"/>
    </row>
    <row r="4515" spans="1:12">
      <c r="A4515" s="20" t="s">
        <v>1077</v>
      </c>
      <c r="E4515" s="21">
        <f>IF(D4515="?OLD","!!!","")</f>
        <v/>
      </c>
      <c r="F4515" s="22" t="str">
        <f>IF(OR(E4515="",E4515="!!!"),"",IF(NOT(ISNA(VLOOKUP(E4515,E$1:E4514,1,FALSE()))),"OLD",IF(AND(E4515&lt;&gt;"",E4515&lt;&gt;"!!!"),"NEW","")))</f>
        <v> </v>
      </c>
      <c r="G4515" s="23" t="str">
        <f>IF(OR(E4515="",E4515="!!!"),"",IF(OR(J4515=0,AND(J4515=1,K4515=1),AND(J4515=1,I4515="SBJ"),AND(J4515=1,I4515=0)),"?IN_FOCUS",IF(J4515&lt;=2,"?ACTIVATED",IF(J4515&lt;&gt;"","?FAMILIAR",IF(F4515="NEW",IF(ISNA(VLOOKUP(E4515,#REF!,1,FALSE())),"?TYPE_IDENTIFIABLE","?REFERENTIAL"),"_")))))</f>
        <v> </v>
      </c>
      <c r="H4515" s="24" t="str">
        <f>IF(J4515&lt;&gt;1,"",IF(I4515="SBJ","CB","?"))</f>
        <v> </v>
      </c>
      <c r="I4515" s="25" t="str">
        <f>IF(OR(E4515="",E4515="!!!",F4515="NEW"),"",INDEX(B4514:B$2,-1+SUMPRODUCT(MAX(ROW(E4514:E$2)*(E4515=E4514:E$2)))))</f>
        <v> </v>
      </c>
      <c r="J4515" s="25" t="str">
        <f>IF(OR(E4515="",E4515="!!!",F4515="NEW"),"",COUNTBLANK(OFFSET(A$1,,,SUMPRODUCT(MAX(ROW(E$2:E4515)*(E4515=E$2:E4515)))))-COUNTBLANK(OFFSET(A$1,,,SUMPRODUCT(MAX(ROW(E$1:E4514)*(E2=E$1:E4514))))))</f>
        <v> </v>
      </c>
      <c r="K4515" s="25" t="str">
        <f>IF(OR(E4515="",E4515="!!!",F4515="NEW"),"",INDEX(J$1:J4514,SUMPRODUCT(MAX(ROW(E$1:E4514)*(E4515=E$1:E4514)))))</f>
        <v> </v>
      </c>
      <c r="L4515" s="26"/>
    </row>
    <row r="4516" spans="1:12">
      <c r="A4516" s="20" t="s">
        <v>703</v>
      </c>
      <c r="E4516" s="21">
        <f>IF(D4516="?OLD","!!!","")</f>
        <v/>
      </c>
      <c r="F4516" s="22" t="str">
        <f>IF(OR(E4516="",E4516="!!!"),"",IF(NOT(ISNA(VLOOKUP(E4516,E$1:E4515,1,FALSE()))),"OLD",IF(AND(E4516&lt;&gt;"",E4516&lt;&gt;"!!!"),"NEW","")))</f>
        <v> </v>
      </c>
      <c r="G4516" s="23" t="str">
        <f>IF(OR(E4516="",E4516="!!!"),"",IF(OR(J4516=0,AND(J4516=1,K4516=1),AND(J4516=1,I4516="SBJ"),AND(J4516=1,I4516=0)),"?IN_FOCUS",IF(J4516&lt;=2,"?ACTIVATED",IF(J4516&lt;&gt;"","?FAMILIAR",IF(F4516="NEW",IF(ISNA(VLOOKUP(E4516,#REF!,1,FALSE())),"?TYPE_IDENTIFIABLE","?REFERENTIAL"),"_")))))</f>
        <v> </v>
      </c>
      <c r="H4516" s="24" t="str">
        <f>IF(J4516&lt;&gt;1,"",IF(I4516="SBJ","CB","?"))</f>
        <v> </v>
      </c>
      <c r="I4516" s="25" t="str">
        <f>IF(OR(E4516="",E4516="!!!",F4516="NEW"),"",INDEX(B4515:B$2,-1+SUMPRODUCT(MAX(ROW(E4515:E$2)*(E4516=E4515:E$2)))))</f>
        <v> </v>
      </c>
      <c r="J4516" s="25" t="str">
        <f>IF(OR(E4516="",E4516="!!!",F4516="NEW"),"",COUNTBLANK(OFFSET(A$1,,,SUMPRODUCT(MAX(ROW(E$2:E4516)*(E4516=E$2:E4516)))))-COUNTBLANK(OFFSET(A$1,,,SUMPRODUCT(MAX(ROW(E$1:E4515)*(E2=E$1:E4515))))))</f>
        <v> </v>
      </c>
      <c r="K4516" s="25" t="str">
        <f>IF(OR(E4516="",E4516="!!!",F4516="NEW"),"",INDEX(J$1:J4515,SUMPRODUCT(MAX(ROW(E$1:E4515)*(E4516=E$1:E4515)))))</f>
        <v> </v>
      </c>
      <c r="L4516" s="26"/>
    </row>
    <row r="4517" spans="1:12">
      <c r="A4517" s="20" t="s">
        <v>732</v>
      </c>
      <c r="E4517" s="21">
        <f>IF(D4517="?OLD","!!!","")</f>
        <v/>
      </c>
      <c r="F4517" s="22" t="str">
        <f>IF(OR(E4517="",E4517="!!!"),"",IF(NOT(ISNA(VLOOKUP(E4517,E$1:E4516,1,FALSE()))),"OLD",IF(AND(E4517&lt;&gt;"",E4517&lt;&gt;"!!!"),"NEW","")))</f>
        <v> </v>
      </c>
      <c r="G4517" s="23" t="str">
        <f>IF(OR(E4517="",E4517="!!!"),"",IF(OR(J4517=0,AND(J4517=1,K4517=1),AND(J4517=1,I4517="SBJ"),AND(J4517=1,I4517=0)),"?IN_FOCUS",IF(J4517&lt;=2,"?ACTIVATED",IF(J4517&lt;&gt;"","?FAMILIAR",IF(F4517="NEW",IF(ISNA(VLOOKUP(E4517,#REF!,1,FALSE())),"?TYPE_IDENTIFIABLE","?REFERENTIAL"),"_")))))</f>
        <v> </v>
      </c>
      <c r="H4517" s="24" t="str">
        <f>IF(J4517&lt;&gt;1,"",IF(I4517="SBJ","CB","?"))</f>
        <v> </v>
      </c>
      <c r="I4517" s="25" t="str">
        <f>IF(OR(E4517="",E4517="!!!",F4517="NEW"),"",INDEX(B4516:B$2,-1+SUMPRODUCT(MAX(ROW(E4516:E$2)*(E4517=E4516:E$2)))))</f>
        <v> </v>
      </c>
      <c r="J4517" s="25" t="str">
        <f>IF(OR(E4517="",E4517="!!!",F4517="NEW"),"",COUNTBLANK(OFFSET(A$1,,,SUMPRODUCT(MAX(ROW(E$2:E4517)*(E4517=E$2:E4517)))))-COUNTBLANK(OFFSET(A$1,,,SUMPRODUCT(MAX(ROW(E$1:E4516)*(E2=E$1:E4516))))))</f>
        <v> </v>
      </c>
      <c r="K4517" s="25" t="str">
        <f>IF(OR(E4517="",E4517="!!!",F4517="NEW"),"",INDEX(J$1:J4516,SUMPRODUCT(MAX(ROW(E$1:E4516)*(E4517=E$1:E4516)))))</f>
        <v> </v>
      </c>
      <c r="L4517" s="26"/>
    </row>
    <row r="4518" spans="1:12">
      <c r="A4518" s="20" t="s">
        <v>1203</v>
      </c>
      <c r="B4518" s="27" t="s">
        <v>863</v>
      </c>
      <c r="C4518" s="27" t="s">
        <v>749</v>
      </c>
      <c r="D4518" s="27" t="s">
        <v>687</v>
      </c>
      <c r="E4518" s="21">
        <f>IF(D4518="?OLD","!!!","")</f>
        <v/>
      </c>
      <c r="F4518" s="22" t="str">
        <f>IF(OR(E4518="",E4518="!!!"),"",IF(NOT(ISNA(VLOOKUP(E4518,E$1:E4517,1,FALSE()))),"OLD",IF(AND(E4518&lt;&gt;"",E4518&lt;&gt;"!!!"),"NEW","")))</f>
        <v> </v>
      </c>
      <c r="G4518" s="23" t="str">
        <f>IF(OR(E4518="",E4518="!!!"),"",IF(OR(J4518=0,AND(J4518=1,K4518=1),AND(J4518=1,I4518="SBJ"),AND(J4518=1,I4518=0)),"?IN_FOCUS",IF(J4518&lt;=2,"?ACTIVATED",IF(J4518&lt;&gt;"","?FAMILIAR",IF(F4518="NEW",IF(ISNA(VLOOKUP(E4518,#REF!,1,FALSE())),"?TYPE_IDENTIFIABLE","?REFERENTIAL"),"_")))))</f>
        <v> </v>
      </c>
      <c r="H4518" s="24" t="str">
        <f>IF(J4518&lt;&gt;1,"",IF(I4518="SBJ","CB","?"))</f>
        <v> </v>
      </c>
      <c r="I4518" s="25" t="str">
        <f>IF(OR(E4518="",E4518="!!!",F4518="NEW"),"",INDEX(B4517:B$2,-1+SUMPRODUCT(MAX(ROW(E4517:E$2)*(E4518=E4517:E$2)))))</f>
        <v> </v>
      </c>
      <c r="J4518" s="25" t="str">
        <f>IF(OR(E4518="",E4518="!!!",F4518="NEW"),"",COUNTBLANK(OFFSET(A$1,,,SUMPRODUCT(MAX(ROW(E$2:E4518)*(E4518=E$2:E4518)))))-COUNTBLANK(OFFSET(A$1,,,SUMPRODUCT(MAX(ROW(E$1:E4517)*(E2=E$1:E4517))))))</f>
        <v> </v>
      </c>
      <c r="K4518" s="25" t="str">
        <f>IF(OR(E4518="",E4518="!!!",F4518="NEW"),"",INDEX(J$1:J4517,SUMPRODUCT(MAX(ROW(E$1:E4517)*(E4518=E$1:E4517)))))</f>
        <v> </v>
      </c>
      <c r="L4518" s="26"/>
    </row>
    <row r="4519" spans="1:12">
      <c r="A4519" s="20" t="s">
        <v>1010</v>
      </c>
      <c r="B4519" s="27" t="s">
        <v>863</v>
      </c>
      <c r="E4519" s="21">
        <f>IF(D4519="?OLD","!!!","")</f>
        <v/>
      </c>
      <c r="F4519" s="22" t="str">
        <f>IF(OR(E4519="",E4519="!!!"),"",IF(NOT(ISNA(VLOOKUP(E4519,E$1:E4518,1,FALSE()))),"OLD",IF(AND(E4519&lt;&gt;"",E4519&lt;&gt;"!!!"),"NEW","")))</f>
        <v> </v>
      </c>
      <c r="G4519" s="23" t="str">
        <f>IF(OR(E4519="",E4519="!!!"),"",IF(OR(J4519=0,AND(J4519=1,K4519=1),AND(J4519=1,I4519="SBJ"),AND(J4519=1,I4519=0)),"?IN_FOCUS",IF(J4519&lt;=2,"?ACTIVATED",IF(J4519&lt;&gt;"","?FAMILIAR",IF(F4519="NEW",IF(ISNA(VLOOKUP(E4519,#REF!,1,FALSE())),"?TYPE_IDENTIFIABLE","?REFERENTIAL"),"_")))))</f>
        <v> </v>
      </c>
      <c r="H4519" s="24" t="str">
        <f>IF(J4519&lt;&gt;1,"",IF(I4519="SBJ","CB","?"))</f>
        <v> </v>
      </c>
      <c r="I4519" s="25" t="str">
        <f>IF(OR(E4519="",E4519="!!!",F4519="NEW"),"",INDEX(B4518:B$2,-1+SUMPRODUCT(MAX(ROW(E4518:E$2)*(E4519=E4518:E$2)))))</f>
        <v> </v>
      </c>
      <c r="J4519" s="25" t="str">
        <f>IF(OR(E4519="",E4519="!!!",F4519="NEW"),"",COUNTBLANK(OFFSET(A$1,,,SUMPRODUCT(MAX(ROW(E$2:E4519)*(E4519=E$2:E4519)))))-COUNTBLANK(OFFSET(A$1,,,SUMPRODUCT(MAX(ROW(E$1:E4518)*(E2=E$1:E4518))))))</f>
        <v> </v>
      </c>
      <c r="K4519" s="25" t="str">
        <f>IF(OR(E4519="",E4519="!!!",F4519="NEW"),"",INDEX(J$1:J4518,SUMPRODUCT(MAX(ROW(E$1:E4518)*(E4519=E$1:E4518)))))</f>
        <v> </v>
      </c>
      <c r="L4519" s="26"/>
    </row>
    <row r="4520" spans="1:12">
      <c r="A4520" s="20" t="s">
        <v>2012</v>
      </c>
      <c r="E4520" s="21">
        <f>IF(D4520="?OLD","!!!","")</f>
        <v/>
      </c>
      <c r="F4520" s="22" t="str">
        <f>IF(OR(E4520="",E4520="!!!"),"",IF(NOT(ISNA(VLOOKUP(E4520,E$1:E4519,1,FALSE()))),"OLD",IF(AND(E4520&lt;&gt;"",E4520&lt;&gt;"!!!"),"NEW","")))</f>
        <v> </v>
      </c>
      <c r="G4520" s="23" t="str">
        <f>IF(OR(E4520="",E4520="!!!"),"",IF(OR(J4520=0,AND(J4520=1,K4520=1),AND(J4520=1,I4520="SBJ"),AND(J4520=1,I4520=0)),"?IN_FOCUS",IF(J4520&lt;=2,"?ACTIVATED",IF(J4520&lt;&gt;"","?FAMILIAR",IF(F4520="NEW",IF(ISNA(VLOOKUP(E4520,#REF!,1,FALSE())),"?TYPE_IDENTIFIABLE","?REFERENTIAL"),"_")))))</f>
        <v> </v>
      </c>
      <c r="H4520" s="24" t="str">
        <f>IF(J4520&lt;&gt;1,"",IF(I4520="SBJ","CB","?"))</f>
        <v> </v>
      </c>
      <c r="I4520" s="25" t="str">
        <f>IF(OR(E4520="",E4520="!!!",F4520="NEW"),"",INDEX(B4519:B$2,-1+SUMPRODUCT(MAX(ROW(E4519:E$2)*(E4520=E4519:E$2)))))</f>
        <v> </v>
      </c>
      <c r="J4520" s="25" t="str">
        <f>IF(OR(E4520="",E4520="!!!",F4520="NEW"),"",COUNTBLANK(OFFSET(A$1,,,SUMPRODUCT(MAX(ROW(E$2:E4520)*(E4520=E$2:E4520)))))-COUNTBLANK(OFFSET(A$1,,,SUMPRODUCT(MAX(ROW(E$1:E4519)*(E2=E$1:E4519))))))</f>
        <v> </v>
      </c>
      <c r="K4520" s="25" t="str">
        <f>IF(OR(E4520="",E4520="!!!",F4520="NEW"),"",INDEX(J$1:J4519,SUMPRODUCT(MAX(ROW(E$1:E4519)*(E4520=E$1:E4519)))))</f>
        <v> </v>
      </c>
      <c r="L4520" s="26"/>
    </row>
    <row r="4521" spans="1:12">
      <c r="A4521" s="20" t="s">
        <v>1010</v>
      </c>
      <c r="E4521" s="21">
        <f>IF(D4521="?OLD","!!!","")</f>
        <v/>
      </c>
      <c r="F4521" s="22" t="str">
        <f>IF(OR(E4521="",E4521="!!!"),"",IF(NOT(ISNA(VLOOKUP(E4521,E$1:E4520,1,FALSE()))),"OLD",IF(AND(E4521&lt;&gt;"",E4521&lt;&gt;"!!!"),"NEW","")))</f>
        <v> </v>
      </c>
      <c r="G4521" s="23" t="str">
        <f>IF(OR(E4521="",E4521="!!!"),"",IF(OR(J4521=0,AND(J4521=1,K4521=1),AND(J4521=1,I4521="SBJ"),AND(J4521=1,I4521=0)),"?IN_FOCUS",IF(J4521&lt;=2,"?ACTIVATED",IF(J4521&lt;&gt;"","?FAMILIAR",IF(F4521="NEW",IF(ISNA(VLOOKUP(E4521,#REF!,1,FALSE())),"?TYPE_IDENTIFIABLE","?REFERENTIAL"),"_")))))</f>
        <v> </v>
      </c>
      <c r="H4521" s="24" t="str">
        <f>IF(J4521&lt;&gt;1,"",IF(I4521="SBJ","CB","?"))</f>
        <v> </v>
      </c>
      <c r="I4521" s="25" t="str">
        <f>IF(OR(E4521="",E4521="!!!",F4521="NEW"),"",INDEX(B4520:B$2,-1+SUMPRODUCT(MAX(ROW(E4520:E$2)*(E4521=E4520:E$2)))))</f>
        <v> </v>
      </c>
      <c r="J4521" s="25" t="str">
        <f>IF(OR(E4521="",E4521="!!!",F4521="NEW"),"",COUNTBLANK(OFFSET(A$1,,,SUMPRODUCT(MAX(ROW(E$2:E4521)*(E4521=E$2:E4521)))))-COUNTBLANK(OFFSET(A$1,,,SUMPRODUCT(MAX(ROW(E$1:E4520)*(E2=E$1:E4520))))))</f>
        <v> </v>
      </c>
      <c r="K4521" s="25" t="str">
        <f>IF(OR(E4521="",E4521="!!!",F4521="NEW"),"",INDEX(J$1:J4520,SUMPRODUCT(MAX(ROW(E$1:E4520)*(E4521=E$1:E4520)))))</f>
        <v> </v>
      </c>
      <c r="L4521" s="26"/>
    </row>
    <row r="4522" spans="1:12">
      <c r="A4522" s="20" t="s">
        <v>683</v>
      </c>
      <c r="E4522" s="21">
        <f>IF(D4522="?OLD","!!!","")</f>
        <v/>
      </c>
      <c r="F4522" s="22" t="str">
        <f>IF(OR(E4522="",E4522="!!!"),"",IF(NOT(ISNA(VLOOKUP(E4522,E$1:E4521,1,FALSE()))),"OLD",IF(AND(E4522&lt;&gt;"",E4522&lt;&gt;"!!!"),"NEW","")))</f>
        <v> </v>
      </c>
      <c r="G4522" s="23" t="str">
        <f>IF(OR(E4522="",E4522="!!!"),"",IF(OR(J4522=0,AND(J4522=1,K4522=1),AND(J4522=1,I4522="SBJ"),AND(J4522=1,I4522=0)),"?IN_FOCUS",IF(J4522&lt;=2,"?ACTIVATED",IF(J4522&lt;&gt;"","?FAMILIAR",IF(F4522="NEW",IF(ISNA(VLOOKUP(E4522,#REF!,1,FALSE())),"?TYPE_IDENTIFIABLE","?REFERENTIAL"),"_")))))</f>
        <v> </v>
      </c>
      <c r="H4522" s="24" t="str">
        <f>IF(J4522&lt;&gt;1,"",IF(I4522="SBJ","CB","?"))</f>
        <v> </v>
      </c>
      <c r="I4522" s="25" t="str">
        <f>IF(OR(E4522="",E4522="!!!",F4522="NEW"),"",INDEX(B4521:B$2,-1+SUMPRODUCT(MAX(ROW(E4521:E$2)*(E4522=E4521:E$2)))))</f>
        <v> </v>
      </c>
      <c r="J4522" s="25" t="str">
        <f>IF(OR(E4522="",E4522="!!!",F4522="NEW"),"",COUNTBLANK(OFFSET(A$1,,,SUMPRODUCT(MAX(ROW(E$2:E4522)*(E4522=E$2:E4522)))))-COUNTBLANK(OFFSET(A$1,,,SUMPRODUCT(MAX(ROW(E$1:E4521)*(E2=E$1:E4521))))))</f>
        <v> </v>
      </c>
      <c r="K4522" s="25" t="str">
        <f>IF(OR(E4522="",E4522="!!!",F4522="NEW"),"",INDEX(J$1:J4521,SUMPRODUCT(MAX(ROW(E$1:E4521)*(E4522=E$1:E4521)))))</f>
        <v> </v>
      </c>
      <c r="L4522" s="26"/>
    </row>
    <row r="4523" spans="1:12">
      <c r="A4523" s="20" t="s">
        <v>2013</v>
      </c>
      <c r="E4523" s="21">
        <f>IF(D4523="?OLD","!!!","")</f>
        <v/>
      </c>
      <c r="F4523" s="22" t="str">
        <f>IF(OR(E4523="",E4523="!!!"),"",IF(NOT(ISNA(VLOOKUP(E4523,E$1:E4522,1,FALSE()))),"OLD",IF(AND(E4523&lt;&gt;"",E4523&lt;&gt;"!!!"),"NEW","")))</f>
        <v> </v>
      </c>
      <c r="G4523" s="23" t="str">
        <f>IF(OR(E4523="",E4523="!!!"),"",IF(OR(J4523=0,AND(J4523=1,K4523=1),AND(J4523=1,I4523="SBJ"),AND(J4523=1,I4523=0)),"?IN_FOCUS",IF(J4523&lt;=2,"?ACTIVATED",IF(J4523&lt;&gt;"","?FAMILIAR",IF(F4523="NEW",IF(ISNA(VLOOKUP(E4523,#REF!,1,FALSE())),"?TYPE_IDENTIFIABLE","?REFERENTIAL"),"_")))))</f>
        <v> </v>
      </c>
      <c r="H4523" s="24" t="str">
        <f>IF(J4523&lt;&gt;1,"",IF(I4523="SBJ","CB","?"))</f>
        <v> </v>
      </c>
      <c r="I4523" s="25" t="str">
        <f>IF(OR(E4523="",E4523="!!!",F4523="NEW"),"",INDEX(B4522:B$2,-1+SUMPRODUCT(MAX(ROW(E4522:E$2)*(E4523=E4522:E$2)))))</f>
        <v> </v>
      </c>
      <c r="J4523" s="25" t="str">
        <f>IF(OR(E4523="",E4523="!!!",F4523="NEW"),"",COUNTBLANK(OFFSET(A$1,,,SUMPRODUCT(MAX(ROW(E$2:E4523)*(E4523=E$2:E4523)))))-COUNTBLANK(OFFSET(A$1,,,SUMPRODUCT(MAX(ROW(E$1:E4522)*(E2=E$1:E4522))))))</f>
        <v> </v>
      </c>
      <c r="K4523" s="25" t="str">
        <f>IF(OR(E4523="",E4523="!!!",F4523="NEW"),"",INDEX(J$1:J4522,SUMPRODUCT(MAX(ROW(E$1:E4522)*(E4523=E$1:E4522)))))</f>
        <v> </v>
      </c>
      <c r="L4523" s="26"/>
    </row>
    <row r="4524" spans="1:12">
      <c r="A4524" s="20" t="s">
        <v>958</v>
      </c>
      <c r="E4524" s="21">
        <f>IF(D4524="?OLD","!!!","")</f>
        <v/>
      </c>
      <c r="F4524" s="22" t="str">
        <f>IF(OR(E4524="",E4524="!!!"),"",IF(NOT(ISNA(VLOOKUP(E4524,E$1:E4523,1,FALSE()))),"OLD",IF(AND(E4524&lt;&gt;"",E4524&lt;&gt;"!!!"),"NEW","")))</f>
        <v> </v>
      </c>
      <c r="G4524" s="23" t="str">
        <f>IF(OR(E4524="",E4524="!!!"),"",IF(OR(J4524=0,AND(J4524=1,K4524=1),AND(J4524=1,I4524="SBJ"),AND(J4524=1,I4524=0)),"?IN_FOCUS",IF(J4524&lt;=2,"?ACTIVATED",IF(J4524&lt;&gt;"","?FAMILIAR",IF(F4524="NEW",IF(ISNA(VLOOKUP(E4524,#REF!,1,FALSE())),"?TYPE_IDENTIFIABLE","?REFERENTIAL"),"_")))))</f>
        <v> </v>
      </c>
      <c r="H4524" s="24" t="str">
        <f>IF(J4524&lt;&gt;1,"",IF(I4524="SBJ","CB","?"))</f>
        <v> </v>
      </c>
      <c r="I4524" s="25" t="str">
        <f>IF(OR(E4524="",E4524="!!!",F4524="NEW"),"",INDEX(B4523:B$2,-1+SUMPRODUCT(MAX(ROW(E4523:E$2)*(E4524=E4523:E$2)))))</f>
        <v> </v>
      </c>
      <c r="J4524" s="25" t="str">
        <f>IF(OR(E4524="",E4524="!!!",F4524="NEW"),"",COUNTBLANK(OFFSET(A$1,,,SUMPRODUCT(MAX(ROW(E$2:E4524)*(E4524=E$2:E4524)))))-COUNTBLANK(OFFSET(A$1,,,SUMPRODUCT(MAX(ROW(E$1:E4523)*(E2=E$1:E4523))))))</f>
        <v> </v>
      </c>
      <c r="K4524" s="25" t="str">
        <f>IF(OR(E4524="",E4524="!!!",F4524="NEW"),"",INDEX(J$1:J4523,SUMPRODUCT(MAX(ROW(E$1:E4523)*(E4524=E$1:E4523)))))</f>
        <v> </v>
      </c>
      <c r="L4524" s="26"/>
    </row>
    <row r="4525" spans="1:12">
      <c r="A4525" s="20" t="s">
        <v>1946</v>
      </c>
      <c r="B4525" s="27" t="s">
        <v>821</v>
      </c>
      <c r="C4525" s="27" t="s">
        <v>686</v>
      </c>
      <c r="D4525" s="27" t="s">
        <v>687</v>
      </c>
      <c r="E4525" s="21">
        <f>IF(D4525="?OLD","!!!","")</f>
        <v/>
      </c>
      <c r="F4525" s="22" t="str">
        <f>IF(OR(E4525="",E4525="!!!"),"",IF(NOT(ISNA(VLOOKUP(E4525,E$1:E4524,1,FALSE()))),"OLD",IF(AND(E4525&lt;&gt;"",E4525&lt;&gt;"!!!"),"NEW","")))</f>
        <v> </v>
      </c>
      <c r="G4525" s="23" t="str">
        <f>IF(OR(E4525="",E4525="!!!"),"",IF(OR(J4525=0,AND(J4525=1,K4525=1),AND(J4525=1,I4525="SBJ"),AND(J4525=1,I4525=0)),"?IN_FOCUS",IF(J4525&lt;=2,"?ACTIVATED",IF(J4525&lt;&gt;"","?FAMILIAR",IF(F4525="NEW",IF(ISNA(VLOOKUP(E4525,#REF!,1,FALSE())),"?TYPE_IDENTIFIABLE","?REFERENTIAL"),"_")))))</f>
        <v> </v>
      </c>
      <c r="H4525" s="24" t="str">
        <f>IF(J4525&lt;&gt;1,"",IF(I4525="SBJ","CB","?"))</f>
        <v> </v>
      </c>
      <c r="I4525" s="25" t="str">
        <f>IF(OR(E4525="",E4525="!!!",F4525="NEW"),"",INDEX(B4524:B$2,-1+SUMPRODUCT(MAX(ROW(E4524:E$2)*(E4525=E4524:E$2)))))</f>
        <v> </v>
      </c>
      <c r="J4525" s="25" t="str">
        <f>IF(OR(E4525="",E4525="!!!",F4525="NEW"),"",COUNTBLANK(OFFSET(A$1,,,SUMPRODUCT(MAX(ROW(E$2:E4525)*(E4525=E$2:E4525)))))-COUNTBLANK(OFFSET(A$1,,,SUMPRODUCT(MAX(ROW(E$1:E4524)*(E2=E$1:E4524))))))</f>
        <v> </v>
      </c>
      <c r="K4525" s="25" t="str">
        <f>IF(OR(E4525="",E4525="!!!",F4525="NEW"),"",INDEX(J$1:J4524,SUMPRODUCT(MAX(ROW(E$1:E4524)*(E4525=E$1:E4524)))))</f>
        <v> </v>
      </c>
      <c r="L4525" s="26"/>
    </row>
    <row r="4526" spans="1:12">
      <c r="A4526" s="20" t="s">
        <v>2014</v>
      </c>
      <c r="E4526" s="21">
        <f>IF(D4526="?OLD","!!!","")</f>
        <v/>
      </c>
      <c r="F4526" s="22" t="str">
        <f>IF(OR(E4526="",E4526="!!!"),"",IF(NOT(ISNA(VLOOKUP(E4526,E$1:E4525,1,FALSE()))),"OLD",IF(AND(E4526&lt;&gt;"",E4526&lt;&gt;"!!!"),"NEW","")))</f>
        <v> </v>
      </c>
      <c r="G4526" s="23" t="str">
        <f>IF(OR(E4526="",E4526="!!!"),"",IF(OR(J4526=0,AND(J4526=1,K4526=1),AND(J4526=1,I4526="SBJ"),AND(J4526=1,I4526=0)),"?IN_FOCUS",IF(J4526&lt;=2,"?ACTIVATED",IF(J4526&lt;&gt;"","?FAMILIAR",IF(F4526="NEW",IF(ISNA(VLOOKUP(E4526,#REF!,1,FALSE())),"?TYPE_IDENTIFIABLE","?REFERENTIAL"),"_")))))</f>
        <v> </v>
      </c>
      <c r="H4526" s="24" t="str">
        <f>IF(J4526&lt;&gt;1,"",IF(I4526="SBJ","CB","?"))</f>
        <v> </v>
      </c>
      <c r="I4526" s="25" t="str">
        <f>IF(OR(E4526="",E4526="!!!",F4526="NEW"),"",INDEX(B4525:B$2,-1+SUMPRODUCT(MAX(ROW(E4525:E$2)*(E4526=E4525:E$2)))))</f>
        <v> </v>
      </c>
      <c r="J4526" s="25" t="str">
        <f>IF(OR(E4526="",E4526="!!!",F4526="NEW"),"",COUNTBLANK(OFFSET(A$1,,,SUMPRODUCT(MAX(ROW(E$2:E4526)*(E4526=E$2:E4526)))))-COUNTBLANK(OFFSET(A$1,,,SUMPRODUCT(MAX(ROW(E$1:E4525)*(E2=E$1:E4525))))))</f>
        <v> </v>
      </c>
      <c r="K4526" s="25" t="str">
        <f>IF(OR(E4526="",E4526="!!!",F4526="NEW"),"",INDEX(J$1:J4525,SUMPRODUCT(MAX(ROW(E$1:E4525)*(E4526=E$1:E4525)))))</f>
        <v> </v>
      </c>
      <c r="L4526" s="26"/>
    </row>
    <row r="4527" spans="1:12">
      <c r="A4527" s="20" t="s">
        <v>698</v>
      </c>
      <c r="E4527" s="21">
        <f>IF(D4527="?OLD","!!!","")</f>
        <v/>
      </c>
      <c r="F4527" s="22" t="str">
        <f>IF(OR(E4527="",E4527="!!!"),"",IF(NOT(ISNA(VLOOKUP(E4527,E$1:E4526,1,FALSE()))),"OLD",IF(AND(E4527&lt;&gt;"",E4527&lt;&gt;"!!!"),"NEW","")))</f>
        <v> </v>
      </c>
      <c r="G4527" s="23" t="str">
        <f>IF(OR(E4527="",E4527="!!!"),"",IF(OR(J4527=0,AND(J4527=1,K4527=1),AND(J4527=1,I4527="SBJ"),AND(J4527=1,I4527=0)),"?IN_FOCUS",IF(J4527&lt;=2,"?ACTIVATED",IF(J4527&lt;&gt;"","?FAMILIAR",IF(F4527="NEW",IF(ISNA(VLOOKUP(E4527,#REF!,1,FALSE())),"?TYPE_IDENTIFIABLE","?REFERENTIAL"),"_")))))</f>
        <v> </v>
      </c>
      <c r="H4527" s="24" t="str">
        <f>IF(J4527&lt;&gt;1,"",IF(I4527="SBJ","CB","?"))</f>
        <v> </v>
      </c>
      <c r="I4527" s="25" t="str">
        <f>IF(OR(E4527="",E4527="!!!",F4527="NEW"),"",INDEX(B4526:B$2,-1+SUMPRODUCT(MAX(ROW(E4526:E$2)*(E4527=E4526:E$2)))))</f>
        <v> </v>
      </c>
      <c r="J4527" s="25" t="str">
        <f>IF(OR(E4527="",E4527="!!!",F4527="NEW"),"",COUNTBLANK(OFFSET(A$1,,,SUMPRODUCT(MAX(ROW(E$2:E4527)*(E4527=E$2:E4527)))))-COUNTBLANK(OFFSET(A$1,,,SUMPRODUCT(MAX(ROW(E$1:E4526)*(E2=E$1:E4526))))))</f>
        <v> </v>
      </c>
      <c r="K4527" s="25" t="str">
        <f>IF(OR(E4527="",E4527="!!!",F4527="NEW"),"",INDEX(J$1:J4526,SUMPRODUCT(MAX(ROW(E$1:E4526)*(E4527=E$1:E4526)))))</f>
        <v> </v>
      </c>
      <c r="L4527" s="26"/>
    </row>
    <row r="4528" spans="1:12">
      <c r="A4528" s="20"/>
    </row>
    <row r="4529" spans="1:12">
      <c r="A4529" s="20" t="s">
        <v>2015</v>
      </c>
    </row>
    <row r="4530" spans="1:12">
      <c r="A4530" s="20" t="s">
        <v>786</v>
      </c>
      <c r="E4530" s="21">
        <f>IF(D4530="?OLD","!!!","")</f>
        <v/>
      </c>
      <c r="F4530" s="22" t="str">
        <f>IF(OR(E4530="",E4530="!!!"),"",IF(NOT(ISNA(VLOOKUP(E4530,E$1:E4529,1,FALSE()))),"OLD",IF(AND(E4530&lt;&gt;"",E4530&lt;&gt;"!!!"),"NEW","")))</f>
        <v> </v>
      </c>
      <c r="G4530" s="23" t="str">
        <f>IF(OR(E4530="",E4530="!!!"),"",IF(OR(J4530=0,AND(J4530=1,K4530=1),AND(J4530=1,I4530="SBJ"),AND(J4530=1,I4530=0)),"?IN_FOCUS",IF(J4530&lt;=2,"?ACTIVATED",IF(J4530&lt;&gt;"","?FAMILIAR",IF(F4530="NEW",IF(ISNA(VLOOKUP(E4530,#REF!,1,FALSE())),"?TYPE_IDENTIFIABLE","?REFERENTIAL"),"_")))))</f>
        <v> </v>
      </c>
      <c r="H4530" s="24" t="str">
        <f>IF(J4530&lt;&gt;1,"",IF(I4530="SBJ","CB","?"))</f>
        <v> </v>
      </c>
      <c r="I4530" s="25" t="str">
        <f>IF(OR(E4530="",E4530="!!!",F4530="NEW"),"",INDEX(B4529:B$2,-1+SUMPRODUCT(MAX(ROW(E4529:E$2)*(E4530=E4529:E$2)))))</f>
        <v> </v>
      </c>
      <c r="J4530" s="25" t="str">
        <f>IF(OR(E4530="",E4530="!!!",F4530="NEW"),"",COUNTBLANK(OFFSET(A$1,,,SUMPRODUCT(MAX(ROW(E$2:E4530)*(E4530=E$2:E4530)))))-COUNTBLANK(OFFSET(A$1,,,SUMPRODUCT(MAX(ROW(E$1:E4529)*(E2=E$1:E4529))))))</f>
        <v> </v>
      </c>
      <c r="K4530" s="25" t="str">
        <f>IF(OR(E4530="",E4530="!!!",F4530="NEW"),"",INDEX(J$1:J4529,SUMPRODUCT(MAX(ROW(E$1:E4529)*(E4530=E$1:E4529)))))</f>
        <v> </v>
      </c>
      <c r="L4530" s="26"/>
    </row>
    <row r="4531" spans="1:12">
      <c r="A4531" s="20" t="s">
        <v>747</v>
      </c>
      <c r="B4531" s="27" t="s">
        <v>787</v>
      </c>
      <c r="C4531" s="27" t="s">
        <v>749</v>
      </c>
      <c r="D4531" s="27" t="s">
        <v>687</v>
      </c>
      <c r="E4531" s="21">
        <f>IF(D4531="?OLD","!!!","")</f>
        <v/>
      </c>
      <c r="F4531" s="22" t="str">
        <f>IF(OR(E4531="",E4531="!!!"),"",IF(NOT(ISNA(VLOOKUP(E4531,E$1:E4530,1,FALSE()))),"OLD",IF(AND(E4531&lt;&gt;"",E4531&lt;&gt;"!!!"),"NEW","")))</f>
        <v> </v>
      </c>
      <c r="G4531" s="23" t="str">
        <f>IF(OR(E4531="",E4531="!!!"),"",IF(OR(J4531=0,AND(J4531=1,K4531=1),AND(J4531=1,I4531="SBJ"),AND(J4531=1,I4531=0)),"?IN_FOCUS",IF(J4531&lt;=2,"?ACTIVATED",IF(J4531&lt;&gt;"","?FAMILIAR",IF(F4531="NEW",IF(ISNA(VLOOKUP(E4531,#REF!,1,FALSE())),"?TYPE_IDENTIFIABLE","?REFERENTIAL"),"_")))))</f>
        <v> </v>
      </c>
      <c r="H4531" s="24" t="str">
        <f>IF(J4531&lt;&gt;1,"",IF(I4531="SBJ","CB","?"))</f>
        <v> </v>
      </c>
      <c r="I4531" s="25" t="str">
        <f>IF(OR(E4531="",E4531="!!!",F4531="NEW"),"",INDEX(B4530:B$2,-1+SUMPRODUCT(MAX(ROW(E4530:E$2)*(E4531=E4530:E$2)))))</f>
        <v> </v>
      </c>
      <c r="J4531" s="25" t="str">
        <f>IF(OR(E4531="",E4531="!!!",F4531="NEW"),"",COUNTBLANK(OFFSET(A$1,,,SUMPRODUCT(MAX(ROW(E$2:E4531)*(E4531=E$2:E4531)))))-COUNTBLANK(OFFSET(A$1,,,SUMPRODUCT(MAX(ROW(E$1:E4530)*(E2=E$1:E4530))))))</f>
        <v> </v>
      </c>
      <c r="K4531" s="25" t="str">
        <f>IF(OR(E4531="",E4531="!!!",F4531="NEW"),"",INDEX(J$1:J4530,SUMPRODUCT(MAX(ROW(E$1:E4530)*(E4531=E$1:E4530)))))</f>
        <v> </v>
      </c>
      <c r="L4531" s="26"/>
    </row>
    <row r="4532" spans="1:12">
      <c r="A4532" s="20" t="s">
        <v>1329</v>
      </c>
      <c r="E4532" s="21">
        <f>IF(D4532="?OLD","!!!","")</f>
        <v/>
      </c>
      <c r="F4532" s="22" t="str">
        <f>IF(OR(E4532="",E4532="!!!"),"",IF(NOT(ISNA(VLOOKUP(E4532,E$1:E4531,1,FALSE()))),"OLD",IF(AND(E4532&lt;&gt;"",E4532&lt;&gt;"!!!"),"NEW","")))</f>
        <v> </v>
      </c>
      <c r="G4532" s="23" t="str">
        <f>IF(OR(E4532="",E4532="!!!"),"",IF(OR(J4532=0,AND(J4532=1,K4532=1),AND(J4532=1,I4532="SBJ"),AND(J4532=1,I4532=0)),"?IN_FOCUS",IF(J4532&lt;=2,"?ACTIVATED",IF(J4532&lt;&gt;"","?FAMILIAR",IF(F4532="NEW",IF(ISNA(VLOOKUP(E4532,#REF!,1,FALSE())),"?TYPE_IDENTIFIABLE","?REFERENTIAL"),"_")))))</f>
        <v> </v>
      </c>
      <c r="H4532" s="24" t="str">
        <f>IF(J4532&lt;&gt;1,"",IF(I4532="SBJ","CB","?"))</f>
        <v> </v>
      </c>
      <c r="I4532" s="25" t="str">
        <f>IF(OR(E4532="",E4532="!!!",F4532="NEW"),"",INDEX(B4531:B$2,-1+SUMPRODUCT(MAX(ROW(E4531:E$2)*(E4532=E4531:E$2)))))</f>
        <v> </v>
      </c>
      <c r="J4532" s="25" t="str">
        <f>IF(OR(E4532="",E4532="!!!",F4532="NEW"),"",COUNTBLANK(OFFSET(A$1,,,SUMPRODUCT(MAX(ROW(E$2:E4532)*(E4532=E$2:E4532)))))-COUNTBLANK(OFFSET(A$1,,,SUMPRODUCT(MAX(ROW(E$1:E4531)*(E2=E$1:E4531))))))</f>
        <v> </v>
      </c>
      <c r="K4532" s="25" t="str">
        <f>IF(OR(E4532="",E4532="!!!",F4532="NEW"),"",INDEX(J$1:J4531,SUMPRODUCT(MAX(ROW(E$1:E4531)*(E4532=E$1:E4531)))))</f>
        <v> </v>
      </c>
      <c r="L4532" s="26"/>
    </row>
    <row r="4533" spans="1:12">
      <c r="A4533" s="20" t="s">
        <v>683</v>
      </c>
      <c r="E4533" s="21">
        <f>IF(D4533="?OLD","!!!","")</f>
        <v/>
      </c>
      <c r="F4533" s="22" t="str">
        <f>IF(OR(E4533="",E4533="!!!"),"",IF(NOT(ISNA(VLOOKUP(E4533,E$1:E4532,1,FALSE()))),"OLD",IF(AND(E4533&lt;&gt;"",E4533&lt;&gt;"!!!"),"NEW","")))</f>
        <v> </v>
      </c>
      <c r="G4533" s="23" t="str">
        <f>IF(OR(E4533="",E4533="!!!"),"",IF(OR(J4533=0,AND(J4533=1,K4533=1),AND(J4533=1,I4533="SBJ"),AND(J4533=1,I4533=0)),"?IN_FOCUS",IF(J4533&lt;=2,"?ACTIVATED",IF(J4533&lt;&gt;"","?FAMILIAR",IF(F4533="NEW",IF(ISNA(VLOOKUP(E4533,#REF!,1,FALSE())),"?TYPE_IDENTIFIABLE","?REFERENTIAL"),"_")))))</f>
        <v> </v>
      </c>
      <c r="H4533" s="24" t="str">
        <f>IF(J4533&lt;&gt;1,"",IF(I4533="SBJ","CB","?"))</f>
        <v> </v>
      </c>
      <c r="I4533" s="25" t="str">
        <f>IF(OR(E4533="",E4533="!!!",F4533="NEW"),"",INDEX(B4532:B$2,-1+SUMPRODUCT(MAX(ROW(E4532:E$2)*(E4533=E4532:E$2)))))</f>
        <v> </v>
      </c>
      <c r="J4533" s="25" t="str">
        <f>IF(OR(E4533="",E4533="!!!",F4533="NEW"),"",COUNTBLANK(OFFSET(A$1,,,SUMPRODUCT(MAX(ROW(E$2:E4533)*(E4533=E$2:E4533)))))-COUNTBLANK(OFFSET(A$1,,,SUMPRODUCT(MAX(ROW(E$1:E4532)*(E2=E$1:E4532))))))</f>
        <v> </v>
      </c>
      <c r="K4533" s="25" t="str">
        <f>IF(OR(E4533="",E4533="!!!",F4533="NEW"),"",INDEX(J$1:J4532,SUMPRODUCT(MAX(ROW(E$1:E4532)*(E4533=E$1:E4532)))))</f>
        <v> </v>
      </c>
      <c r="L4533" s="26"/>
    </row>
    <row r="4534" spans="1:12">
      <c r="A4534" s="20" t="s">
        <v>683</v>
      </c>
      <c r="E4534" s="21">
        <f>IF(D4534="?OLD","!!!","")</f>
        <v/>
      </c>
      <c r="F4534" s="22" t="str">
        <f>IF(OR(E4534="",E4534="!!!"),"",IF(NOT(ISNA(VLOOKUP(E4534,E$1:E4533,1,FALSE()))),"OLD",IF(AND(E4534&lt;&gt;"",E4534&lt;&gt;"!!!"),"NEW","")))</f>
        <v> </v>
      </c>
      <c r="G4534" s="23" t="str">
        <f>IF(OR(E4534="",E4534="!!!"),"",IF(OR(J4534=0,AND(J4534=1,K4534=1),AND(J4534=1,I4534="SBJ"),AND(J4534=1,I4534=0)),"?IN_FOCUS",IF(J4534&lt;=2,"?ACTIVATED",IF(J4534&lt;&gt;"","?FAMILIAR",IF(F4534="NEW",IF(ISNA(VLOOKUP(E4534,#REF!,1,FALSE())),"?TYPE_IDENTIFIABLE","?REFERENTIAL"),"_")))))</f>
        <v> </v>
      </c>
      <c r="H4534" s="24" t="str">
        <f>IF(J4534&lt;&gt;1,"",IF(I4534="SBJ","CB","?"))</f>
        <v> </v>
      </c>
      <c r="I4534" s="25" t="str">
        <f>IF(OR(E4534="",E4534="!!!",F4534="NEW"),"",INDEX(B4533:B$2,-1+SUMPRODUCT(MAX(ROW(E4533:E$2)*(E4534=E4533:E$2)))))</f>
        <v> </v>
      </c>
      <c r="J4534" s="25" t="str">
        <f>IF(OR(E4534="",E4534="!!!",F4534="NEW"),"",COUNTBLANK(OFFSET(A$1,,,SUMPRODUCT(MAX(ROW(E$2:E4534)*(E4534=E$2:E4534)))))-COUNTBLANK(OFFSET(A$1,,,SUMPRODUCT(MAX(ROW(E$1:E4533)*(E2=E$1:E4533))))))</f>
        <v> </v>
      </c>
      <c r="K4534" s="25" t="str">
        <f>IF(OR(E4534="",E4534="!!!",F4534="NEW"),"",INDEX(J$1:J4533,SUMPRODUCT(MAX(ROW(E$1:E4533)*(E4534=E$1:E4533)))))</f>
        <v> </v>
      </c>
      <c r="L4534" s="26"/>
    </row>
    <row r="4535" spans="1:12">
      <c r="A4535" s="20" t="s">
        <v>1939</v>
      </c>
      <c r="B4535" s="27" t="s">
        <v>791</v>
      </c>
      <c r="C4535" s="27" t="s">
        <v>686</v>
      </c>
      <c r="D4535" s="27" t="s">
        <v>687</v>
      </c>
      <c r="E4535" s="21">
        <f>IF(D4535="?OLD","!!!","")</f>
        <v/>
      </c>
      <c r="F4535" s="22" t="str">
        <f>IF(OR(E4535="",E4535="!!!"),"",IF(NOT(ISNA(VLOOKUP(E4535,E$1:E4534,1,FALSE()))),"OLD",IF(AND(E4535&lt;&gt;"",E4535&lt;&gt;"!!!"),"NEW","")))</f>
        <v> </v>
      </c>
      <c r="G4535" s="23" t="str">
        <f>IF(OR(E4535="",E4535="!!!"),"",IF(OR(J4535=0,AND(J4535=1,K4535=1),AND(J4535=1,I4535="SBJ"),AND(J4535=1,I4535=0)),"?IN_FOCUS",IF(J4535&lt;=2,"?ACTIVATED",IF(J4535&lt;&gt;"","?FAMILIAR",IF(F4535="NEW",IF(ISNA(VLOOKUP(E4535,#REF!,1,FALSE())),"?TYPE_IDENTIFIABLE","?REFERENTIAL"),"_")))))</f>
        <v> </v>
      </c>
      <c r="H4535" s="24" t="str">
        <f>IF(J4535&lt;&gt;1,"",IF(I4535="SBJ","CB","?"))</f>
        <v> </v>
      </c>
      <c r="I4535" s="25" t="str">
        <f>IF(OR(E4535="",E4535="!!!",F4535="NEW"),"",INDEX(B4534:B$2,-1+SUMPRODUCT(MAX(ROW(E4534:E$2)*(E4535=E4534:E$2)))))</f>
        <v> </v>
      </c>
      <c r="J4535" s="25" t="str">
        <f>IF(OR(E4535="",E4535="!!!",F4535="NEW"),"",COUNTBLANK(OFFSET(A$1,,,SUMPRODUCT(MAX(ROW(E$2:E4535)*(E4535=E$2:E4535)))))-COUNTBLANK(OFFSET(A$1,,,SUMPRODUCT(MAX(ROW(E$1:E4534)*(E2=E$1:E4534))))))</f>
        <v> </v>
      </c>
      <c r="K4535" s="25" t="str">
        <f>IF(OR(E4535="",E4535="!!!",F4535="NEW"),"",INDEX(J$1:J4534,SUMPRODUCT(MAX(ROW(E$1:E4534)*(E4535=E$1:E4534)))))</f>
        <v> </v>
      </c>
      <c r="L4535" s="26"/>
    </row>
    <row r="4536" spans="1:12">
      <c r="A4536" s="20" t="s">
        <v>306</v>
      </c>
      <c r="B4536" s="27" t="s">
        <v>724</v>
      </c>
      <c r="C4536" s="27" t="s">
        <v>731</v>
      </c>
      <c r="D4536" s="27" t="s">
        <v>687</v>
      </c>
      <c r="E4536" s="21">
        <f>IF(D4536="?OLD","!!!","")</f>
        <v/>
      </c>
      <c r="F4536" s="22" t="str">
        <f>IF(OR(E4536="",E4536="!!!"),"",IF(NOT(ISNA(VLOOKUP(E4536,E$1:E4535,1,FALSE()))),"OLD",IF(AND(E4536&lt;&gt;"",E4536&lt;&gt;"!!!"),"NEW","")))</f>
        <v> </v>
      </c>
      <c r="G4536" s="23" t="str">
        <f>IF(OR(E4536="",E4536="!!!"),"",IF(OR(J4536=0,AND(J4536=1,K4536=1),AND(J4536=1,I4536="SBJ"),AND(J4536=1,I4536=0)),"?IN_FOCUS",IF(J4536&lt;=2,"?ACTIVATED",IF(J4536&lt;&gt;"","?FAMILIAR",IF(F4536="NEW",IF(ISNA(VLOOKUP(E4536,#REF!,1,FALSE())),"?TYPE_IDENTIFIABLE","?REFERENTIAL"),"_")))))</f>
        <v> </v>
      </c>
      <c r="H4536" s="24" t="str">
        <f>IF(J4536&lt;&gt;1,"",IF(I4536="SBJ","CB","?"))</f>
        <v> </v>
      </c>
      <c r="I4536" s="25" t="str">
        <f>IF(OR(E4536="",E4536="!!!",F4536="NEW"),"",INDEX(B4535:B$2,-1+SUMPRODUCT(MAX(ROW(E4535:E$2)*(E4536=E4535:E$2)))))</f>
        <v> </v>
      </c>
      <c r="J4536" s="25" t="str">
        <f>IF(OR(E4536="",E4536="!!!",F4536="NEW"),"",COUNTBLANK(OFFSET(A$1,,,SUMPRODUCT(MAX(ROW(E$2:E4536)*(E4536=E$2:E4536)))))-COUNTBLANK(OFFSET(A$1,,,SUMPRODUCT(MAX(ROW(E$1:E4535)*(E2=E$1:E4535))))))</f>
        <v> </v>
      </c>
      <c r="K4536" s="25" t="str">
        <f>IF(OR(E4536="",E4536="!!!",F4536="NEW"),"",INDEX(J$1:J4535,SUMPRODUCT(MAX(ROW(E$1:E4535)*(E4536=E$1:E4535)))))</f>
        <v> </v>
      </c>
      <c r="L4536" s="26"/>
    </row>
    <row r="4537" spans="1:12">
      <c r="A4537" s="20" t="s">
        <v>732</v>
      </c>
      <c r="B4537" s="27" t="s">
        <v>864</v>
      </c>
      <c r="E4537" s="21">
        <f>IF(D4537="?OLD","!!!","")</f>
        <v/>
      </c>
      <c r="F4537" s="22" t="str">
        <f>IF(OR(E4537="",E4537="!!!"),"",IF(NOT(ISNA(VLOOKUP(E4537,E$1:E4536,1,FALSE()))),"OLD",IF(AND(E4537&lt;&gt;"",E4537&lt;&gt;"!!!"),"NEW","")))</f>
        <v> </v>
      </c>
      <c r="G4537" s="23" t="str">
        <f>IF(OR(E4537="",E4537="!!!"),"",IF(OR(J4537=0,AND(J4537=1,K4537=1),AND(J4537=1,I4537="SBJ"),AND(J4537=1,I4537=0)),"?IN_FOCUS",IF(J4537&lt;=2,"?ACTIVATED",IF(J4537&lt;&gt;"","?FAMILIAR",IF(F4537="NEW",IF(ISNA(VLOOKUP(E4537,#REF!,1,FALSE())),"?TYPE_IDENTIFIABLE","?REFERENTIAL"),"_")))))</f>
        <v> </v>
      </c>
      <c r="H4537" s="24" t="str">
        <f>IF(J4537&lt;&gt;1,"",IF(I4537="SBJ","CB","?"))</f>
        <v> </v>
      </c>
      <c r="I4537" s="25" t="str">
        <f>IF(OR(E4537="",E4537="!!!",F4537="NEW"),"",INDEX(B4536:B$2,-1+SUMPRODUCT(MAX(ROW(E4536:E$2)*(E4537=E4536:E$2)))))</f>
        <v> </v>
      </c>
      <c r="J4537" s="25" t="str">
        <f>IF(OR(E4537="",E4537="!!!",F4537="NEW"),"",COUNTBLANK(OFFSET(A$1,,,SUMPRODUCT(MAX(ROW(E$2:E4537)*(E4537=E$2:E4537)))))-COUNTBLANK(OFFSET(A$1,,,SUMPRODUCT(MAX(ROW(E$1:E4536)*(E2=E$1:E4536))))))</f>
        <v> </v>
      </c>
      <c r="K4537" s="25" t="str">
        <f>IF(OR(E4537="",E4537="!!!",F4537="NEW"),"",INDEX(J$1:J4536,SUMPRODUCT(MAX(ROW(E$1:E4536)*(E4537=E$1:E4536)))))</f>
        <v> </v>
      </c>
      <c r="L4537" s="26"/>
    </row>
    <row r="4538" spans="1:12">
      <c r="A4538" s="20" t="s">
        <v>750</v>
      </c>
      <c r="E4538" s="21">
        <f>IF(D4538="?OLD","!!!","")</f>
        <v/>
      </c>
      <c r="F4538" s="22" t="str">
        <f>IF(OR(E4538="",E4538="!!!"),"",IF(NOT(ISNA(VLOOKUP(E4538,E$1:E4537,1,FALSE()))),"OLD",IF(AND(E4538&lt;&gt;"",E4538&lt;&gt;"!!!"),"NEW","")))</f>
        <v> </v>
      </c>
      <c r="G4538" s="23" t="str">
        <f>IF(OR(E4538="",E4538="!!!"),"",IF(OR(J4538=0,AND(J4538=1,K4538=1),AND(J4538=1,I4538="SBJ"),AND(J4538=1,I4538=0)),"?IN_FOCUS",IF(J4538&lt;=2,"?ACTIVATED",IF(J4538&lt;&gt;"","?FAMILIAR",IF(F4538="NEW",IF(ISNA(VLOOKUP(E4538,#REF!,1,FALSE())),"?TYPE_IDENTIFIABLE","?REFERENTIAL"),"_")))))</f>
        <v> </v>
      </c>
      <c r="H4538" s="24" t="str">
        <f>IF(J4538&lt;&gt;1,"",IF(I4538="SBJ","CB","?"))</f>
        <v> </v>
      </c>
      <c r="I4538" s="25" t="str">
        <f>IF(OR(E4538="",E4538="!!!",F4538="NEW"),"",INDEX(B4537:B$2,-1+SUMPRODUCT(MAX(ROW(E4537:E$2)*(E4538=E4537:E$2)))))</f>
        <v> </v>
      </c>
      <c r="J4538" s="25" t="str">
        <f>IF(OR(E4538="",E4538="!!!",F4538="NEW"),"",COUNTBLANK(OFFSET(A$1,,,SUMPRODUCT(MAX(ROW(E$2:E4538)*(E4538=E$2:E4538)))))-COUNTBLANK(OFFSET(A$1,,,SUMPRODUCT(MAX(ROW(E$1:E4537)*(E2=E$1:E4537))))))</f>
        <v> </v>
      </c>
      <c r="K4538" s="25" t="str">
        <f>IF(OR(E4538="",E4538="!!!",F4538="NEW"),"",INDEX(J$1:J4537,SUMPRODUCT(MAX(ROW(E$1:E4537)*(E4538=E$1:E4537)))))</f>
        <v> </v>
      </c>
      <c r="L4538" s="26"/>
    </row>
    <row r="4539" spans="1:12">
      <c r="A4539" s="20" t="s">
        <v>1752</v>
      </c>
      <c r="E4539" s="21">
        <f>IF(D4539="?OLD","!!!","")</f>
        <v/>
      </c>
      <c r="F4539" s="22" t="str">
        <f>IF(OR(E4539="",E4539="!!!"),"",IF(NOT(ISNA(VLOOKUP(E4539,E$1:E4538,1,FALSE()))),"OLD",IF(AND(E4539&lt;&gt;"",E4539&lt;&gt;"!!!"),"NEW","")))</f>
        <v> </v>
      </c>
      <c r="G4539" s="23" t="str">
        <f>IF(OR(E4539="",E4539="!!!"),"",IF(OR(J4539=0,AND(J4539=1,K4539=1),AND(J4539=1,I4539="SBJ"),AND(J4539=1,I4539=0)),"?IN_FOCUS",IF(J4539&lt;=2,"?ACTIVATED",IF(J4539&lt;&gt;"","?FAMILIAR",IF(F4539="NEW",IF(ISNA(VLOOKUP(E4539,#REF!,1,FALSE())),"?TYPE_IDENTIFIABLE","?REFERENTIAL"),"_")))))</f>
        <v> </v>
      </c>
      <c r="H4539" s="24" t="str">
        <f>IF(J4539&lt;&gt;1,"",IF(I4539="SBJ","CB","?"))</f>
        <v> </v>
      </c>
      <c r="I4539" s="25" t="str">
        <f>IF(OR(E4539="",E4539="!!!",F4539="NEW"),"",INDEX(B4538:B$2,-1+SUMPRODUCT(MAX(ROW(E4538:E$2)*(E4539=E4538:E$2)))))</f>
        <v> </v>
      </c>
      <c r="J4539" s="25" t="str">
        <f>IF(OR(E4539="",E4539="!!!",F4539="NEW"),"",COUNTBLANK(OFFSET(A$1,,,SUMPRODUCT(MAX(ROW(E$2:E4539)*(E4539=E$2:E4539)))))-COUNTBLANK(OFFSET(A$1,,,SUMPRODUCT(MAX(ROW(E$1:E4538)*(E2=E$1:E4538))))))</f>
        <v> </v>
      </c>
      <c r="K4539" s="25" t="str">
        <f>IF(OR(E4539="",E4539="!!!",F4539="NEW"),"",INDEX(J$1:J4538,SUMPRODUCT(MAX(ROW(E$1:E4538)*(E4539=E$1:E4538)))))</f>
        <v> </v>
      </c>
      <c r="L4539" s="26"/>
    </row>
    <row r="4540" spans="1:12">
      <c r="A4540" s="20" t="s">
        <v>682</v>
      </c>
      <c r="E4540" s="21">
        <f>IF(D4540="?OLD","!!!","")</f>
        <v/>
      </c>
      <c r="F4540" s="22" t="str">
        <f>IF(OR(E4540="",E4540="!!!"),"",IF(NOT(ISNA(VLOOKUP(E4540,E$1:E4539,1,FALSE()))),"OLD",IF(AND(E4540&lt;&gt;"",E4540&lt;&gt;"!!!"),"NEW","")))</f>
        <v> </v>
      </c>
      <c r="G4540" s="23" t="str">
        <f>IF(OR(E4540="",E4540="!!!"),"",IF(OR(J4540=0,AND(J4540=1,K4540=1),AND(J4540=1,I4540="SBJ"),AND(J4540=1,I4540=0)),"?IN_FOCUS",IF(J4540&lt;=2,"?ACTIVATED",IF(J4540&lt;&gt;"","?FAMILIAR",IF(F4540="NEW",IF(ISNA(VLOOKUP(E4540,#REF!,1,FALSE())),"?TYPE_IDENTIFIABLE","?REFERENTIAL"),"_")))))</f>
        <v> </v>
      </c>
      <c r="H4540" s="24" t="str">
        <f>IF(J4540&lt;&gt;1,"",IF(I4540="SBJ","CB","?"))</f>
        <v> </v>
      </c>
      <c r="I4540" s="25" t="str">
        <f>IF(OR(E4540="",E4540="!!!",F4540="NEW"),"",INDEX(B4539:B$2,-1+SUMPRODUCT(MAX(ROW(E4539:E$2)*(E4540=E4539:E$2)))))</f>
        <v> </v>
      </c>
      <c r="J4540" s="25" t="str">
        <f>IF(OR(E4540="",E4540="!!!",F4540="NEW"),"",COUNTBLANK(OFFSET(A$1,,,SUMPRODUCT(MAX(ROW(E$2:E4540)*(E4540=E$2:E4540)))))-COUNTBLANK(OFFSET(A$1,,,SUMPRODUCT(MAX(ROW(E$1:E4539)*(E2=E$1:E4539))))))</f>
        <v> </v>
      </c>
      <c r="K4540" s="25" t="str">
        <f>IF(OR(E4540="",E4540="!!!",F4540="NEW"),"",INDEX(J$1:J4539,SUMPRODUCT(MAX(ROW(E$1:E4539)*(E4540=E$1:E4539)))))</f>
        <v> </v>
      </c>
      <c r="L4540" s="26"/>
    </row>
    <row r="4541" spans="1:12">
      <c r="A4541" s="20" t="s">
        <v>828</v>
      </c>
      <c r="B4541" s="27" t="s">
        <v>685</v>
      </c>
      <c r="C4541" s="27" t="s">
        <v>749</v>
      </c>
      <c r="D4541" s="27" t="s">
        <v>687</v>
      </c>
      <c r="E4541" s="21">
        <f>IF(D4541="?OLD","!!!","")</f>
        <v/>
      </c>
      <c r="F4541" s="22" t="str">
        <f>IF(OR(E4541="",E4541="!!!"),"",IF(NOT(ISNA(VLOOKUP(E4541,E$1:E4540,1,FALSE()))),"OLD",IF(AND(E4541&lt;&gt;"",E4541&lt;&gt;"!!!"),"NEW","")))</f>
        <v> </v>
      </c>
      <c r="G4541" s="23" t="str">
        <f>IF(OR(E4541="",E4541="!!!"),"",IF(OR(J4541=0,AND(J4541=1,K4541=1),AND(J4541=1,I4541="SBJ"),AND(J4541=1,I4541=0)),"?IN_FOCUS",IF(J4541&lt;=2,"?ACTIVATED",IF(J4541&lt;&gt;"","?FAMILIAR",IF(F4541="NEW",IF(ISNA(VLOOKUP(E4541,#REF!,1,FALSE())),"?TYPE_IDENTIFIABLE","?REFERENTIAL"),"_")))))</f>
        <v> </v>
      </c>
      <c r="H4541" s="24" t="str">
        <f>IF(J4541&lt;&gt;1,"",IF(I4541="SBJ","CB","?"))</f>
        <v> </v>
      </c>
      <c r="I4541" s="25" t="str">
        <f>IF(OR(E4541="",E4541="!!!",F4541="NEW"),"",INDEX(B4540:B$2,-1+SUMPRODUCT(MAX(ROW(E4540:E$2)*(E4541=E4540:E$2)))))</f>
        <v> </v>
      </c>
      <c r="J4541" s="25" t="str">
        <f>IF(OR(E4541="",E4541="!!!",F4541="NEW"),"",COUNTBLANK(OFFSET(A$1,,,SUMPRODUCT(MAX(ROW(E$2:E4541)*(E4541=E$2:E4541)))))-COUNTBLANK(OFFSET(A$1,,,SUMPRODUCT(MAX(ROW(E$1:E4540)*(E2=E$1:E4540))))))</f>
        <v> </v>
      </c>
      <c r="K4541" s="25" t="str">
        <f>IF(OR(E4541="",E4541="!!!",F4541="NEW"),"",INDEX(J$1:J4540,SUMPRODUCT(MAX(ROW(E$1:E4540)*(E4541=E$1:E4540)))))</f>
        <v> </v>
      </c>
      <c r="L4541" s="26"/>
    </row>
    <row r="4542" spans="1:12">
      <c r="A4542" s="20" t="s">
        <v>803</v>
      </c>
      <c r="E4542" s="21">
        <f>IF(D4542="?OLD","!!!","")</f>
        <v/>
      </c>
      <c r="F4542" s="22" t="str">
        <f>IF(OR(E4542="",E4542="!!!"),"",IF(NOT(ISNA(VLOOKUP(E4542,E$1:E4541,1,FALSE()))),"OLD",IF(AND(E4542&lt;&gt;"",E4542&lt;&gt;"!!!"),"NEW","")))</f>
        <v> </v>
      </c>
      <c r="G4542" s="23" t="str">
        <f>IF(OR(E4542="",E4542="!!!"),"",IF(OR(J4542=0,AND(J4542=1,K4542=1),AND(J4542=1,I4542="SBJ"),AND(J4542=1,I4542=0)),"?IN_FOCUS",IF(J4542&lt;=2,"?ACTIVATED",IF(J4542&lt;&gt;"","?FAMILIAR",IF(F4542="NEW",IF(ISNA(VLOOKUP(E4542,#REF!,1,FALSE())),"?TYPE_IDENTIFIABLE","?REFERENTIAL"),"_")))))</f>
        <v> </v>
      </c>
      <c r="H4542" s="24" t="str">
        <f>IF(J4542&lt;&gt;1,"",IF(I4542="SBJ","CB","?"))</f>
        <v> </v>
      </c>
      <c r="I4542" s="25" t="str">
        <f>IF(OR(E4542="",E4542="!!!",F4542="NEW"),"",INDEX(B4541:B$2,-1+SUMPRODUCT(MAX(ROW(E4541:E$2)*(E4542=E4541:E$2)))))</f>
        <v> </v>
      </c>
      <c r="J4542" s="25" t="str">
        <f>IF(OR(E4542="",E4542="!!!",F4542="NEW"),"",COUNTBLANK(OFFSET(A$1,,,SUMPRODUCT(MAX(ROW(E$2:E4542)*(E4542=E$2:E4542)))))-COUNTBLANK(OFFSET(A$1,,,SUMPRODUCT(MAX(ROW(E$1:E4541)*(E2=E$1:E4541))))))</f>
        <v> </v>
      </c>
      <c r="K4542" s="25" t="str">
        <f>IF(OR(E4542="",E4542="!!!",F4542="NEW"),"",INDEX(J$1:J4541,SUMPRODUCT(MAX(ROW(E$1:E4541)*(E4542=E$1:E4541)))))</f>
        <v> </v>
      </c>
      <c r="L4542" s="26"/>
    </row>
    <row r="4543" spans="1:12">
      <c r="A4543" s="20" t="s">
        <v>732</v>
      </c>
      <c r="E4543" s="21">
        <f>IF(D4543="?OLD","!!!","")</f>
        <v/>
      </c>
      <c r="F4543" s="22" t="str">
        <f>IF(OR(E4543="",E4543="!!!"),"",IF(NOT(ISNA(VLOOKUP(E4543,E$1:E4542,1,FALSE()))),"OLD",IF(AND(E4543&lt;&gt;"",E4543&lt;&gt;"!!!"),"NEW","")))</f>
        <v> </v>
      </c>
      <c r="G4543" s="23" t="str">
        <f>IF(OR(E4543="",E4543="!!!"),"",IF(OR(J4543=0,AND(J4543=1,K4543=1),AND(J4543=1,I4543="SBJ"),AND(J4543=1,I4543=0)),"?IN_FOCUS",IF(J4543&lt;=2,"?ACTIVATED",IF(J4543&lt;&gt;"","?FAMILIAR",IF(F4543="NEW",IF(ISNA(VLOOKUP(E4543,#REF!,1,FALSE())),"?TYPE_IDENTIFIABLE","?REFERENTIAL"),"_")))))</f>
        <v> </v>
      </c>
      <c r="H4543" s="24" t="str">
        <f>IF(J4543&lt;&gt;1,"",IF(I4543="SBJ","CB","?"))</f>
        <v> </v>
      </c>
      <c r="I4543" s="25" t="str">
        <f>IF(OR(E4543="",E4543="!!!",F4543="NEW"),"",INDEX(B4542:B$2,-1+SUMPRODUCT(MAX(ROW(E4542:E$2)*(E4543=E4542:E$2)))))</f>
        <v> </v>
      </c>
      <c r="J4543" s="25" t="str">
        <f>IF(OR(E4543="",E4543="!!!",F4543="NEW"),"",COUNTBLANK(OFFSET(A$1,,,SUMPRODUCT(MAX(ROW(E$2:E4543)*(E4543=E$2:E4543)))))-COUNTBLANK(OFFSET(A$1,,,SUMPRODUCT(MAX(ROW(E$1:E4542)*(E2=E$1:E4542))))))</f>
        <v> </v>
      </c>
      <c r="K4543" s="25" t="str">
        <f>IF(OR(E4543="",E4543="!!!",F4543="NEW"),"",INDEX(J$1:J4542,SUMPRODUCT(MAX(ROW(E$1:E4542)*(E4543=E$1:E4542)))))</f>
        <v> </v>
      </c>
      <c r="L4543" s="26"/>
    </row>
    <row r="4544" spans="1:12">
      <c r="A4544" s="20" t="s">
        <v>872</v>
      </c>
      <c r="E4544" s="21">
        <f>IF(D4544="?OLD","!!!","")</f>
        <v/>
      </c>
      <c r="F4544" s="22" t="str">
        <f>IF(OR(E4544="",E4544="!!!"),"",IF(NOT(ISNA(VLOOKUP(E4544,E$1:E4543,1,FALSE()))),"OLD",IF(AND(E4544&lt;&gt;"",E4544&lt;&gt;"!!!"),"NEW","")))</f>
        <v> </v>
      </c>
      <c r="G4544" s="23" t="str">
        <f>IF(OR(E4544="",E4544="!!!"),"",IF(OR(J4544=0,AND(J4544=1,K4544=1),AND(J4544=1,I4544="SBJ"),AND(J4544=1,I4544=0)),"?IN_FOCUS",IF(J4544&lt;=2,"?ACTIVATED",IF(J4544&lt;&gt;"","?FAMILIAR",IF(F4544="NEW",IF(ISNA(VLOOKUP(E4544,#REF!,1,FALSE())),"?TYPE_IDENTIFIABLE","?REFERENTIAL"),"_")))))</f>
        <v> </v>
      </c>
      <c r="H4544" s="24" t="str">
        <f>IF(J4544&lt;&gt;1,"",IF(I4544="SBJ","CB","?"))</f>
        <v> </v>
      </c>
      <c r="I4544" s="25" t="str">
        <f>IF(OR(E4544="",E4544="!!!",F4544="NEW"),"",INDEX(B4543:B$2,-1+SUMPRODUCT(MAX(ROW(E4543:E$2)*(E4544=E4543:E$2)))))</f>
        <v> </v>
      </c>
      <c r="J4544" s="25" t="str">
        <f>IF(OR(E4544="",E4544="!!!",F4544="NEW"),"",COUNTBLANK(OFFSET(A$1,,,SUMPRODUCT(MAX(ROW(E$2:E4544)*(E4544=E$2:E4544)))))-COUNTBLANK(OFFSET(A$1,,,SUMPRODUCT(MAX(ROW(E$1:E4543)*(E2=E$1:E4543))))))</f>
        <v> </v>
      </c>
      <c r="K4544" s="25" t="str">
        <f>IF(OR(E4544="",E4544="!!!",F4544="NEW"),"",INDEX(J$1:J4543,SUMPRODUCT(MAX(ROW(E$1:E4543)*(E4544=E$1:E4543)))))</f>
        <v> </v>
      </c>
      <c r="L4544" s="26"/>
    </row>
    <row r="4545" spans="1:12">
      <c r="A4545" s="20" t="s">
        <v>682</v>
      </c>
      <c r="E4545" s="21">
        <f>IF(D4545="?OLD","!!!","")</f>
        <v/>
      </c>
      <c r="F4545" s="22" t="str">
        <f>IF(OR(E4545="",E4545="!!!"),"",IF(NOT(ISNA(VLOOKUP(E4545,E$1:E4544,1,FALSE()))),"OLD",IF(AND(E4545&lt;&gt;"",E4545&lt;&gt;"!!!"),"NEW","")))</f>
        <v> </v>
      </c>
      <c r="G4545" s="23" t="str">
        <f>IF(OR(E4545="",E4545="!!!"),"",IF(OR(J4545=0,AND(J4545=1,K4545=1),AND(J4545=1,I4545="SBJ"),AND(J4545=1,I4545=0)),"?IN_FOCUS",IF(J4545&lt;=2,"?ACTIVATED",IF(J4545&lt;&gt;"","?FAMILIAR",IF(F4545="NEW",IF(ISNA(VLOOKUP(E4545,#REF!,1,FALSE())),"?TYPE_IDENTIFIABLE","?REFERENTIAL"),"_")))))</f>
        <v> </v>
      </c>
      <c r="H4545" s="24" t="str">
        <f>IF(J4545&lt;&gt;1,"",IF(I4545="SBJ","CB","?"))</f>
        <v> </v>
      </c>
      <c r="I4545" s="25" t="str">
        <f>IF(OR(E4545="",E4545="!!!",F4545="NEW"),"",INDEX(B4544:B$2,-1+SUMPRODUCT(MAX(ROW(E4544:E$2)*(E4545=E4544:E$2)))))</f>
        <v> </v>
      </c>
      <c r="J4545" s="25" t="str">
        <f>IF(OR(E4545="",E4545="!!!",F4545="NEW"),"",COUNTBLANK(OFFSET(A$1,,,SUMPRODUCT(MAX(ROW(E$2:E4545)*(E4545=E$2:E4545)))))-COUNTBLANK(OFFSET(A$1,,,SUMPRODUCT(MAX(ROW(E$1:E4544)*(E2=E$1:E4544))))))</f>
        <v> </v>
      </c>
      <c r="K4545" s="25" t="str">
        <f>IF(OR(E4545="",E4545="!!!",F4545="NEW"),"",INDEX(J$1:J4544,SUMPRODUCT(MAX(ROW(E$1:E4544)*(E4545=E$1:E4544)))))</f>
        <v> </v>
      </c>
      <c r="L4545" s="26"/>
    </row>
    <row r="4546" spans="1:12">
      <c r="A4546" s="20" t="s">
        <v>694</v>
      </c>
      <c r="E4546" s="21">
        <f>IF(D4546="?OLD","!!!","")</f>
        <v/>
      </c>
      <c r="F4546" s="22" t="str">
        <f>IF(OR(E4546="",E4546="!!!"),"",IF(NOT(ISNA(VLOOKUP(E4546,E$1:E4545,1,FALSE()))),"OLD",IF(AND(E4546&lt;&gt;"",E4546&lt;&gt;"!!!"),"NEW","")))</f>
        <v> </v>
      </c>
      <c r="G4546" s="23" t="str">
        <f>IF(OR(E4546="",E4546="!!!"),"",IF(OR(J4546=0,AND(J4546=1,K4546=1),AND(J4546=1,I4546="SBJ"),AND(J4546=1,I4546=0)),"?IN_FOCUS",IF(J4546&lt;=2,"?ACTIVATED",IF(J4546&lt;&gt;"","?FAMILIAR",IF(F4546="NEW",IF(ISNA(VLOOKUP(E4546,#REF!,1,FALSE())),"?TYPE_IDENTIFIABLE","?REFERENTIAL"),"_")))))</f>
        <v> </v>
      </c>
      <c r="H4546" s="24" t="str">
        <f>IF(J4546&lt;&gt;1,"",IF(I4546="SBJ","CB","?"))</f>
        <v> </v>
      </c>
      <c r="I4546" s="25" t="str">
        <f>IF(OR(E4546="",E4546="!!!",F4546="NEW"),"",INDEX(B4545:B$2,-1+SUMPRODUCT(MAX(ROW(E4545:E$2)*(E4546=E4545:E$2)))))</f>
        <v> </v>
      </c>
      <c r="J4546" s="25" t="str">
        <f>IF(OR(E4546="",E4546="!!!",F4546="NEW"),"",COUNTBLANK(OFFSET(A$1,,,SUMPRODUCT(MAX(ROW(E$2:E4546)*(E4546=E$2:E4546)))))-COUNTBLANK(OFFSET(A$1,,,SUMPRODUCT(MAX(ROW(E$1:E4545)*(E2=E$1:E4545))))))</f>
        <v> </v>
      </c>
      <c r="K4546" s="25" t="str">
        <f>IF(OR(E4546="",E4546="!!!",F4546="NEW"),"",INDEX(J$1:J4545,SUMPRODUCT(MAX(ROW(E$1:E4545)*(E4546=E$1:E4545)))))</f>
        <v> </v>
      </c>
      <c r="L4546" s="26"/>
    </row>
    <row r="4547" spans="1:12">
      <c r="A4547" s="20" t="s">
        <v>2016</v>
      </c>
      <c r="B4547" s="27" t="s">
        <v>724</v>
      </c>
      <c r="C4547" s="27" t="s">
        <v>679</v>
      </c>
      <c r="E4547" s="21">
        <f>IF(D4547="?OLD","!!!","")</f>
        <v/>
      </c>
      <c r="F4547" s="22" t="str">
        <f>IF(OR(E4547="",E4547="!!!"),"",IF(NOT(ISNA(VLOOKUP(E4547,E$1:E4546,1,FALSE()))),"OLD",IF(AND(E4547&lt;&gt;"",E4547&lt;&gt;"!!!"),"NEW","")))</f>
        <v> </v>
      </c>
      <c r="G4547" s="23" t="str">
        <f>IF(OR(E4547="",E4547="!!!"),"",IF(OR(J4547=0,AND(J4547=1,K4547=1),AND(J4547=1,I4547="SBJ"),AND(J4547=1,I4547=0)),"?IN_FOCUS",IF(J4547&lt;=2,"?ACTIVATED",IF(J4547&lt;&gt;"","?FAMILIAR",IF(F4547="NEW",IF(ISNA(VLOOKUP(E4547,#REF!,1,FALSE())),"?TYPE_IDENTIFIABLE","?REFERENTIAL"),"_")))))</f>
        <v> </v>
      </c>
      <c r="H4547" s="24" t="str">
        <f>IF(J4547&lt;&gt;1,"",IF(I4547="SBJ","CB","?"))</f>
        <v> </v>
      </c>
      <c r="I4547" s="25" t="str">
        <f>IF(OR(E4547="",E4547="!!!",F4547="NEW"),"",INDEX(B4546:B$2,-1+SUMPRODUCT(MAX(ROW(E4546:E$2)*(E4547=E4546:E$2)))))</f>
        <v> </v>
      </c>
      <c r="J4547" s="25" t="str">
        <f>IF(OR(E4547="",E4547="!!!",F4547="NEW"),"",COUNTBLANK(OFFSET(A$1,,,SUMPRODUCT(MAX(ROW(E$2:E4547)*(E4547=E$2:E4547)))))-COUNTBLANK(OFFSET(A$1,,,SUMPRODUCT(MAX(ROW(E$1:E4546)*(E2=E$1:E4546))))))</f>
        <v> </v>
      </c>
      <c r="K4547" s="25" t="str">
        <f>IF(OR(E4547="",E4547="!!!",F4547="NEW"),"",INDEX(J$1:J4546,SUMPRODUCT(MAX(ROW(E$1:E4546)*(E4547=E$1:E4546)))))</f>
        <v> </v>
      </c>
      <c r="L4547" s="26"/>
    </row>
    <row r="4548" spans="1:12">
      <c r="A4548" s="20" t="s">
        <v>682</v>
      </c>
      <c r="E4548" s="21">
        <f>IF(D4548="?OLD","!!!","")</f>
        <v/>
      </c>
      <c r="F4548" s="22" t="str">
        <f>IF(OR(E4548="",E4548="!!!"),"",IF(NOT(ISNA(VLOOKUP(E4548,E$1:E4547,1,FALSE()))),"OLD",IF(AND(E4548&lt;&gt;"",E4548&lt;&gt;"!!!"),"NEW","")))</f>
        <v> </v>
      </c>
      <c r="G4548" s="23" t="str">
        <f>IF(OR(E4548="",E4548="!!!"),"",IF(OR(J4548=0,AND(J4548=1,K4548=1),AND(J4548=1,I4548="SBJ"),AND(J4548=1,I4548=0)),"?IN_FOCUS",IF(J4548&lt;=2,"?ACTIVATED",IF(J4548&lt;&gt;"","?FAMILIAR",IF(F4548="NEW",IF(ISNA(VLOOKUP(E4548,#REF!,1,FALSE())),"?TYPE_IDENTIFIABLE","?REFERENTIAL"),"_")))))</f>
        <v> </v>
      </c>
      <c r="H4548" s="24" t="str">
        <f>IF(J4548&lt;&gt;1,"",IF(I4548="SBJ","CB","?"))</f>
        <v> </v>
      </c>
      <c r="I4548" s="25" t="str">
        <f>IF(OR(E4548="",E4548="!!!",F4548="NEW"),"",INDEX(B4547:B$2,-1+SUMPRODUCT(MAX(ROW(E4547:E$2)*(E4548=E4547:E$2)))))</f>
        <v> </v>
      </c>
      <c r="J4548" s="25" t="str">
        <f>IF(OR(E4548="",E4548="!!!",F4548="NEW"),"",COUNTBLANK(OFFSET(A$1,,,SUMPRODUCT(MAX(ROW(E$2:E4548)*(E4548=E$2:E4548)))))-COUNTBLANK(OFFSET(A$1,,,SUMPRODUCT(MAX(ROW(E$1:E4547)*(E2=E$1:E4547))))))</f>
        <v> </v>
      </c>
      <c r="K4548" s="25" t="str">
        <f>IF(OR(E4548="",E4548="!!!",F4548="NEW"),"",INDEX(J$1:J4547,SUMPRODUCT(MAX(ROW(E$1:E4547)*(E4548=E$1:E4547)))))</f>
        <v> </v>
      </c>
      <c r="L4548" s="26"/>
    </row>
    <row r="4549" spans="1:12">
      <c r="A4549" s="20" t="s">
        <v>1203</v>
      </c>
      <c r="B4549" s="27" t="s">
        <v>787</v>
      </c>
      <c r="C4549" s="27" t="s">
        <v>749</v>
      </c>
      <c r="D4549" s="27" t="s">
        <v>687</v>
      </c>
      <c r="E4549" s="21">
        <f>IF(D4549="?OLD","!!!","")</f>
        <v/>
      </c>
      <c r="F4549" s="22" t="str">
        <f>IF(OR(E4549="",E4549="!!!"),"",IF(NOT(ISNA(VLOOKUP(E4549,E$1:E4548,1,FALSE()))),"OLD",IF(AND(E4549&lt;&gt;"",E4549&lt;&gt;"!!!"),"NEW","")))</f>
        <v> </v>
      </c>
      <c r="G4549" s="23" t="str">
        <f>IF(OR(E4549="",E4549="!!!"),"",IF(OR(J4549=0,AND(J4549=1,K4549=1),AND(J4549=1,I4549="SBJ"),AND(J4549=1,I4549=0)),"?IN_FOCUS",IF(J4549&lt;=2,"?ACTIVATED",IF(J4549&lt;&gt;"","?FAMILIAR",IF(F4549="NEW",IF(ISNA(VLOOKUP(E4549,#REF!,1,FALSE())),"?TYPE_IDENTIFIABLE","?REFERENTIAL"),"_")))))</f>
        <v> </v>
      </c>
      <c r="H4549" s="24" t="str">
        <f>IF(J4549&lt;&gt;1,"",IF(I4549="SBJ","CB","?"))</f>
        <v> </v>
      </c>
      <c r="I4549" s="25" t="str">
        <f>IF(OR(E4549="",E4549="!!!",F4549="NEW"),"",INDEX(B4548:B$2,-1+SUMPRODUCT(MAX(ROW(E4548:E$2)*(E4549=E4548:E$2)))))</f>
        <v> </v>
      </c>
      <c r="J4549" s="25" t="str">
        <f>IF(OR(E4549="",E4549="!!!",F4549="NEW"),"",COUNTBLANK(OFFSET(A$1,,,SUMPRODUCT(MAX(ROW(E$2:E4549)*(E4549=E$2:E4549)))))-COUNTBLANK(OFFSET(A$1,,,SUMPRODUCT(MAX(ROW(E$1:E4548)*(E2=E$1:E4548))))))</f>
        <v> </v>
      </c>
      <c r="K4549" s="25" t="str">
        <f>IF(OR(E4549="",E4549="!!!",F4549="NEW"),"",INDEX(J$1:J4548,SUMPRODUCT(MAX(ROW(E$1:E4548)*(E4549=E$1:E4548)))))</f>
        <v> </v>
      </c>
      <c r="L4549" s="26"/>
    </row>
    <row r="4550" spans="1:12">
      <c r="A4550" s="20" t="s">
        <v>750</v>
      </c>
      <c r="E4550" s="21">
        <f>IF(D4550="?OLD","!!!","")</f>
        <v/>
      </c>
      <c r="F4550" s="22" t="str">
        <f>IF(OR(E4550="",E4550="!!!"),"",IF(NOT(ISNA(VLOOKUP(E4550,E$1:E4549,1,FALSE()))),"OLD",IF(AND(E4550&lt;&gt;"",E4550&lt;&gt;"!!!"),"NEW","")))</f>
        <v> </v>
      </c>
      <c r="G4550" s="23" t="str">
        <f>IF(OR(E4550="",E4550="!!!"),"",IF(OR(J4550=0,AND(J4550=1,K4550=1),AND(J4550=1,I4550="SBJ"),AND(J4550=1,I4550=0)),"?IN_FOCUS",IF(J4550&lt;=2,"?ACTIVATED",IF(J4550&lt;&gt;"","?FAMILIAR",IF(F4550="NEW",IF(ISNA(VLOOKUP(E4550,#REF!,1,FALSE())),"?TYPE_IDENTIFIABLE","?REFERENTIAL"),"_")))))</f>
        <v> </v>
      </c>
      <c r="H4550" s="24" t="str">
        <f>IF(J4550&lt;&gt;1,"",IF(I4550="SBJ","CB","?"))</f>
        <v> </v>
      </c>
      <c r="I4550" s="25" t="str">
        <f>IF(OR(E4550="",E4550="!!!",F4550="NEW"),"",INDEX(B4549:B$2,-1+SUMPRODUCT(MAX(ROW(E4549:E$2)*(E4550=E4549:E$2)))))</f>
        <v> </v>
      </c>
      <c r="J4550" s="25" t="str">
        <f>IF(OR(E4550="",E4550="!!!",F4550="NEW"),"",COUNTBLANK(OFFSET(A$1,,,SUMPRODUCT(MAX(ROW(E$2:E4550)*(E4550=E$2:E4550)))))-COUNTBLANK(OFFSET(A$1,,,SUMPRODUCT(MAX(ROW(E$1:E4549)*(E2=E$1:E4549))))))</f>
        <v> </v>
      </c>
      <c r="K4550" s="25" t="str">
        <f>IF(OR(E4550="",E4550="!!!",F4550="NEW"),"",INDEX(J$1:J4549,SUMPRODUCT(MAX(ROW(E$1:E4549)*(E4550=E$1:E4549)))))</f>
        <v> </v>
      </c>
      <c r="L4550" s="26"/>
    </row>
    <row r="4551" spans="1:12">
      <c r="A4551" s="20" t="s">
        <v>1744</v>
      </c>
      <c r="E4551" s="21">
        <f>IF(D4551="?OLD","!!!","")</f>
        <v/>
      </c>
      <c r="F4551" s="22" t="str">
        <f>IF(OR(E4551="",E4551="!!!"),"",IF(NOT(ISNA(VLOOKUP(E4551,E$1:E4550,1,FALSE()))),"OLD",IF(AND(E4551&lt;&gt;"",E4551&lt;&gt;"!!!"),"NEW","")))</f>
        <v> </v>
      </c>
      <c r="G4551" s="23" t="str">
        <f>IF(OR(E4551="",E4551="!!!"),"",IF(OR(J4551=0,AND(J4551=1,K4551=1),AND(J4551=1,I4551="SBJ"),AND(J4551=1,I4551=0)),"?IN_FOCUS",IF(J4551&lt;=2,"?ACTIVATED",IF(J4551&lt;&gt;"","?FAMILIAR",IF(F4551="NEW",IF(ISNA(VLOOKUP(E4551,#REF!,1,FALSE())),"?TYPE_IDENTIFIABLE","?REFERENTIAL"),"_")))))</f>
        <v> </v>
      </c>
      <c r="H4551" s="24" t="str">
        <f>IF(J4551&lt;&gt;1,"",IF(I4551="SBJ","CB","?"))</f>
        <v> </v>
      </c>
      <c r="I4551" s="25" t="str">
        <f>IF(OR(E4551="",E4551="!!!",F4551="NEW"),"",INDEX(B4550:B$2,-1+SUMPRODUCT(MAX(ROW(E4550:E$2)*(E4551=E4550:E$2)))))</f>
        <v> </v>
      </c>
      <c r="J4551" s="25" t="str">
        <f>IF(OR(E4551="",E4551="!!!",F4551="NEW"),"",COUNTBLANK(OFFSET(A$1,,,SUMPRODUCT(MAX(ROW(E$2:E4551)*(E4551=E$2:E4551)))))-COUNTBLANK(OFFSET(A$1,,,SUMPRODUCT(MAX(ROW(E$1:E4550)*(E2=E$1:E4550))))))</f>
        <v> </v>
      </c>
      <c r="K4551" s="25" t="str">
        <f>IF(OR(E4551="",E4551="!!!",F4551="NEW"),"",INDEX(J$1:J4550,SUMPRODUCT(MAX(ROW(E$1:E4550)*(E4551=E$1:E4550)))))</f>
        <v> </v>
      </c>
      <c r="L4551" s="26"/>
    </row>
    <row r="4552" spans="1:12">
      <c r="A4552" s="20" t="s">
        <v>733</v>
      </c>
      <c r="E4552" s="21">
        <f>IF(D4552="?OLD","!!!","")</f>
        <v/>
      </c>
      <c r="F4552" s="22" t="str">
        <f>IF(OR(E4552="",E4552="!!!"),"",IF(NOT(ISNA(VLOOKUP(E4552,E$1:E4551,1,FALSE()))),"OLD",IF(AND(E4552&lt;&gt;"",E4552&lt;&gt;"!!!"),"NEW","")))</f>
        <v> </v>
      </c>
      <c r="G4552" s="23" t="str">
        <f>IF(OR(E4552="",E4552="!!!"),"",IF(OR(J4552=0,AND(J4552=1,K4552=1),AND(J4552=1,I4552="SBJ"),AND(J4552=1,I4552=0)),"?IN_FOCUS",IF(J4552&lt;=2,"?ACTIVATED",IF(J4552&lt;&gt;"","?FAMILIAR",IF(F4552="NEW",IF(ISNA(VLOOKUP(E4552,#REF!,1,FALSE())),"?TYPE_IDENTIFIABLE","?REFERENTIAL"),"_")))))</f>
        <v> </v>
      </c>
      <c r="H4552" s="24" t="str">
        <f>IF(J4552&lt;&gt;1,"",IF(I4552="SBJ","CB","?"))</f>
        <v> </v>
      </c>
      <c r="I4552" s="25" t="str">
        <f>IF(OR(E4552="",E4552="!!!",F4552="NEW"),"",INDEX(B4551:B$2,-1+SUMPRODUCT(MAX(ROW(E4551:E$2)*(E4552=E4551:E$2)))))</f>
        <v> </v>
      </c>
      <c r="J4552" s="25" t="str">
        <f>IF(OR(E4552="",E4552="!!!",F4552="NEW"),"",COUNTBLANK(OFFSET(A$1,,,SUMPRODUCT(MAX(ROW(E$2:E4552)*(E4552=E$2:E4552)))))-COUNTBLANK(OFFSET(A$1,,,SUMPRODUCT(MAX(ROW(E$1:E4551)*(E2=E$1:E4551))))))</f>
        <v> </v>
      </c>
      <c r="K4552" s="25" t="str">
        <f>IF(OR(E4552="",E4552="!!!",F4552="NEW"),"",INDEX(J$1:J4551,SUMPRODUCT(MAX(ROW(E$1:E4551)*(E4552=E$1:E4551)))))</f>
        <v> </v>
      </c>
      <c r="L4552" s="26"/>
    </row>
    <row r="4553" spans="1:12">
      <c r="A4553" s="20" t="s">
        <v>2017</v>
      </c>
      <c r="B4553" s="27" t="s">
        <v>791</v>
      </c>
      <c r="C4553" s="27" t="s">
        <v>736</v>
      </c>
      <c r="E4553" s="21">
        <f>IF(D4553="?OLD","!!!","")</f>
        <v/>
      </c>
      <c r="F4553" s="22" t="str">
        <f>IF(OR(E4553="",E4553="!!!"),"",IF(NOT(ISNA(VLOOKUP(E4553,E$1:E4552,1,FALSE()))),"OLD",IF(AND(E4553&lt;&gt;"",E4553&lt;&gt;"!!!"),"NEW","")))</f>
        <v> </v>
      </c>
      <c r="G4553" s="23" t="str">
        <f>IF(OR(E4553="",E4553="!!!"),"",IF(OR(J4553=0,AND(J4553=1,K4553=1),AND(J4553=1,I4553="SBJ"),AND(J4553=1,I4553=0)),"?IN_FOCUS",IF(J4553&lt;=2,"?ACTIVATED",IF(J4553&lt;&gt;"","?FAMILIAR",IF(F4553="NEW",IF(ISNA(VLOOKUP(E4553,#REF!,1,FALSE())),"?TYPE_IDENTIFIABLE","?REFERENTIAL"),"_")))))</f>
        <v> </v>
      </c>
      <c r="H4553" s="24" t="str">
        <f>IF(J4553&lt;&gt;1,"",IF(I4553="SBJ","CB","?"))</f>
        <v> </v>
      </c>
      <c r="I4553" s="25" t="str">
        <f>IF(OR(E4553="",E4553="!!!",F4553="NEW"),"",INDEX(B4552:B$2,-1+SUMPRODUCT(MAX(ROW(E4552:E$2)*(E4553=E4552:E$2)))))</f>
        <v> </v>
      </c>
      <c r="J4553" s="25" t="str">
        <f>IF(OR(E4553="",E4553="!!!",F4553="NEW"),"",COUNTBLANK(OFFSET(A$1,,,SUMPRODUCT(MAX(ROW(E$2:E4553)*(E4553=E$2:E4553)))))-COUNTBLANK(OFFSET(A$1,,,SUMPRODUCT(MAX(ROW(E$1:E4552)*(E2=E$1:E4552))))))</f>
        <v> </v>
      </c>
      <c r="K4553" s="25" t="str">
        <f>IF(OR(E4553="",E4553="!!!",F4553="NEW"),"",INDEX(J$1:J4552,SUMPRODUCT(MAX(ROW(E$1:E4552)*(E4553=E$1:E4552)))))</f>
        <v> </v>
      </c>
      <c r="L4553" s="26"/>
    </row>
    <row r="4554" spans="1:12">
      <c r="A4554" s="20" t="s">
        <v>698</v>
      </c>
      <c r="E4554" s="21">
        <f>IF(D4554="?OLD","!!!","")</f>
        <v/>
      </c>
      <c r="F4554" s="22" t="str">
        <f>IF(OR(E4554="",E4554="!!!"),"",IF(NOT(ISNA(VLOOKUP(E4554,E$1:E4553,1,FALSE()))),"OLD",IF(AND(E4554&lt;&gt;"",E4554&lt;&gt;"!!!"),"NEW","")))</f>
        <v> </v>
      </c>
      <c r="G4554" s="23" t="str">
        <f>IF(OR(E4554="",E4554="!!!"),"",IF(OR(J4554=0,AND(J4554=1,K4554=1),AND(J4554=1,I4554="SBJ"),AND(J4554=1,I4554=0)),"?IN_FOCUS",IF(J4554&lt;=2,"?ACTIVATED",IF(J4554&lt;&gt;"","?FAMILIAR",IF(F4554="NEW",IF(ISNA(VLOOKUP(E4554,#REF!,1,FALSE())),"?TYPE_IDENTIFIABLE","?REFERENTIAL"),"_")))))</f>
        <v> </v>
      </c>
      <c r="H4554" s="24" t="str">
        <f>IF(J4554&lt;&gt;1,"",IF(I4554="SBJ","CB","?"))</f>
        <v> </v>
      </c>
      <c r="I4554" s="25" t="str">
        <f>IF(OR(E4554="",E4554="!!!",F4554="NEW"),"",INDEX(B4553:B$2,-1+SUMPRODUCT(MAX(ROW(E4553:E$2)*(E4554=E4553:E$2)))))</f>
        <v> </v>
      </c>
      <c r="J4554" s="25" t="str">
        <f>IF(OR(E4554="",E4554="!!!",F4554="NEW"),"",COUNTBLANK(OFFSET(A$1,,,SUMPRODUCT(MAX(ROW(E$2:E4554)*(E4554=E$2:E4554)))))-COUNTBLANK(OFFSET(A$1,,,SUMPRODUCT(MAX(ROW(E$1:E4553)*(E2=E$1:E4553))))))</f>
        <v> </v>
      </c>
      <c r="K4554" s="25" t="str">
        <f>IF(OR(E4554="",E4554="!!!",F4554="NEW"),"",INDEX(J$1:J4553,SUMPRODUCT(MAX(ROW(E$1:E4553)*(E4554=E$1:E4553)))))</f>
        <v> </v>
      </c>
      <c r="L4554" s="26"/>
    </row>
    <row r="4555" spans="1:12">
      <c r="A4555" s="20"/>
    </row>
    <row r="4556" spans="1:12">
      <c r="A4556" s="20" t="s">
        <v>2018</v>
      </c>
    </row>
    <row r="4557" spans="1:12">
      <c r="A4557" s="20" t="s">
        <v>824</v>
      </c>
      <c r="E4557" s="21">
        <f>IF(D4557="?OLD","!!!","")</f>
        <v/>
      </c>
      <c r="F4557" s="22" t="str">
        <f>IF(OR(E4557="",E4557="!!!"),"",IF(NOT(ISNA(VLOOKUP(E4557,E$1:E4556,1,FALSE()))),"OLD",IF(AND(E4557&lt;&gt;"",E4557&lt;&gt;"!!!"),"NEW","")))</f>
        <v> </v>
      </c>
      <c r="G4557" s="23" t="str">
        <f>IF(OR(E4557="",E4557="!!!"),"",IF(OR(J4557=0,AND(J4557=1,K4557=1),AND(J4557=1,I4557="SBJ"),AND(J4557=1,I4557=0)),"?IN_FOCUS",IF(J4557&lt;=2,"?ACTIVATED",IF(J4557&lt;&gt;"","?FAMILIAR",IF(F4557="NEW",IF(ISNA(VLOOKUP(E4557,#REF!,1,FALSE())),"?TYPE_IDENTIFIABLE","?REFERENTIAL"),"_")))))</f>
        <v> </v>
      </c>
      <c r="H4557" s="24" t="str">
        <f>IF(J4557&lt;&gt;1,"",IF(I4557="SBJ","CB","?"))</f>
        <v> </v>
      </c>
      <c r="I4557" s="25" t="str">
        <f>IF(OR(E4557="",E4557="!!!",F4557="NEW"),"",INDEX(B4556:B$2,-1+SUMPRODUCT(MAX(ROW(E4556:E$2)*(E4557=E4556:E$2)))))</f>
        <v> </v>
      </c>
      <c r="J4557" s="25" t="str">
        <f>IF(OR(E4557="",E4557="!!!",F4557="NEW"),"",COUNTBLANK(OFFSET(A$1,,,SUMPRODUCT(MAX(ROW(E$2:E4557)*(E4557=E$2:E4557)))))-COUNTBLANK(OFFSET(A$1,,,SUMPRODUCT(MAX(ROW(E$1:E4556)*(E2=E$1:E4556))))))</f>
        <v> </v>
      </c>
      <c r="K4557" s="25" t="str">
        <f>IF(OR(E4557="",E4557="!!!",F4557="NEW"),"",INDEX(J$1:J4556,SUMPRODUCT(MAX(ROW(E$1:E4556)*(E4557=E$1:E4556)))))</f>
        <v> </v>
      </c>
      <c r="L4557" s="26"/>
    </row>
    <row r="4558" spans="1:12">
      <c r="A4558" s="20" t="s">
        <v>747</v>
      </c>
      <c r="B4558" s="27" t="s">
        <v>685</v>
      </c>
      <c r="C4558" s="27" t="s">
        <v>749</v>
      </c>
      <c r="D4558" s="27" t="s">
        <v>687</v>
      </c>
      <c r="E4558" s="21">
        <f>IF(D4558="?OLD","!!!","")</f>
        <v/>
      </c>
      <c r="F4558" s="22" t="str">
        <f>IF(OR(E4558="",E4558="!!!"),"",IF(NOT(ISNA(VLOOKUP(E4558,E$1:E4557,1,FALSE()))),"OLD",IF(AND(E4558&lt;&gt;"",E4558&lt;&gt;"!!!"),"NEW","")))</f>
        <v> </v>
      </c>
      <c r="G4558" s="23" t="str">
        <f>IF(OR(E4558="",E4558="!!!"),"",IF(OR(J4558=0,AND(J4558=1,K4558=1),AND(J4558=1,I4558="SBJ"),AND(J4558=1,I4558=0)),"?IN_FOCUS",IF(J4558&lt;=2,"?ACTIVATED",IF(J4558&lt;&gt;"","?FAMILIAR",IF(F4558="NEW",IF(ISNA(VLOOKUP(E4558,#REF!,1,FALSE())),"?TYPE_IDENTIFIABLE","?REFERENTIAL"),"_")))))</f>
        <v> </v>
      </c>
      <c r="H4558" s="24" t="str">
        <f>IF(J4558&lt;&gt;1,"",IF(I4558="SBJ","CB","?"))</f>
        <v> </v>
      </c>
      <c r="I4558" s="25" t="str">
        <f>IF(OR(E4558="",E4558="!!!",F4558="NEW"),"",INDEX(B4557:B$2,-1+SUMPRODUCT(MAX(ROW(E4557:E$2)*(E4558=E4557:E$2)))))</f>
        <v> </v>
      </c>
      <c r="J4558" s="25" t="str">
        <f>IF(OR(E4558="",E4558="!!!",F4558="NEW"),"",COUNTBLANK(OFFSET(A$1,,,SUMPRODUCT(MAX(ROW(E$2:E4558)*(E4558=E$2:E4558)))))-COUNTBLANK(OFFSET(A$1,,,SUMPRODUCT(MAX(ROW(E$1:E4557)*(E2=E$1:E4557))))))</f>
        <v> </v>
      </c>
      <c r="K4558" s="25" t="str">
        <f>IF(OR(E4558="",E4558="!!!",F4558="NEW"),"",INDEX(J$1:J4557,SUMPRODUCT(MAX(ROW(E$1:E4557)*(E4558=E$1:E4557)))))</f>
        <v> </v>
      </c>
      <c r="L4558" s="26"/>
    </row>
    <row r="4559" spans="1:12">
      <c r="A4559" s="20" t="s">
        <v>870</v>
      </c>
      <c r="E4559" s="21">
        <f>IF(D4559="?OLD","!!!","")</f>
        <v/>
      </c>
      <c r="F4559" s="22" t="str">
        <f>IF(OR(E4559="",E4559="!!!"),"",IF(NOT(ISNA(VLOOKUP(E4559,E$1:E4558,1,FALSE()))),"OLD",IF(AND(E4559&lt;&gt;"",E4559&lt;&gt;"!!!"),"NEW","")))</f>
        <v> </v>
      </c>
      <c r="G4559" s="23" t="str">
        <f>IF(OR(E4559="",E4559="!!!"),"",IF(OR(J4559=0,AND(J4559=1,K4559=1),AND(J4559=1,I4559="SBJ"),AND(J4559=1,I4559=0)),"?IN_FOCUS",IF(J4559&lt;=2,"?ACTIVATED",IF(J4559&lt;&gt;"","?FAMILIAR",IF(F4559="NEW",IF(ISNA(VLOOKUP(E4559,#REF!,1,FALSE())),"?TYPE_IDENTIFIABLE","?REFERENTIAL"),"_")))))</f>
        <v> </v>
      </c>
      <c r="H4559" s="24" t="str">
        <f>IF(J4559&lt;&gt;1,"",IF(I4559="SBJ","CB","?"))</f>
        <v> </v>
      </c>
      <c r="I4559" s="25" t="str">
        <f>IF(OR(E4559="",E4559="!!!",F4559="NEW"),"",INDEX(B4558:B$2,-1+SUMPRODUCT(MAX(ROW(E4558:E$2)*(E4559=E4558:E$2)))))</f>
        <v> </v>
      </c>
      <c r="J4559" s="25" t="str">
        <f>IF(OR(E4559="",E4559="!!!",F4559="NEW"),"",COUNTBLANK(OFFSET(A$1,,,SUMPRODUCT(MAX(ROW(E$2:E4559)*(E4559=E$2:E4559)))))-COUNTBLANK(OFFSET(A$1,,,SUMPRODUCT(MAX(ROW(E$1:E4558)*(E2=E$1:E4558))))))</f>
        <v> </v>
      </c>
      <c r="K4559" s="25" t="str">
        <f>IF(OR(E4559="",E4559="!!!",F4559="NEW"),"",INDEX(J$1:J4558,SUMPRODUCT(MAX(ROW(E$1:E4558)*(E4559=E$1:E4558)))))</f>
        <v> </v>
      </c>
      <c r="L4559" s="26"/>
    </row>
    <row r="4560" spans="1:12">
      <c r="A4560" s="20" t="s">
        <v>1072</v>
      </c>
      <c r="E4560" s="21">
        <f>IF(D4560="?OLD","!!!","")</f>
        <v/>
      </c>
      <c r="F4560" s="22" t="str">
        <f>IF(OR(E4560="",E4560="!!!"),"",IF(NOT(ISNA(VLOOKUP(E4560,E$1:E4559,1,FALSE()))),"OLD",IF(AND(E4560&lt;&gt;"",E4560&lt;&gt;"!!!"),"NEW","")))</f>
        <v> </v>
      </c>
      <c r="G4560" s="23" t="str">
        <f>IF(OR(E4560="",E4560="!!!"),"",IF(OR(J4560=0,AND(J4560=1,K4560=1),AND(J4560=1,I4560="SBJ"),AND(J4560=1,I4560=0)),"?IN_FOCUS",IF(J4560&lt;=2,"?ACTIVATED",IF(J4560&lt;&gt;"","?FAMILIAR",IF(F4560="NEW",IF(ISNA(VLOOKUP(E4560,#REF!,1,FALSE())),"?TYPE_IDENTIFIABLE","?REFERENTIAL"),"_")))))</f>
        <v> </v>
      </c>
      <c r="H4560" s="24" t="str">
        <f>IF(J4560&lt;&gt;1,"",IF(I4560="SBJ","CB","?"))</f>
        <v> </v>
      </c>
      <c r="I4560" s="25" t="str">
        <f>IF(OR(E4560="",E4560="!!!",F4560="NEW"),"",INDEX(B4559:B$2,-1+SUMPRODUCT(MAX(ROW(E4559:E$2)*(E4560=E4559:E$2)))))</f>
        <v> </v>
      </c>
      <c r="J4560" s="25" t="str">
        <f>IF(OR(E4560="",E4560="!!!",F4560="NEW"),"",COUNTBLANK(OFFSET(A$1,,,SUMPRODUCT(MAX(ROW(E$2:E4560)*(E4560=E$2:E4560)))))-COUNTBLANK(OFFSET(A$1,,,SUMPRODUCT(MAX(ROW(E$1:E4559)*(E2=E$1:E4559))))))</f>
        <v> </v>
      </c>
      <c r="K4560" s="25" t="str">
        <f>IF(OR(E4560="",E4560="!!!",F4560="NEW"),"",INDEX(J$1:J4559,SUMPRODUCT(MAX(ROW(E$1:E4559)*(E4560=E$1:E4559)))))</f>
        <v> </v>
      </c>
      <c r="L4560" s="26"/>
    </row>
    <row r="4561" spans="1:12">
      <c r="A4561" s="20" t="s">
        <v>676</v>
      </c>
      <c r="E4561" s="21">
        <f>IF(D4561="?OLD","!!!","")</f>
        <v/>
      </c>
      <c r="F4561" s="22" t="str">
        <f>IF(OR(E4561="",E4561="!!!"),"",IF(NOT(ISNA(VLOOKUP(E4561,E$1:E4560,1,FALSE()))),"OLD",IF(AND(E4561&lt;&gt;"",E4561&lt;&gt;"!!!"),"NEW","")))</f>
        <v> </v>
      </c>
      <c r="G4561" s="23" t="str">
        <f>IF(OR(E4561="",E4561="!!!"),"",IF(OR(J4561=0,AND(J4561=1,K4561=1),AND(J4561=1,I4561="SBJ"),AND(J4561=1,I4561=0)),"?IN_FOCUS",IF(J4561&lt;=2,"?ACTIVATED",IF(J4561&lt;&gt;"","?FAMILIAR",IF(F4561="NEW",IF(ISNA(VLOOKUP(E4561,#REF!,1,FALSE())),"?TYPE_IDENTIFIABLE","?REFERENTIAL"),"_")))))</f>
        <v> </v>
      </c>
      <c r="H4561" s="24" t="str">
        <f>IF(J4561&lt;&gt;1,"",IF(I4561="SBJ","CB","?"))</f>
        <v> </v>
      </c>
      <c r="I4561" s="25" t="str">
        <f>IF(OR(E4561="",E4561="!!!",F4561="NEW"),"",INDEX(B4560:B$2,-1+SUMPRODUCT(MAX(ROW(E4560:E$2)*(E4561=E4560:E$2)))))</f>
        <v> </v>
      </c>
      <c r="J4561" s="25" t="str">
        <f>IF(OR(E4561="",E4561="!!!",F4561="NEW"),"",COUNTBLANK(OFFSET(A$1,,,SUMPRODUCT(MAX(ROW(E$2:E4561)*(E4561=E$2:E4561)))))-COUNTBLANK(OFFSET(A$1,,,SUMPRODUCT(MAX(ROW(E$1:E4560)*(E2=E$1:E4560))))))</f>
        <v> </v>
      </c>
      <c r="K4561" s="25" t="str">
        <f>IF(OR(E4561="",E4561="!!!",F4561="NEW"),"",INDEX(J$1:J4560,SUMPRODUCT(MAX(ROW(E$1:E4560)*(E4561=E$1:E4560)))))</f>
        <v> </v>
      </c>
      <c r="L4561" s="26"/>
    </row>
    <row r="4562" spans="1:12">
      <c r="A4562" s="20" t="s">
        <v>721</v>
      </c>
      <c r="E4562" s="21">
        <f>IF(D4562="?OLD","!!!","")</f>
        <v/>
      </c>
      <c r="F4562" s="22" t="str">
        <f>IF(OR(E4562="",E4562="!!!"),"",IF(NOT(ISNA(VLOOKUP(E4562,E$1:E4561,1,FALSE()))),"OLD",IF(AND(E4562&lt;&gt;"",E4562&lt;&gt;"!!!"),"NEW","")))</f>
        <v> </v>
      </c>
      <c r="G4562" s="23" t="str">
        <f>IF(OR(E4562="",E4562="!!!"),"",IF(OR(J4562=0,AND(J4562=1,K4562=1),AND(J4562=1,I4562="SBJ"),AND(J4562=1,I4562=0)),"?IN_FOCUS",IF(J4562&lt;=2,"?ACTIVATED",IF(J4562&lt;&gt;"","?FAMILIAR",IF(F4562="NEW",IF(ISNA(VLOOKUP(E4562,#REF!,1,FALSE())),"?TYPE_IDENTIFIABLE","?REFERENTIAL"),"_")))))</f>
        <v> </v>
      </c>
      <c r="H4562" s="24" t="str">
        <f>IF(J4562&lt;&gt;1,"",IF(I4562="SBJ","CB","?"))</f>
        <v> </v>
      </c>
      <c r="I4562" s="25" t="str">
        <f>IF(OR(E4562="",E4562="!!!",F4562="NEW"),"",INDEX(B4561:B$2,-1+SUMPRODUCT(MAX(ROW(E4561:E$2)*(E4562=E4561:E$2)))))</f>
        <v> </v>
      </c>
      <c r="J4562" s="25" t="str">
        <f>IF(OR(E4562="",E4562="!!!",F4562="NEW"),"",COUNTBLANK(OFFSET(A$1,,,SUMPRODUCT(MAX(ROW(E$2:E4562)*(E4562=E$2:E4562)))))-COUNTBLANK(OFFSET(A$1,,,SUMPRODUCT(MAX(ROW(E$1:E4561)*(E2=E$1:E4561))))))</f>
        <v> </v>
      </c>
      <c r="K4562" s="25" t="str">
        <f>IF(OR(E4562="",E4562="!!!",F4562="NEW"),"",INDEX(J$1:J4561,SUMPRODUCT(MAX(ROW(E$1:E4561)*(E4562=E$1:E4561)))))</f>
        <v> </v>
      </c>
      <c r="L4562" s="26"/>
    </row>
    <row r="4563" spans="1:12">
      <c r="A4563" s="20" t="s">
        <v>683</v>
      </c>
      <c r="E4563" s="21">
        <f>IF(D4563="?OLD","!!!","")</f>
        <v/>
      </c>
      <c r="F4563" s="22" t="str">
        <f>IF(OR(E4563="",E4563="!!!"),"",IF(NOT(ISNA(VLOOKUP(E4563,E$1:E4562,1,FALSE()))),"OLD",IF(AND(E4563&lt;&gt;"",E4563&lt;&gt;"!!!"),"NEW","")))</f>
        <v> </v>
      </c>
      <c r="G4563" s="23" t="str">
        <f>IF(OR(E4563="",E4563="!!!"),"",IF(OR(J4563=0,AND(J4563=1,K4563=1),AND(J4563=1,I4563="SBJ"),AND(J4563=1,I4563=0)),"?IN_FOCUS",IF(J4563&lt;=2,"?ACTIVATED",IF(J4563&lt;&gt;"","?FAMILIAR",IF(F4563="NEW",IF(ISNA(VLOOKUP(E4563,#REF!,1,FALSE())),"?TYPE_IDENTIFIABLE","?REFERENTIAL"),"_")))))</f>
        <v> </v>
      </c>
      <c r="H4563" s="24" t="str">
        <f>IF(J4563&lt;&gt;1,"",IF(I4563="SBJ","CB","?"))</f>
        <v> </v>
      </c>
      <c r="I4563" s="25" t="str">
        <f>IF(OR(E4563="",E4563="!!!",F4563="NEW"),"",INDEX(B4562:B$2,-1+SUMPRODUCT(MAX(ROW(E4562:E$2)*(E4563=E4562:E$2)))))</f>
        <v> </v>
      </c>
      <c r="J4563" s="25" t="str">
        <f>IF(OR(E4563="",E4563="!!!",F4563="NEW"),"",COUNTBLANK(OFFSET(A$1,,,SUMPRODUCT(MAX(ROW(E$2:E4563)*(E4563=E$2:E4563)))))-COUNTBLANK(OFFSET(A$1,,,SUMPRODUCT(MAX(ROW(E$1:E4562)*(E2=E$1:E4562))))))</f>
        <v> </v>
      </c>
      <c r="K4563" s="25" t="str">
        <f>IF(OR(E4563="",E4563="!!!",F4563="NEW"),"",INDEX(J$1:J4562,SUMPRODUCT(MAX(ROW(E$1:E4562)*(E4563=E$1:E4562)))))</f>
        <v> </v>
      </c>
      <c r="L4563" s="26"/>
    </row>
    <row r="4564" spans="1:12">
      <c r="A4564" s="20" t="s">
        <v>771</v>
      </c>
      <c r="B4564" s="27" t="s">
        <v>724</v>
      </c>
      <c r="C4564" s="27" t="s">
        <v>772</v>
      </c>
      <c r="D4564" s="27" t="s">
        <v>687</v>
      </c>
      <c r="E4564" s="21">
        <f>IF(D4564="?OLD","!!!","")</f>
        <v/>
      </c>
      <c r="F4564" s="22" t="str">
        <f>IF(OR(E4564="",E4564="!!!"),"",IF(NOT(ISNA(VLOOKUP(E4564,E$1:E4563,1,FALSE()))),"OLD",IF(AND(E4564&lt;&gt;"",E4564&lt;&gt;"!!!"),"NEW","")))</f>
        <v> </v>
      </c>
      <c r="G4564" s="23" t="str">
        <f>IF(OR(E4564="",E4564="!!!"),"",IF(OR(J4564=0,AND(J4564=1,K4564=1),AND(J4564=1,I4564="SBJ"),AND(J4564=1,I4564=0)),"?IN_FOCUS",IF(J4564&lt;=2,"?ACTIVATED",IF(J4564&lt;&gt;"","?FAMILIAR",IF(F4564="NEW",IF(ISNA(VLOOKUP(E4564,#REF!,1,FALSE())),"?TYPE_IDENTIFIABLE","?REFERENTIAL"),"_")))))</f>
        <v> </v>
      </c>
      <c r="H4564" s="24" t="str">
        <f>IF(J4564&lt;&gt;1,"",IF(I4564="SBJ","CB","?"))</f>
        <v> </v>
      </c>
      <c r="I4564" s="25" t="str">
        <f>IF(OR(E4564="",E4564="!!!",F4564="NEW"),"",INDEX(B4563:B$2,-1+SUMPRODUCT(MAX(ROW(E4563:E$2)*(E4564=E4563:E$2)))))</f>
        <v> </v>
      </c>
      <c r="J4564" s="25" t="str">
        <f>IF(OR(E4564="",E4564="!!!",F4564="NEW"),"",COUNTBLANK(OFFSET(A$1,,,SUMPRODUCT(MAX(ROW(E$2:E4564)*(E4564=E$2:E4564)))))-COUNTBLANK(OFFSET(A$1,,,SUMPRODUCT(MAX(ROW(E$1:E4563)*(E2=E$1:E4563))))))</f>
        <v> </v>
      </c>
      <c r="K4564" s="25" t="str">
        <f>IF(OR(E4564="",E4564="!!!",F4564="NEW"),"",INDEX(J$1:J4563,SUMPRODUCT(MAX(ROW(E$1:E4563)*(E4564=E$1:E4563)))))</f>
        <v> </v>
      </c>
      <c r="L4564" s="26"/>
    </row>
    <row r="4565" spans="1:12">
      <c r="A4565" s="20" t="s">
        <v>795</v>
      </c>
      <c r="B4565" s="27" t="s">
        <v>787</v>
      </c>
      <c r="C4565" s="27" t="s">
        <v>686</v>
      </c>
      <c r="D4565" s="27" t="s">
        <v>687</v>
      </c>
      <c r="E4565" s="21">
        <f>IF(D4565="?OLD","!!!","")</f>
        <v/>
      </c>
      <c r="F4565" s="22" t="str">
        <f>IF(OR(E4565="",E4565="!!!"),"",IF(NOT(ISNA(VLOOKUP(E4565,E$1:E4564,1,FALSE()))),"OLD",IF(AND(E4565&lt;&gt;"",E4565&lt;&gt;"!!!"),"NEW","")))</f>
        <v> </v>
      </c>
      <c r="G4565" s="23" t="str">
        <f>IF(OR(E4565="",E4565="!!!"),"",IF(OR(J4565=0,AND(J4565=1,K4565=1),AND(J4565=1,I4565="SBJ"),AND(J4565=1,I4565=0)),"?IN_FOCUS",IF(J4565&lt;=2,"?ACTIVATED",IF(J4565&lt;&gt;"","?FAMILIAR",IF(F4565="NEW",IF(ISNA(VLOOKUP(E4565,#REF!,1,FALSE())),"?TYPE_IDENTIFIABLE","?REFERENTIAL"),"_")))))</f>
        <v> </v>
      </c>
      <c r="H4565" s="24" t="str">
        <f>IF(J4565&lt;&gt;1,"",IF(I4565="SBJ","CB","?"))</f>
        <v> </v>
      </c>
      <c r="I4565" s="25" t="str">
        <f>IF(OR(E4565="",E4565="!!!",F4565="NEW"),"",INDEX(B4564:B$2,-1+SUMPRODUCT(MAX(ROW(E4564:E$2)*(E4565=E4564:E$2)))))</f>
        <v> </v>
      </c>
      <c r="J4565" s="25" t="str">
        <f>IF(OR(E4565="",E4565="!!!",F4565="NEW"),"",COUNTBLANK(OFFSET(A$1,,,SUMPRODUCT(MAX(ROW(E$2:E4565)*(E4565=E$2:E4565)))))-COUNTBLANK(OFFSET(A$1,,,SUMPRODUCT(MAX(ROW(E$1:E4564)*(E2=E$1:E4564))))))</f>
        <v> </v>
      </c>
      <c r="K4565" s="25" t="str">
        <f>IF(OR(E4565="",E4565="!!!",F4565="NEW"),"",INDEX(J$1:J4564,SUMPRODUCT(MAX(ROW(E$1:E4564)*(E4565=E$1:E4564)))))</f>
        <v> </v>
      </c>
      <c r="L4565" s="26"/>
    </row>
    <row r="4566" spans="1:12">
      <c r="A4566" s="20" t="s">
        <v>1010</v>
      </c>
      <c r="E4566" s="21">
        <f>IF(D4566="?OLD","!!!","")</f>
        <v/>
      </c>
      <c r="F4566" s="22" t="str">
        <f>IF(OR(E4566="",E4566="!!!"),"",IF(NOT(ISNA(VLOOKUP(E4566,E$1:E4565,1,FALSE()))),"OLD",IF(AND(E4566&lt;&gt;"",E4566&lt;&gt;"!!!"),"NEW","")))</f>
        <v> </v>
      </c>
      <c r="G4566" s="23" t="str">
        <f>IF(OR(E4566="",E4566="!!!"),"",IF(OR(J4566=0,AND(J4566=1,K4566=1),AND(J4566=1,I4566="SBJ"),AND(J4566=1,I4566=0)),"?IN_FOCUS",IF(J4566&lt;=2,"?ACTIVATED",IF(J4566&lt;&gt;"","?FAMILIAR",IF(F4566="NEW",IF(ISNA(VLOOKUP(E4566,#REF!,1,FALSE())),"?TYPE_IDENTIFIABLE","?REFERENTIAL"),"_")))))</f>
        <v> </v>
      </c>
      <c r="H4566" s="24" t="str">
        <f>IF(J4566&lt;&gt;1,"",IF(I4566="SBJ","CB","?"))</f>
        <v> </v>
      </c>
      <c r="I4566" s="25" t="str">
        <f>IF(OR(E4566="",E4566="!!!",F4566="NEW"),"",INDEX(B4565:B$2,-1+SUMPRODUCT(MAX(ROW(E4565:E$2)*(E4566=E4565:E$2)))))</f>
        <v> </v>
      </c>
      <c r="J4566" s="25" t="str">
        <f>IF(OR(E4566="",E4566="!!!",F4566="NEW"),"",COUNTBLANK(OFFSET(A$1,,,SUMPRODUCT(MAX(ROW(E$2:E4566)*(E4566=E$2:E4566)))))-COUNTBLANK(OFFSET(A$1,,,SUMPRODUCT(MAX(ROW(E$1:E4565)*(E2=E$1:E4565))))))</f>
        <v> </v>
      </c>
      <c r="K4566" s="25" t="str">
        <f>IF(OR(E4566="",E4566="!!!",F4566="NEW"),"",INDEX(J$1:J4565,SUMPRODUCT(MAX(ROW(E$1:E4565)*(E4566=E$1:E4565)))))</f>
        <v> </v>
      </c>
      <c r="L4566" s="26"/>
    </row>
    <row r="4567" spans="1:12">
      <c r="A4567" s="20" t="s">
        <v>1047</v>
      </c>
      <c r="E4567" s="21">
        <f>IF(D4567="?OLD","!!!","")</f>
        <v/>
      </c>
      <c r="F4567" s="22" t="str">
        <f>IF(OR(E4567="",E4567="!!!"),"",IF(NOT(ISNA(VLOOKUP(E4567,E$1:E4566,1,FALSE()))),"OLD",IF(AND(E4567&lt;&gt;"",E4567&lt;&gt;"!!!"),"NEW","")))</f>
        <v> </v>
      </c>
      <c r="G4567" s="23" t="str">
        <f>IF(OR(E4567="",E4567="!!!"),"",IF(OR(J4567=0,AND(J4567=1,K4567=1),AND(J4567=1,I4567="SBJ"),AND(J4567=1,I4567=0)),"?IN_FOCUS",IF(J4567&lt;=2,"?ACTIVATED",IF(J4567&lt;&gt;"","?FAMILIAR",IF(F4567="NEW",IF(ISNA(VLOOKUP(E4567,#REF!,1,FALSE())),"?TYPE_IDENTIFIABLE","?REFERENTIAL"),"_")))))</f>
        <v> </v>
      </c>
      <c r="H4567" s="24" t="str">
        <f>IF(J4567&lt;&gt;1,"",IF(I4567="SBJ","CB","?"))</f>
        <v> </v>
      </c>
      <c r="I4567" s="25" t="str">
        <f>IF(OR(E4567="",E4567="!!!",F4567="NEW"),"",INDEX(B4566:B$2,-1+SUMPRODUCT(MAX(ROW(E4566:E$2)*(E4567=E4566:E$2)))))</f>
        <v> </v>
      </c>
      <c r="J4567" s="25" t="str">
        <f>IF(OR(E4567="",E4567="!!!",F4567="NEW"),"",COUNTBLANK(OFFSET(A$1,,,SUMPRODUCT(MAX(ROW(E$2:E4567)*(E4567=E$2:E4567)))))-COUNTBLANK(OFFSET(A$1,,,SUMPRODUCT(MAX(ROW(E$1:E4566)*(E2=E$1:E4566))))))</f>
        <v> </v>
      </c>
      <c r="K4567" s="25" t="str">
        <f>IF(OR(E4567="",E4567="!!!",F4567="NEW"),"",INDEX(J$1:J4566,SUMPRODUCT(MAX(ROW(E$1:E4566)*(E4567=E$1:E4566)))))</f>
        <v> </v>
      </c>
      <c r="L4567" s="26"/>
    </row>
    <row r="4568" spans="1:12">
      <c r="A4568" s="20" t="s">
        <v>698</v>
      </c>
      <c r="E4568" s="21">
        <f>IF(D4568="?OLD","!!!","")</f>
        <v/>
      </c>
      <c r="F4568" s="22" t="str">
        <f>IF(OR(E4568="",E4568="!!!"),"",IF(NOT(ISNA(VLOOKUP(E4568,E$1:E4567,1,FALSE()))),"OLD",IF(AND(E4568&lt;&gt;"",E4568&lt;&gt;"!!!"),"NEW","")))</f>
        <v> </v>
      </c>
      <c r="G4568" s="23" t="str">
        <f>IF(OR(E4568="",E4568="!!!"),"",IF(OR(J4568=0,AND(J4568=1,K4568=1),AND(J4568=1,I4568="SBJ"),AND(J4568=1,I4568=0)),"?IN_FOCUS",IF(J4568&lt;=2,"?ACTIVATED",IF(J4568&lt;&gt;"","?FAMILIAR",IF(F4568="NEW",IF(ISNA(VLOOKUP(E4568,#REF!,1,FALSE())),"?TYPE_IDENTIFIABLE","?REFERENTIAL"),"_")))))</f>
        <v> </v>
      </c>
      <c r="H4568" s="24" t="str">
        <f>IF(J4568&lt;&gt;1,"",IF(I4568="SBJ","CB","?"))</f>
        <v> </v>
      </c>
      <c r="I4568" s="25" t="str">
        <f>IF(OR(E4568="",E4568="!!!",F4568="NEW"),"",INDEX(B4567:B$2,-1+SUMPRODUCT(MAX(ROW(E4567:E$2)*(E4568=E4567:E$2)))))</f>
        <v> </v>
      </c>
      <c r="J4568" s="25" t="str">
        <f>IF(OR(E4568="",E4568="!!!",F4568="NEW"),"",COUNTBLANK(OFFSET(A$1,,,SUMPRODUCT(MAX(ROW(E$2:E4568)*(E4568=E$2:E4568)))))-COUNTBLANK(OFFSET(A$1,,,SUMPRODUCT(MAX(ROW(E$1:E4567)*(E2=E$1:E4567))))))</f>
        <v> </v>
      </c>
      <c r="K4568" s="25" t="str">
        <f>IF(OR(E4568="",E4568="!!!",F4568="NEW"),"",INDEX(J$1:J4567,SUMPRODUCT(MAX(ROW(E$1:E4567)*(E4568=E$1:E4567)))))</f>
        <v> </v>
      </c>
      <c r="L4568" s="26"/>
    </row>
    <row r="4569" spans="1:12">
      <c r="A4569" s="20"/>
    </row>
    <row r="4570" spans="1:12">
      <c r="A4570" s="20" t="s">
        <v>2019</v>
      </c>
    </row>
    <row r="4571" spans="1:12">
      <c r="A4571" s="20" t="s">
        <v>1772</v>
      </c>
      <c r="E4571" s="21">
        <f>IF(D4571="?OLD","!!!","")</f>
        <v/>
      </c>
      <c r="F4571" s="22" t="str">
        <f>IF(OR(E4571="",E4571="!!!"),"",IF(NOT(ISNA(VLOOKUP(E4571,E$1:E4570,1,FALSE()))),"OLD",IF(AND(E4571&lt;&gt;"",E4571&lt;&gt;"!!!"),"NEW","")))</f>
        <v> </v>
      </c>
      <c r="G4571" s="23" t="str">
        <f>IF(OR(E4571="",E4571="!!!"),"",IF(OR(J4571=0,AND(J4571=1,K4571=1),AND(J4571=1,I4571="SBJ"),AND(J4571=1,I4571=0)),"?IN_FOCUS",IF(J4571&lt;=2,"?ACTIVATED",IF(J4571&lt;&gt;"","?FAMILIAR",IF(F4571="NEW",IF(ISNA(VLOOKUP(E4571,#REF!,1,FALSE())),"?TYPE_IDENTIFIABLE","?REFERENTIAL"),"_")))))</f>
        <v> </v>
      </c>
      <c r="H4571" s="24" t="str">
        <f>IF(J4571&lt;&gt;1,"",IF(I4571="SBJ","CB","?"))</f>
        <v> </v>
      </c>
      <c r="I4571" s="25" t="str">
        <f>IF(OR(E4571="",E4571="!!!",F4571="NEW"),"",INDEX(B4570:B$2,-1+SUMPRODUCT(MAX(ROW(E4570:E$2)*(E4571=E4570:E$2)))))</f>
        <v> </v>
      </c>
      <c r="J4571" s="25" t="str">
        <f>IF(OR(E4571="",E4571="!!!",F4571="NEW"),"",COUNTBLANK(OFFSET(A$1,,,SUMPRODUCT(MAX(ROW(E$2:E4571)*(E4571=E$2:E4571)))))-COUNTBLANK(OFFSET(A$1,,,SUMPRODUCT(MAX(ROW(E$1:E4570)*(E2=E$1:E4570))))))</f>
        <v> </v>
      </c>
      <c r="K4571" s="25" t="str">
        <f>IF(OR(E4571="",E4571="!!!",F4571="NEW"),"",INDEX(J$1:J4570,SUMPRODUCT(MAX(ROW(E$1:E4570)*(E4571=E$1:E4570)))))</f>
        <v> </v>
      </c>
      <c r="L4571" s="26"/>
    </row>
    <row r="4572" spans="1:12">
      <c r="A4572" s="20" t="s">
        <v>732</v>
      </c>
      <c r="E4572" s="21">
        <f>IF(D4572="?OLD","!!!","")</f>
        <v/>
      </c>
      <c r="F4572" s="22" t="str">
        <f>IF(OR(E4572="",E4572="!!!"),"",IF(NOT(ISNA(VLOOKUP(E4572,E$1:E4571,1,FALSE()))),"OLD",IF(AND(E4572&lt;&gt;"",E4572&lt;&gt;"!!!"),"NEW","")))</f>
        <v> </v>
      </c>
      <c r="G4572" s="23" t="str">
        <f>IF(OR(E4572="",E4572="!!!"),"",IF(OR(J4572=0,AND(J4572=1,K4572=1),AND(J4572=1,I4572="SBJ"),AND(J4572=1,I4572=0)),"?IN_FOCUS",IF(J4572&lt;=2,"?ACTIVATED",IF(J4572&lt;&gt;"","?FAMILIAR",IF(F4572="NEW",IF(ISNA(VLOOKUP(E4572,#REF!,1,FALSE())),"?TYPE_IDENTIFIABLE","?REFERENTIAL"),"_")))))</f>
        <v> </v>
      </c>
      <c r="H4572" s="24" t="str">
        <f>IF(J4572&lt;&gt;1,"",IF(I4572="SBJ","CB","?"))</f>
        <v> </v>
      </c>
      <c r="I4572" s="25" t="str">
        <f>IF(OR(E4572="",E4572="!!!",F4572="NEW"),"",INDEX(B4571:B$2,-1+SUMPRODUCT(MAX(ROW(E4571:E$2)*(E4572=E4571:E$2)))))</f>
        <v> </v>
      </c>
      <c r="J4572" s="25" t="str">
        <f>IF(OR(E4572="",E4572="!!!",F4572="NEW"),"",COUNTBLANK(OFFSET(A$1,,,SUMPRODUCT(MAX(ROW(E$2:E4572)*(E4572=E$2:E4572)))))-COUNTBLANK(OFFSET(A$1,,,SUMPRODUCT(MAX(ROW(E$1:E4571)*(E2=E$1:E4571))))))</f>
        <v> </v>
      </c>
      <c r="K4572" s="25" t="str">
        <f>IF(OR(E4572="",E4572="!!!",F4572="NEW"),"",INDEX(J$1:J4571,SUMPRODUCT(MAX(ROW(E$1:E4571)*(E4572=E$1:E4571)))))</f>
        <v> </v>
      </c>
      <c r="L4572" s="26"/>
    </row>
    <row r="4573" spans="1:12">
      <c r="A4573" s="20" t="s">
        <v>306</v>
      </c>
      <c r="E4573" s="21">
        <f>IF(D4573="?OLD","!!!","")</f>
        <v/>
      </c>
      <c r="F4573" s="22" t="str">
        <f>IF(OR(E4573="",E4573="!!!"),"",IF(NOT(ISNA(VLOOKUP(E4573,E$1:E4572,1,FALSE()))),"OLD",IF(AND(E4573&lt;&gt;"",E4573&lt;&gt;"!!!"),"NEW","")))</f>
        <v> </v>
      </c>
      <c r="G4573" s="23" t="str">
        <f>IF(OR(E4573="",E4573="!!!"),"",IF(OR(J4573=0,AND(J4573=1,K4573=1),AND(J4573=1,I4573="SBJ"),AND(J4573=1,I4573=0)),"?IN_FOCUS",IF(J4573&lt;=2,"?ACTIVATED",IF(J4573&lt;&gt;"","?FAMILIAR",IF(F4573="NEW",IF(ISNA(VLOOKUP(E4573,#REF!,1,FALSE())),"?TYPE_IDENTIFIABLE","?REFERENTIAL"),"_")))))</f>
        <v> </v>
      </c>
      <c r="H4573" s="24" t="str">
        <f>IF(J4573&lt;&gt;1,"",IF(I4573="SBJ","CB","?"))</f>
        <v> </v>
      </c>
      <c r="I4573" s="25" t="str">
        <f>IF(OR(E4573="",E4573="!!!",F4573="NEW"),"",INDEX(B4572:B$2,-1+SUMPRODUCT(MAX(ROW(E4572:E$2)*(E4573=E4572:E$2)))))</f>
        <v> </v>
      </c>
      <c r="J4573" s="25" t="str">
        <f>IF(OR(E4573="",E4573="!!!",F4573="NEW"),"",COUNTBLANK(OFFSET(A$1,,,SUMPRODUCT(MAX(ROW(E$2:E4573)*(E4573=E$2:E4573)))))-COUNTBLANK(OFFSET(A$1,,,SUMPRODUCT(MAX(ROW(E$1:E4572)*(E2=E$1:E4572))))))</f>
        <v> </v>
      </c>
      <c r="K4573" s="25" t="str">
        <f>IF(OR(E4573="",E4573="!!!",F4573="NEW"),"",INDEX(J$1:J4572,SUMPRODUCT(MAX(ROW(E$1:E4572)*(E4573=E$1:E4572)))))</f>
        <v> </v>
      </c>
      <c r="L4573" s="26"/>
    </row>
    <row r="4574" spans="1:12">
      <c r="A4574" s="20" t="s">
        <v>848</v>
      </c>
      <c r="B4574" s="27" t="s">
        <v>787</v>
      </c>
      <c r="C4574" s="27" t="s">
        <v>686</v>
      </c>
      <c r="D4574" s="27" t="s">
        <v>687</v>
      </c>
      <c r="E4574" s="21">
        <f>IF(D4574="?OLD","!!!","")</f>
        <v/>
      </c>
      <c r="F4574" s="22" t="str">
        <f>IF(OR(E4574="",E4574="!!!"),"",IF(NOT(ISNA(VLOOKUP(E4574,E$1:E4573,1,FALSE()))),"OLD",IF(AND(E4574&lt;&gt;"",E4574&lt;&gt;"!!!"),"NEW","")))</f>
        <v> </v>
      </c>
      <c r="G4574" s="23" t="str">
        <f>IF(OR(E4574="",E4574="!!!"),"",IF(OR(J4574=0,AND(J4574=1,K4574=1),AND(J4574=1,I4574="SBJ"),AND(J4574=1,I4574=0)),"?IN_FOCUS",IF(J4574&lt;=2,"?ACTIVATED",IF(J4574&lt;&gt;"","?FAMILIAR",IF(F4574="NEW",IF(ISNA(VLOOKUP(E4574,#REF!,1,FALSE())),"?TYPE_IDENTIFIABLE","?REFERENTIAL"),"_")))))</f>
        <v> </v>
      </c>
      <c r="H4574" s="24" t="str">
        <f>IF(J4574&lt;&gt;1,"",IF(I4574="SBJ","CB","?"))</f>
        <v> </v>
      </c>
      <c r="I4574" s="25" t="str">
        <f>IF(OR(E4574="",E4574="!!!",F4574="NEW"),"",INDEX(B4573:B$2,-1+SUMPRODUCT(MAX(ROW(E4573:E$2)*(E4574=E4573:E$2)))))</f>
        <v> </v>
      </c>
      <c r="J4574" s="25" t="str">
        <f>IF(OR(E4574="",E4574="!!!",F4574="NEW"),"",COUNTBLANK(OFFSET(A$1,,,SUMPRODUCT(MAX(ROW(E$2:E4574)*(E4574=E$2:E4574)))))-COUNTBLANK(OFFSET(A$1,,,SUMPRODUCT(MAX(ROW(E$1:E4573)*(E2=E$1:E4573))))))</f>
        <v> </v>
      </c>
      <c r="K4574" s="25" t="str">
        <f>IF(OR(E4574="",E4574="!!!",F4574="NEW"),"",INDEX(J$1:J4573,SUMPRODUCT(MAX(ROW(E$1:E4573)*(E4574=E$1:E4573)))))</f>
        <v> </v>
      </c>
      <c r="L4574" s="26"/>
    </row>
    <row r="4575" spans="1:12">
      <c r="A4575" s="20" t="s">
        <v>732</v>
      </c>
      <c r="B4575" s="27" t="s">
        <v>863</v>
      </c>
      <c r="E4575" s="21">
        <f>IF(D4575="?OLD","!!!","")</f>
        <v/>
      </c>
      <c r="F4575" s="22" t="str">
        <f>IF(OR(E4575="",E4575="!!!"),"",IF(NOT(ISNA(VLOOKUP(E4575,E$1:E4574,1,FALSE()))),"OLD",IF(AND(E4575&lt;&gt;"",E4575&lt;&gt;"!!!"),"NEW","")))</f>
        <v> </v>
      </c>
      <c r="G4575" s="23" t="str">
        <f>IF(OR(E4575="",E4575="!!!"),"",IF(OR(J4575=0,AND(J4575=1,K4575=1),AND(J4575=1,I4575="SBJ"),AND(J4575=1,I4575=0)),"?IN_FOCUS",IF(J4575&lt;=2,"?ACTIVATED",IF(J4575&lt;&gt;"","?FAMILIAR",IF(F4575="NEW",IF(ISNA(VLOOKUP(E4575,#REF!,1,FALSE())),"?TYPE_IDENTIFIABLE","?REFERENTIAL"),"_")))))</f>
        <v> </v>
      </c>
      <c r="H4575" s="24" t="str">
        <f>IF(J4575&lt;&gt;1,"",IF(I4575="SBJ","CB","?"))</f>
        <v> </v>
      </c>
      <c r="I4575" s="25" t="str">
        <f>IF(OR(E4575="",E4575="!!!",F4575="NEW"),"",INDEX(B4574:B$2,-1+SUMPRODUCT(MAX(ROW(E4574:E$2)*(E4575=E4574:E$2)))))</f>
        <v> </v>
      </c>
      <c r="J4575" s="25" t="str">
        <f>IF(OR(E4575="",E4575="!!!",F4575="NEW"),"",COUNTBLANK(OFFSET(A$1,,,SUMPRODUCT(MAX(ROW(E$2:E4575)*(E4575=E$2:E4575)))))-COUNTBLANK(OFFSET(A$1,,,SUMPRODUCT(MAX(ROW(E$1:E4574)*(E2=E$1:E4574))))))</f>
        <v> </v>
      </c>
      <c r="K4575" s="25" t="str">
        <f>IF(OR(E4575="",E4575="!!!",F4575="NEW"),"",INDEX(J$1:J4574,SUMPRODUCT(MAX(ROW(E$1:E4574)*(E4575=E$1:E4574)))))</f>
        <v> </v>
      </c>
      <c r="L4575" s="26"/>
    </row>
    <row r="4576" spans="1:12">
      <c r="A4576" s="20" t="s">
        <v>849</v>
      </c>
      <c r="E4576" s="21">
        <f>IF(D4576="?OLD","!!!","")</f>
        <v/>
      </c>
      <c r="F4576" s="22" t="str">
        <f>IF(OR(E4576="",E4576="!!!"),"",IF(NOT(ISNA(VLOOKUP(E4576,E$1:E4575,1,FALSE()))),"OLD",IF(AND(E4576&lt;&gt;"",E4576&lt;&gt;"!!!"),"NEW","")))</f>
        <v> </v>
      </c>
      <c r="G4576" s="23" t="str">
        <f>IF(OR(E4576="",E4576="!!!"),"",IF(OR(J4576=0,AND(J4576=1,K4576=1),AND(J4576=1,I4576="SBJ"),AND(J4576=1,I4576=0)),"?IN_FOCUS",IF(J4576&lt;=2,"?ACTIVATED",IF(J4576&lt;&gt;"","?FAMILIAR",IF(F4576="NEW",IF(ISNA(VLOOKUP(E4576,#REF!,1,FALSE())),"?TYPE_IDENTIFIABLE","?REFERENTIAL"),"_")))))</f>
        <v> </v>
      </c>
      <c r="H4576" s="24" t="str">
        <f>IF(J4576&lt;&gt;1,"",IF(I4576="SBJ","CB","?"))</f>
        <v> </v>
      </c>
      <c r="I4576" s="25" t="str">
        <f>IF(OR(E4576="",E4576="!!!",F4576="NEW"),"",INDEX(B4575:B$2,-1+SUMPRODUCT(MAX(ROW(E4575:E$2)*(E4576=E4575:E$2)))))</f>
        <v> </v>
      </c>
      <c r="J4576" s="25" t="str">
        <f>IF(OR(E4576="",E4576="!!!",F4576="NEW"),"",COUNTBLANK(OFFSET(A$1,,,SUMPRODUCT(MAX(ROW(E$2:E4576)*(E4576=E$2:E4576)))))-COUNTBLANK(OFFSET(A$1,,,SUMPRODUCT(MAX(ROW(E$1:E4575)*(E2=E$1:E4575))))))</f>
        <v> </v>
      </c>
      <c r="K4576" s="25" t="str">
        <f>IF(OR(E4576="",E4576="!!!",F4576="NEW"),"",INDEX(J$1:J4575,SUMPRODUCT(MAX(ROW(E$1:E4575)*(E4576=E$1:E4575)))))</f>
        <v> </v>
      </c>
      <c r="L4576" s="26"/>
    </row>
    <row r="4577" spans="1:12">
      <c r="A4577" s="20" t="s">
        <v>850</v>
      </c>
      <c r="E4577" s="21">
        <f>IF(D4577="?OLD","!!!","")</f>
        <v/>
      </c>
      <c r="F4577" s="22" t="str">
        <f>IF(OR(E4577="",E4577="!!!"),"",IF(NOT(ISNA(VLOOKUP(E4577,E$1:E4576,1,FALSE()))),"OLD",IF(AND(E4577&lt;&gt;"",E4577&lt;&gt;"!!!"),"NEW","")))</f>
        <v> </v>
      </c>
      <c r="G4577" s="23" t="str">
        <f>IF(OR(E4577="",E4577="!!!"),"",IF(OR(J4577=0,AND(J4577=1,K4577=1),AND(J4577=1,I4577="SBJ"),AND(J4577=1,I4577=0)),"?IN_FOCUS",IF(J4577&lt;=2,"?ACTIVATED",IF(J4577&lt;&gt;"","?FAMILIAR",IF(F4577="NEW",IF(ISNA(VLOOKUP(E4577,#REF!,1,FALSE())),"?TYPE_IDENTIFIABLE","?REFERENTIAL"),"_")))))</f>
        <v> </v>
      </c>
      <c r="H4577" s="24" t="str">
        <f>IF(J4577&lt;&gt;1,"",IF(I4577="SBJ","CB","?"))</f>
        <v> </v>
      </c>
      <c r="I4577" s="25" t="str">
        <f>IF(OR(E4577="",E4577="!!!",F4577="NEW"),"",INDEX(B4576:B$2,-1+SUMPRODUCT(MAX(ROW(E4576:E$2)*(E4577=E4576:E$2)))))</f>
        <v> </v>
      </c>
      <c r="J4577" s="25" t="str">
        <f>IF(OR(E4577="",E4577="!!!",F4577="NEW"),"",COUNTBLANK(OFFSET(A$1,,,SUMPRODUCT(MAX(ROW(E$2:E4577)*(E4577=E$2:E4577)))))-COUNTBLANK(OFFSET(A$1,,,SUMPRODUCT(MAX(ROW(E$1:E4576)*(E2=E$1:E4576))))))</f>
        <v> </v>
      </c>
      <c r="K4577" s="25" t="str">
        <f>IF(OR(E4577="",E4577="!!!",F4577="NEW"),"",INDEX(J$1:J4576,SUMPRODUCT(MAX(ROW(E$1:E4576)*(E4577=E$1:E4576)))))</f>
        <v> </v>
      </c>
      <c r="L4577" s="26"/>
    </row>
    <row r="4578" spans="1:12">
      <c r="A4578" s="20" t="s">
        <v>760</v>
      </c>
      <c r="E4578" s="21">
        <f>IF(D4578="?OLD","!!!","")</f>
        <v/>
      </c>
      <c r="F4578" s="22" t="str">
        <f>IF(OR(E4578="",E4578="!!!"),"",IF(NOT(ISNA(VLOOKUP(E4578,E$1:E4577,1,FALSE()))),"OLD",IF(AND(E4578&lt;&gt;"",E4578&lt;&gt;"!!!"),"NEW","")))</f>
        <v> </v>
      </c>
      <c r="G4578" s="23" t="str">
        <f>IF(OR(E4578="",E4578="!!!"),"",IF(OR(J4578=0,AND(J4578=1,K4578=1),AND(J4578=1,I4578="SBJ"),AND(J4578=1,I4578=0)),"?IN_FOCUS",IF(J4578&lt;=2,"?ACTIVATED",IF(J4578&lt;&gt;"","?FAMILIAR",IF(F4578="NEW",IF(ISNA(VLOOKUP(E4578,#REF!,1,FALSE())),"?TYPE_IDENTIFIABLE","?REFERENTIAL"),"_")))))</f>
        <v> </v>
      </c>
      <c r="H4578" s="24" t="str">
        <f>IF(J4578&lt;&gt;1,"",IF(I4578="SBJ","CB","?"))</f>
        <v> </v>
      </c>
      <c r="I4578" s="25" t="str">
        <f>IF(OR(E4578="",E4578="!!!",F4578="NEW"),"",INDEX(B4577:B$2,-1+SUMPRODUCT(MAX(ROW(E4577:E$2)*(E4578=E4577:E$2)))))</f>
        <v> </v>
      </c>
      <c r="J4578" s="25" t="str">
        <f>IF(OR(E4578="",E4578="!!!",F4578="NEW"),"",COUNTBLANK(OFFSET(A$1,,,SUMPRODUCT(MAX(ROW(E$2:E4578)*(E4578=E$2:E4578)))))-COUNTBLANK(OFFSET(A$1,,,SUMPRODUCT(MAX(ROW(E$1:E4577)*(E2=E$1:E4577))))))</f>
        <v> </v>
      </c>
      <c r="K4578" s="25" t="str">
        <f>IF(OR(E4578="",E4578="!!!",F4578="NEW"),"",INDEX(J$1:J4577,SUMPRODUCT(MAX(ROW(E$1:E4577)*(E4578=E$1:E4577)))))</f>
        <v> </v>
      </c>
      <c r="L4578" s="26"/>
    </row>
    <row r="4579" spans="1:12">
      <c r="A4579" s="20" t="s">
        <v>1136</v>
      </c>
      <c r="B4579" s="27" t="s">
        <v>843</v>
      </c>
      <c r="C4579" s="27" t="s">
        <v>772</v>
      </c>
      <c r="D4579" s="27" t="s">
        <v>687</v>
      </c>
      <c r="E4579" s="21">
        <f>IF(D4579="?OLD","!!!","")</f>
        <v/>
      </c>
      <c r="F4579" s="22" t="str">
        <f>IF(OR(E4579="",E4579="!!!"),"",IF(NOT(ISNA(VLOOKUP(E4579,E$1:E4578,1,FALSE()))),"OLD",IF(AND(E4579&lt;&gt;"",E4579&lt;&gt;"!!!"),"NEW","")))</f>
        <v> </v>
      </c>
      <c r="G4579" s="23" t="str">
        <f>IF(OR(E4579="",E4579="!!!"),"",IF(OR(J4579=0,AND(J4579=1,K4579=1),AND(J4579=1,I4579="SBJ"),AND(J4579=1,I4579=0)),"?IN_FOCUS",IF(J4579&lt;=2,"?ACTIVATED",IF(J4579&lt;&gt;"","?FAMILIAR",IF(F4579="NEW",IF(ISNA(VLOOKUP(E4579,#REF!,1,FALSE())),"?TYPE_IDENTIFIABLE","?REFERENTIAL"),"_")))))</f>
        <v> </v>
      </c>
      <c r="H4579" s="24" t="str">
        <f>IF(J4579&lt;&gt;1,"",IF(I4579="SBJ","CB","?"))</f>
        <v> </v>
      </c>
      <c r="I4579" s="25" t="str">
        <f>IF(OR(E4579="",E4579="!!!",F4579="NEW"),"",INDEX(B4578:B$2,-1+SUMPRODUCT(MAX(ROW(E4578:E$2)*(E4579=E4578:E$2)))))</f>
        <v> </v>
      </c>
      <c r="J4579" s="25" t="str">
        <f>IF(OR(E4579="",E4579="!!!",F4579="NEW"),"",COUNTBLANK(OFFSET(A$1,,,SUMPRODUCT(MAX(ROW(E$2:E4579)*(E4579=E$2:E4579)))))-COUNTBLANK(OFFSET(A$1,,,SUMPRODUCT(MAX(ROW(E$1:E4578)*(E2=E$1:E4578))))))</f>
        <v> </v>
      </c>
      <c r="K4579" s="25" t="str">
        <f>IF(OR(E4579="",E4579="!!!",F4579="NEW"),"",INDEX(J$1:J4578,SUMPRODUCT(MAX(ROW(E$1:E4578)*(E4579=E$1:E4578)))))</f>
        <v> </v>
      </c>
      <c r="L4579" s="26"/>
    </row>
    <row r="4580" spans="1:12">
      <c r="A4580" s="20" t="s">
        <v>851</v>
      </c>
      <c r="B4580" s="27" t="s">
        <v>821</v>
      </c>
      <c r="C4580" s="27" t="s">
        <v>686</v>
      </c>
      <c r="D4580" s="27" t="s">
        <v>687</v>
      </c>
      <c r="E4580" s="21">
        <f>IF(D4580="?OLD","!!!","")</f>
        <v/>
      </c>
      <c r="F4580" s="22" t="str">
        <f>IF(OR(E4580="",E4580="!!!"),"",IF(NOT(ISNA(VLOOKUP(E4580,E$1:E4579,1,FALSE()))),"OLD",IF(AND(E4580&lt;&gt;"",E4580&lt;&gt;"!!!"),"NEW","")))</f>
        <v> </v>
      </c>
      <c r="G4580" s="23" t="str">
        <f>IF(OR(E4580="",E4580="!!!"),"",IF(OR(J4580=0,AND(J4580=1,K4580=1),AND(J4580=1,I4580="SBJ"),AND(J4580=1,I4580=0)),"?IN_FOCUS",IF(J4580&lt;=2,"?ACTIVATED",IF(J4580&lt;&gt;"","?FAMILIAR",IF(F4580="NEW",IF(ISNA(VLOOKUP(E4580,#REF!,1,FALSE())),"?TYPE_IDENTIFIABLE","?REFERENTIAL"),"_")))))</f>
        <v> </v>
      </c>
      <c r="H4580" s="24" t="str">
        <f>IF(J4580&lt;&gt;1,"",IF(I4580="SBJ","CB","?"))</f>
        <v> </v>
      </c>
      <c r="I4580" s="25" t="str">
        <f>IF(OR(E4580="",E4580="!!!",F4580="NEW"),"",INDEX(B4579:B$2,-1+SUMPRODUCT(MAX(ROW(E4579:E$2)*(E4580=E4579:E$2)))))</f>
        <v> </v>
      </c>
      <c r="J4580" s="25" t="str">
        <f>IF(OR(E4580="",E4580="!!!",F4580="NEW"),"",COUNTBLANK(OFFSET(A$1,,,SUMPRODUCT(MAX(ROW(E$2:E4580)*(E4580=E$2:E4580)))))-COUNTBLANK(OFFSET(A$1,,,SUMPRODUCT(MAX(ROW(E$1:E4579)*(E2=E$1:E4579))))))</f>
        <v> </v>
      </c>
      <c r="K4580" s="25" t="str">
        <f>IF(OR(E4580="",E4580="!!!",F4580="NEW"),"",INDEX(J$1:J4579,SUMPRODUCT(MAX(ROW(E$1:E4579)*(E4580=E$1:E4579)))))</f>
        <v> </v>
      </c>
      <c r="L4580" s="26"/>
    </row>
    <row r="4581" spans="1:12">
      <c r="A4581" s="20" t="s">
        <v>740</v>
      </c>
      <c r="E4581" s="21">
        <f>IF(D4581="?OLD","!!!","")</f>
        <v/>
      </c>
      <c r="F4581" s="22" t="str">
        <f>IF(OR(E4581="",E4581="!!!"),"",IF(NOT(ISNA(VLOOKUP(E4581,E$1:E4580,1,FALSE()))),"OLD",IF(AND(E4581&lt;&gt;"",E4581&lt;&gt;"!!!"),"NEW","")))</f>
        <v> </v>
      </c>
      <c r="G4581" s="23" t="str">
        <f>IF(OR(E4581="",E4581="!!!"),"",IF(OR(J4581=0,AND(J4581=1,K4581=1),AND(J4581=1,I4581="SBJ"),AND(J4581=1,I4581=0)),"?IN_FOCUS",IF(J4581&lt;=2,"?ACTIVATED",IF(J4581&lt;&gt;"","?FAMILIAR",IF(F4581="NEW",IF(ISNA(VLOOKUP(E4581,#REF!,1,FALSE())),"?TYPE_IDENTIFIABLE","?REFERENTIAL"),"_")))))</f>
        <v> </v>
      </c>
      <c r="H4581" s="24" t="str">
        <f>IF(J4581&lt;&gt;1,"",IF(I4581="SBJ","CB","?"))</f>
        <v> </v>
      </c>
      <c r="I4581" s="25" t="str">
        <f>IF(OR(E4581="",E4581="!!!",F4581="NEW"),"",INDEX(B4580:B$2,-1+SUMPRODUCT(MAX(ROW(E4580:E$2)*(E4581=E4580:E$2)))))</f>
        <v> </v>
      </c>
      <c r="J4581" s="25" t="str">
        <f>IF(OR(E4581="",E4581="!!!",F4581="NEW"),"",COUNTBLANK(OFFSET(A$1,,,SUMPRODUCT(MAX(ROW(E$2:E4581)*(E4581=E$2:E4581)))))-COUNTBLANK(OFFSET(A$1,,,SUMPRODUCT(MAX(ROW(E$1:E4580)*(E2=E$1:E4580))))))</f>
        <v> </v>
      </c>
      <c r="K4581" s="25" t="str">
        <f>IF(OR(E4581="",E4581="!!!",F4581="NEW"),"",INDEX(J$1:J4580,SUMPRODUCT(MAX(ROW(E$1:E4580)*(E4581=E$1:E4580)))))</f>
        <v> </v>
      </c>
      <c r="L4581" s="26"/>
    </row>
    <row r="4582" spans="1:12">
      <c r="A4582" s="20" t="s">
        <v>852</v>
      </c>
      <c r="E4582" s="21">
        <f>IF(D4582="?OLD","!!!","")</f>
        <v/>
      </c>
      <c r="F4582" s="22" t="str">
        <f>IF(OR(E4582="",E4582="!!!"),"",IF(NOT(ISNA(VLOOKUP(E4582,E$1:E4581,1,FALSE()))),"OLD",IF(AND(E4582&lt;&gt;"",E4582&lt;&gt;"!!!"),"NEW","")))</f>
        <v> </v>
      </c>
      <c r="G4582" s="23" t="str">
        <f>IF(OR(E4582="",E4582="!!!"),"",IF(OR(J4582=0,AND(J4582=1,K4582=1),AND(J4582=1,I4582="SBJ"),AND(J4582=1,I4582=0)),"?IN_FOCUS",IF(J4582&lt;=2,"?ACTIVATED",IF(J4582&lt;&gt;"","?FAMILIAR",IF(F4582="NEW",IF(ISNA(VLOOKUP(E4582,#REF!,1,FALSE())),"?TYPE_IDENTIFIABLE","?REFERENTIAL"),"_")))))</f>
        <v> </v>
      </c>
      <c r="H4582" s="24" t="str">
        <f>IF(J4582&lt;&gt;1,"",IF(I4582="SBJ","CB","?"))</f>
        <v> </v>
      </c>
      <c r="I4582" s="25" t="str">
        <f>IF(OR(E4582="",E4582="!!!",F4582="NEW"),"",INDEX(B4581:B$2,-1+SUMPRODUCT(MAX(ROW(E4581:E$2)*(E4582=E4581:E$2)))))</f>
        <v> </v>
      </c>
      <c r="J4582" s="25" t="str">
        <f>IF(OR(E4582="",E4582="!!!",F4582="NEW"),"",COUNTBLANK(OFFSET(A$1,,,SUMPRODUCT(MAX(ROW(E$2:E4582)*(E4582=E$2:E4582)))))-COUNTBLANK(OFFSET(A$1,,,SUMPRODUCT(MAX(ROW(E$1:E4581)*(E2=E$1:E4581))))))</f>
        <v> </v>
      </c>
      <c r="K4582" s="25" t="str">
        <f>IF(OR(E4582="",E4582="!!!",F4582="NEW"),"",INDEX(J$1:J4581,SUMPRODUCT(MAX(ROW(E$1:E4581)*(E4582=E$1:E4581)))))</f>
        <v> </v>
      </c>
      <c r="L4582" s="26"/>
    </row>
    <row r="4583" spans="1:12">
      <c r="A4583" s="20" t="s">
        <v>694</v>
      </c>
      <c r="E4583" s="21">
        <f>IF(D4583="?OLD","!!!","")</f>
        <v/>
      </c>
      <c r="F4583" s="22" t="str">
        <f>IF(OR(E4583="",E4583="!!!"),"",IF(NOT(ISNA(VLOOKUP(E4583,E$1:E4582,1,FALSE()))),"OLD",IF(AND(E4583&lt;&gt;"",E4583&lt;&gt;"!!!"),"NEW","")))</f>
        <v> </v>
      </c>
      <c r="G4583" s="23" t="str">
        <f>IF(OR(E4583="",E4583="!!!"),"",IF(OR(J4583=0,AND(J4583=1,K4583=1),AND(J4583=1,I4583="SBJ"),AND(J4583=1,I4583=0)),"?IN_FOCUS",IF(J4583&lt;=2,"?ACTIVATED",IF(J4583&lt;&gt;"","?FAMILIAR",IF(F4583="NEW",IF(ISNA(VLOOKUP(E4583,#REF!,1,FALSE())),"?TYPE_IDENTIFIABLE","?REFERENTIAL"),"_")))))</f>
        <v> </v>
      </c>
      <c r="H4583" s="24" t="str">
        <f>IF(J4583&lt;&gt;1,"",IF(I4583="SBJ","CB","?"))</f>
        <v> </v>
      </c>
      <c r="I4583" s="25" t="str">
        <f>IF(OR(E4583="",E4583="!!!",F4583="NEW"),"",INDEX(B4582:B$2,-1+SUMPRODUCT(MAX(ROW(E4582:E$2)*(E4583=E4582:E$2)))))</f>
        <v> </v>
      </c>
      <c r="J4583" s="25" t="str">
        <f>IF(OR(E4583="",E4583="!!!",F4583="NEW"),"",COUNTBLANK(OFFSET(A$1,,,SUMPRODUCT(MAX(ROW(E$2:E4583)*(E4583=E$2:E4583)))))-COUNTBLANK(OFFSET(A$1,,,SUMPRODUCT(MAX(ROW(E$1:E4582)*(E2=E$1:E4582))))))</f>
        <v> </v>
      </c>
      <c r="K4583" s="25" t="str">
        <f>IF(OR(E4583="",E4583="!!!",F4583="NEW"),"",INDEX(J$1:J4582,SUMPRODUCT(MAX(ROW(E$1:E4582)*(E4583=E$1:E4582)))))</f>
        <v> </v>
      </c>
      <c r="L4583" s="26"/>
    </row>
    <row r="4584" spans="1:12">
      <c r="A4584" s="20" t="s">
        <v>853</v>
      </c>
      <c r="E4584" s="21">
        <f>IF(D4584="?OLD","!!!","")</f>
        <v/>
      </c>
      <c r="F4584" s="22" t="str">
        <f>IF(OR(E4584="",E4584="!!!"),"",IF(NOT(ISNA(VLOOKUP(E4584,E$1:E4583,1,FALSE()))),"OLD",IF(AND(E4584&lt;&gt;"",E4584&lt;&gt;"!!!"),"NEW","")))</f>
        <v> </v>
      </c>
      <c r="G4584" s="23" t="str">
        <f>IF(OR(E4584="",E4584="!!!"),"",IF(OR(J4584=0,AND(J4584=1,K4584=1),AND(J4584=1,I4584="SBJ"),AND(J4584=1,I4584=0)),"?IN_FOCUS",IF(J4584&lt;=2,"?ACTIVATED",IF(J4584&lt;&gt;"","?FAMILIAR",IF(F4584="NEW",IF(ISNA(VLOOKUP(E4584,#REF!,1,FALSE())),"?TYPE_IDENTIFIABLE","?REFERENTIAL"),"_")))))</f>
        <v> </v>
      </c>
      <c r="H4584" s="24" t="str">
        <f>IF(J4584&lt;&gt;1,"",IF(I4584="SBJ","CB","?"))</f>
        <v> </v>
      </c>
      <c r="I4584" s="25" t="str">
        <f>IF(OR(E4584="",E4584="!!!",F4584="NEW"),"",INDEX(B4583:B$2,-1+SUMPRODUCT(MAX(ROW(E4583:E$2)*(E4584=E4583:E$2)))))</f>
        <v> </v>
      </c>
      <c r="J4584" s="25" t="str">
        <f>IF(OR(E4584="",E4584="!!!",F4584="NEW"),"",COUNTBLANK(OFFSET(A$1,,,SUMPRODUCT(MAX(ROW(E$2:E4584)*(E4584=E$2:E4584)))))-COUNTBLANK(OFFSET(A$1,,,SUMPRODUCT(MAX(ROW(E$1:E4583)*(E2=E$1:E4583))))))</f>
        <v> </v>
      </c>
      <c r="K4584" s="25" t="str">
        <f>IF(OR(E4584="",E4584="!!!",F4584="NEW"),"",INDEX(J$1:J4583,SUMPRODUCT(MAX(ROW(E$1:E4583)*(E4584=E$1:E4583)))))</f>
        <v> </v>
      </c>
      <c r="L4584" s="26"/>
    </row>
    <row r="4585" spans="1:12">
      <c r="A4585" s="20" t="s">
        <v>854</v>
      </c>
      <c r="E4585" s="21">
        <f>IF(D4585="?OLD","!!!","")</f>
        <v/>
      </c>
      <c r="F4585" s="22" t="str">
        <f>IF(OR(E4585="",E4585="!!!"),"",IF(NOT(ISNA(VLOOKUP(E4585,E$1:E4584,1,FALSE()))),"OLD",IF(AND(E4585&lt;&gt;"",E4585&lt;&gt;"!!!"),"NEW","")))</f>
        <v> </v>
      </c>
      <c r="G4585" s="23" t="str">
        <f>IF(OR(E4585="",E4585="!!!"),"",IF(OR(J4585=0,AND(J4585=1,K4585=1),AND(J4585=1,I4585="SBJ"),AND(J4585=1,I4585=0)),"?IN_FOCUS",IF(J4585&lt;=2,"?ACTIVATED",IF(J4585&lt;&gt;"","?FAMILIAR",IF(F4585="NEW",IF(ISNA(VLOOKUP(E4585,#REF!,1,FALSE())),"?TYPE_IDENTIFIABLE","?REFERENTIAL"),"_")))))</f>
        <v> </v>
      </c>
      <c r="H4585" s="24" t="str">
        <f>IF(J4585&lt;&gt;1,"",IF(I4585="SBJ","CB","?"))</f>
        <v> </v>
      </c>
      <c r="I4585" s="25" t="str">
        <f>IF(OR(E4585="",E4585="!!!",F4585="NEW"),"",INDEX(B4584:B$2,-1+SUMPRODUCT(MAX(ROW(E4584:E$2)*(E4585=E4584:E$2)))))</f>
        <v> </v>
      </c>
      <c r="J4585" s="25" t="str">
        <f>IF(OR(E4585="",E4585="!!!",F4585="NEW"),"",COUNTBLANK(OFFSET(A$1,,,SUMPRODUCT(MAX(ROW(E$2:E4585)*(E4585=E$2:E4585)))))-COUNTBLANK(OFFSET(A$1,,,SUMPRODUCT(MAX(ROW(E$1:E4584)*(E2=E$1:E4584))))))</f>
        <v> </v>
      </c>
      <c r="K4585" s="25" t="str">
        <f>IF(OR(E4585="",E4585="!!!",F4585="NEW"),"",INDEX(J$1:J4584,SUMPRODUCT(MAX(ROW(E$1:E4584)*(E4585=E$1:E4584)))))</f>
        <v> </v>
      </c>
      <c r="L4585" s="26"/>
    </row>
    <row r="4586" spans="1:12">
      <c r="A4586" s="20" t="s">
        <v>855</v>
      </c>
      <c r="B4586" s="27" t="s">
        <v>696</v>
      </c>
      <c r="C4586" s="27" t="s">
        <v>693</v>
      </c>
      <c r="D4586" s="27" t="s">
        <v>687</v>
      </c>
      <c r="E4586" s="21">
        <f>IF(D4586="?OLD","!!!","")</f>
        <v/>
      </c>
      <c r="F4586" s="22" t="str">
        <f>IF(OR(E4586="",E4586="!!!"),"",IF(NOT(ISNA(VLOOKUP(E4586,E$1:E4585,1,FALSE()))),"OLD",IF(AND(E4586&lt;&gt;"",E4586&lt;&gt;"!!!"),"NEW","")))</f>
        <v> </v>
      </c>
      <c r="G4586" s="23" t="str">
        <f>IF(OR(E4586="",E4586="!!!"),"",IF(OR(J4586=0,AND(J4586=1,K4586=1),AND(J4586=1,I4586="SBJ"),AND(J4586=1,I4586=0)),"?IN_FOCUS",IF(J4586&lt;=2,"?ACTIVATED",IF(J4586&lt;&gt;"","?FAMILIAR",IF(F4586="NEW",IF(ISNA(VLOOKUP(E4586,#REF!,1,FALSE())),"?TYPE_IDENTIFIABLE","?REFERENTIAL"),"_")))))</f>
        <v> </v>
      </c>
      <c r="H4586" s="24" t="str">
        <f>IF(J4586&lt;&gt;1,"",IF(I4586="SBJ","CB","?"))</f>
        <v> </v>
      </c>
      <c r="I4586" s="25" t="str">
        <f>IF(OR(E4586="",E4586="!!!",F4586="NEW"),"",INDEX(B4585:B$2,-1+SUMPRODUCT(MAX(ROW(E4585:E$2)*(E4586=E4585:E$2)))))</f>
        <v> </v>
      </c>
      <c r="J4586" s="25" t="str">
        <f>IF(OR(E4586="",E4586="!!!",F4586="NEW"),"",COUNTBLANK(OFFSET(A$1,,,SUMPRODUCT(MAX(ROW(E$2:E4586)*(E4586=E$2:E4586)))))-COUNTBLANK(OFFSET(A$1,,,SUMPRODUCT(MAX(ROW(E$1:E4585)*(E2=E$1:E4585))))))</f>
        <v> </v>
      </c>
      <c r="K4586" s="25" t="str">
        <f>IF(OR(E4586="",E4586="!!!",F4586="NEW"),"",INDEX(J$1:J4585,SUMPRODUCT(MAX(ROW(E$1:E4585)*(E4586=E$1:E4585)))))</f>
        <v> </v>
      </c>
      <c r="L4586" s="26"/>
    </row>
    <row r="4587" spans="1:12">
      <c r="A4587" s="20" t="s">
        <v>694</v>
      </c>
      <c r="E4587" s="21">
        <f>IF(D4587="?OLD","!!!","")</f>
        <v/>
      </c>
      <c r="F4587" s="22" t="str">
        <f>IF(OR(E4587="",E4587="!!!"),"",IF(NOT(ISNA(VLOOKUP(E4587,E$1:E4586,1,FALSE()))),"OLD",IF(AND(E4587&lt;&gt;"",E4587&lt;&gt;"!!!"),"NEW","")))</f>
        <v> </v>
      </c>
      <c r="G4587" s="23" t="str">
        <f>IF(OR(E4587="",E4587="!!!"),"",IF(OR(J4587=0,AND(J4587=1,K4587=1),AND(J4587=1,I4587="SBJ"),AND(J4587=1,I4587=0)),"?IN_FOCUS",IF(J4587&lt;=2,"?ACTIVATED",IF(J4587&lt;&gt;"","?FAMILIAR",IF(F4587="NEW",IF(ISNA(VLOOKUP(E4587,#REF!,1,FALSE())),"?TYPE_IDENTIFIABLE","?REFERENTIAL"),"_")))))</f>
        <v> </v>
      </c>
      <c r="H4587" s="24" t="str">
        <f>IF(J4587&lt;&gt;1,"",IF(I4587="SBJ","CB","?"))</f>
        <v> </v>
      </c>
      <c r="I4587" s="25" t="str">
        <f>IF(OR(E4587="",E4587="!!!",F4587="NEW"),"",INDEX(B4586:B$2,-1+SUMPRODUCT(MAX(ROW(E4586:E$2)*(E4587=E4586:E$2)))))</f>
        <v> </v>
      </c>
      <c r="J4587" s="25" t="str">
        <f>IF(OR(E4587="",E4587="!!!",F4587="NEW"),"",COUNTBLANK(OFFSET(A$1,,,SUMPRODUCT(MAX(ROW(E$2:E4587)*(E4587=E$2:E4587)))))-COUNTBLANK(OFFSET(A$1,,,SUMPRODUCT(MAX(ROW(E$1:E4586)*(E2=E$1:E4586))))))</f>
        <v> </v>
      </c>
      <c r="K4587" s="25" t="str">
        <f>IF(OR(E4587="",E4587="!!!",F4587="NEW"),"",INDEX(J$1:J4586,SUMPRODUCT(MAX(ROW(E$1:E4586)*(E4587=E$1:E4586)))))</f>
        <v> </v>
      </c>
      <c r="L4587" s="26"/>
    </row>
    <row r="4588" spans="1:12">
      <c r="A4588" s="20" t="s">
        <v>306</v>
      </c>
      <c r="E4588" s="21">
        <f>IF(D4588="?OLD","!!!","")</f>
        <v/>
      </c>
      <c r="F4588" s="22" t="str">
        <f>IF(OR(E4588="",E4588="!!!"),"",IF(NOT(ISNA(VLOOKUP(E4588,E$1:E4587,1,FALSE()))),"OLD",IF(AND(E4588&lt;&gt;"",E4588&lt;&gt;"!!!"),"NEW","")))</f>
        <v> </v>
      </c>
      <c r="G4588" s="23" t="str">
        <f>IF(OR(E4588="",E4588="!!!"),"",IF(OR(J4588=0,AND(J4588=1,K4588=1),AND(J4588=1,I4588="SBJ"),AND(J4588=1,I4588=0)),"?IN_FOCUS",IF(J4588&lt;=2,"?ACTIVATED",IF(J4588&lt;&gt;"","?FAMILIAR",IF(F4588="NEW",IF(ISNA(VLOOKUP(E4588,#REF!,1,FALSE())),"?TYPE_IDENTIFIABLE","?REFERENTIAL"),"_")))))</f>
        <v> </v>
      </c>
      <c r="H4588" s="24" t="str">
        <f>IF(J4588&lt;&gt;1,"",IF(I4588="SBJ","CB","?"))</f>
        <v> </v>
      </c>
      <c r="I4588" s="25" t="str">
        <f>IF(OR(E4588="",E4588="!!!",F4588="NEW"),"",INDEX(B4587:B$2,-1+SUMPRODUCT(MAX(ROW(E4587:E$2)*(E4588=E4587:E$2)))))</f>
        <v> </v>
      </c>
      <c r="J4588" s="25" t="str">
        <f>IF(OR(E4588="",E4588="!!!",F4588="NEW"),"",COUNTBLANK(OFFSET(A$1,,,SUMPRODUCT(MAX(ROW(E$2:E4588)*(E4588=E$2:E4588)))))-COUNTBLANK(OFFSET(A$1,,,SUMPRODUCT(MAX(ROW(E$1:E4587)*(E2=E$1:E4587))))))</f>
        <v> </v>
      </c>
      <c r="K4588" s="25" t="str">
        <f>IF(OR(E4588="",E4588="!!!",F4588="NEW"),"",INDEX(J$1:J4587,SUMPRODUCT(MAX(ROW(E$1:E4587)*(E4588=E$1:E4587)))))</f>
        <v> </v>
      </c>
      <c r="L4588" s="26"/>
    </row>
    <row r="4589" spans="1:12">
      <c r="A4589" s="20" t="s">
        <v>856</v>
      </c>
      <c r="B4589" s="27" t="s">
        <v>724</v>
      </c>
      <c r="C4589" s="27" t="s">
        <v>686</v>
      </c>
      <c r="D4589" s="27" t="s">
        <v>687</v>
      </c>
      <c r="E4589" s="21">
        <f>IF(D4589="?OLD","!!!","")</f>
        <v/>
      </c>
      <c r="F4589" s="22" t="str">
        <f>IF(OR(E4589="",E4589="!!!"),"",IF(NOT(ISNA(VLOOKUP(E4589,E$1:E4588,1,FALSE()))),"OLD",IF(AND(E4589&lt;&gt;"",E4589&lt;&gt;"!!!"),"NEW","")))</f>
        <v> </v>
      </c>
      <c r="G4589" s="23" t="str">
        <f>IF(OR(E4589="",E4589="!!!"),"",IF(OR(J4589=0,AND(J4589=1,K4589=1),AND(J4589=1,I4589="SBJ"),AND(J4589=1,I4589=0)),"?IN_FOCUS",IF(J4589&lt;=2,"?ACTIVATED",IF(J4589&lt;&gt;"","?FAMILIAR",IF(F4589="NEW",IF(ISNA(VLOOKUP(E4589,#REF!,1,FALSE())),"?TYPE_IDENTIFIABLE","?REFERENTIAL"),"_")))))</f>
        <v> </v>
      </c>
      <c r="H4589" s="24" t="str">
        <f>IF(J4589&lt;&gt;1,"",IF(I4589="SBJ","CB","?"))</f>
        <v> </v>
      </c>
      <c r="I4589" s="25" t="str">
        <f>IF(OR(E4589="",E4589="!!!",F4589="NEW"),"",INDEX(B4588:B$2,-1+SUMPRODUCT(MAX(ROW(E4588:E$2)*(E4589=E4588:E$2)))))</f>
        <v> </v>
      </c>
      <c r="J4589" s="25" t="str">
        <f>IF(OR(E4589="",E4589="!!!",F4589="NEW"),"",COUNTBLANK(OFFSET(A$1,,,SUMPRODUCT(MAX(ROW(E$2:E4589)*(E4589=E$2:E4589)))))-COUNTBLANK(OFFSET(A$1,,,SUMPRODUCT(MAX(ROW(E$1:E4588)*(E2=E$1:E4588))))))</f>
        <v> </v>
      </c>
      <c r="K4589" s="25" t="str">
        <f>IF(OR(E4589="",E4589="!!!",F4589="NEW"),"",INDEX(J$1:J4588,SUMPRODUCT(MAX(ROW(E$1:E4588)*(E4589=E$1:E4588)))))</f>
        <v> </v>
      </c>
      <c r="L4589" s="26"/>
    </row>
    <row r="4590" spans="1:12">
      <c r="A4590" s="20" t="s">
        <v>682</v>
      </c>
      <c r="E4590" s="21">
        <f>IF(D4590="?OLD","!!!","")</f>
        <v/>
      </c>
      <c r="F4590" s="22" t="str">
        <f>IF(OR(E4590="",E4590="!!!"),"",IF(NOT(ISNA(VLOOKUP(E4590,E$1:E4589,1,FALSE()))),"OLD",IF(AND(E4590&lt;&gt;"",E4590&lt;&gt;"!!!"),"NEW","")))</f>
        <v> </v>
      </c>
      <c r="G4590" s="23" t="str">
        <f>IF(OR(E4590="",E4590="!!!"),"",IF(OR(J4590=0,AND(J4590=1,K4590=1),AND(J4590=1,I4590="SBJ"),AND(J4590=1,I4590=0)),"?IN_FOCUS",IF(J4590&lt;=2,"?ACTIVATED",IF(J4590&lt;&gt;"","?FAMILIAR",IF(F4590="NEW",IF(ISNA(VLOOKUP(E4590,#REF!,1,FALSE())),"?TYPE_IDENTIFIABLE","?REFERENTIAL"),"_")))))</f>
        <v> </v>
      </c>
      <c r="H4590" s="24" t="str">
        <f>IF(J4590&lt;&gt;1,"",IF(I4590="SBJ","CB","?"))</f>
        <v> </v>
      </c>
      <c r="I4590" s="25" t="str">
        <f>IF(OR(E4590="",E4590="!!!",F4590="NEW"),"",INDEX(B4589:B$2,-1+SUMPRODUCT(MAX(ROW(E4589:E$2)*(E4590=E4589:E$2)))))</f>
        <v> </v>
      </c>
      <c r="J4590" s="25" t="str">
        <f>IF(OR(E4590="",E4590="!!!",F4590="NEW"),"",COUNTBLANK(OFFSET(A$1,,,SUMPRODUCT(MAX(ROW(E$2:E4590)*(E4590=E$2:E4590)))))-COUNTBLANK(OFFSET(A$1,,,SUMPRODUCT(MAX(ROW(E$1:E4589)*(E2=E$1:E4589))))))</f>
        <v> </v>
      </c>
      <c r="K4590" s="25" t="str">
        <f>IF(OR(E4590="",E4590="!!!",F4590="NEW"),"",INDEX(J$1:J4589,SUMPRODUCT(MAX(ROW(E$1:E4589)*(E4590=E$1:E4589)))))</f>
        <v> </v>
      </c>
      <c r="L4590" s="26"/>
    </row>
    <row r="4591" spans="1:12">
      <c r="A4591" s="20" t="s">
        <v>703</v>
      </c>
      <c r="E4591" s="21">
        <f>IF(D4591="?OLD","!!!","")</f>
        <v/>
      </c>
      <c r="F4591" s="22" t="str">
        <f>IF(OR(E4591="",E4591="!!!"),"",IF(NOT(ISNA(VLOOKUP(E4591,E$1:E4590,1,FALSE()))),"OLD",IF(AND(E4591&lt;&gt;"",E4591&lt;&gt;"!!!"),"NEW","")))</f>
        <v> </v>
      </c>
      <c r="G4591" s="23" t="str">
        <f>IF(OR(E4591="",E4591="!!!"),"",IF(OR(J4591=0,AND(J4591=1,K4591=1),AND(J4591=1,I4591="SBJ"),AND(J4591=1,I4591=0)),"?IN_FOCUS",IF(J4591&lt;=2,"?ACTIVATED",IF(J4591&lt;&gt;"","?FAMILIAR",IF(F4591="NEW",IF(ISNA(VLOOKUP(E4591,#REF!,1,FALSE())),"?TYPE_IDENTIFIABLE","?REFERENTIAL"),"_")))))</f>
        <v> </v>
      </c>
      <c r="H4591" s="24" t="str">
        <f>IF(J4591&lt;&gt;1,"",IF(I4591="SBJ","CB","?"))</f>
        <v> </v>
      </c>
      <c r="I4591" s="25" t="str">
        <f>IF(OR(E4591="",E4591="!!!",F4591="NEW"),"",INDEX(B4590:B$2,-1+SUMPRODUCT(MAX(ROW(E4590:E$2)*(E4591=E4590:E$2)))))</f>
        <v> </v>
      </c>
      <c r="J4591" s="25" t="str">
        <f>IF(OR(E4591="",E4591="!!!",F4591="NEW"),"",COUNTBLANK(OFFSET(A$1,,,SUMPRODUCT(MAX(ROW(E$2:E4591)*(E4591=E$2:E4591)))))-COUNTBLANK(OFFSET(A$1,,,SUMPRODUCT(MAX(ROW(E$1:E4590)*(E2=E$1:E4590))))))</f>
        <v> </v>
      </c>
      <c r="K4591" s="25" t="str">
        <f>IF(OR(E4591="",E4591="!!!",F4591="NEW"),"",INDEX(J$1:J4590,SUMPRODUCT(MAX(ROW(E$1:E4590)*(E4591=E$1:E4590)))))</f>
        <v> </v>
      </c>
      <c r="L4591" s="26"/>
    </row>
    <row r="4592" spans="1:12">
      <c r="A4592" s="20" t="s">
        <v>682</v>
      </c>
      <c r="E4592" s="21">
        <f>IF(D4592="?OLD","!!!","")</f>
        <v/>
      </c>
      <c r="F4592" s="22" t="str">
        <f>IF(OR(E4592="",E4592="!!!"),"",IF(NOT(ISNA(VLOOKUP(E4592,E$1:E4591,1,FALSE()))),"OLD",IF(AND(E4592&lt;&gt;"",E4592&lt;&gt;"!!!"),"NEW","")))</f>
        <v> </v>
      </c>
      <c r="G4592" s="23" t="str">
        <f>IF(OR(E4592="",E4592="!!!"),"",IF(OR(J4592=0,AND(J4592=1,K4592=1),AND(J4592=1,I4592="SBJ"),AND(J4592=1,I4592=0)),"?IN_FOCUS",IF(J4592&lt;=2,"?ACTIVATED",IF(J4592&lt;&gt;"","?FAMILIAR",IF(F4592="NEW",IF(ISNA(VLOOKUP(E4592,#REF!,1,FALSE())),"?TYPE_IDENTIFIABLE","?REFERENTIAL"),"_")))))</f>
        <v> </v>
      </c>
      <c r="H4592" s="24" t="str">
        <f>IF(J4592&lt;&gt;1,"",IF(I4592="SBJ","CB","?"))</f>
        <v> </v>
      </c>
      <c r="I4592" s="25" t="str">
        <f>IF(OR(E4592="",E4592="!!!",F4592="NEW"),"",INDEX(B4591:B$2,-1+SUMPRODUCT(MAX(ROW(E4591:E$2)*(E4592=E4591:E$2)))))</f>
        <v> </v>
      </c>
      <c r="J4592" s="25" t="str">
        <f>IF(OR(E4592="",E4592="!!!",F4592="NEW"),"",COUNTBLANK(OFFSET(A$1,,,SUMPRODUCT(MAX(ROW(E$2:E4592)*(E4592=E$2:E4592)))))-COUNTBLANK(OFFSET(A$1,,,SUMPRODUCT(MAX(ROW(E$1:E4591)*(E2=E$1:E4591))))))</f>
        <v> </v>
      </c>
      <c r="K4592" s="25" t="str">
        <f>IF(OR(E4592="",E4592="!!!",F4592="NEW"),"",INDEX(J$1:J4591,SUMPRODUCT(MAX(ROW(E$1:E4591)*(E4592=E$1:E4591)))))</f>
        <v> </v>
      </c>
      <c r="L4592" s="26"/>
    </row>
    <row r="4593" spans="1:12">
      <c r="A4593" s="20" t="s">
        <v>778</v>
      </c>
      <c r="E4593" s="21">
        <f>IF(D4593="?OLD","!!!","")</f>
        <v/>
      </c>
      <c r="F4593" s="22" t="str">
        <f>IF(OR(E4593="",E4593="!!!"),"",IF(NOT(ISNA(VLOOKUP(E4593,E$1:E4592,1,FALSE()))),"OLD",IF(AND(E4593&lt;&gt;"",E4593&lt;&gt;"!!!"),"NEW","")))</f>
        <v> </v>
      </c>
      <c r="G4593" s="23" t="str">
        <f>IF(OR(E4593="",E4593="!!!"),"",IF(OR(J4593=0,AND(J4593=1,K4593=1),AND(J4593=1,I4593="SBJ"),AND(J4593=1,I4593=0)),"?IN_FOCUS",IF(J4593&lt;=2,"?ACTIVATED",IF(J4593&lt;&gt;"","?FAMILIAR",IF(F4593="NEW",IF(ISNA(VLOOKUP(E4593,#REF!,1,FALSE())),"?TYPE_IDENTIFIABLE","?REFERENTIAL"),"_")))))</f>
        <v> </v>
      </c>
      <c r="H4593" s="24" t="str">
        <f>IF(J4593&lt;&gt;1,"",IF(I4593="SBJ","CB","?"))</f>
        <v> </v>
      </c>
      <c r="I4593" s="25" t="str">
        <f>IF(OR(E4593="",E4593="!!!",F4593="NEW"),"",INDEX(B4592:B$2,-1+SUMPRODUCT(MAX(ROW(E4592:E$2)*(E4593=E4592:E$2)))))</f>
        <v> </v>
      </c>
      <c r="J4593" s="25" t="str">
        <f>IF(OR(E4593="",E4593="!!!",F4593="NEW"),"",COUNTBLANK(OFFSET(A$1,,,SUMPRODUCT(MAX(ROW(E$2:E4593)*(E4593=E$2:E4593)))))-COUNTBLANK(OFFSET(A$1,,,SUMPRODUCT(MAX(ROW(E$1:E4592)*(E2=E$1:E4592))))))</f>
        <v> </v>
      </c>
      <c r="K4593" s="25" t="str">
        <f>IF(OR(E4593="",E4593="!!!",F4593="NEW"),"",INDEX(J$1:J4592,SUMPRODUCT(MAX(ROW(E$1:E4592)*(E4593=E$1:E4592)))))</f>
        <v> </v>
      </c>
      <c r="L4593" s="26"/>
    </row>
    <row r="4594" spans="1:12">
      <c r="A4594" s="20" t="s">
        <v>677</v>
      </c>
      <c r="E4594" s="21">
        <f>IF(D4594="?OLD","!!!","")</f>
        <v/>
      </c>
      <c r="F4594" s="22" t="str">
        <f>IF(OR(E4594="",E4594="!!!"),"",IF(NOT(ISNA(VLOOKUP(E4594,E$1:E4593,1,FALSE()))),"OLD",IF(AND(E4594&lt;&gt;"",E4594&lt;&gt;"!!!"),"NEW","")))</f>
        <v> </v>
      </c>
      <c r="G4594" s="23" t="str">
        <f>IF(OR(E4594="",E4594="!!!"),"",IF(OR(J4594=0,AND(J4594=1,K4594=1),AND(J4594=1,I4594="SBJ"),AND(J4594=1,I4594=0)),"?IN_FOCUS",IF(J4594&lt;=2,"?ACTIVATED",IF(J4594&lt;&gt;"","?FAMILIAR",IF(F4594="NEW",IF(ISNA(VLOOKUP(E4594,#REF!,1,FALSE())),"?TYPE_IDENTIFIABLE","?REFERENTIAL"),"_")))))</f>
        <v> </v>
      </c>
      <c r="H4594" s="24" t="str">
        <f>IF(J4594&lt;&gt;1,"",IF(I4594="SBJ","CB","?"))</f>
        <v> </v>
      </c>
      <c r="I4594" s="25" t="str">
        <f>IF(OR(E4594="",E4594="!!!",F4594="NEW"),"",INDEX(B4593:B$2,-1+SUMPRODUCT(MAX(ROW(E4593:E$2)*(E4594=E4593:E$2)))))</f>
        <v> </v>
      </c>
      <c r="J4594" s="25" t="str">
        <f>IF(OR(E4594="",E4594="!!!",F4594="NEW"),"",COUNTBLANK(OFFSET(A$1,,,SUMPRODUCT(MAX(ROW(E$2:E4594)*(E4594=E$2:E4594)))))-COUNTBLANK(OFFSET(A$1,,,SUMPRODUCT(MAX(ROW(E$1:E4593)*(E2=E$1:E4593))))))</f>
        <v> </v>
      </c>
      <c r="K4594" s="25" t="str">
        <f>IF(OR(E4594="",E4594="!!!",F4594="NEW"),"",INDEX(J$1:J4593,SUMPRODUCT(MAX(ROW(E$1:E4593)*(E4594=E$1:E4593)))))</f>
        <v> </v>
      </c>
      <c r="L4594" s="26"/>
    </row>
    <row r="4595" spans="1:12">
      <c r="A4595" s="20" t="s">
        <v>851</v>
      </c>
      <c r="B4595" s="27" t="s">
        <v>821</v>
      </c>
      <c r="C4595" s="27" t="s">
        <v>679</v>
      </c>
      <c r="E4595" s="21">
        <f>IF(D4595="?OLD","!!!","")</f>
        <v/>
      </c>
      <c r="F4595" s="22" t="str">
        <f>IF(OR(E4595="",E4595="!!!"),"",IF(NOT(ISNA(VLOOKUP(E4595,E$1:E4594,1,FALSE()))),"OLD",IF(AND(E4595&lt;&gt;"",E4595&lt;&gt;"!!!"),"NEW","")))</f>
        <v> </v>
      </c>
      <c r="G4595" s="23" t="str">
        <f>IF(OR(E4595="",E4595="!!!"),"",IF(OR(J4595=0,AND(J4595=1,K4595=1),AND(J4595=1,I4595="SBJ"),AND(J4595=1,I4595=0)),"?IN_FOCUS",IF(J4595&lt;=2,"?ACTIVATED",IF(J4595&lt;&gt;"","?FAMILIAR",IF(F4595="NEW",IF(ISNA(VLOOKUP(E4595,#REF!,1,FALSE())),"?TYPE_IDENTIFIABLE","?REFERENTIAL"),"_")))))</f>
        <v> </v>
      </c>
      <c r="H4595" s="24" t="str">
        <f>IF(J4595&lt;&gt;1,"",IF(I4595="SBJ","CB","?"))</f>
        <v> </v>
      </c>
      <c r="I4595" s="25" t="str">
        <f>IF(OR(E4595="",E4595="!!!",F4595="NEW"),"",INDEX(B4594:B$2,-1+SUMPRODUCT(MAX(ROW(E4594:E$2)*(E4595=E4594:E$2)))))</f>
        <v> </v>
      </c>
      <c r="J4595" s="25" t="str">
        <f>IF(OR(E4595="",E4595="!!!",F4595="NEW"),"",COUNTBLANK(OFFSET(A$1,,,SUMPRODUCT(MAX(ROW(E$2:E4595)*(E4595=E$2:E4595)))))-COUNTBLANK(OFFSET(A$1,,,SUMPRODUCT(MAX(ROW(E$1:E4594)*(E2=E$1:E4594))))))</f>
        <v> </v>
      </c>
      <c r="K4595" s="25" t="str">
        <f>IF(OR(E4595="",E4595="!!!",F4595="NEW"),"",INDEX(J$1:J4594,SUMPRODUCT(MAX(ROW(E$1:E4594)*(E4595=E$1:E4594)))))</f>
        <v> </v>
      </c>
      <c r="L4595" s="26"/>
    </row>
    <row r="4596" spans="1:12">
      <c r="A4596" s="20" t="s">
        <v>682</v>
      </c>
      <c r="E4596" s="21">
        <f>IF(D4596="?OLD","!!!","")</f>
        <v/>
      </c>
      <c r="F4596" s="22" t="str">
        <f>IF(OR(E4596="",E4596="!!!"),"",IF(NOT(ISNA(VLOOKUP(E4596,E$1:E4595,1,FALSE()))),"OLD",IF(AND(E4596&lt;&gt;"",E4596&lt;&gt;"!!!"),"NEW","")))</f>
        <v> </v>
      </c>
      <c r="G4596" s="23" t="str">
        <f>IF(OR(E4596="",E4596="!!!"),"",IF(OR(J4596=0,AND(J4596=1,K4596=1),AND(J4596=1,I4596="SBJ"),AND(J4596=1,I4596=0)),"?IN_FOCUS",IF(J4596&lt;=2,"?ACTIVATED",IF(J4596&lt;&gt;"","?FAMILIAR",IF(F4596="NEW",IF(ISNA(VLOOKUP(E4596,#REF!,1,FALSE())),"?TYPE_IDENTIFIABLE","?REFERENTIAL"),"_")))))</f>
        <v> </v>
      </c>
      <c r="H4596" s="24" t="str">
        <f>IF(J4596&lt;&gt;1,"",IF(I4596="SBJ","CB","?"))</f>
        <v> </v>
      </c>
      <c r="I4596" s="25" t="str">
        <f>IF(OR(E4596="",E4596="!!!",F4596="NEW"),"",INDEX(B4595:B$2,-1+SUMPRODUCT(MAX(ROW(E4595:E$2)*(E4596=E4595:E$2)))))</f>
        <v> </v>
      </c>
      <c r="J4596" s="25" t="str">
        <f>IF(OR(E4596="",E4596="!!!",F4596="NEW"),"",COUNTBLANK(OFFSET(A$1,,,SUMPRODUCT(MAX(ROW(E$2:E4596)*(E4596=E$2:E4596)))))-COUNTBLANK(OFFSET(A$1,,,SUMPRODUCT(MAX(ROW(E$1:E4595)*(E2=E$1:E4595))))))</f>
        <v> </v>
      </c>
      <c r="K4596" s="25" t="str">
        <f>IF(OR(E4596="",E4596="!!!",F4596="NEW"),"",INDEX(J$1:J4595,SUMPRODUCT(MAX(ROW(E$1:E4595)*(E4596=E$1:E4595)))))</f>
        <v> </v>
      </c>
      <c r="L4596" s="26"/>
    </row>
    <row r="4597" spans="1:12">
      <c r="A4597" s="20" t="s">
        <v>717</v>
      </c>
      <c r="E4597" s="21">
        <f>IF(D4597="?OLD","!!!","")</f>
        <v/>
      </c>
      <c r="F4597" s="22" t="str">
        <f>IF(OR(E4597="",E4597="!!!"),"",IF(NOT(ISNA(VLOOKUP(E4597,E$1:E4596,1,FALSE()))),"OLD",IF(AND(E4597&lt;&gt;"",E4597&lt;&gt;"!!!"),"NEW","")))</f>
        <v> </v>
      </c>
      <c r="G4597" s="23" t="str">
        <f>IF(OR(E4597="",E4597="!!!"),"",IF(OR(J4597=0,AND(J4597=1,K4597=1),AND(J4597=1,I4597="SBJ"),AND(J4597=1,I4597=0)),"?IN_FOCUS",IF(J4597&lt;=2,"?ACTIVATED",IF(J4597&lt;&gt;"","?FAMILIAR",IF(F4597="NEW",IF(ISNA(VLOOKUP(E4597,#REF!,1,FALSE())),"?TYPE_IDENTIFIABLE","?REFERENTIAL"),"_")))))</f>
        <v> </v>
      </c>
      <c r="H4597" s="24" t="str">
        <f>IF(J4597&lt;&gt;1,"",IF(I4597="SBJ","CB","?"))</f>
        <v> </v>
      </c>
      <c r="I4597" s="25" t="str">
        <f>IF(OR(E4597="",E4597="!!!",F4597="NEW"),"",INDEX(B4596:B$2,-1+SUMPRODUCT(MAX(ROW(E4596:E$2)*(E4597=E4596:E$2)))))</f>
        <v> </v>
      </c>
      <c r="J4597" s="25" t="str">
        <f>IF(OR(E4597="",E4597="!!!",F4597="NEW"),"",COUNTBLANK(OFFSET(A$1,,,SUMPRODUCT(MAX(ROW(E$2:E4597)*(E4597=E$2:E4597)))))-COUNTBLANK(OFFSET(A$1,,,SUMPRODUCT(MAX(ROW(E$1:E4596)*(E2=E$1:E4596))))))</f>
        <v> </v>
      </c>
      <c r="K4597" s="25" t="str">
        <f>IF(OR(E4597="",E4597="!!!",F4597="NEW"),"",INDEX(J$1:J4596,SUMPRODUCT(MAX(ROW(E$1:E4596)*(E4597=E$1:E4596)))))</f>
        <v> </v>
      </c>
      <c r="L4597" s="26"/>
    </row>
    <row r="4598" spans="1:12">
      <c r="A4598" s="20" t="s">
        <v>858</v>
      </c>
      <c r="E4598" s="21">
        <f>IF(D4598="?OLD","!!!","")</f>
        <v/>
      </c>
      <c r="F4598" s="22" t="str">
        <f>IF(OR(E4598="",E4598="!!!"),"",IF(NOT(ISNA(VLOOKUP(E4598,E$1:E4597,1,FALSE()))),"OLD",IF(AND(E4598&lt;&gt;"",E4598&lt;&gt;"!!!"),"NEW","")))</f>
        <v> </v>
      </c>
      <c r="G4598" s="23" t="str">
        <f>IF(OR(E4598="",E4598="!!!"),"",IF(OR(J4598=0,AND(J4598=1,K4598=1),AND(J4598=1,I4598="SBJ"),AND(J4598=1,I4598=0)),"?IN_FOCUS",IF(J4598&lt;=2,"?ACTIVATED",IF(J4598&lt;&gt;"","?FAMILIAR",IF(F4598="NEW",IF(ISNA(VLOOKUP(E4598,#REF!,1,FALSE())),"?TYPE_IDENTIFIABLE","?REFERENTIAL"),"_")))))</f>
        <v> </v>
      </c>
      <c r="H4598" s="24" t="str">
        <f>IF(J4598&lt;&gt;1,"",IF(I4598="SBJ","CB","?"))</f>
        <v> </v>
      </c>
      <c r="I4598" s="25" t="str">
        <f>IF(OR(E4598="",E4598="!!!",F4598="NEW"),"",INDEX(B4597:B$2,-1+SUMPRODUCT(MAX(ROW(E4597:E$2)*(E4598=E4597:E$2)))))</f>
        <v> </v>
      </c>
      <c r="J4598" s="25" t="str">
        <f>IF(OR(E4598="",E4598="!!!",F4598="NEW"),"",COUNTBLANK(OFFSET(A$1,,,SUMPRODUCT(MAX(ROW(E$2:E4598)*(E4598=E$2:E4598)))))-COUNTBLANK(OFFSET(A$1,,,SUMPRODUCT(MAX(ROW(E$1:E4597)*(E2=E$1:E4597))))))</f>
        <v> </v>
      </c>
      <c r="K4598" s="25" t="str">
        <f>IF(OR(E4598="",E4598="!!!",F4598="NEW"),"",INDEX(J$1:J4597,SUMPRODUCT(MAX(ROW(E$1:E4597)*(E4598=E$1:E4597)))))</f>
        <v> </v>
      </c>
      <c r="L4598" s="26"/>
    </row>
    <row r="4599" spans="1:12">
      <c r="A4599" s="20" t="s">
        <v>721</v>
      </c>
      <c r="E4599" s="21">
        <f>IF(D4599="?OLD","!!!","")</f>
        <v/>
      </c>
      <c r="F4599" s="22" t="str">
        <f>IF(OR(E4599="",E4599="!!!"),"",IF(NOT(ISNA(VLOOKUP(E4599,E$1:E4598,1,FALSE()))),"OLD",IF(AND(E4599&lt;&gt;"",E4599&lt;&gt;"!!!"),"NEW","")))</f>
        <v> </v>
      </c>
      <c r="G4599" s="23" t="str">
        <f>IF(OR(E4599="",E4599="!!!"),"",IF(OR(J4599=0,AND(J4599=1,K4599=1),AND(J4599=1,I4599="SBJ"),AND(J4599=1,I4599=0)),"?IN_FOCUS",IF(J4599&lt;=2,"?ACTIVATED",IF(J4599&lt;&gt;"","?FAMILIAR",IF(F4599="NEW",IF(ISNA(VLOOKUP(E4599,#REF!,1,FALSE())),"?TYPE_IDENTIFIABLE","?REFERENTIAL"),"_")))))</f>
        <v> </v>
      </c>
      <c r="H4599" s="24" t="str">
        <f>IF(J4599&lt;&gt;1,"",IF(I4599="SBJ","CB","?"))</f>
        <v> </v>
      </c>
      <c r="I4599" s="25" t="str">
        <f>IF(OR(E4599="",E4599="!!!",F4599="NEW"),"",INDEX(B4598:B$2,-1+SUMPRODUCT(MAX(ROW(E4598:E$2)*(E4599=E4598:E$2)))))</f>
        <v> </v>
      </c>
      <c r="J4599" s="25" t="str">
        <f>IF(OR(E4599="",E4599="!!!",F4599="NEW"),"",COUNTBLANK(OFFSET(A$1,,,SUMPRODUCT(MAX(ROW(E$2:E4599)*(E4599=E$2:E4599)))))-COUNTBLANK(OFFSET(A$1,,,SUMPRODUCT(MAX(ROW(E$1:E4598)*(E2=E$1:E4598))))))</f>
        <v> </v>
      </c>
      <c r="K4599" s="25" t="str">
        <f>IF(OR(E4599="",E4599="!!!",F4599="NEW"),"",INDEX(J$1:J4598,SUMPRODUCT(MAX(ROW(E$1:E4598)*(E4599=E$1:E4598)))))</f>
        <v> </v>
      </c>
      <c r="L4599" s="26"/>
    </row>
    <row r="4600" spans="1:12">
      <c r="A4600" s="20" t="s">
        <v>740</v>
      </c>
      <c r="E4600" s="21">
        <f>IF(D4600="?OLD","!!!","")</f>
        <v/>
      </c>
      <c r="F4600" s="22" t="str">
        <f>IF(OR(E4600="",E4600="!!!"),"",IF(NOT(ISNA(VLOOKUP(E4600,E$1:E4599,1,FALSE()))),"OLD",IF(AND(E4600&lt;&gt;"",E4600&lt;&gt;"!!!"),"NEW","")))</f>
        <v> </v>
      </c>
      <c r="G4600" s="23" t="str">
        <f>IF(OR(E4600="",E4600="!!!"),"",IF(OR(J4600=0,AND(J4600=1,K4600=1),AND(J4600=1,I4600="SBJ"),AND(J4600=1,I4600=0)),"?IN_FOCUS",IF(J4600&lt;=2,"?ACTIVATED",IF(J4600&lt;&gt;"","?FAMILIAR",IF(F4600="NEW",IF(ISNA(VLOOKUP(E4600,#REF!,1,FALSE())),"?TYPE_IDENTIFIABLE","?REFERENTIAL"),"_")))))</f>
        <v> </v>
      </c>
      <c r="H4600" s="24" t="str">
        <f>IF(J4600&lt;&gt;1,"",IF(I4600="SBJ","CB","?"))</f>
        <v> </v>
      </c>
      <c r="I4600" s="25" t="str">
        <f>IF(OR(E4600="",E4600="!!!",F4600="NEW"),"",INDEX(B4599:B$2,-1+SUMPRODUCT(MAX(ROW(E4599:E$2)*(E4600=E4599:E$2)))))</f>
        <v> </v>
      </c>
      <c r="J4600" s="25" t="str">
        <f>IF(OR(E4600="",E4600="!!!",F4600="NEW"),"",COUNTBLANK(OFFSET(A$1,,,SUMPRODUCT(MAX(ROW(E$2:E4600)*(E4600=E$2:E4600)))))-COUNTBLANK(OFFSET(A$1,,,SUMPRODUCT(MAX(ROW(E$1:E4599)*(E2=E$1:E4599))))))</f>
        <v> </v>
      </c>
      <c r="K4600" s="25" t="str">
        <f>IF(OR(E4600="",E4600="!!!",F4600="NEW"),"",INDEX(J$1:J4599,SUMPRODUCT(MAX(ROW(E$1:E4599)*(E4600=E$1:E4599)))))</f>
        <v> </v>
      </c>
      <c r="L4600" s="26"/>
    </row>
    <row r="4601" spans="1:12">
      <c r="A4601" s="20" t="s">
        <v>1246</v>
      </c>
      <c r="E4601" s="21">
        <f>IF(D4601="?OLD","!!!","")</f>
        <v/>
      </c>
      <c r="F4601" s="22" t="str">
        <f>IF(OR(E4601="",E4601="!!!"),"",IF(NOT(ISNA(VLOOKUP(E4601,E$1:E4600,1,FALSE()))),"OLD",IF(AND(E4601&lt;&gt;"",E4601&lt;&gt;"!!!"),"NEW","")))</f>
        <v> </v>
      </c>
      <c r="G4601" s="23" t="str">
        <f>IF(OR(E4601="",E4601="!!!"),"",IF(OR(J4601=0,AND(J4601=1,K4601=1),AND(J4601=1,I4601="SBJ"),AND(J4601=1,I4601=0)),"?IN_FOCUS",IF(J4601&lt;=2,"?ACTIVATED",IF(J4601&lt;&gt;"","?FAMILIAR",IF(F4601="NEW",IF(ISNA(VLOOKUP(E4601,#REF!,1,FALSE())),"?TYPE_IDENTIFIABLE","?REFERENTIAL"),"_")))))</f>
        <v> </v>
      </c>
      <c r="H4601" s="24" t="str">
        <f>IF(J4601&lt;&gt;1,"",IF(I4601="SBJ","CB","?"))</f>
        <v> </v>
      </c>
      <c r="I4601" s="25" t="str">
        <f>IF(OR(E4601="",E4601="!!!",F4601="NEW"),"",INDEX(B4600:B$2,-1+SUMPRODUCT(MAX(ROW(E4600:E$2)*(E4601=E4600:E$2)))))</f>
        <v> </v>
      </c>
      <c r="J4601" s="25" t="str">
        <f>IF(OR(E4601="",E4601="!!!",F4601="NEW"),"",COUNTBLANK(OFFSET(A$1,,,SUMPRODUCT(MAX(ROW(E$2:E4601)*(E4601=E$2:E4601)))))-COUNTBLANK(OFFSET(A$1,,,SUMPRODUCT(MAX(ROW(E$1:E4600)*(E2=E$1:E4600))))))</f>
        <v> </v>
      </c>
      <c r="K4601" s="25" t="str">
        <f>IF(OR(E4601="",E4601="!!!",F4601="NEW"),"",INDEX(J$1:J4600,SUMPRODUCT(MAX(ROW(E$1:E4600)*(E4601=E$1:E4600)))))</f>
        <v> </v>
      </c>
      <c r="L4601" s="26"/>
    </row>
    <row r="4602" spans="1:12">
      <c r="A4602" s="20" t="s">
        <v>855</v>
      </c>
      <c r="B4602" s="27" t="s">
        <v>724</v>
      </c>
      <c r="C4602" s="27" t="s">
        <v>899</v>
      </c>
      <c r="D4602" s="27" t="s">
        <v>687</v>
      </c>
      <c r="E4602" s="21">
        <f>IF(D4602="?OLD","!!!","")</f>
        <v/>
      </c>
      <c r="F4602" s="22" t="str">
        <f>IF(OR(E4602="",E4602="!!!"),"",IF(NOT(ISNA(VLOOKUP(E4602,E$1:E4601,1,FALSE()))),"OLD",IF(AND(E4602&lt;&gt;"",E4602&lt;&gt;"!!!"),"NEW","")))</f>
        <v> </v>
      </c>
      <c r="G4602" s="23" t="str">
        <f>IF(OR(E4602="",E4602="!!!"),"",IF(OR(J4602=0,AND(J4602=1,K4602=1),AND(J4602=1,I4602="SBJ"),AND(J4602=1,I4602=0)),"?IN_FOCUS",IF(J4602&lt;=2,"?ACTIVATED",IF(J4602&lt;&gt;"","?FAMILIAR",IF(F4602="NEW",IF(ISNA(VLOOKUP(E4602,#REF!,1,FALSE())),"?TYPE_IDENTIFIABLE","?REFERENTIAL"),"_")))))</f>
        <v> </v>
      </c>
      <c r="H4602" s="24" t="str">
        <f>IF(J4602&lt;&gt;1,"",IF(I4602="SBJ","CB","?"))</f>
        <v> </v>
      </c>
      <c r="I4602" s="25" t="str">
        <f>IF(OR(E4602="",E4602="!!!",F4602="NEW"),"",INDEX(B4601:B$2,-1+SUMPRODUCT(MAX(ROW(E4601:E$2)*(E4602=E4601:E$2)))))</f>
        <v> </v>
      </c>
      <c r="J4602" s="25" t="str">
        <f>IF(OR(E4602="",E4602="!!!",F4602="NEW"),"",COUNTBLANK(OFFSET(A$1,,,SUMPRODUCT(MAX(ROW(E$2:E4602)*(E4602=E$2:E4602)))))-COUNTBLANK(OFFSET(A$1,,,SUMPRODUCT(MAX(ROW(E$1:E4601)*(E2=E$1:E4601))))))</f>
        <v> </v>
      </c>
      <c r="K4602" s="25" t="str">
        <f>IF(OR(E4602="",E4602="!!!",F4602="NEW"),"",INDEX(J$1:J4601,SUMPRODUCT(MAX(ROW(E$1:E4601)*(E4602=E$1:E4601)))))</f>
        <v> </v>
      </c>
      <c r="L4602" s="26"/>
    </row>
    <row r="4603" spans="1:12">
      <c r="A4603" s="20" t="s">
        <v>698</v>
      </c>
      <c r="E4603" s="21">
        <f>IF(D4603="?OLD","!!!","")</f>
        <v/>
      </c>
      <c r="F4603" s="22" t="str">
        <f>IF(OR(E4603="",E4603="!!!"),"",IF(NOT(ISNA(VLOOKUP(E4603,E$1:E4602,1,FALSE()))),"OLD",IF(AND(E4603&lt;&gt;"",E4603&lt;&gt;"!!!"),"NEW","")))</f>
        <v> </v>
      </c>
      <c r="G4603" s="23" t="str">
        <f>IF(OR(E4603="",E4603="!!!"),"",IF(OR(J4603=0,AND(J4603=1,K4603=1),AND(J4603=1,I4603="SBJ"),AND(J4603=1,I4603=0)),"?IN_FOCUS",IF(J4603&lt;=2,"?ACTIVATED",IF(J4603&lt;&gt;"","?FAMILIAR",IF(F4603="NEW",IF(ISNA(VLOOKUP(E4603,#REF!,1,FALSE())),"?TYPE_IDENTIFIABLE","?REFERENTIAL"),"_")))))</f>
        <v> </v>
      </c>
      <c r="H4603" s="24" t="str">
        <f>IF(J4603&lt;&gt;1,"",IF(I4603="SBJ","CB","?"))</f>
        <v> </v>
      </c>
      <c r="I4603" s="25" t="str">
        <f>IF(OR(E4603="",E4603="!!!",F4603="NEW"),"",INDEX(B4602:B$2,-1+SUMPRODUCT(MAX(ROW(E4602:E$2)*(E4603=E4602:E$2)))))</f>
        <v> </v>
      </c>
      <c r="J4603" s="25" t="str">
        <f>IF(OR(E4603="",E4603="!!!",F4603="NEW"),"",COUNTBLANK(OFFSET(A$1,,,SUMPRODUCT(MAX(ROW(E$2:E4603)*(E4603=E$2:E4603)))))-COUNTBLANK(OFFSET(A$1,,,SUMPRODUCT(MAX(ROW(E$1:E4602)*(E2=E$1:E4602))))))</f>
        <v> </v>
      </c>
      <c r="K4603" s="25" t="str">
        <f>IF(OR(E4603="",E4603="!!!",F4603="NEW"),"",INDEX(J$1:J4602,SUMPRODUCT(MAX(ROW(E$1:E4602)*(E4603=E$1:E4602)))))</f>
        <v> </v>
      </c>
      <c r="L4603" s="26"/>
    </row>
    <row r="4604" spans="1:12">
      <c r="A4604" s="20"/>
    </row>
    <row r="4605" spans="1:12">
      <c r="A4605" s="20" t="s">
        <v>2020</v>
      </c>
    </row>
    <row r="4606" spans="1:12">
      <c r="A4606" s="20" t="s">
        <v>2021</v>
      </c>
      <c r="E4606" s="21">
        <f>IF(D4606="?OLD","!!!","")</f>
        <v/>
      </c>
      <c r="F4606" s="22" t="str">
        <f>IF(OR(E4606="",E4606="!!!"),"",IF(NOT(ISNA(VLOOKUP(E4606,E$1:E4605,1,FALSE()))),"OLD",IF(AND(E4606&lt;&gt;"",E4606&lt;&gt;"!!!"),"NEW","")))</f>
        <v> </v>
      </c>
      <c r="G4606" s="23" t="str">
        <f>IF(OR(E4606="",E4606="!!!"),"",IF(OR(J4606=0,AND(J4606=1,K4606=1),AND(J4606=1,I4606="SBJ"),AND(J4606=1,I4606=0)),"?IN_FOCUS",IF(J4606&lt;=2,"?ACTIVATED",IF(J4606&lt;&gt;"","?FAMILIAR",IF(F4606="NEW",IF(ISNA(VLOOKUP(E4606,#REF!,1,FALSE())),"?TYPE_IDENTIFIABLE","?REFERENTIAL"),"_")))))</f>
        <v> </v>
      </c>
      <c r="H4606" s="24" t="str">
        <f>IF(J4606&lt;&gt;1,"",IF(I4606="SBJ","CB","?"))</f>
        <v> </v>
      </c>
      <c r="I4606" s="25" t="str">
        <f>IF(OR(E4606="",E4606="!!!",F4606="NEW"),"",INDEX(B4605:B$2,-1+SUMPRODUCT(MAX(ROW(E4605:E$2)*(E4606=E4605:E$2)))))</f>
        <v> </v>
      </c>
      <c r="J4606" s="25" t="str">
        <f>IF(OR(E4606="",E4606="!!!",F4606="NEW"),"",COUNTBLANK(OFFSET(A$1,,,SUMPRODUCT(MAX(ROW(E$2:E4606)*(E4606=E$2:E4606)))))-COUNTBLANK(OFFSET(A$1,,,SUMPRODUCT(MAX(ROW(E$1:E4605)*(E2=E$1:E4605))))))</f>
        <v> </v>
      </c>
      <c r="K4606" s="25" t="str">
        <f>IF(OR(E4606="",E4606="!!!",F4606="NEW"),"",INDEX(J$1:J4605,SUMPRODUCT(MAX(ROW(E$1:E4605)*(E4606=E$1:E4605)))))</f>
        <v> </v>
      </c>
      <c r="L4606" s="26"/>
    </row>
    <row r="4607" spans="1:12">
      <c r="A4607" s="20" t="s">
        <v>732</v>
      </c>
      <c r="E4607" s="21">
        <f>IF(D4607="?OLD","!!!","")</f>
        <v/>
      </c>
      <c r="F4607" s="22" t="str">
        <f>IF(OR(E4607="",E4607="!!!"),"",IF(NOT(ISNA(VLOOKUP(E4607,E$1:E4606,1,FALSE()))),"OLD",IF(AND(E4607&lt;&gt;"",E4607&lt;&gt;"!!!"),"NEW","")))</f>
        <v> </v>
      </c>
      <c r="G4607" s="23" t="str">
        <f>IF(OR(E4607="",E4607="!!!"),"",IF(OR(J4607=0,AND(J4607=1,K4607=1),AND(J4607=1,I4607="SBJ"),AND(J4607=1,I4607=0)),"?IN_FOCUS",IF(J4607&lt;=2,"?ACTIVATED",IF(J4607&lt;&gt;"","?FAMILIAR",IF(F4607="NEW",IF(ISNA(VLOOKUP(E4607,#REF!,1,FALSE())),"?TYPE_IDENTIFIABLE","?REFERENTIAL"),"_")))))</f>
        <v> </v>
      </c>
      <c r="H4607" s="24" t="str">
        <f>IF(J4607&lt;&gt;1,"",IF(I4607="SBJ","CB","?"))</f>
        <v> </v>
      </c>
      <c r="I4607" s="25" t="str">
        <f>IF(OR(E4607="",E4607="!!!",F4607="NEW"),"",INDEX(B4606:B$2,-1+SUMPRODUCT(MAX(ROW(E4606:E$2)*(E4607=E4606:E$2)))))</f>
        <v> </v>
      </c>
      <c r="J4607" s="25" t="str">
        <f>IF(OR(E4607="",E4607="!!!",F4607="NEW"),"",COUNTBLANK(OFFSET(A$1,,,SUMPRODUCT(MAX(ROW(E$2:E4607)*(E4607=E$2:E4607)))))-COUNTBLANK(OFFSET(A$1,,,SUMPRODUCT(MAX(ROW(E$1:E4606)*(E2=E$1:E4606))))))</f>
        <v> </v>
      </c>
      <c r="K4607" s="25" t="str">
        <f>IF(OR(E4607="",E4607="!!!",F4607="NEW"),"",INDEX(J$1:J4606,SUMPRODUCT(MAX(ROW(E$1:E4606)*(E4607=E$1:E4606)))))</f>
        <v> </v>
      </c>
      <c r="L4607" s="26"/>
    </row>
    <row r="4608" spans="1:12">
      <c r="A4608" s="20" t="s">
        <v>958</v>
      </c>
      <c r="E4608" s="21">
        <f>IF(D4608="?OLD","!!!","")</f>
        <v/>
      </c>
      <c r="F4608" s="22" t="str">
        <f>IF(OR(E4608="",E4608="!!!"),"",IF(NOT(ISNA(VLOOKUP(E4608,E$1:E4607,1,FALSE()))),"OLD",IF(AND(E4608&lt;&gt;"",E4608&lt;&gt;"!!!"),"NEW","")))</f>
        <v> </v>
      </c>
      <c r="G4608" s="23" t="str">
        <f>IF(OR(E4608="",E4608="!!!"),"",IF(OR(J4608=0,AND(J4608=1,K4608=1),AND(J4608=1,I4608="SBJ"),AND(J4608=1,I4608=0)),"?IN_FOCUS",IF(J4608&lt;=2,"?ACTIVATED",IF(J4608&lt;&gt;"","?FAMILIAR",IF(F4608="NEW",IF(ISNA(VLOOKUP(E4608,#REF!,1,FALSE())),"?TYPE_IDENTIFIABLE","?REFERENTIAL"),"_")))))</f>
        <v> </v>
      </c>
      <c r="H4608" s="24" t="str">
        <f>IF(J4608&lt;&gt;1,"",IF(I4608="SBJ","CB","?"))</f>
        <v> </v>
      </c>
      <c r="I4608" s="25" t="str">
        <f>IF(OR(E4608="",E4608="!!!",F4608="NEW"),"",INDEX(B4607:B$2,-1+SUMPRODUCT(MAX(ROW(E4607:E$2)*(E4608=E4607:E$2)))))</f>
        <v> </v>
      </c>
      <c r="J4608" s="25" t="str">
        <f>IF(OR(E4608="",E4608="!!!",F4608="NEW"),"",COUNTBLANK(OFFSET(A$1,,,SUMPRODUCT(MAX(ROW(E$2:E4608)*(E4608=E$2:E4608)))))-COUNTBLANK(OFFSET(A$1,,,SUMPRODUCT(MAX(ROW(E$1:E4607)*(E2=E$1:E4607))))))</f>
        <v> </v>
      </c>
      <c r="K4608" s="25" t="str">
        <f>IF(OR(E4608="",E4608="!!!",F4608="NEW"),"",INDEX(J$1:J4607,SUMPRODUCT(MAX(ROW(E$1:E4607)*(E4608=E$1:E4607)))))</f>
        <v> </v>
      </c>
      <c r="L4608" s="26"/>
    </row>
    <row r="4609" spans="1:12">
      <c r="A4609" s="20" t="s">
        <v>1035</v>
      </c>
      <c r="B4609" s="27" t="s">
        <v>787</v>
      </c>
      <c r="C4609" s="27" t="s">
        <v>686</v>
      </c>
      <c r="D4609" s="27" t="s">
        <v>687</v>
      </c>
      <c r="E4609" s="21">
        <f>IF(D4609="?OLD","!!!","")</f>
        <v/>
      </c>
      <c r="F4609" s="22" t="str">
        <f>IF(OR(E4609="",E4609="!!!"),"",IF(NOT(ISNA(VLOOKUP(E4609,E$1:E4608,1,FALSE()))),"OLD",IF(AND(E4609&lt;&gt;"",E4609&lt;&gt;"!!!"),"NEW","")))</f>
        <v> </v>
      </c>
      <c r="G4609" s="23" t="str">
        <f>IF(OR(E4609="",E4609="!!!"),"",IF(OR(J4609=0,AND(J4609=1,K4609=1),AND(J4609=1,I4609="SBJ"),AND(J4609=1,I4609=0)),"?IN_FOCUS",IF(J4609&lt;=2,"?ACTIVATED",IF(J4609&lt;&gt;"","?FAMILIAR",IF(F4609="NEW",IF(ISNA(VLOOKUP(E4609,#REF!,1,FALSE())),"?TYPE_IDENTIFIABLE","?REFERENTIAL"),"_")))))</f>
        <v> </v>
      </c>
      <c r="H4609" s="24" t="str">
        <f>IF(J4609&lt;&gt;1,"",IF(I4609="SBJ","CB","?"))</f>
        <v> </v>
      </c>
      <c r="I4609" s="25" t="str">
        <f>IF(OR(E4609="",E4609="!!!",F4609="NEW"),"",INDEX(B4608:B$2,-1+SUMPRODUCT(MAX(ROW(E4608:E$2)*(E4609=E4608:E$2)))))</f>
        <v> </v>
      </c>
      <c r="J4609" s="25" t="str">
        <f>IF(OR(E4609="",E4609="!!!",F4609="NEW"),"",COUNTBLANK(OFFSET(A$1,,,SUMPRODUCT(MAX(ROW(E$2:E4609)*(E4609=E$2:E4609)))))-COUNTBLANK(OFFSET(A$1,,,SUMPRODUCT(MAX(ROW(E$1:E4608)*(E2=E$1:E4608))))))</f>
        <v> </v>
      </c>
      <c r="K4609" s="25" t="str">
        <f>IF(OR(E4609="",E4609="!!!",F4609="NEW"),"",INDEX(J$1:J4608,SUMPRODUCT(MAX(ROW(E$1:E4608)*(E4609=E$1:E4608)))))</f>
        <v> </v>
      </c>
      <c r="L4609" s="26"/>
    </row>
    <row r="4610" spans="1:12">
      <c r="A4610" s="20" t="s">
        <v>830</v>
      </c>
      <c r="B4610" s="27" t="s">
        <v>791</v>
      </c>
      <c r="C4610" s="27" t="s">
        <v>749</v>
      </c>
      <c r="D4610" s="27" t="s">
        <v>687</v>
      </c>
      <c r="E4610" s="21">
        <f>IF(D4610="?OLD","!!!","")</f>
        <v/>
      </c>
      <c r="F4610" s="22" t="str">
        <f>IF(OR(E4610="",E4610="!!!"),"",IF(NOT(ISNA(VLOOKUP(E4610,E$1:E4609,1,FALSE()))),"OLD",IF(AND(E4610&lt;&gt;"",E4610&lt;&gt;"!!!"),"NEW","")))</f>
        <v> </v>
      </c>
      <c r="G4610" s="23" t="str">
        <f>IF(OR(E4610="",E4610="!!!"),"",IF(OR(J4610=0,AND(J4610=1,K4610=1),AND(J4610=1,I4610="SBJ"),AND(J4610=1,I4610=0)),"?IN_FOCUS",IF(J4610&lt;=2,"?ACTIVATED",IF(J4610&lt;&gt;"","?FAMILIAR",IF(F4610="NEW",IF(ISNA(VLOOKUP(E4610,#REF!,1,FALSE())),"?TYPE_IDENTIFIABLE","?REFERENTIAL"),"_")))))</f>
        <v> </v>
      </c>
      <c r="H4610" s="24" t="str">
        <f>IF(J4610&lt;&gt;1,"",IF(I4610="SBJ","CB","?"))</f>
        <v> </v>
      </c>
      <c r="I4610" s="25" t="str">
        <f>IF(OR(E4610="",E4610="!!!",F4610="NEW"),"",INDEX(B4609:B$2,-1+SUMPRODUCT(MAX(ROW(E4609:E$2)*(E4610=E4609:E$2)))))</f>
        <v> </v>
      </c>
      <c r="J4610" s="25" t="str">
        <f>IF(OR(E4610="",E4610="!!!",F4610="NEW"),"",COUNTBLANK(OFFSET(A$1,,,SUMPRODUCT(MAX(ROW(E$2:E4610)*(E4610=E$2:E4610)))))-COUNTBLANK(OFFSET(A$1,,,SUMPRODUCT(MAX(ROW(E$1:E4609)*(E2=E$1:E4609))))))</f>
        <v> </v>
      </c>
      <c r="K4610" s="25" t="str">
        <f>IF(OR(E4610="",E4610="!!!",F4610="NEW"),"",INDEX(J$1:J4609,SUMPRODUCT(MAX(ROW(E$1:E4609)*(E4610=E$1:E4609)))))</f>
        <v> </v>
      </c>
      <c r="L4610" s="26"/>
    </row>
    <row r="4611" spans="1:12">
      <c r="A4611" s="20" t="s">
        <v>2022</v>
      </c>
      <c r="E4611" s="21">
        <f>IF(D4611="?OLD","!!!","")</f>
        <v/>
      </c>
      <c r="F4611" s="22" t="str">
        <f>IF(OR(E4611="",E4611="!!!"),"",IF(NOT(ISNA(VLOOKUP(E4611,E$1:E4610,1,FALSE()))),"OLD",IF(AND(E4611&lt;&gt;"",E4611&lt;&gt;"!!!"),"NEW","")))</f>
        <v> </v>
      </c>
      <c r="G4611" s="23" t="str">
        <f>IF(OR(E4611="",E4611="!!!"),"",IF(OR(J4611=0,AND(J4611=1,K4611=1),AND(J4611=1,I4611="SBJ"),AND(J4611=1,I4611=0)),"?IN_FOCUS",IF(J4611&lt;=2,"?ACTIVATED",IF(J4611&lt;&gt;"","?FAMILIAR",IF(F4611="NEW",IF(ISNA(VLOOKUP(E4611,#REF!,1,FALSE())),"?TYPE_IDENTIFIABLE","?REFERENTIAL"),"_")))))</f>
        <v> </v>
      </c>
      <c r="H4611" s="24" t="str">
        <f>IF(J4611&lt;&gt;1,"",IF(I4611="SBJ","CB","?"))</f>
        <v> </v>
      </c>
      <c r="I4611" s="25" t="str">
        <f>IF(OR(E4611="",E4611="!!!",F4611="NEW"),"",INDEX(B4610:B$2,-1+SUMPRODUCT(MAX(ROW(E4610:E$2)*(E4611=E4610:E$2)))))</f>
        <v> </v>
      </c>
      <c r="J4611" s="25" t="str">
        <f>IF(OR(E4611="",E4611="!!!",F4611="NEW"),"",COUNTBLANK(OFFSET(A$1,,,SUMPRODUCT(MAX(ROW(E$2:E4611)*(E4611=E$2:E4611)))))-COUNTBLANK(OFFSET(A$1,,,SUMPRODUCT(MAX(ROW(E$1:E4610)*(E2=E$1:E4610))))))</f>
        <v> </v>
      </c>
      <c r="K4611" s="25" t="str">
        <f>IF(OR(E4611="",E4611="!!!",F4611="NEW"),"",INDEX(J$1:J4610,SUMPRODUCT(MAX(ROW(E$1:E4610)*(E4611=E$1:E4610)))))</f>
        <v> </v>
      </c>
      <c r="L4611" s="26"/>
    </row>
    <row r="4612" spans="1:12">
      <c r="A4612" s="20" t="s">
        <v>676</v>
      </c>
      <c r="E4612" s="21">
        <f>IF(D4612="?OLD","!!!","")</f>
        <v/>
      </c>
      <c r="F4612" s="22" t="str">
        <f>IF(OR(E4612="",E4612="!!!"),"",IF(NOT(ISNA(VLOOKUP(E4612,E$1:E4611,1,FALSE()))),"OLD",IF(AND(E4612&lt;&gt;"",E4612&lt;&gt;"!!!"),"NEW","")))</f>
        <v> </v>
      </c>
      <c r="G4612" s="23" t="str">
        <f>IF(OR(E4612="",E4612="!!!"),"",IF(OR(J4612=0,AND(J4612=1,K4612=1),AND(J4612=1,I4612="SBJ"),AND(J4612=1,I4612=0)),"?IN_FOCUS",IF(J4612&lt;=2,"?ACTIVATED",IF(J4612&lt;&gt;"","?FAMILIAR",IF(F4612="NEW",IF(ISNA(VLOOKUP(E4612,#REF!,1,FALSE())),"?TYPE_IDENTIFIABLE","?REFERENTIAL"),"_")))))</f>
        <v> </v>
      </c>
      <c r="H4612" s="24" t="str">
        <f>IF(J4612&lt;&gt;1,"",IF(I4612="SBJ","CB","?"))</f>
        <v> </v>
      </c>
      <c r="I4612" s="25" t="str">
        <f>IF(OR(E4612="",E4612="!!!",F4612="NEW"),"",INDEX(B4611:B$2,-1+SUMPRODUCT(MAX(ROW(E4611:E$2)*(E4612=E4611:E$2)))))</f>
        <v> </v>
      </c>
      <c r="J4612" s="25" t="str">
        <f>IF(OR(E4612="",E4612="!!!",F4612="NEW"),"",COUNTBLANK(OFFSET(A$1,,,SUMPRODUCT(MAX(ROW(E$2:E4612)*(E4612=E$2:E4612)))))-COUNTBLANK(OFFSET(A$1,,,SUMPRODUCT(MAX(ROW(E$1:E4611)*(E2=E$1:E4611))))))</f>
        <v> </v>
      </c>
      <c r="K4612" s="25" t="str">
        <f>IF(OR(E4612="",E4612="!!!",F4612="NEW"),"",INDEX(J$1:J4611,SUMPRODUCT(MAX(ROW(E$1:E4611)*(E4612=E$1:E4611)))))</f>
        <v> </v>
      </c>
      <c r="L4612" s="26"/>
    </row>
    <row r="4613" spans="1:12">
      <c r="A4613" s="20" t="s">
        <v>306</v>
      </c>
      <c r="E4613" s="21">
        <f>IF(D4613="?OLD","!!!","")</f>
        <v/>
      </c>
      <c r="F4613" s="22" t="str">
        <f>IF(OR(E4613="",E4613="!!!"),"",IF(NOT(ISNA(VLOOKUP(E4613,E$1:E4612,1,FALSE()))),"OLD",IF(AND(E4613&lt;&gt;"",E4613&lt;&gt;"!!!"),"NEW","")))</f>
        <v> </v>
      </c>
      <c r="G4613" s="23" t="str">
        <f>IF(OR(E4613="",E4613="!!!"),"",IF(OR(J4613=0,AND(J4613=1,K4613=1),AND(J4613=1,I4613="SBJ"),AND(J4613=1,I4613=0)),"?IN_FOCUS",IF(J4613&lt;=2,"?ACTIVATED",IF(J4613&lt;&gt;"","?FAMILIAR",IF(F4613="NEW",IF(ISNA(VLOOKUP(E4613,#REF!,1,FALSE())),"?TYPE_IDENTIFIABLE","?REFERENTIAL"),"_")))))</f>
        <v> </v>
      </c>
      <c r="H4613" s="24" t="str">
        <f>IF(J4613&lt;&gt;1,"",IF(I4613="SBJ","CB","?"))</f>
        <v> </v>
      </c>
      <c r="I4613" s="25" t="str">
        <f>IF(OR(E4613="",E4613="!!!",F4613="NEW"),"",INDEX(B4612:B$2,-1+SUMPRODUCT(MAX(ROW(E4612:E$2)*(E4613=E4612:E$2)))))</f>
        <v> </v>
      </c>
      <c r="J4613" s="25" t="str">
        <f>IF(OR(E4613="",E4613="!!!",F4613="NEW"),"",COUNTBLANK(OFFSET(A$1,,,SUMPRODUCT(MAX(ROW(E$2:E4613)*(E4613=E$2:E4613)))))-COUNTBLANK(OFFSET(A$1,,,SUMPRODUCT(MAX(ROW(E$1:E4612)*(E2=E$1:E4612))))))</f>
        <v> </v>
      </c>
      <c r="K4613" s="25" t="str">
        <f>IF(OR(E4613="",E4613="!!!",F4613="NEW"),"",INDEX(J$1:J4612,SUMPRODUCT(MAX(ROW(E$1:E4612)*(E4613=E$1:E4612)))))</f>
        <v> </v>
      </c>
      <c r="L4613" s="26"/>
    </row>
    <row r="4614" spans="1:12">
      <c r="A4614" s="20" t="s">
        <v>1520</v>
      </c>
      <c r="B4614" s="27" t="s">
        <v>696</v>
      </c>
      <c r="C4614" s="27" t="s">
        <v>686</v>
      </c>
      <c r="D4614" s="27" t="s">
        <v>687</v>
      </c>
      <c r="E4614" s="21">
        <f>IF(D4614="?OLD","!!!","")</f>
        <v/>
      </c>
      <c r="F4614" s="22" t="str">
        <f>IF(OR(E4614="",E4614="!!!"),"",IF(NOT(ISNA(VLOOKUP(E4614,E$1:E4613,1,FALSE()))),"OLD",IF(AND(E4614&lt;&gt;"",E4614&lt;&gt;"!!!"),"NEW","")))</f>
        <v> </v>
      </c>
      <c r="G4614" s="23" t="str">
        <f>IF(OR(E4614="",E4614="!!!"),"",IF(OR(J4614=0,AND(J4614=1,K4614=1),AND(J4614=1,I4614="SBJ"),AND(J4614=1,I4614=0)),"?IN_FOCUS",IF(J4614&lt;=2,"?ACTIVATED",IF(J4614&lt;&gt;"","?FAMILIAR",IF(F4614="NEW",IF(ISNA(VLOOKUP(E4614,#REF!,1,FALSE())),"?TYPE_IDENTIFIABLE","?REFERENTIAL"),"_")))))</f>
        <v> </v>
      </c>
      <c r="H4614" s="24" t="str">
        <f>IF(J4614&lt;&gt;1,"",IF(I4614="SBJ","CB","?"))</f>
        <v> </v>
      </c>
      <c r="I4614" s="25" t="str">
        <f>IF(OR(E4614="",E4614="!!!",F4614="NEW"),"",INDEX(B4613:B$2,-1+SUMPRODUCT(MAX(ROW(E4613:E$2)*(E4614=E4613:E$2)))))</f>
        <v> </v>
      </c>
      <c r="J4614" s="25" t="str">
        <f>IF(OR(E4614="",E4614="!!!",F4614="NEW"),"",COUNTBLANK(OFFSET(A$1,,,SUMPRODUCT(MAX(ROW(E$2:E4614)*(E4614=E$2:E4614)))))-COUNTBLANK(OFFSET(A$1,,,SUMPRODUCT(MAX(ROW(E$1:E4613)*(E2=E$1:E4613))))))</f>
        <v> </v>
      </c>
      <c r="K4614" s="25" t="str">
        <f>IF(OR(E4614="",E4614="!!!",F4614="NEW"),"",INDEX(J$1:J4613,SUMPRODUCT(MAX(ROW(E$1:E4613)*(E4614=E$1:E4613)))))</f>
        <v> </v>
      </c>
      <c r="L4614" s="26"/>
    </row>
    <row r="4615" spans="1:12">
      <c r="A4615" s="20" t="s">
        <v>676</v>
      </c>
      <c r="E4615" s="21">
        <f>IF(D4615="?OLD","!!!","")</f>
        <v/>
      </c>
      <c r="F4615" s="22" t="str">
        <f>IF(OR(E4615="",E4615="!!!"),"",IF(NOT(ISNA(VLOOKUP(E4615,E$1:E4614,1,FALSE()))),"OLD",IF(AND(E4615&lt;&gt;"",E4615&lt;&gt;"!!!"),"NEW","")))</f>
        <v> </v>
      </c>
      <c r="G4615" s="23" t="str">
        <f>IF(OR(E4615="",E4615="!!!"),"",IF(OR(J4615=0,AND(J4615=1,K4615=1),AND(J4615=1,I4615="SBJ"),AND(J4615=1,I4615=0)),"?IN_FOCUS",IF(J4615&lt;=2,"?ACTIVATED",IF(J4615&lt;&gt;"","?FAMILIAR",IF(F4615="NEW",IF(ISNA(VLOOKUP(E4615,#REF!,1,FALSE())),"?TYPE_IDENTIFIABLE","?REFERENTIAL"),"_")))))</f>
        <v> </v>
      </c>
      <c r="H4615" s="24" t="str">
        <f>IF(J4615&lt;&gt;1,"",IF(I4615="SBJ","CB","?"))</f>
        <v> </v>
      </c>
      <c r="I4615" s="25" t="str">
        <f>IF(OR(E4615="",E4615="!!!",F4615="NEW"),"",INDEX(B4614:B$2,-1+SUMPRODUCT(MAX(ROW(E4614:E$2)*(E4615=E4614:E$2)))))</f>
        <v> </v>
      </c>
      <c r="J4615" s="25" t="str">
        <f>IF(OR(E4615="",E4615="!!!",F4615="NEW"),"",COUNTBLANK(OFFSET(A$1,,,SUMPRODUCT(MAX(ROW(E$2:E4615)*(E4615=E$2:E4615)))))-COUNTBLANK(OFFSET(A$1,,,SUMPRODUCT(MAX(ROW(E$1:E4614)*(E2=E$1:E4614))))))</f>
        <v> </v>
      </c>
      <c r="K4615" s="25" t="str">
        <f>IF(OR(E4615="",E4615="!!!",F4615="NEW"),"",INDEX(J$1:J4614,SUMPRODUCT(MAX(ROW(E$1:E4614)*(E4615=E$1:E4614)))))</f>
        <v> </v>
      </c>
      <c r="L4615" s="26"/>
    </row>
    <row r="4616" spans="1:12">
      <c r="A4616" s="20" t="s">
        <v>732</v>
      </c>
      <c r="E4616" s="21">
        <f>IF(D4616="?OLD","!!!","")</f>
        <v/>
      </c>
      <c r="F4616" s="22" t="str">
        <f>IF(OR(E4616="",E4616="!!!"),"",IF(NOT(ISNA(VLOOKUP(E4616,E$1:E4615,1,FALSE()))),"OLD",IF(AND(E4616&lt;&gt;"",E4616&lt;&gt;"!!!"),"NEW","")))</f>
        <v> </v>
      </c>
      <c r="G4616" s="23" t="str">
        <f>IF(OR(E4616="",E4616="!!!"),"",IF(OR(J4616=0,AND(J4616=1,K4616=1),AND(J4616=1,I4616="SBJ"),AND(J4616=1,I4616=0)),"?IN_FOCUS",IF(J4616&lt;=2,"?ACTIVATED",IF(J4616&lt;&gt;"","?FAMILIAR",IF(F4616="NEW",IF(ISNA(VLOOKUP(E4616,#REF!,1,FALSE())),"?TYPE_IDENTIFIABLE","?REFERENTIAL"),"_")))))</f>
        <v> </v>
      </c>
      <c r="H4616" s="24" t="str">
        <f>IF(J4616&lt;&gt;1,"",IF(I4616="SBJ","CB","?"))</f>
        <v> </v>
      </c>
      <c r="I4616" s="25" t="str">
        <f>IF(OR(E4616="",E4616="!!!",F4616="NEW"),"",INDEX(B4615:B$2,-1+SUMPRODUCT(MAX(ROW(E4615:E$2)*(E4616=E4615:E$2)))))</f>
        <v> </v>
      </c>
      <c r="J4616" s="25" t="str">
        <f>IF(OR(E4616="",E4616="!!!",F4616="NEW"),"",COUNTBLANK(OFFSET(A$1,,,SUMPRODUCT(MAX(ROW(E$2:E4616)*(E4616=E$2:E4616)))))-COUNTBLANK(OFFSET(A$1,,,SUMPRODUCT(MAX(ROW(E$1:E4615)*(E2=E$1:E4615))))))</f>
        <v> </v>
      </c>
      <c r="K4616" s="25" t="str">
        <f>IF(OR(E4616="",E4616="!!!",F4616="NEW"),"",INDEX(J$1:J4615,SUMPRODUCT(MAX(ROW(E$1:E4615)*(E4616=E$1:E4615)))))</f>
        <v> </v>
      </c>
      <c r="L4616" s="26"/>
    </row>
    <row r="4617" spans="1:12">
      <c r="A4617" s="20" t="s">
        <v>2023</v>
      </c>
      <c r="E4617" s="21">
        <f>IF(D4617="?OLD","!!!","")</f>
        <v/>
      </c>
      <c r="F4617" s="22" t="str">
        <f>IF(OR(E4617="",E4617="!!!"),"",IF(NOT(ISNA(VLOOKUP(E4617,E$1:E4616,1,FALSE()))),"OLD",IF(AND(E4617&lt;&gt;"",E4617&lt;&gt;"!!!"),"NEW","")))</f>
        <v> </v>
      </c>
      <c r="G4617" s="23" t="str">
        <f>IF(OR(E4617="",E4617="!!!"),"",IF(OR(J4617=0,AND(J4617=1,K4617=1),AND(J4617=1,I4617="SBJ"),AND(J4617=1,I4617=0)),"?IN_FOCUS",IF(J4617&lt;=2,"?ACTIVATED",IF(J4617&lt;&gt;"","?FAMILIAR",IF(F4617="NEW",IF(ISNA(VLOOKUP(E4617,#REF!,1,FALSE())),"?TYPE_IDENTIFIABLE","?REFERENTIAL"),"_")))))</f>
        <v> </v>
      </c>
      <c r="H4617" s="24" t="str">
        <f>IF(J4617&lt;&gt;1,"",IF(I4617="SBJ","CB","?"))</f>
        <v> </v>
      </c>
      <c r="I4617" s="25" t="str">
        <f>IF(OR(E4617="",E4617="!!!",F4617="NEW"),"",INDEX(B4616:B$2,-1+SUMPRODUCT(MAX(ROW(E4616:E$2)*(E4617=E4616:E$2)))))</f>
        <v> </v>
      </c>
      <c r="J4617" s="25" t="str">
        <f>IF(OR(E4617="",E4617="!!!",F4617="NEW"),"",COUNTBLANK(OFFSET(A$1,,,SUMPRODUCT(MAX(ROW(E$2:E4617)*(E4617=E$2:E4617)))))-COUNTBLANK(OFFSET(A$1,,,SUMPRODUCT(MAX(ROW(E$1:E4616)*(E2=E$1:E4616))))))</f>
        <v> </v>
      </c>
      <c r="K4617" s="25" t="str">
        <f>IF(OR(E4617="",E4617="!!!",F4617="NEW"),"",INDEX(J$1:J4616,SUMPRODUCT(MAX(ROW(E$1:E4616)*(E4617=E$1:E4616)))))</f>
        <v> </v>
      </c>
      <c r="L4617" s="26"/>
    </row>
    <row r="4618" spans="1:12">
      <c r="A4618" s="20" t="s">
        <v>683</v>
      </c>
      <c r="E4618" s="21">
        <f>IF(D4618="?OLD","!!!","")</f>
        <v/>
      </c>
      <c r="F4618" s="22" t="str">
        <f>IF(OR(E4618="",E4618="!!!"),"",IF(NOT(ISNA(VLOOKUP(E4618,E$1:E4617,1,FALSE()))),"OLD",IF(AND(E4618&lt;&gt;"",E4618&lt;&gt;"!!!"),"NEW","")))</f>
        <v> </v>
      </c>
      <c r="G4618" s="23" t="str">
        <f>IF(OR(E4618="",E4618="!!!"),"",IF(OR(J4618=0,AND(J4618=1,K4618=1),AND(J4618=1,I4618="SBJ"),AND(J4618=1,I4618=0)),"?IN_FOCUS",IF(J4618&lt;=2,"?ACTIVATED",IF(J4618&lt;&gt;"","?FAMILIAR",IF(F4618="NEW",IF(ISNA(VLOOKUP(E4618,#REF!,1,FALSE())),"?TYPE_IDENTIFIABLE","?REFERENTIAL"),"_")))))</f>
        <v> </v>
      </c>
      <c r="H4618" s="24" t="str">
        <f>IF(J4618&lt;&gt;1,"",IF(I4618="SBJ","CB","?"))</f>
        <v> </v>
      </c>
      <c r="I4618" s="25" t="str">
        <f>IF(OR(E4618="",E4618="!!!",F4618="NEW"),"",INDEX(B4617:B$2,-1+SUMPRODUCT(MAX(ROW(E4617:E$2)*(E4618=E4617:E$2)))))</f>
        <v> </v>
      </c>
      <c r="J4618" s="25" t="str">
        <f>IF(OR(E4618="",E4618="!!!",F4618="NEW"),"",COUNTBLANK(OFFSET(A$1,,,SUMPRODUCT(MAX(ROW(E$2:E4618)*(E4618=E$2:E4618)))))-COUNTBLANK(OFFSET(A$1,,,SUMPRODUCT(MAX(ROW(E$1:E4617)*(E2=E$1:E4617))))))</f>
        <v> </v>
      </c>
      <c r="K4618" s="25" t="str">
        <f>IF(OR(E4618="",E4618="!!!",F4618="NEW"),"",INDEX(J$1:J4617,SUMPRODUCT(MAX(ROW(E$1:E4617)*(E4618=E$1:E4617)))))</f>
        <v> </v>
      </c>
      <c r="L4618" s="26"/>
    </row>
    <row r="4619" spans="1:12">
      <c r="A4619" s="20" t="s">
        <v>1619</v>
      </c>
      <c r="B4619" s="27" t="s">
        <v>821</v>
      </c>
      <c r="C4619" s="27" t="s">
        <v>693</v>
      </c>
      <c r="D4619" s="27" t="s">
        <v>687</v>
      </c>
      <c r="E4619" s="21">
        <f>IF(D4619="?OLD","!!!","")</f>
        <v/>
      </c>
      <c r="F4619" s="22" t="str">
        <f>IF(OR(E4619="",E4619="!!!"),"",IF(NOT(ISNA(VLOOKUP(E4619,E$1:E4618,1,FALSE()))),"OLD",IF(AND(E4619&lt;&gt;"",E4619&lt;&gt;"!!!"),"NEW","")))</f>
        <v> </v>
      </c>
      <c r="G4619" s="23" t="str">
        <f>IF(OR(E4619="",E4619="!!!"),"",IF(OR(J4619=0,AND(J4619=1,K4619=1),AND(J4619=1,I4619="SBJ"),AND(J4619=1,I4619=0)),"?IN_FOCUS",IF(J4619&lt;=2,"?ACTIVATED",IF(J4619&lt;&gt;"","?FAMILIAR",IF(F4619="NEW",IF(ISNA(VLOOKUP(E4619,#REF!,1,FALSE())),"?TYPE_IDENTIFIABLE","?REFERENTIAL"),"_")))))</f>
        <v> </v>
      </c>
      <c r="H4619" s="24" t="str">
        <f>IF(J4619&lt;&gt;1,"",IF(I4619="SBJ","CB","?"))</f>
        <v> </v>
      </c>
      <c r="I4619" s="25" t="str">
        <f>IF(OR(E4619="",E4619="!!!",F4619="NEW"),"",INDEX(B4618:B$2,-1+SUMPRODUCT(MAX(ROW(E4618:E$2)*(E4619=E4618:E$2)))))</f>
        <v> </v>
      </c>
      <c r="J4619" s="25" t="str">
        <f>IF(OR(E4619="",E4619="!!!",F4619="NEW"),"",COUNTBLANK(OFFSET(A$1,,,SUMPRODUCT(MAX(ROW(E$2:E4619)*(E4619=E$2:E4619)))))-COUNTBLANK(OFFSET(A$1,,,SUMPRODUCT(MAX(ROW(E$1:E4618)*(E2=E$1:E4618))))))</f>
        <v> </v>
      </c>
      <c r="K4619" s="25" t="str">
        <f>IF(OR(E4619="",E4619="!!!",F4619="NEW"),"",INDEX(J$1:J4618,SUMPRODUCT(MAX(ROW(E$1:E4618)*(E4619=E$1:E4618)))))</f>
        <v> </v>
      </c>
      <c r="L4619" s="26"/>
    </row>
    <row r="4620" spans="1:12">
      <c r="A4620" s="20" t="s">
        <v>683</v>
      </c>
      <c r="E4620" s="21">
        <f>IF(D4620="?OLD","!!!","")</f>
        <v/>
      </c>
      <c r="F4620" s="22" t="str">
        <f>IF(OR(E4620="",E4620="!!!"),"",IF(NOT(ISNA(VLOOKUP(E4620,E$1:E4619,1,FALSE()))),"OLD",IF(AND(E4620&lt;&gt;"",E4620&lt;&gt;"!!!"),"NEW","")))</f>
        <v> </v>
      </c>
      <c r="G4620" s="23" t="str">
        <f>IF(OR(E4620="",E4620="!!!"),"",IF(OR(J4620=0,AND(J4620=1,K4620=1),AND(J4620=1,I4620="SBJ"),AND(J4620=1,I4620=0)),"?IN_FOCUS",IF(J4620&lt;=2,"?ACTIVATED",IF(J4620&lt;&gt;"","?FAMILIAR",IF(F4620="NEW",IF(ISNA(VLOOKUP(E4620,#REF!,1,FALSE())),"?TYPE_IDENTIFIABLE","?REFERENTIAL"),"_")))))</f>
        <v> </v>
      </c>
      <c r="H4620" s="24" t="str">
        <f>IF(J4620&lt;&gt;1,"",IF(I4620="SBJ","CB","?"))</f>
        <v> </v>
      </c>
      <c r="I4620" s="25" t="str">
        <f>IF(OR(E4620="",E4620="!!!",F4620="NEW"),"",INDEX(B4619:B$2,-1+SUMPRODUCT(MAX(ROW(E4619:E$2)*(E4620=E4619:E$2)))))</f>
        <v> </v>
      </c>
      <c r="J4620" s="25" t="str">
        <f>IF(OR(E4620="",E4620="!!!",F4620="NEW"),"",COUNTBLANK(OFFSET(A$1,,,SUMPRODUCT(MAX(ROW(E$2:E4620)*(E4620=E$2:E4620)))))-COUNTBLANK(OFFSET(A$1,,,SUMPRODUCT(MAX(ROW(E$1:E4619)*(E2=E$1:E4619))))))</f>
        <v> </v>
      </c>
      <c r="K4620" s="25" t="str">
        <f>IF(OR(E4620="",E4620="!!!",F4620="NEW"),"",INDEX(J$1:J4619,SUMPRODUCT(MAX(ROW(E$1:E4619)*(E4620=E$1:E4619)))))</f>
        <v> </v>
      </c>
      <c r="L4620" s="26"/>
    </row>
    <row r="4621" spans="1:12">
      <c r="A4621" s="20" t="s">
        <v>683</v>
      </c>
      <c r="E4621" s="21">
        <f>IF(D4621="?OLD","!!!","")</f>
        <v/>
      </c>
      <c r="F4621" s="22" t="str">
        <f>IF(OR(E4621="",E4621="!!!"),"",IF(NOT(ISNA(VLOOKUP(E4621,E$1:E4620,1,FALSE()))),"OLD",IF(AND(E4621&lt;&gt;"",E4621&lt;&gt;"!!!"),"NEW","")))</f>
        <v> </v>
      </c>
      <c r="G4621" s="23" t="str">
        <f>IF(OR(E4621="",E4621="!!!"),"",IF(OR(J4621=0,AND(J4621=1,K4621=1),AND(J4621=1,I4621="SBJ"),AND(J4621=1,I4621=0)),"?IN_FOCUS",IF(J4621&lt;=2,"?ACTIVATED",IF(J4621&lt;&gt;"","?FAMILIAR",IF(F4621="NEW",IF(ISNA(VLOOKUP(E4621,#REF!,1,FALSE())),"?TYPE_IDENTIFIABLE","?REFERENTIAL"),"_")))))</f>
        <v> </v>
      </c>
      <c r="H4621" s="24" t="str">
        <f>IF(J4621&lt;&gt;1,"",IF(I4621="SBJ","CB","?"))</f>
        <v> </v>
      </c>
      <c r="I4621" s="25" t="str">
        <f>IF(OR(E4621="",E4621="!!!",F4621="NEW"),"",INDEX(B4620:B$2,-1+SUMPRODUCT(MAX(ROW(E4620:E$2)*(E4621=E4620:E$2)))))</f>
        <v> </v>
      </c>
      <c r="J4621" s="25" t="str">
        <f>IF(OR(E4621="",E4621="!!!",F4621="NEW"),"",COUNTBLANK(OFFSET(A$1,,,SUMPRODUCT(MAX(ROW(E$2:E4621)*(E4621=E$2:E4621)))))-COUNTBLANK(OFFSET(A$1,,,SUMPRODUCT(MAX(ROW(E$1:E4620)*(E2=E$1:E4620))))))</f>
        <v> </v>
      </c>
      <c r="K4621" s="25" t="str">
        <f>IF(OR(E4621="",E4621="!!!",F4621="NEW"),"",INDEX(J$1:J4620,SUMPRODUCT(MAX(ROW(E$1:E4620)*(E4621=E$1:E4620)))))</f>
        <v> </v>
      </c>
      <c r="L4621" s="26"/>
    </row>
    <row r="4622" spans="1:12">
      <c r="A4622" s="20" t="s">
        <v>1503</v>
      </c>
      <c r="B4622" s="27" t="s">
        <v>843</v>
      </c>
      <c r="C4622" s="27" t="s">
        <v>686</v>
      </c>
      <c r="D4622" s="27" t="s">
        <v>687</v>
      </c>
      <c r="E4622" s="21">
        <f>IF(D4622="?OLD","!!!","")</f>
        <v/>
      </c>
      <c r="F4622" s="22" t="str">
        <f>IF(OR(E4622="",E4622="!!!"),"",IF(NOT(ISNA(VLOOKUP(E4622,E$1:E4621,1,FALSE()))),"OLD",IF(AND(E4622&lt;&gt;"",E4622&lt;&gt;"!!!"),"NEW","")))</f>
        <v> </v>
      </c>
      <c r="G4622" s="23" t="str">
        <f>IF(OR(E4622="",E4622="!!!"),"",IF(OR(J4622=0,AND(J4622=1,K4622=1),AND(J4622=1,I4622="SBJ"),AND(J4622=1,I4622=0)),"?IN_FOCUS",IF(J4622&lt;=2,"?ACTIVATED",IF(J4622&lt;&gt;"","?FAMILIAR",IF(F4622="NEW",IF(ISNA(VLOOKUP(E4622,#REF!,1,FALSE())),"?TYPE_IDENTIFIABLE","?REFERENTIAL"),"_")))))</f>
        <v> </v>
      </c>
      <c r="H4622" s="24" t="str">
        <f>IF(J4622&lt;&gt;1,"",IF(I4622="SBJ","CB","?"))</f>
        <v> </v>
      </c>
      <c r="I4622" s="25" t="str">
        <f>IF(OR(E4622="",E4622="!!!",F4622="NEW"),"",INDEX(B4621:B$2,-1+SUMPRODUCT(MAX(ROW(E4621:E$2)*(E4622=E4621:E$2)))))</f>
        <v> </v>
      </c>
      <c r="J4622" s="25" t="str">
        <f>IF(OR(E4622="",E4622="!!!",F4622="NEW"),"",COUNTBLANK(OFFSET(A$1,,,SUMPRODUCT(MAX(ROW(E$2:E4622)*(E4622=E$2:E4622)))))-COUNTBLANK(OFFSET(A$1,,,SUMPRODUCT(MAX(ROW(E$1:E4621)*(E2=E$1:E4621))))))</f>
        <v> </v>
      </c>
      <c r="K4622" s="25" t="str">
        <f>IF(OR(E4622="",E4622="!!!",F4622="NEW"),"",INDEX(J$1:J4621,SUMPRODUCT(MAX(ROW(E$1:E4621)*(E4622=E$1:E4621)))))</f>
        <v> </v>
      </c>
      <c r="L4622" s="26"/>
    </row>
    <row r="4623" spans="1:12">
      <c r="A4623" s="20" t="s">
        <v>698</v>
      </c>
      <c r="E4623" s="21">
        <f>IF(D4623="?OLD","!!!","")</f>
        <v/>
      </c>
      <c r="F4623" s="22" t="str">
        <f>IF(OR(E4623="",E4623="!!!"),"",IF(NOT(ISNA(VLOOKUP(E4623,E$1:E4622,1,FALSE()))),"OLD",IF(AND(E4623&lt;&gt;"",E4623&lt;&gt;"!!!"),"NEW","")))</f>
        <v> </v>
      </c>
      <c r="G4623" s="23" t="str">
        <f>IF(OR(E4623="",E4623="!!!"),"",IF(OR(J4623=0,AND(J4623=1,K4623=1),AND(J4623=1,I4623="SBJ"),AND(J4623=1,I4623=0)),"?IN_FOCUS",IF(J4623&lt;=2,"?ACTIVATED",IF(J4623&lt;&gt;"","?FAMILIAR",IF(F4623="NEW",IF(ISNA(VLOOKUP(E4623,#REF!,1,FALSE())),"?TYPE_IDENTIFIABLE","?REFERENTIAL"),"_")))))</f>
        <v> </v>
      </c>
      <c r="H4623" s="24" t="str">
        <f>IF(J4623&lt;&gt;1,"",IF(I4623="SBJ","CB","?"))</f>
        <v> </v>
      </c>
      <c r="I4623" s="25" t="str">
        <f>IF(OR(E4623="",E4623="!!!",F4623="NEW"),"",INDEX(B4622:B$2,-1+SUMPRODUCT(MAX(ROW(E4622:E$2)*(E4623=E4622:E$2)))))</f>
        <v> </v>
      </c>
      <c r="J4623" s="25" t="str">
        <f>IF(OR(E4623="",E4623="!!!",F4623="NEW"),"",COUNTBLANK(OFFSET(A$1,,,SUMPRODUCT(MAX(ROW(E$2:E4623)*(E4623=E$2:E4623)))))-COUNTBLANK(OFFSET(A$1,,,SUMPRODUCT(MAX(ROW(E$1:E4622)*(E2=E$1:E4622))))))</f>
        <v> </v>
      </c>
      <c r="K4623" s="25" t="str">
        <f>IF(OR(E4623="",E4623="!!!",F4623="NEW"),"",INDEX(J$1:J4622,SUMPRODUCT(MAX(ROW(E$1:E4622)*(E4623=E$1:E4622)))))</f>
        <v> </v>
      </c>
      <c r="L4623" s="26"/>
    </row>
    <row r="4624" spans="1:12">
      <c r="A4624" s="20"/>
    </row>
    <row r="4625" spans="1:12">
      <c r="A4625" s="20" t="s">
        <v>2024</v>
      </c>
    </row>
    <row r="4626" spans="1:12">
      <c r="A4626" s="20" t="s">
        <v>824</v>
      </c>
      <c r="E4626" s="21">
        <f>IF(D4626="?OLD","!!!","")</f>
        <v/>
      </c>
      <c r="F4626" s="22" t="str">
        <f>IF(OR(E4626="",E4626="!!!"),"",IF(NOT(ISNA(VLOOKUP(E4626,E$1:E4625,1,FALSE()))),"OLD",IF(AND(E4626&lt;&gt;"",E4626&lt;&gt;"!!!"),"NEW","")))</f>
        <v> </v>
      </c>
      <c r="G4626" s="23" t="str">
        <f>IF(OR(E4626="",E4626="!!!"),"",IF(OR(J4626=0,AND(J4626=1,K4626=1),AND(J4626=1,I4626="SBJ"),AND(J4626=1,I4626=0)),"?IN_FOCUS",IF(J4626&lt;=2,"?ACTIVATED",IF(J4626&lt;&gt;"","?FAMILIAR",IF(F4626="NEW",IF(ISNA(VLOOKUP(E4626,#REF!,1,FALSE())),"?TYPE_IDENTIFIABLE","?REFERENTIAL"),"_")))))</f>
        <v> </v>
      </c>
      <c r="H4626" s="24" t="str">
        <f>IF(J4626&lt;&gt;1,"",IF(I4626="SBJ","CB","?"))</f>
        <v> </v>
      </c>
      <c r="I4626" s="25" t="str">
        <f>IF(OR(E4626="",E4626="!!!",F4626="NEW"),"",INDEX(B4625:B$2,-1+SUMPRODUCT(MAX(ROW(E4625:E$2)*(E4626=E4625:E$2)))))</f>
        <v> </v>
      </c>
      <c r="J4626" s="25" t="str">
        <f>IF(OR(E4626="",E4626="!!!",F4626="NEW"),"",COUNTBLANK(OFFSET(A$1,,,SUMPRODUCT(MAX(ROW(E$2:E4626)*(E4626=E$2:E4626)))))-COUNTBLANK(OFFSET(A$1,,,SUMPRODUCT(MAX(ROW(E$1:E4625)*(E2=E$1:E4625))))))</f>
        <v> </v>
      </c>
      <c r="K4626" s="25" t="str">
        <f>IF(OR(E4626="",E4626="!!!",F4626="NEW"),"",INDEX(J$1:J4625,SUMPRODUCT(MAX(ROW(E$1:E4625)*(E4626=E$1:E4625)))))</f>
        <v> </v>
      </c>
      <c r="L4626" s="26"/>
    </row>
    <row r="4627" spans="1:12">
      <c r="A4627" s="20" t="s">
        <v>717</v>
      </c>
      <c r="E4627" s="21">
        <f>IF(D4627="?OLD","!!!","")</f>
        <v/>
      </c>
      <c r="F4627" s="22" t="str">
        <f>IF(OR(E4627="",E4627="!!!"),"",IF(NOT(ISNA(VLOOKUP(E4627,E$1:E4626,1,FALSE()))),"OLD",IF(AND(E4627&lt;&gt;"",E4627&lt;&gt;"!!!"),"NEW","")))</f>
        <v> </v>
      </c>
      <c r="G4627" s="23" t="str">
        <f>IF(OR(E4627="",E4627="!!!"),"",IF(OR(J4627=0,AND(J4627=1,K4627=1),AND(J4627=1,I4627="SBJ"),AND(J4627=1,I4627=0)),"?IN_FOCUS",IF(J4627&lt;=2,"?ACTIVATED",IF(J4627&lt;&gt;"","?FAMILIAR",IF(F4627="NEW",IF(ISNA(VLOOKUP(E4627,#REF!,1,FALSE())),"?TYPE_IDENTIFIABLE","?REFERENTIAL"),"_")))))</f>
        <v> </v>
      </c>
      <c r="H4627" s="24" t="str">
        <f>IF(J4627&lt;&gt;1,"",IF(I4627="SBJ","CB","?"))</f>
        <v> </v>
      </c>
      <c r="I4627" s="25" t="str">
        <f>IF(OR(E4627="",E4627="!!!",F4627="NEW"),"",INDEX(B4626:B$2,-1+SUMPRODUCT(MAX(ROW(E4626:E$2)*(E4627=E4626:E$2)))))</f>
        <v> </v>
      </c>
      <c r="J4627" s="25" t="str">
        <f>IF(OR(E4627="",E4627="!!!",F4627="NEW"),"",COUNTBLANK(OFFSET(A$1,,,SUMPRODUCT(MAX(ROW(E$2:E4627)*(E4627=E$2:E4627)))))-COUNTBLANK(OFFSET(A$1,,,SUMPRODUCT(MAX(ROW(E$1:E4626)*(E2=E$1:E4626))))))</f>
        <v> </v>
      </c>
      <c r="K4627" s="25" t="str">
        <f>IF(OR(E4627="",E4627="!!!",F4627="NEW"),"",INDEX(J$1:J4626,SUMPRODUCT(MAX(ROW(E$1:E4626)*(E4627=E$1:E4626)))))</f>
        <v> </v>
      </c>
      <c r="L4627" s="26"/>
    </row>
    <row r="4628" spans="1:12">
      <c r="A4628" s="20" t="s">
        <v>1634</v>
      </c>
      <c r="E4628" s="21">
        <f>IF(D4628="?OLD","!!!","")</f>
        <v/>
      </c>
      <c r="F4628" s="22" t="str">
        <f>IF(OR(E4628="",E4628="!!!"),"",IF(NOT(ISNA(VLOOKUP(E4628,E$1:E4627,1,FALSE()))),"OLD",IF(AND(E4628&lt;&gt;"",E4628&lt;&gt;"!!!"),"NEW","")))</f>
        <v> </v>
      </c>
      <c r="G4628" s="23" t="str">
        <f>IF(OR(E4628="",E4628="!!!"),"",IF(OR(J4628=0,AND(J4628=1,K4628=1),AND(J4628=1,I4628="SBJ"),AND(J4628=1,I4628=0)),"?IN_FOCUS",IF(J4628&lt;=2,"?ACTIVATED",IF(J4628&lt;&gt;"","?FAMILIAR",IF(F4628="NEW",IF(ISNA(VLOOKUP(E4628,#REF!,1,FALSE())),"?TYPE_IDENTIFIABLE","?REFERENTIAL"),"_")))))</f>
        <v> </v>
      </c>
      <c r="H4628" s="24" t="str">
        <f>IF(J4628&lt;&gt;1,"",IF(I4628="SBJ","CB","?"))</f>
        <v> </v>
      </c>
      <c r="I4628" s="25" t="str">
        <f>IF(OR(E4628="",E4628="!!!",F4628="NEW"),"",INDEX(B4627:B$2,-1+SUMPRODUCT(MAX(ROW(E4627:E$2)*(E4628=E4627:E$2)))))</f>
        <v> </v>
      </c>
      <c r="J4628" s="25" t="str">
        <f>IF(OR(E4628="",E4628="!!!",F4628="NEW"),"",COUNTBLANK(OFFSET(A$1,,,SUMPRODUCT(MAX(ROW(E$2:E4628)*(E4628=E$2:E4628)))))-COUNTBLANK(OFFSET(A$1,,,SUMPRODUCT(MAX(ROW(E$1:E4627)*(E2=E$1:E4627))))))</f>
        <v> </v>
      </c>
      <c r="K4628" s="25" t="str">
        <f>IF(OR(E4628="",E4628="!!!",F4628="NEW"),"",INDEX(J$1:J4627,SUMPRODUCT(MAX(ROW(E$1:E4627)*(E4628=E$1:E4627)))))</f>
        <v> </v>
      </c>
      <c r="L4628" s="26"/>
    </row>
    <row r="4629" spans="1:12">
      <c r="A4629" s="20" t="s">
        <v>683</v>
      </c>
      <c r="E4629" s="21">
        <f>IF(D4629="?OLD","!!!","")</f>
        <v/>
      </c>
      <c r="F4629" s="22" t="str">
        <f>IF(OR(E4629="",E4629="!!!"),"",IF(NOT(ISNA(VLOOKUP(E4629,E$1:E4628,1,FALSE()))),"OLD",IF(AND(E4629&lt;&gt;"",E4629&lt;&gt;"!!!"),"NEW","")))</f>
        <v> </v>
      </c>
      <c r="G4629" s="23" t="str">
        <f>IF(OR(E4629="",E4629="!!!"),"",IF(OR(J4629=0,AND(J4629=1,K4629=1),AND(J4629=1,I4629="SBJ"),AND(J4629=1,I4629=0)),"?IN_FOCUS",IF(J4629&lt;=2,"?ACTIVATED",IF(J4629&lt;&gt;"","?FAMILIAR",IF(F4629="NEW",IF(ISNA(VLOOKUP(E4629,#REF!,1,FALSE())),"?TYPE_IDENTIFIABLE","?REFERENTIAL"),"_")))))</f>
        <v> </v>
      </c>
      <c r="H4629" s="24" t="str">
        <f>IF(J4629&lt;&gt;1,"",IF(I4629="SBJ","CB","?"))</f>
        <v> </v>
      </c>
      <c r="I4629" s="25" t="str">
        <f>IF(OR(E4629="",E4629="!!!",F4629="NEW"),"",INDEX(B4628:B$2,-1+SUMPRODUCT(MAX(ROW(E4628:E$2)*(E4629=E4628:E$2)))))</f>
        <v> </v>
      </c>
      <c r="J4629" s="25" t="str">
        <f>IF(OR(E4629="",E4629="!!!",F4629="NEW"),"",COUNTBLANK(OFFSET(A$1,,,SUMPRODUCT(MAX(ROW(E$2:E4629)*(E4629=E$2:E4629)))))-COUNTBLANK(OFFSET(A$1,,,SUMPRODUCT(MAX(ROW(E$1:E4628)*(E2=E$1:E4628))))))</f>
        <v> </v>
      </c>
      <c r="K4629" s="25" t="str">
        <f>IF(OR(E4629="",E4629="!!!",F4629="NEW"),"",INDEX(J$1:J4628,SUMPRODUCT(MAX(ROW(E$1:E4628)*(E4629=E$1:E4628)))))</f>
        <v> </v>
      </c>
      <c r="L4629" s="26"/>
    </row>
    <row r="4630" spans="1:12">
      <c r="A4630" s="20" t="s">
        <v>2025</v>
      </c>
      <c r="B4630" s="27" t="s">
        <v>692</v>
      </c>
      <c r="C4630" s="27" t="s">
        <v>686</v>
      </c>
      <c r="D4630" s="27" t="s">
        <v>687</v>
      </c>
      <c r="E4630" s="21">
        <f>IF(D4630="?OLD","!!!","")</f>
        <v/>
      </c>
      <c r="F4630" s="22" t="str">
        <f>IF(OR(E4630="",E4630="!!!"),"",IF(NOT(ISNA(VLOOKUP(E4630,E$1:E4629,1,FALSE()))),"OLD",IF(AND(E4630&lt;&gt;"",E4630&lt;&gt;"!!!"),"NEW","")))</f>
        <v> </v>
      </c>
      <c r="G4630" s="23" t="str">
        <f>IF(OR(E4630="",E4630="!!!"),"",IF(OR(J4630=0,AND(J4630=1,K4630=1),AND(J4630=1,I4630="SBJ"),AND(J4630=1,I4630=0)),"?IN_FOCUS",IF(J4630&lt;=2,"?ACTIVATED",IF(J4630&lt;&gt;"","?FAMILIAR",IF(F4630="NEW",IF(ISNA(VLOOKUP(E4630,#REF!,1,FALSE())),"?TYPE_IDENTIFIABLE","?REFERENTIAL"),"_")))))</f>
        <v> </v>
      </c>
      <c r="H4630" s="24" t="str">
        <f>IF(J4630&lt;&gt;1,"",IF(I4630="SBJ","CB","?"))</f>
        <v> </v>
      </c>
      <c r="I4630" s="25" t="str">
        <f>IF(OR(E4630="",E4630="!!!",F4630="NEW"),"",INDEX(B4629:B$2,-1+SUMPRODUCT(MAX(ROW(E4629:E$2)*(E4630=E4629:E$2)))))</f>
        <v> </v>
      </c>
      <c r="J4630" s="25" t="str">
        <f>IF(OR(E4630="",E4630="!!!",F4630="NEW"),"",COUNTBLANK(OFFSET(A$1,,,SUMPRODUCT(MAX(ROW(E$2:E4630)*(E4630=E$2:E4630)))))-COUNTBLANK(OFFSET(A$1,,,SUMPRODUCT(MAX(ROW(E$1:E4629)*(E2=E$1:E4629))))))</f>
        <v> </v>
      </c>
      <c r="K4630" s="25" t="str">
        <f>IF(OR(E4630="",E4630="!!!",F4630="NEW"),"",INDEX(J$1:J4629,SUMPRODUCT(MAX(ROW(E$1:E4629)*(E4630=E$1:E4629)))))</f>
        <v> </v>
      </c>
      <c r="L4630" s="26"/>
    </row>
    <row r="4631" spans="1:12">
      <c r="A4631" s="20" t="s">
        <v>694</v>
      </c>
      <c r="E4631" s="21">
        <f>IF(D4631="?OLD","!!!","")</f>
        <v/>
      </c>
      <c r="F4631" s="22" t="str">
        <f>IF(OR(E4631="",E4631="!!!"),"",IF(NOT(ISNA(VLOOKUP(E4631,E$1:E4630,1,FALSE()))),"OLD",IF(AND(E4631&lt;&gt;"",E4631&lt;&gt;"!!!"),"NEW","")))</f>
        <v> </v>
      </c>
      <c r="G4631" s="23" t="str">
        <f>IF(OR(E4631="",E4631="!!!"),"",IF(OR(J4631=0,AND(J4631=1,K4631=1),AND(J4631=1,I4631="SBJ"),AND(J4631=1,I4631=0)),"?IN_FOCUS",IF(J4631&lt;=2,"?ACTIVATED",IF(J4631&lt;&gt;"","?FAMILIAR",IF(F4631="NEW",IF(ISNA(VLOOKUP(E4631,#REF!,1,FALSE())),"?TYPE_IDENTIFIABLE","?REFERENTIAL"),"_")))))</f>
        <v> </v>
      </c>
      <c r="H4631" s="24" t="str">
        <f>IF(J4631&lt;&gt;1,"",IF(I4631="SBJ","CB","?"))</f>
        <v> </v>
      </c>
      <c r="I4631" s="25" t="str">
        <f>IF(OR(E4631="",E4631="!!!",F4631="NEW"),"",INDEX(B4630:B$2,-1+SUMPRODUCT(MAX(ROW(E4630:E$2)*(E4631=E4630:E$2)))))</f>
        <v> </v>
      </c>
      <c r="J4631" s="25" t="str">
        <f>IF(OR(E4631="",E4631="!!!",F4631="NEW"),"",COUNTBLANK(OFFSET(A$1,,,SUMPRODUCT(MAX(ROW(E$2:E4631)*(E4631=E$2:E4631)))))-COUNTBLANK(OFFSET(A$1,,,SUMPRODUCT(MAX(ROW(E$1:E4630)*(E2=E$1:E4630))))))</f>
        <v> </v>
      </c>
      <c r="K4631" s="25" t="str">
        <f>IF(OR(E4631="",E4631="!!!",F4631="NEW"),"",INDEX(J$1:J4630,SUMPRODUCT(MAX(ROW(E$1:E4630)*(E4631=E$1:E4630)))))</f>
        <v> </v>
      </c>
      <c r="L4631" s="26"/>
    </row>
    <row r="4632" spans="1:12">
      <c r="A4632" s="20" t="s">
        <v>732</v>
      </c>
      <c r="E4632" s="21">
        <f>IF(D4632="?OLD","!!!","")</f>
        <v/>
      </c>
      <c r="F4632" s="22" t="str">
        <f>IF(OR(E4632="",E4632="!!!"),"",IF(NOT(ISNA(VLOOKUP(E4632,E$1:E4631,1,FALSE()))),"OLD",IF(AND(E4632&lt;&gt;"",E4632&lt;&gt;"!!!"),"NEW","")))</f>
        <v> </v>
      </c>
      <c r="G4632" s="23" t="str">
        <f>IF(OR(E4632="",E4632="!!!"),"",IF(OR(J4632=0,AND(J4632=1,K4632=1),AND(J4632=1,I4632="SBJ"),AND(J4632=1,I4632=0)),"?IN_FOCUS",IF(J4632&lt;=2,"?ACTIVATED",IF(J4632&lt;&gt;"","?FAMILIAR",IF(F4632="NEW",IF(ISNA(VLOOKUP(E4632,#REF!,1,FALSE())),"?TYPE_IDENTIFIABLE","?REFERENTIAL"),"_")))))</f>
        <v> </v>
      </c>
      <c r="H4632" s="24" t="str">
        <f>IF(J4632&lt;&gt;1,"",IF(I4632="SBJ","CB","?"))</f>
        <v> </v>
      </c>
      <c r="I4632" s="25" t="str">
        <f>IF(OR(E4632="",E4632="!!!",F4632="NEW"),"",INDEX(B4631:B$2,-1+SUMPRODUCT(MAX(ROW(E4631:E$2)*(E4632=E4631:E$2)))))</f>
        <v> </v>
      </c>
      <c r="J4632" s="25" t="str">
        <f>IF(OR(E4632="",E4632="!!!",F4632="NEW"),"",COUNTBLANK(OFFSET(A$1,,,SUMPRODUCT(MAX(ROW(E$2:E4632)*(E4632=E$2:E4632)))))-COUNTBLANK(OFFSET(A$1,,,SUMPRODUCT(MAX(ROW(E$1:E4631)*(E2=E$1:E4631))))))</f>
        <v> </v>
      </c>
      <c r="K4632" s="25" t="str">
        <f>IF(OR(E4632="",E4632="!!!",F4632="NEW"),"",INDEX(J$1:J4631,SUMPRODUCT(MAX(ROW(E$1:E4631)*(E4632=E$1:E4631)))))</f>
        <v> </v>
      </c>
      <c r="L4632" s="26"/>
    </row>
    <row r="4633" spans="1:12">
      <c r="A4633" s="20" t="s">
        <v>830</v>
      </c>
      <c r="B4633" s="27" t="s">
        <v>810</v>
      </c>
      <c r="C4633" s="27" t="s">
        <v>749</v>
      </c>
      <c r="D4633" s="27" t="s">
        <v>687</v>
      </c>
      <c r="E4633" s="21">
        <f>IF(D4633="?OLD","!!!","")</f>
        <v/>
      </c>
      <c r="F4633" s="22" t="str">
        <f>IF(OR(E4633="",E4633="!!!"),"",IF(NOT(ISNA(VLOOKUP(E4633,E$1:E4632,1,FALSE()))),"OLD",IF(AND(E4633&lt;&gt;"",E4633&lt;&gt;"!!!"),"NEW","")))</f>
        <v> </v>
      </c>
      <c r="G4633" s="23" t="str">
        <f>IF(OR(E4633="",E4633="!!!"),"",IF(OR(J4633=0,AND(J4633=1,K4633=1),AND(J4633=1,I4633="SBJ"),AND(J4633=1,I4633=0)),"?IN_FOCUS",IF(J4633&lt;=2,"?ACTIVATED",IF(J4633&lt;&gt;"","?FAMILIAR",IF(F4633="NEW",IF(ISNA(VLOOKUP(E4633,#REF!,1,FALSE())),"?TYPE_IDENTIFIABLE","?REFERENTIAL"),"_")))))</f>
        <v> </v>
      </c>
      <c r="H4633" s="24" t="str">
        <f>IF(J4633&lt;&gt;1,"",IF(I4633="SBJ","CB","?"))</f>
        <v> </v>
      </c>
      <c r="I4633" s="25" t="str">
        <f>IF(OR(E4633="",E4633="!!!",F4633="NEW"),"",INDEX(B4632:B$2,-1+SUMPRODUCT(MAX(ROW(E4632:E$2)*(E4633=E4632:E$2)))))</f>
        <v> </v>
      </c>
      <c r="J4633" s="25" t="str">
        <f>IF(OR(E4633="",E4633="!!!",F4633="NEW"),"",COUNTBLANK(OFFSET(A$1,,,SUMPRODUCT(MAX(ROW(E$2:E4633)*(E4633=E$2:E4633)))))-COUNTBLANK(OFFSET(A$1,,,SUMPRODUCT(MAX(ROW(E$1:E4632)*(E2=E$1:E4632))))))</f>
        <v> </v>
      </c>
      <c r="K4633" s="25" t="str">
        <f>IF(OR(E4633="",E4633="!!!",F4633="NEW"),"",INDEX(J$1:J4632,SUMPRODUCT(MAX(ROW(E$1:E4632)*(E4633=E$1:E4632)))))</f>
        <v> </v>
      </c>
      <c r="L4633" s="26"/>
    </row>
    <row r="4634" spans="1:12">
      <c r="A4634" s="20" t="s">
        <v>1213</v>
      </c>
      <c r="E4634" s="21">
        <f>IF(D4634="?OLD","!!!","")</f>
        <v/>
      </c>
      <c r="F4634" s="22" t="str">
        <f>IF(OR(E4634="",E4634="!!!"),"",IF(NOT(ISNA(VLOOKUP(E4634,E$1:E4633,1,FALSE()))),"OLD",IF(AND(E4634&lt;&gt;"",E4634&lt;&gt;"!!!"),"NEW","")))</f>
        <v> </v>
      </c>
      <c r="G4634" s="23" t="str">
        <f>IF(OR(E4634="",E4634="!!!"),"",IF(OR(J4634=0,AND(J4634=1,K4634=1),AND(J4634=1,I4634="SBJ"),AND(J4634=1,I4634=0)),"?IN_FOCUS",IF(J4634&lt;=2,"?ACTIVATED",IF(J4634&lt;&gt;"","?FAMILIAR",IF(F4634="NEW",IF(ISNA(VLOOKUP(E4634,#REF!,1,FALSE())),"?TYPE_IDENTIFIABLE","?REFERENTIAL"),"_")))))</f>
        <v> </v>
      </c>
      <c r="H4634" s="24" t="str">
        <f>IF(J4634&lt;&gt;1,"",IF(I4634="SBJ","CB","?"))</f>
        <v> </v>
      </c>
      <c r="I4634" s="25" t="str">
        <f>IF(OR(E4634="",E4634="!!!",F4634="NEW"),"",INDEX(B4633:B$2,-1+SUMPRODUCT(MAX(ROW(E4633:E$2)*(E4634=E4633:E$2)))))</f>
        <v> </v>
      </c>
      <c r="J4634" s="25" t="str">
        <f>IF(OR(E4634="",E4634="!!!",F4634="NEW"),"",COUNTBLANK(OFFSET(A$1,,,SUMPRODUCT(MAX(ROW(E$2:E4634)*(E4634=E$2:E4634)))))-COUNTBLANK(OFFSET(A$1,,,SUMPRODUCT(MAX(ROW(E$1:E4633)*(E2=E$1:E4633))))))</f>
        <v> </v>
      </c>
      <c r="K4634" s="25" t="str">
        <f>IF(OR(E4634="",E4634="!!!",F4634="NEW"),"",INDEX(J$1:J4633,SUMPRODUCT(MAX(ROW(E$1:E4633)*(E4634=E$1:E4633)))))</f>
        <v> </v>
      </c>
      <c r="L4634" s="26"/>
    </row>
    <row r="4635" spans="1:12">
      <c r="A4635" s="20" t="s">
        <v>2026</v>
      </c>
      <c r="E4635" s="21">
        <f>IF(D4635="?OLD","!!!","")</f>
        <v/>
      </c>
      <c r="F4635" s="22" t="str">
        <f>IF(OR(E4635="",E4635="!!!"),"",IF(NOT(ISNA(VLOOKUP(E4635,E$1:E4634,1,FALSE()))),"OLD",IF(AND(E4635&lt;&gt;"",E4635&lt;&gt;"!!!"),"NEW","")))</f>
        <v> </v>
      </c>
      <c r="G4635" s="23" t="str">
        <f>IF(OR(E4635="",E4635="!!!"),"",IF(OR(J4635=0,AND(J4635=1,K4635=1),AND(J4635=1,I4635="SBJ"),AND(J4635=1,I4635=0)),"?IN_FOCUS",IF(J4635&lt;=2,"?ACTIVATED",IF(J4635&lt;&gt;"","?FAMILIAR",IF(F4635="NEW",IF(ISNA(VLOOKUP(E4635,#REF!,1,FALSE())),"?TYPE_IDENTIFIABLE","?REFERENTIAL"),"_")))))</f>
        <v> </v>
      </c>
      <c r="H4635" s="24" t="str">
        <f>IF(J4635&lt;&gt;1,"",IF(I4635="SBJ","CB","?"))</f>
        <v> </v>
      </c>
      <c r="I4635" s="25" t="str">
        <f>IF(OR(E4635="",E4635="!!!",F4635="NEW"),"",INDEX(B4634:B$2,-1+SUMPRODUCT(MAX(ROW(E4634:E$2)*(E4635=E4634:E$2)))))</f>
        <v> </v>
      </c>
      <c r="J4635" s="25" t="str">
        <f>IF(OR(E4635="",E4635="!!!",F4635="NEW"),"",COUNTBLANK(OFFSET(A$1,,,SUMPRODUCT(MAX(ROW(E$2:E4635)*(E4635=E$2:E4635)))))-COUNTBLANK(OFFSET(A$1,,,SUMPRODUCT(MAX(ROW(E$1:E4634)*(E2=E$1:E4634))))))</f>
        <v> </v>
      </c>
      <c r="K4635" s="25" t="str">
        <f>IF(OR(E4635="",E4635="!!!",F4635="NEW"),"",INDEX(J$1:J4634,SUMPRODUCT(MAX(ROW(E$1:E4634)*(E4635=E$1:E4634)))))</f>
        <v> </v>
      </c>
      <c r="L4635" s="26"/>
    </row>
    <row r="4636" spans="1:12">
      <c r="A4636" s="20" t="s">
        <v>694</v>
      </c>
      <c r="E4636" s="21">
        <f>IF(D4636="?OLD","!!!","")</f>
        <v/>
      </c>
      <c r="F4636" s="22" t="str">
        <f>IF(OR(E4636="",E4636="!!!"),"",IF(NOT(ISNA(VLOOKUP(E4636,E$1:E4635,1,FALSE()))),"OLD",IF(AND(E4636&lt;&gt;"",E4636&lt;&gt;"!!!"),"NEW","")))</f>
        <v> </v>
      </c>
      <c r="G4636" s="23" t="str">
        <f>IF(OR(E4636="",E4636="!!!"),"",IF(OR(J4636=0,AND(J4636=1,K4636=1),AND(J4636=1,I4636="SBJ"),AND(J4636=1,I4636=0)),"?IN_FOCUS",IF(J4636&lt;=2,"?ACTIVATED",IF(J4636&lt;&gt;"","?FAMILIAR",IF(F4636="NEW",IF(ISNA(VLOOKUP(E4636,#REF!,1,FALSE())),"?TYPE_IDENTIFIABLE","?REFERENTIAL"),"_")))))</f>
        <v> </v>
      </c>
      <c r="H4636" s="24" t="str">
        <f>IF(J4636&lt;&gt;1,"",IF(I4636="SBJ","CB","?"))</f>
        <v> </v>
      </c>
      <c r="I4636" s="25" t="str">
        <f>IF(OR(E4636="",E4636="!!!",F4636="NEW"),"",INDEX(B4635:B$2,-1+SUMPRODUCT(MAX(ROW(E4635:E$2)*(E4636=E4635:E$2)))))</f>
        <v> </v>
      </c>
      <c r="J4636" s="25" t="str">
        <f>IF(OR(E4636="",E4636="!!!",F4636="NEW"),"",COUNTBLANK(OFFSET(A$1,,,SUMPRODUCT(MAX(ROW(E$2:E4636)*(E4636=E$2:E4636)))))-COUNTBLANK(OFFSET(A$1,,,SUMPRODUCT(MAX(ROW(E$1:E4635)*(E2=E$1:E4635))))))</f>
        <v> </v>
      </c>
      <c r="K4636" s="25" t="str">
        <f>IF(OR(E4636="",E4636="!!!",F4636="NEW"),"",INDEX(J$1:J4635,SUMPRODUCT(MAX(ROW(E$1:E4635)*(E4636=E$1:E4635)))))</f>
        <v> </v>
      </c>
      <c r="L4636" s="26"/>
    </row>
    <row r="4637" spans="1:12">
      <c r="A4637" s="20" t="s">
        <v>903</v>
      </c>
      <c r="B4637" s="27" t="s">
        <v>810</v>
      </c>
      <c r="C4637" s="27" t="s">
        <v>731</v>
      </c>
      <c r="D4637" s="27" t="s">
        <v>687</v>
      </c>
      <c r="E4637" s="21">
        <f>IF(D4637="?OLD","!!!","")</f>
        <v/>
      </c>
      <c r="F4637" s="22" t="str">
        <f>IF(OR(E4637="",E4637="!!!"),"",IF(NOT(ISNA(VLOOKUP(E4637,E$1:E4636,1,FALSE()))),"OLD",IF(AND(E4637&lt;&gt;"",E4637&lt;&gt;"!!!"),"NEW","")))</f>
        <v> </v>
      </c>
      <c r="G4637" s="23" t="str">
        <f>IF(OR(E4637="",E4637="!!!"),"",IF(OR(J4637=0,AND(J4637=1,K4637=1),AND(J4637=1,I4637="SBJ"),AND(J4637=1,I4637=0)),"?IN_FOCUS",IF(J4637&lt;=2,"?ACTIVATED",IF(J4637&lt;&gt;"","?FAMILIAR",IF(F4637="NEW",IF(ISNA(VLOOKUP(E4637,#REF!,1,FALSE())),"?TYPE_IDENTIFIABLE","?REFERENTIAL"),"_")))))</f>
        <v> </v>
      </c>
      <c r="H4637" s="24" t="str">
        <f>IF(J4637&lt;&gt;1,"",IF(I4637="SBJ","CB","?"))</f>
        <v> </v>
      </c>
      <c r="I4637" s="25" t="str">
        <f>IF(OR(E4637="",E4637="!!!",F4637="NEW"),"",INDEX(B4636:B$2,-1+SUMPRODUCT(MAX(ROW(E4636:E$2)*(E4637=E4636:E$2)))))</f>
        <v> </v>
      </c>
      <c r="J4637" s="25" t="str">
        <f>IF(OR(E4637="",E4637="!!!",F4637="NEW"),"",COUNTBLANK(OFFSET(A$1,,,SUMPRODUCT(MAX(ROW(E$2:E4637)*(E4637=E$2:E4637)))))-COUNTBLANK(OFFSET(A$1,,,SUMPRODUCT(MAX(ROW(E$1:E4636)*(E2=E$1:E4636))))))</f>
        <v> </v>
      </c>
      <c r="K4637" s="25" t="str">
        <f>IF(OR(E4637="",E4637="!!!",F4637="NEW"),"",INDEX(J$1:J4636,SUMPRODUCT(MAX(ROW(E$1:E4636)*(E4637=E$1:E4636)))))</f>
        <v> </v>
      </c>
      <c r="L4637" s="26"/>
    </row>
    <row r="4638" spans="1:12">
      <c r="A4638" s="20" t="s">
        <v>782</v>
      </c>
      <c r="B4638" s="27" t="s">
        <v>787</v>
      </c>
      <c r="C4638" s="27" t="s">
        <v>749</v>
      </c>
      <c r="D4638" s="27" t="s">
        <v>687</v>
      </c>
      <c r="E4638" s="21">
        <f>IF(D4638="?OLD","!!!","")</f>
        <v/>
      </c>
      <c r="F4638" s="22" t="str">
        <f>IF(OR(E4638="",E4638="!!!"),"",IF(NOT(ISNA(VLOOKUP(E4638,E$1:E4637,1,FALSE()))),"OLD",IF(AND(E4638&lt;&gt;"",E4638&lt;&gt;"!!!"),"NEW","")))</f>
        <v> </v>
      </c>
      <c r="G4638" s="23" t="str">
        <f>IF(OR(E4638="",E4638="!!!"),"",IF(OR(J4638=0,AND(J4638=1,K4638=1),AND(J4638=1,I4638="SBJ"),AND(J4638=1,I4638=0)),"?IN_FOCUS",IF(J4638&lt;=2,"?ACTIVATED",IF(J4638&lt;&gt;"","?FAMILIAR",IF(F4638="NEW",IF(ISNA(VLOOKUP(E4638,#REF!,1,FALSE())),"?TYPE_IDENTIFIABLE","?REFERENTIAL"),"_")))))</f>
        <v> </v>
      </c>
      <c r="H4638" s="24" t="str">
        <f>IF(J4638&lt;&gt;1,"",IF(I4638="SBJ","CB","?"))</f>
        <v> </v>
      </c>
      <c r="I4638" s="25" t="str">
        <f>IF(OR(E4638="",E4638="!!!",F4638="NEW"),"",INDEX(B4637:B$2,-1+SUMPRODUCT(MAX(ROW(E4637:E$2)*(E4638=E4637:E$2)))))</f>
        <v> </v>
      </c>
      <c r="J4638" s="25" t="str">
        <f>IF(OR(E4638="",E4638="!!!",F4638="NEW"),"",COUNTBLANK(OFFSET(A$1,,,SUMPRODUCT(MAX(ROW(E$2:E4638)*(E4638=E$2:E4638)))))-COUNTBLANK(OFFSET(A$1,,,SUMPRODUCT(MAX(ROW(E$1:E4637)*(E2=E$1:E4637))))))</f>
        <v> </v>
      </c>
      <c r="K4638" s="25" t="str">
        <f>IF(OR(E4638="",E4638="!!!",F4638="NEW"),"",INDEX(J$1:J4637,SUMPRODUCT(MAX(ROW(E$1:E4637)*(E4638=E$1:E4637)))))</f>
        <v> </v>
      </c>
      <c r="L4638" s="26"/>
    </row>
    <row r="4639" spans="1:12">
      <c r="A4639" s="20" t="s">
        <v>717</v>
      </c>
      <c r="E4639" s="21">
        <f>IF(D4639="?OLD","!!!","")</f>
        <v/>
      </c>
      <c r="F4639" s="22" t="str">
        <f>IF(OR(E4639="",E4639="!!!"),"",IF(NOT(ISNA(VLOOKUP(E4639,E$1:E4638,1,FALSE()))),"OLD",IF(AND(E4639&lt;&gt;"",E4639&lt;&gt;"!!!"),"NEW","")))</f>
        <v> </v>
      </c>
      <c r="G4639" s="23" t="str">
        <f>IF(OR(E4639="",E4639="!!!"),"",IF(OR(J4639=0,AND(J4639=1,K4639=1),AND(J4639=1,I4639="SBJ"),AND(J4639=1,I4639=0)),"?IN_FOCUS",IF(J4639&lt;=2,"?ACTIVATED",IF(J4639&lt;&gt;"","?FAMILIAR",IF(F4639="NEW",IF(ISNA(VLOOKUP(E4639,#REF!,1,FALSE())),"?TYPE_IDENTIFIABLE","?REFERENTIAL"),"_")))))</f>
        <v> </v>
      </c>
      <c r="H4639" s="24" t="str">
        <f>IF(J4639&lt;&gt;1,"",IF(I4639="SBJ","CB","?"))</f>
        <v> </v>
      </c>
      <c r="I4639" s="25" t="str">
        <f>IF(OR(E4639="",E4639="!!!",F4639="NEW"),"",INDEX(B4638:B$2,-1+SUMPRODUCT(MAX(ROW(E4638:E$2)*(E4639=E4638:E$2)))))</f>
        <v> </v>
      </c>
      <c r="J4639" s="25" t="str">
        <f>IF(OR(E4639="",E4639="!!!",F4639="NEW"),"",COUNTBLANK(OFFSET(A$1,,,SUMPRODUCT(MAX(ROW(E$2:E4639)*(E4639=E$2:E4639)))))-COUNTBLANK(OFFSET(A$1,,,SUMPRODUCT(MAX(ROW(E$1:E4638)*(E2=E$1:E4638))))))</f>
        <v> </v>
      </c>
      <c r="K4639" s="25" t="str">
        <f>IF(OR(E4639="",E4639="!!!",F4639="NEW"),"",INDEX(J$1:J4638,SUMPRODUCT(MAX(ROW(E$1:E4638)*(E4639=E$1:E4638)))))</f>
        <v> </v>
      </c>
      <c r="L4639" s="26"/>
    </row>
    <row r="4640" spans="1:12">
      <c r="A4640" s="20" t="s">
        <v>1485</v>
      </c>
      <c r="E4640" s="21">
        <f>IF(D4640="?OLD","!!!","")</f>
        <v/>
      </c>
      <c r="F4640" s="22" t="str">
        <f>IF(OR(E4640="",E4640="!!!"),"",IF(NOT(ISNA(VLOOKUP(E4640,E$1:E4639,1,FALSE()))),"OLD",IF(AND(E4640&lt;&gt;"",E4640&lt;&gt;"!!!"),"NEW","")))</f>
        <v> </v>
      </c>
      <c r="G4640" s="23" t="str">
        <f>IF(OR(E4640="",E4640="!!!"),"",IF(OR(J4640=0,AND(J4640=1,K4640=1),AND(J4640=1,I4640="SBJ"),AND(J4640=1,I4640=0)),"?IN_FOCUS",IF(J4640&lt;=2,"?ACTIVATED",IF(J4640&lt;&gt;"","?FAMILIAR",IF(F4640="NEW",IF(ISNA(VLOOKUP(E4640,#REF!,1,FALSE())),"?TYPE_IDENTIFIABLE","?REFERENTIAL"),"_")))))</f>
        <v> </v>
      </c>
      <c r="H4640" s="24" t="str">
        <f>IF(J4640&lt;&gt;1,"",IF(I4640="SBJ","CB","?"))</f>
        <v> </v>
      </c>
      <c r="I4640" s="25" t="str">
        <f>IF(OR(E4640="",E4640="!!!",F4640="NEW"),"",INDEX(B4639:B$2,-1+SUMPRODUCT(MAX(ROW(E4639:E$2)*(E4640=E4639:E$2)))))</f>
        <v> </v>
      </c>
      <c r="J4640" s="25" t="str">
        <f>IF(OR(E4640="",E4640="!!!",F4640="NEW"),"",COUNTBLANK(OFFSET(A$1,,,SUMPRODUCT(MAX(ROW(E$2:E4640)*(E4640=E$2:E4640)))))-COUNTBLANK(OFFSET(A$1,,,SUMPRODUCT(MAX(ROW(E$1:E4639)*(E2=E$1:E4639))))))</f>
        <v> </v>
      </c>
      <c r="K4640" s="25" t="str">
        <f>IF(OR(E4640="",E4640="!!!",F4640="NEW"),"",INDEX(J$1:J4639,SUMPRODUCT(MAX(ROW(E$1:E4639)*(E4640=E$1:E4639)))))</f>
        <v> </v>
      </c>
      <c r="L4640" s="26"/>
    </row>
    <row r="4641" spans="1:12">
      <c r="A4641" s="20" t="s">
        <v>1747</v>
      </c>
      <c r="B4641" s="27" t="s">
        <v>791</v>
      </c>
      <c r="C4641" s="27" t="s">
        <v>679</v>
      </c>
      <c r="E4641" s="21">
        <f>IF(D4641="?OLD","!!!","")</f>
        <v/>
      </c>
      <c r="F4641" s="22" t="str">
        <f>IF(OR(E4641="",E4641="!!!"),"",IF(NOT(ISNA(VLOOKUP(E4641,E$1:E4640,1,FALSE()))),"OLD",IF(AND(E4641&lt;&gt;"",E4641&lt;&gt;"!!!"),"NEW","")))</f>
        <v> </v>
      </c>
      <c r="G4641" s="23" t="str">
        <f>IF(OR(E4641="",E4641="!!!"),"",IF(OR(J4641=0,AND(J4641=1,K4641=1),AND(J4641=1,I4641="SBJ"),AND(J4641=1,I4641=0)),"?IN_FOCUS",IF(J4641&lt;=2,"?ACTIVATED",IF(J4641&lt;&gt;"","?FAMILIAR",IF(F4641="NEW",IF(ISNA(VLOOKUP(E4641,#REF!,1,FALSE())),"?TYPE_IDENTIFIABLE","?REFERENTIAL"),"_")))))</f>
        <v> </v>
      </c>
      <c r="H4641" s="24" t="str">
        <f>IF(J4641&lt;&gt;1,"",IF(I4641="SBJ","CB","?"))</f>
        <v> </v>
      </c>
      <c r="I4641" s="25" t="str">
        <f>IF(OR(E4641="",E4641="!!!",F4641="NEW"),"",INDEX(B4640:B$2,-1+SUMPRODUCT(MAX(ROW(E4640:E$2)*(E4641=E4640:E$2)))))</f>
        <v> </v>
      </c>
      <c r="J4641" s="25" t="str">
        <f>IF(OR(E4641="",E4641="!!!",F4641="NEW"),"",COUNTBLANK(OFFSET(A$1,,,SUMPRODUCT(MAX(ROW(E$2:E4641)*(E4641=E$2:E4641)))))-COUNTBLANK(OFFSET(A$1,,,SUMPRODUCT(MAX(ROW(E$1:E4640)*(E2=E$1:E4640))))))</f>
        <v> </v>
      </c>
      <c r="K4641" s="25" t="str">
        <f>IF(OR(E4641="",E4641="!!!",F4641="NEW"),"",INDEX(J$1:J4640,SUMPRODUCT(MAX(ROW(E$1:E4640)*(E4641=E$1:E4640)))))</f>
        <v> </v>
      </c>
      <c r="L4641" s="26"/>
    </row>
    <row r="4642" spans="1:12">
      <c r="A4642" s="20" t="s">
        <v>983</v>
      </c>
      <c r="E4642" s="21">
        <f>IF(D4642="?OLD","!!!","")</f>
        <v/>
      </c>
      <c r="F4642" s="22" t="str">
        <f>IF(OR(E4642="",E4642="!!!"),"",IF(NOT(ISNA(VLOOKUP(E4642,E$1:E4641,1,FALSE()))),"OLD",IF(AND(E4642&lt;&gt;"",E4642&lt;&gt;"!!!"),"NEW","")))</f>
        <v> </v>
      </c>
      <c r="G4642" s="23" t="str">
        <f>IF(OR(E4642="",E4642="!!!"),"",IF(OR(J4642=0,AND(J4642=1,K4642=1),AND(J4642=1,I4642="SBJ"),AND(J4642=1,I4642=0)),"?IN_FOCUS",IF(J4642&lt;=2,"?ACTIVATED",IF(J4642&lt;&gt;"","?FAMILIAR",IF(F4642="NEW",IF(ISNA(VLOOKUP(E4642,#REF!,1,FALSE())),"?TYPE_IDENTIFIABLE","?REFERENTIAL"),"_")))))</f>
        <v> </v>
      </c>
      <c r="H4642" s="24" t="str">
        <f>IF(J4642&lt;&gt;1,"",IF(I4642="SBJ","CB","?"))</f>
        <v> </v>
      </c>
      <c r="I4642" s="25" t="str">
        <f>IF(OR(E4642="",E4642="!!!",F4642="NEW"),"",INDEX(B4641:B$2,-1+SUMPRODUCT(MAX(ROW(E4641:E$2)*(E4642=E4641:E$2)))))</f>
        <v> </v>
      </c>
      <c r="J4642" s="25" t="str">
        <f>IF(OR(E4642="",E4642="!!!",F4642="NEW"),"",COUNTBLANK(OFFSET(A$1,,,SUMPRODUCT(MAX(ROW(E$2:E4642)*(E4642=E$2:E4642)))))-COUNTBLANK(OFFSET(A$1,,,SUMPRODUCT(MAX(ROW(E$1:E4641)*(E2=E$1:E4641))))))</f>
        <v> </v>
      </c>
      <c r="K4642" s="25" t="str">
        <f>IF(OR(E4642="",E4642="!!!",F4642="NEW"),"",INDEX(J$1:J4641,SUMPRODUCT(MAX(ROW(E$1:E4641)*(E4642=E$1:E4641)))))</f>
        <v> </v>
      </c>
      <c r="L4642" s="26"/>
    </row>
    <row r="4643" spans="1:12">
      <c r="A4643" s="20" t="s">
        <v>2027</v>
      </c>
      <c r="E4643" s="21">
        <f>IF(D4643="?OLD","!!!","")</f>
        <v/>
      </c>
      <c r="F4643" s="22" t="str">
        <f>IF(OR(E4643="",E4643="!!!"),"",IF(NOT(ISNA(VLOOKUP(E4643,E$1:E4642,1,FALSE()))),"OLD",IF(AND(E4643&lt;&gt;"",E4643&lt;&gt;"!!!"),"NEW","")))</f>
        <v> </v>
      </c>
      <c r="G4643" s="23" t="str">
        <f>IF(OR(E4643="",E4643="!!!"),"",IF(OR(J4643=0,AND(J4643=1,K4643=1),AND(J4643=1,I4643="SBJ"),AND(J4643=1,I4643=0)),"?IN_FOCUS",IF(J4643&lt;=2,"?ACTIVATED",IF(J4643&lt;&gt;"","?FAMILIAR",IF(F4643="NEW",IF(ISNA(VLOOKUP(E4643,#REF!,1,FALSE())),"?TYPE_IDENTIFIABLE","?REFERENTIAL"),"_")))))</f>
        <v> </v>
      </c>
      <c r="H4643" s="24" t="str">
        <f>IF(J4643&lt;&gt;1,"",IF(I4643="SBJ","CB","?"))</f>
        <v> </v>
      </c>
      <c r="I4643" s="25" t="str">
        <f>IF(OR(E4643="",E4643="!!!",F4643="NEW"),"",INDEX(B4642:B$2,-1+SUMPRODUCT(MAX(ROW(E4642:E$2)*(E4643=E4642:E$2)))))</f>
        <v> </v>
      </c>
      <c r="J4643" s="25" t="str">
        <f>IF(OR(E4643="",E4643="!!!",F4643="NEW"),"",COUNTBLANK(OFFSET(A$1,,,SUMPRODUCT(MAX(ROW(E$2:E4643)*(E4643=E$2:E4643)))))-COUNTBLANK(OFFSET(A$1,,,SUMPRODUCT(MAX(ROW(E$1:E4642)*(E2=E$1:E4642))))))</f>
        <v> </v>
      </c>
      <c r="K4643" s="25" t="str">
        <f>IF(OR(E4643="",E4643="!!!",F4643="NEW"),"",INDEX(J$1:J4642,SUMPRODUCT(MAX(ROW(E$1:E4642)*(E4643=E$1:E4642)))))</f>
        <v> </v>
      </c>
      <c r="L4643" s="26"/>
    </row>
    <row r="4644" spans="1:12">
      <c r="A4644" s="20" t="s">
        <v>676</v>
      </c>
      <c r="E4644" s="21">
        <f>IF(D4644="?OLD","!!!","")</f>
        <v/>
      </c>
      <c r="F4644" s="22" t="str">
        <f>IF(OR(E4644="",E4644="!!!"),"",IF(NOT(ISNA(VLOOKUP(E4644,E$1:E4643,1,FALSE()))),"OLD",IF(AND(E4644&lt;&gt;"",E4644&lt;&gt;"!!!"),"NEW","")))</f>
        <v> </v>
      </c>
      <c r="G4644" s="23" t="str">
        <f>IF(OR(E4644="",E4644="!!!"),"",IF(OR(J4644=0,AND(J4644=1,K4644=1),AND(J4644=1,I4644="SBJ"),AND(J4644=1,I4644=0)),"?IN_FOCUS",IF(J4644&lt;=2,"?ACTIVATED",IF(J4644&lt;&gt;"","?FAMILIAR",IF(F4644="NEW",IF(ISNA(VLOOKUP(E4644,#REF!,1,FALSE())),"?TYPE_IDENTIFIABLE","?REFERENTIAL"),"_")))))</f>
        <v> </v>
      </c>
      <c r="H4644" s="24" t="str">
        <f>IF(J4644&lt;&gt;1,"",IF(I4644="SBJ","CB","?"))</f>
        <v> </v>
      </c>
      <c r="I4644" s="25" t="str">
        <f>IF(OR(E4644="",E4644="!!!",F4644="NEW"),"",INDEX(B4643:B$2,-1+SUMPRODUCT(MAX(ROW(E4643:E$2)*(E4644=E4643:E$2)))))</f>
        <v> </v>
      </c>
      <c r="J4644" s="25" t="str">
        <f>IF(OR(E4644="",E4644="!!!",F4644="NEW"),"",COUNTBLANK(OFFSET(A$1,,,SUMPRODUCT(MAX(ROW(E$2:E4644)*(E4644=E$2:E4644)))))-COUNTBLANK(OFFSET(A$1,,,SUMPRODUCT(MAX(ROW(E$1:E4643)*(E2=E$1:E4643))))))</f>
        <v> </v>
      </c>
      <c r="K4644" s="25" t="str">
        <f>IF(OR(E4644="",E4644="!!!",F4644="NEW"),"",INDEX(J$1:J4643,SUMPRODUCT(MAX(ROW(E$1:E4643)*(E4644=E$1:E4643)))))</f>
        <v> </v>
      </c>
      <c r="L4644" s="26"/>
    </row>
    <row r="4645" spans="1:12">
      <c r="A4645" s="20" t="s">
        <v>1458</v>
      </c>
      <c r="E4645" s="21">
        <f>IF(D4645="?OLD","!!!","")</f>
        <v/>
      </c>
      <c r="F4645" s="22" t="str">
        <f>IF(OR(E4645="",E4645="!!!"),"",IF(NOT(ISNA(VLOOKUP(E4645,E$1:E4644,1,FALSE()))),"OLD",IF(AND(E4645&lt;&gt;"",E4645&lt;&gt;"!!!"),"NEW","")))</f>
        <v> </v>
      </c>
      <c r="G4645" s="23" t="str">
        <f>IF(OR(E4645="",E4645="!!!"),"",IF(OR(J4645=0,AND(J4645=1,K4645=1),AND(J4645=1,I4645="SBJ"),AND(J4645=1,I4645=0)),"?IN_FOCUS",IF(J4645&lt;=2,"?ACTIVATED",IF(J4645&lt;&gt;"","?FAMILIAR",IF(F4645="NEW",IF(ISNA(VLOOKUP(E4645,#REF!,1,FALSE())),"?TYPE_IDENTIFIABLE","?REFERENTIAL"),"_")))))</f>
        <v> </v>
      </c>
      <c r="H4645" s="24" t="str">
        <f>IF(J4645&lt;&gt;1,"",IF(I4645="SBJ","CB","?"))</f>
        <v> </v>
      </c>
      <c r="I4645" s="25" t="str">
        <f>IF(OR(E4645="",E4645="!!!",F4645="NEW"),"",INDEX(B4644:B$2,-1+SUMPRODUCT(MAX(ROW(E4644:E$2)*(E4645=E4644:E$2)))))</f>
        <v> </v>
      </c>
      <c r="J4645" s="25" t="str">
        <f>IF(OR(E4645="",E4645="!!!",F4645="NEW"),"",COUNTBLANK(OFFSET(A$1,,,SUMPRODUCT(MAX(ROW(E$2:E4645)*(E4645=E$2:E4645)))))-COUNTBLANK(OFFSET(A$1,,,SUMPRODUCT(MAX(ROW(E$1:E4644)*(E2=E$1:E4644))))))</f>
        <v> </v>
      </c>
      <c r="K4645" s="25" t="str">
        <f>IF(OR(E4645="",E4645="!!!",F4645="NEW"),"",INDEX(J$1:J4644,SUMPRODUCT(MAX(ROW(E$1:E4644)*(E4645=E$1:E4644)))))</f>
        <v> </v>
      </c>
      <c r="L4645" s="26"/>
    </row>
    <row r="4646" spans="1:12">
      <c r="A4646" s="20" t="s">
        <v>796</v>
      </c>
      <c r="B4646" s="27" t="s">
        <v>843</v>
      </c>
      <c r="C4646" s="27" t="s">
        <v>772</v>
      </c>
      <c r="D4646" s="27" t="s">
        <v>687</v>
      </c>
      <c r="E4646" s="21">
        <f>IF(D4646="?OLD","!!!","")</f>
        <v/>
      </c>
      <c r="F4646" s="22" t="str">
        <f>IF(OR(E4646="",E4646="!!!"),"",IF(NOT(ISNA(VLOOKUP(E4646,E$1:E4645,1,FALSE()))),"OLD",IF(AND(E4646&lt;&gt;"",E4646&lt;&gt;"!!!"),"NEW","")))</f>
        <v> </v>
      </c>
      <c r="G4646" s="23" t="str">
        <f>IF(OR(E4646="",E4646="!!!"),"",IF(OR(J4646=0,AND(J4646=1,K4646=1),AND(J4646=1,I4646="SBJ"),AND(J4646=1,I4646=0)),"?IN_FOCUS",IF(J4646&lt;=2,"?ACTIVATED",IF(J4646&lt;&gt;"","?FAMILIAR",IF(F4646="NEW",IF(ISNA(VLOOKUP(E4646,#REF!,1,FALSE())),"?TYPE_IDENTIFIABLE","?REFERENTIAL"),"_")))))</f>
        <v> </v>
      </c>
      <c r="H4646" s="24" t="str">
        <f>IF(J4646&lt;&gt;1,"",IF(I4646="SBJ","CB","?"))</f>
        <v> </v>
      </c>
      <c r="I4646" s="25" t="str">
        <f>IF(OR(E4646="",E4646="!!!",F4646="NEW"),"",INDEX(B4645:B$2,-1+SUMPRODUCT(MAX(ROW(E4645:E$2)*(E4646=E4645:E$2)))))</f>
        <v> </v>
      </c>
      <c r="J4646" s="25" t="str">
        <f>IF(OR(E4646="",E4646="!!!",F4646="NEW"),"",COUNTBLANK(OFFSET(A$1,,,SUMPRODUCT(MAX(ROW(E$2:E4646)*(E4646=E$2:E4646)))))-COUNTBLANK(OFFSET(A$1,,,SUMPRODUCT(MAX(ROW(E$1:E4645)*(E2=E$1:E4645))))))</f>
        <v> </v>
      </c>
      <c r="K4646" s="25" t="str">
        <f>IF(OR(E4646="",E4646="!!!",F4646="NEW"),"",INDEX(J$1:J4645,SUMPRODUCT(MAX(ROW(E$1:E4645)*(E4646=E$1:E4645)))))</f>
        <v> </v>
      </c>
      <c r="L4646" s="26"/>
    </row>
    <row r="4647" spans="1:12">
      <c r="A4647" s="20" t="s">
        <v>1678</v>
      </c>
      <c r="B4647" s="27" t="s">
        <v>812</v>
      </c>
      <c r="C4647" s="27" t="s">
        <v>899</v>
      </c>
      <c r="D4647" s="27" t="s">
        <v>687</v>
      </c>
      <c r="E4647" s="21">
        <f>IF(D4647="?OLD","!!!","")</f>
        <v/>
      </c>
      <c r="F4647" s="22" t="str">
        <f>IF(OR(E4647="",E4647="!!!"),"",IF(NOT(ISNA(VLOOKUP(E4647,E$1:E4646,1,FALSE()))),"OLD",IF(AND(E4647&lt;&gt;"",E4647&lt;&gt;"!!!"),"NEW","")))</f>
        <v> </v>
      </c>
      <c r="G4647" s="23" t="str">
        <f>IF(OR(E4647="",E4647="!!!"),"",IF(OR(J4647=0,AND(J4647=1,K4647=1),AND(J4647=1,I4647="SBJ"),AND(J4647=1,I4647=0)),"?IN_FOCUS",IF(J4647&lt;=2,"?ACTIVATED",IF(J4647&lt;&gt;"","?FAMILIAR",IF(F4647="NEW",IF(ISNA(VLOOKUP(E4647,#REF!,1,FALSE())),"?TYPE_IDENTIFIABLE","?REFERENTIAL"),"_")))))</f>
        <v> </v>
      </c>
      <c r="H4647" s="24" t="str">
        <f>IF(J4647&lt;&gt;1,"",IF(I4647="SBJ","CB","?"))</f>
        <v> </v>
      </c>
      <c r="I4647" s="25" t="str">
        <f>IF(OR(E4647="",E4647="!!!",F4647="NEW"),"",INDEX(B4646:B$2,-1+SUMPRODUCT(MAX(ROW(E4646:E$2)*(E4647=E4646:E$2)))))</f>
        <v> </v>
      </c>
      <c r="J4647" s="25" t="str">
        <f>IF(OR(E4647="",E4647="!!!",F4647="NEW"),"",COUNTBLANK(OFFSET(A$1,,,SUMPRODUCT(MAX(ROW(E$2:E4647)*(E4647=E$2:E4647)))))-COUNTBLANK(OFFSET(A$1,,,SUMPRODUCT(MAX(ROW(E$1:E4646)*(E2=E$1:E4646))))))</f>
        <v> </v>
      </c>
      <c r="K4647" s="25" t="str">
        <f>IF(OR(E4647="",E4647="!!!",F4647="NEW"),"",INDEX(J$1:J4646,SUMPRODUCT(MAX(ROW(E$1:E4646)*(E4647=E$1:E4646)))))</f>
        <v> </v>
      </c>
      <c r="L4647" s="26"/>
    </row>
    <row r="4648" spans="1:12">
      <c r="A4648" s="20" t="s">
        <v>694</v>
      </c>
      <c r="E4648" s="21">
        <f>IF(D4648="?OLD","!!!","")</f>
        <v/>
      </c>
      <c r="F4648" s="22" t="str">
        <f>IF(OR(E4648="",E4648="!!!"),"",IF(NOT(ISNA(VLOOKUP(E4648,E$1:E4647,1,FALSE()))),"OLD",IF(AND(E4648&lt;&gt;"",E4648&lt;&gt;"!!!"),"NEW","")))</f>
        <v> </v>
      </c>
      <c r="G4648" s="23" t="str">
        <f>IF(OR(E4648="",E4648="!!!"),"",IF(OR(J4648=0,AND(J4648=1,K4648=1),AND(J4648=1,I4648="SBJ"),AND(J4648=1,I4648=0)),"?IN_FOCUS",IF(J4648&lt;=2,"?ACTIVATED",IF(J4648&lt;&gt;"","?FAMILIAR",IF(F4648="NEW",IF(ISNA(VLOOKUP(E4648,#REF!,1,FALSE())),"?TYPE_IDENTIFIABLE","?REFERENTIAL"),"_")))))</f>
        <v> </v>
      </c>
      <c r="H4648" s="24" t="str">
        <f>IF(J4648&lt;&gt;1,"",IF(I4648="SBJ","CB","?"))</f>
        <v> </v>
      </c>
      <c r="I4648" s="25" t="str">
        <f>IF(OR(E4648="",E4648="!!!",F4648="NEW"),"",INDEX(B4647:B$2,-1+SUMPRODUCT(MAX(ROW(E4647:E$2)*(E4648=E4647:E$2)))))</f>
        <v> </v>
      </c>
      <c r="J4648" s="25" t="str">
        <f>IF(OR(E4648="",E4648="!!!",F4648="NEW"),"",COUNTBLANK(OFFSET(A$1,,,SUMPRODUCT(MAX(ROW(E$2:E4648)*(E4648=E$2:E4648)))))-COUNTBLANK(OFFSET(A$1,,,SUMPRODUCT(MAX(ROW(E$1:E4647)*(E2=E$1:E4647))))))</f>
        <v> </v>
      </c>
      <c r="K4648" s="25" t="str">
        <f>IF(OR(E4648="",E4648="!!!",F4648="NEW"),"",INDEX(J$1:J4647,SUMPRODUCT(MAX(ROW(E$1:E4647)*(E4648=E$1:E4647)))))</f>
        <v> </v>
      </c>
      <c r="L4648" s="26"/>
    </row>
    <row r="4649" spans="1:12">
      <c r="A4649" s="20" t="s">
        <v>2028</v>
      </c>
      <c r="B4649" s="27" t="s">
        <v>843</v>
      </c>
      <c r="C4649" s="27" t="s">
        <v>679</v>
      </c>
      <c r="E4649" s="21">
        <f>IF(D4649="?OLD","!!!","")</f>
        <v/>
      </c>
      <c r="F4649" s="22" t="str">
        <f>IF(OR(E4649="",E4649="!!!"),"",IF(NOT(ISNA(VLOOKUP(E4649,E$1:E4648,1,FALSE()))),"OLD",IF(AND(E4649&lt;&gt;"",E4649&lt;&gt;"!!!"),"NEW","")))</f>
        <v> </v>
      </c>
      <c r="G4649" s="23" t="str">
        <f>IF(OR(E4649="",E4649="!!!"),"",IF(OR(J4649=0,AND(J4649=1,K4649=1),AND(J4649=1,I4649="SBJ"),AND(J4649=1,I4649=0)),"?IN_FOCUS",IF(J4649&lt;=2,"?ACTIVATED",IF(J4649&lt;&gt;"","?FAMILIAR",IF(F4649="NEW",IF(ISNA(VLOOKUP(E4649,#REF!,1,FALSE())),"?TYPE_IDENTIFIABLE","?REFERENTIAL"),"_")))))</f>
        <v> </v>
      </c>
      <c r="H4649" s="24" t="str">
        <f>IF(J4649&lt;&gt;1,"",IF(I4649="SBJ","CB","?"))</f>
        <v> </v>
      </c>
      <c r="I4649" s="25" t="str">
        <f>IF(OR(E4649="",E4649="!!!",F4649="NEW"),"",INDEX(B4648:B$2,-1+SUMPRODUCT(MAX(ROW(E4648:E$2)*(E4649=E4648:E$2)))))</f>
        <v> </v>
      </c>
      <c r="J4649" s="25" t="str">
        <f>IF(OR(E4649="",E4649="!!!",F4649="NEW"),"",COUNTBLANK(OFFSET(A$1,,,SUMPRODUCT(MAX(ROW(E$2:E4649)*(E4649=E$2:E4649)))))-COUNTBLANK(OFFSET(A$1,,,SUMPRODUCT(MAX(ROW(E$1:E4648)*(E2=E$1:E4648))))))</f>
        <v> </v>
      </c>
      <c r="K4649" s="25" t="str">
        <f>IF(OR(E4649="",E4649="!!!",F4649="NEW"),"",INDEX(J$1:J4648,SUMPRODUCT(MAX(ROW(E$1:E4648)*(E4649=E$1:E4648)))))</f>
        <v> </v>
      </c>
      <c r="L4649" s="26"/>
    </row>
    <row r="4650" spans="1:12">
      <c r="A4650" s="20" t="s">
        <v>698</v>
      </c>
      <c r="E4650" s="21">
        <f>IF(D4650="?OLD","!!!","")</f>
        <v/>
      </c>
      <c r="F4650" s="22" t="str">
        <f>IF(OR(E4650="",E4650="!!!"),"",IF(NOT(ISNA(VLOOKUP(E4650,E$1:E4649,1,FALSE()))),"OLD",IF(AND(E4650&lt;&gt;"",E4650&lt;&gt;"!!!"),"NEW","")))</f>
        <v> </v>
      </c>
      <c r="G4650" s="23" t="str">
        <f>IF(OR(E4650="",E4650="!!!"),"",IF(OR(J4650=0,AND(J4650=1,K4650=1),AND(J4650=1,I4650="SBJ"),AND(J4650=1,I4650=0)),"?IN_FOCUS",IF(J4650&lt;=2,"?ACTIVATED",IF(J4650&lt;&gt;"","?FAMILIAR",IF(F4650="NEW",IF(ISNA(VLOOKUP(E4650,#REF!,1,FALSE())),"?TYPE_IDENTIFIABLE","?REFERENTIAL"),"_")))))</f>
        <v> </v>
      </c>
      <c r="H4650" s="24" t="str">
        <f>IF(J4650&lt;&gt;1,"",IF(I4650="SBJ","CB","?"))</f>
        <v> </v>
      </c>
      <c r="I4650" s="25" t="str">
        <f>IF(OR(E4650="",E4650="!!!",F4650="NEW"),"",INDEX(B4649:B$2,-1+SUMPRODUCT(MAX(ROW(E4649:E$2)*(E4650=E4649:E$2)))))</f>
        <v> </v>
      </c>
      <c r="J4650" s="25" t="str">
        <f>IF(OR(E4650="",E4650="!!!",F4650="NEW"),"",COUNTBLANK(OFFSET(A$1,,,SUMPRODUCT(MAX(ROW(E$2:E4650)*(E4650=E$2:E4650)))))-COUNTBLANK(OFFSET(A$1,,,SUMPRODUCT(MAX(ROW(E$1:E4649)*(E2=E$1:E4649))))))</f>
        <v> </v>
      </c>
      <c r="K4650" s="25" t="str">
        <f>IF(OR(E4650="",E4650="!!!",F4650="NEW"),"",INDEX(J$1:J4649,SUMPRODUCT(MAX(ROW(E$1:E4649)*(E4650=E$1:E4649)))))</f>
        <v> </v>
      </c>
      <c r="L4650" s="26"/>
    </row>
    <row r="4651" spans="1:12">
      <c r="A4651" s="20"/>
    </row>
    <row r="4652" spans="1:12">
      <c r="A4652" s="20" t="s">
        <v>2029</v>
      </c>
    </row>
    <row r="4653" spans="1:12">
      <c r="A4653" s="20" t="s">
        <v>1154</v>
      </c>
      <c r="B4653" s="27" t="s">
        <v>685</v>
      </c>
      <c r="C4653" s="27" t="s">
        <v>749</v>
      </c>
      <c r="D4653" s="27" t="s">
        <v>687</v>
      </c>
      <c r="E4653" s="21">
        <f>IF(D4653="?OLD","!!!","")</f>
        <v/>
      </c>
      <c r="F4653" s="22" t="str">
        <f>IF(OR(E4653="",E4653="!!!"),"",IF(NOT(ISNA(VLOOKUP(E4653,E$1:E4652,1,FALSE()))),"OLD",IF(AND(E4653&lt;&gt;"",E4653&lt;&gt;"!!!"),"NEW","")))</f>
        <v> </v>
      </c>
      <c r="G4653" s="23" t="str">
        <f>IF(OR(E4653="",E4653="!!!"),"",IF(OR(J4653=0,AND(J4653=1,K4653=1),AND(J4653=1,I4653="SBJ"),AND(J4653=1,I4653=0)),"?IN_FOCUS",IF(J4653&lt;=2,"?ACTIVATED",IF(J4653&lt;&gt;"","?FAMILIAR",IF(F4653="NEW",IF(ISNA(VLOOKUP(E4653,#REF!,1,FALSE())),"?TYPE_IDENTIFIABLE","?REFERENTIAL"),"_")))))</f>
        <v> </v>
      </c>
      <c r="H4653" s="24" t="str">
        <f>IF(J4653&lt;&gt;1,"",IF(I4653="SBJ","CB","?"))</f>
        <v> </v>
      </c>
      <c r="I4653" s="25" t="str">
        <f>IF(OR(E4653="",E4653="!!!",F4653="NEW"),"",INDEX(B4652:B$2,-1+SUMPRODUCT(MAX(ROW(E4652:E$2)*(E4653=E4652:E$2)))))</f>
        <v> </v>
      </c>
      <c r="J4653" s="25" t="str">
        <f>IF(OR(E4653="",E4653="!!!",F4653="NEW"),"",COUNTBLANK(OFFSET(A$1,,,SUMPRODUCT(MAX(ROW(E$2:E4653)*(E4653=E$2:E4653)))))-COUNTBLANK(OFFSET(A$1,,,SUMPRODUCT(MAX(ROW(E$1:E4652)*(E2=E$1:E4652))))))</f>
        <v> </v>
      </c>
      <c r="K4653" s="25" t="str">
        <f>IF(OR(E4653="",E4653="!!!",F4653="NEW"),"",INDEX(J$1:J4652,SUMPRODUCT(MAX(ROW(E$1:E4652)*(E4653=E$1:E4652)))))</f>
        <v> </v>
      </c>
      <c r="L4653" s="26"/>
    </row>
    <row r="4654" spans="1:12">
      <c r="A4654" s="20" t="s">
        <v>750</v>
      </c>
      <c r="E4654" s="21">
        <f>IF(D4654="?OLD","!!!","")</f>
        <v/>
      </c>
      <c r="F4654" s="22" t="str">
        <f>IF(OR(E4654="",E4654="!!!"),"",IF(NOT(ISNA(VLOOKUP(E4654,E$1:E4653,1,FALSE()))),"OLD",IF(AND(E4654&lt;&gt;"",E4654&lt;&gt;"!!!"),"NEW","")))</f>
        <v> </v>
      </c>
      <c r="G4654" s="23" t="str">
        <f>IF(OR(E4654="",E4654="!!!"),"",IF(OR(J4654=0,AND(J4654=1,K4654=1),AND(J4654=1,I4654="SBJ"),AND(J4654=1,I4654=0)),"?IN_FOCUS",IF(J4654&lt;=2,"?ACTIVATED",IF(J4654&lt;&gt;"","?FAMILIAR",IF(F4654="NEW",IF(ISNA(VLOOKUP(E4654,#REF!,1,FALSE())),"?TYPE_IDENTIFIABLE","?REFERENTIAL"),"_")))))</f>
        <v> </v>
      </c>
      <c r="H4654" s="24" t="str">
        <f>IF(J4654&lt;&gt;1,"",IF(I4654="SBJ","CB","?"))</f>
        <v> </v>
      </c>
      <c r="I4654" s="25" t="str">
        <f>IF(OR(E4654="",E4654="!!!",F4654="NEW"),"",INDEX(B4653:B$2,-1+SUMPRODUCT(MAX(ROW(E4653:E$2)*(E4654=E4653:E$2)))))</f>
        <v> </v>
      </c>
      <c r="J4654" s="25" t="str">
        <f>IF(OR(E4654="",E4654="!!!",F4654="NEW"),"",COUNTBLANK(OFFSET(A$1,,,SUMPRODUCT(MAX(ROW(E$2:E4654)*(E4654=E$2:E4654)))))-COUNTBLANK(OFFSET(A$1,,,SUMPRODUCT(MAX(ROW(E$1:E4653)*(E2=E$1:E4653))))))</f>
        <v> </v>
      </c>
      <c r="K4654" s="25" t="str">
        <f>IF(OR(E4654="",E4654="!!!",F4654="NEW"),"",INDEX(J$1:J4653,SUMPRODUCT(MAX(ROW(E$1:E4653)*(E4654=E$1:E4653)))))</f>
        <v> </v>
      </c>
      <c r="L4654" s="26"/>
    </row>
    <row r="4655" spans="1:12">
      <c r="A4655" s="20" t="s">
        <v>1782</v>
      </c>
      <c r="E4655" s="21">
        <f>IF(D4655="?OLD","!!!","")</f>
        <v/>
      </c>
      <c r="F4655" s="22" t="str">
        <f>IF(OR(E4655="",E4655="!!!"),"",IF(NOT(ISNA(VLOOKUP(E4655,E$1:E4654,1,FALSE()))),"OLD",IF(AND(E4655&lt;&gt;"",E4655&lt;&gt;"!!!"),"NEW","")))</f>
        <v> </v>
      </c>
      <c r="G4655" s="23" t="str">
        <f>IF(OR(E4655="",E4655="!!!"),"",IF(OR(J4655=0,AND(J4655=1,K4655=1),AND(J4655=1,I4655="SBJ"),AND(J4655=1,I4655=0)),"?IN_FOCUS",IF(J4655&lt;=2,"?ACTIVATED",IF(J4655&lt;&gt;"","?FAMILIAR",IF(F4655="NEW",IF(ISNA(VLOOKUP(E4655,#REF!,1,FALSE())),"?TYPE_IDENTIFIABLE","?REFERENTIAL"),"_")))))</f>
        <v> </v>
      </c>
      <c r="H4655" s="24" t="str">
        <f>IF(J4655&lt;&gt;1,"",IF(I4655="SBJ","CB","?"))</f>
        <v> </v>
      </c>
      <c r="I4655" s="25" t="str">
        <f>IF(OR(E4655="",E4655="!!!",F4655="NEW"),"",INDEX(B4654:B$2,-1+SUMPRODUCT(MAX(ROW(E4654:E$2)*(E4655=E4654:E$2)))))</f>
        <v> </v>
      </c>
      <c r="J4655" s="25" t="str">
        <f>IF(OR(E4655="",E4655="!!!",F4655="NEW"),"",COUNTBLANK(OFFSET(A$1,,,SUMPRODUCT(MAX(ROW(E$2:E4655)*(E4655=E$2:E4655)))))-COUNTBLANK(OFFSET(A$1,,,SUMPRODUCT(MAX(ROW(E$1:E4654)*(E2=E$1:E4654))))))</f>
        <v> </v>
      </c>
      <c r="K4655" s="25" t="str">
        <f>IF(OR(E4655="",E4655="!!!",F4655="NEW"),"",INDEX(J$1:J4654,SUMPRODUCT(MAX(ROW(E$1:E4654)*(E4655=E$1:E4654)))))</f>
        <v> </v>
      </c>
      <c r="L4655" s="26"/>
    </row>
    <row r="4656" spans="1:12">
      <c r="A4656" s="20" t="s">
        <v>1756</v>
      </c>
      <c r="E4656" s="21">
        <f>IF(D4656="?OLD","!!!","")</f>
        <v/>
      </c>
      <c r="F4656" s="22" t="str">
        <f>IF(OR(E4656="",E4656="!!!"),"",IF(NOT(ISNA(VLOOKUP(E4656,E$1:E4655,1,FALSE()))),"OLD",IF(AND(E4656&lt;&gt;"",E4656&lt;&gt;"!!!"),"NEW","")))</f>
        <v> </v>
      </c>
      <c r="G4656" s="23" t="str">
        <f>IF(OR(E4656="",E4656="!!!"),"",IF(OR(J4656=0,AND(J4656=1,K4656=1),AND(J4656=1,I4656="SBJ"),AND(J4656=1,I4656=0)),"?IN_FOCUS",IF(J4656&lt;=2,"?ACTIVATED",IF(J4656&lt;&gt;"","?FAMILIAR",IF(F4656="NEW",IF(ISNA(VLOOKUP(E4656,#REF!,1,FALSE())),"?TYPE_IDENTIFIABLE","?REFERENTIAL"),"_")))))</f>
        <v> </v>
      </c>
      <c r="H4656" s="24" t="str">
        <f>IF(J4656&lt;&gt;1,"",IF(I4656="SBJ","CB","?"))</f>
        <v> </v>
      </c>
      <c r="I4656" s="25" t="str">
        <f>IF(OR(E4656="",E4656="!!!",F4656="NEW"),"",INDEX(B4655:B$2,-1+SUMPRODUCT(MAX(ROW(E4655:E$2)*(E4656=E4655:E$2)))))</f>
        <v> </v>
      </c>
      <c r="J4656" s="25" t="str">
        <f>IF(OR(E4656="",E4656="!!!",F4656="NEW"),"",COUNTBLANK(OFFSET(A$1,,,SUMPRODUCT(MAX(ROW(E$2:E4656)*(E4656=E$2:E4656)))))-COUNTBLANK(OFFSET(A$1,,,SUMPRODUCT(MAX(ROW(E$1:E4655)*(E2=E$1:E4655))))))</f>
        <v> </v>
      </c>
      <c r="K4656" s="25" t="str">
        <f>IF(OR(E4656="",E4656="!!!",F4656="NEW"),"",INDEX(J$1:J4655,SUMPRODUCT(MAX(ROW(E$1:E4655)*(E4656=E$1:E4655)))))</f>
        <v> </v>
      </c>
      <c r="L4656" s="26"/>
    </row>
    <row r="4657" spans="1:12">
      <c r="A4657" s="20" t="s">
        <v>848</v>
      </c>
      <c r="B4657" s="27" t="s">
        <v>692</v>
      </c>
      <c r="C4657" s="27" t="s">
        <v>1049</v>
      </c>
      <c r="E4657" s="21">
        <f>IF(D4657="?OLD","!!!","")</f>
        <v/>
      </c>
      <c r="F4657" s="22" t="str">
        <f>IF(OR(E4657="",E4657="!!!"),"",IF(NOT(ISNA(VLOOKUP(E4657,E$1:E4656,1,FALSE()))),"OLD",IF(AND(E4657&lt;&gt;"",E4657&lt;&gt;"!!!"),"NEW","")))</f>
        <v> </v>
      </c>
      <c r="G4657" s="23" t="str">
        <f>IF(OR(E4657="",E4657="!!!"),"",IF(OR(J4657=0,AND(J4657=1,K4657=1),AND(J4657=1,I4657="SBJ"),AND(J4657=1,I4657=0)),"?IN_FOCUS",IF(J4657&lt;=2,"?ACTIVATED",IF(J4657&lt;&gt;"","?FAMILIAR",IF(F4657="NEW",IF(ISNA(VLOOKUP(E4657,#REF!,1,FALSE())),"?TYPE_IDENTIFIABLE","?REFERENTIAL"),"_")))))</f>
        <v> </v>
      </c>
      <c r="H4657" s="24" t="str">
        <f>IF(J4657&lt;&gt;1,"",IF(I4657="SBJ","CB","?"))</f>
        <v> </v>
      </c>
      <c r="I4657" s="25" t="str">
        <f>IF(OR(E4657="",E4657="!!!",F4657="NEW"),"",INDEX(B4656:B$2,-1+SUMPRODUCT(MAX(ROW(E4656:E$2)*(E4657=E4656:E$2)))))</f>
        <v> </v>
      </c>
      <c r="J4657" s="25" t="str">
        <f>IF(OR(E4657="",E4657="!!!",F4657="NEW"),"",COUNTBLANK(OFFSET(A$1,,,SUMPRODUCT(MAX(ROW(E$2:E4657)*(E4657=E$2:E4657)))))-COUNTBLANK(OFFSET(A$1,,,SUMPRODUCT(MAX(ROW(E$1:E4656)*(E2=E$1:E4656))))))</f>
        <v> </v>
      </c>
      <c r="K4657" s="25" t="str">
        <f>IF(OR(E4657="",E4657="!!!",F4657="NEW"),"",INDEX(J$1:J4656,SUMPRODUCT(MAX(ROW(E$1:E4656)*(E4657=E$1:E4656)))))</f>
        <v> </v>
      </c>
      <c r="L4657" s="26"/>
    </row>
    <row r="4658" spans="1:12">
      <c r="A4658" s="20" t="s">
        <v>2030</v>
      </c>
      <c r="E4658" s="21">
        <f>IF(D4658="?OLD","!!!","")</f>
        <v/>
      </c>
      <c r="F4658" s="22" t="str">
        <f>IF(OR(E4658="",E4658="!!!"),"",IF(NOT(ISNA(VLOOKUP(E4658,E$1:E4657,1,FALSE()))),"OLD",IF(AND(E4658&lt;&gt;"",E4658&lt;&gt;"!!!"),"NEW","")))</f>
        <v> </v>
      </c>
      <c r="G4658" s="23" t="str">
        <f>IF(OR(E4658="",E4658="!!!"),"",IF(OR(J4658=0,AND(J4658=1,K4658=1),AND(J4658=1,I4658="SBJ"),AND(J4658=1,I4658=0)),"?IN_FOCUS",IF(J4658&lt;=2,"?ACTIVATED",IF(J4658&lt;&gt;"","?FAMILIAR",IF(F4658="NEW",IF(ISNA(VLOOKUP(E4658,#REF!,1,FALSE())),"?TYPE_IDENTIFIABLE","?REFERENTIAL"),"_")))))</f>
        <v> </v>
      </c>
      <c r="H4658" s="24" t="str">
        <f>IF(J4658&lt;&gt;1,"",IF(I4658="SBJ","CB","?"))</f>
        <v> </v>
      </c>
      <c r="I4658" s="25" t="str">
        <f>IF(OR(E4658="",E4658="!!!",F4658="NEW"),"",INDEX(B4657:B$2,-1+SUMPRODUCT(MAX(ROW(E4657:E$2)*(E4658=E4657:E$2)))))</f>
        <v> </v>
      </c>
      <c r="J4658" s="25" t="str">
        <f>IF(OR(E4658="",E4658="!!!",F4658="NEW"),"",COUNTBLANK(OFFSET(A$1,,,SUMPRODUCT(MAX(ROW(E$2:E4658)*(E4658=E$2:E4658)))))-COUNTBLANK(OFFSET(A$1,,,SUMPRODUCT(MAX(ROW(E$1:E4657)*(E2=E$1:E4657))))))</f>
        <v> </v>
      </c>
      <c r="K4658" s="25" t="str">
        <f>IF(OR(E4658="",E4658="!!!",F4658="NEW"),"",INDEX(J$1:J4657,SUMPRODUCT(MAX(ROW(E$1:E4657)*(E4658=E$1:E4657)))))</f>
        <v> </v>
      </c>
      <c r="L4658" s="26"/>
    </row>
    <row r="4659" spans="1:12">
      <c r="A4659" s="20" t="s">
        <v>703</v>
      </c>
      <c r="E4659" s="21">
        <f>IF(D4659="?OLD","!!!","")</f>
        <v/>
      </c>
      <c r="F4659" s="22" t="str">
        <f>IF(OR(E4659="",E4659="!!!"),"",IF(NOT(ISNA(VLOOKUP(E4659,E$1:E4658,1,FALSE()))),"OLD",IF(AND(E4659&lt;&gt;"",E4659&lt;&gt;"!!!"),"NEW","")))</f>
        <v> </v>
      </c>
      <c r="G4659" s="23" t="str">
        <f>IF(OR(E4659="",E4659="!!!"),"",IF(OR(J4659=0,AND(J4659=1,K4659=1),AND(J4659=1,I4659="SBJ"),AND(J4659=1,I4659=0)),"?IN_FOCUS",IF(J4659&lt;=2,"?ACTIVATED",IF(J4659&lt;&gt;"","?FAMILIAR",IF(F4659="NEW",IF(ISNA(VLOOKUP(E4659,#REF!,1,FALSE())),"?TYPE_IDENTIFIABLE","?REFERENTIAL"),"_")))))</f>
        <v> </v>
      </c>
      <c r="H4659" s="24" t="str">
        <f>IF(J4659&lt;&gt;1,"",IF(I4659="SBJ","CB","?"))</f>
        <v> </v>
      </c>
      <c r="I4659" s="25" t="str">
        <f>IF(OR(E4659="",E4659="!!!",F4659="NEW"),"",INDEX(B4658:B$2,-1+SUMPRODUCT(MAX(ROW(E4658:E$2)*(E4659=E4658:E$2)))))</f>
        <v> </v>
      </c>
      <c r="J4659" s="25" t="str">
        <f>IF(OR(E4659="",E4659="!!!",F4659="NEW"),"",COUNTBLANK(OFFSET(A$1,,,SUMPRODUCT(MAX(ROW(E$2:E4659)*(E4659=E$2:E4659)))))-COUNTBLANK(OFFSET(A$1,,,SUMPRODUCT(MAX(ROW(E$1:E4658)*(E2=E$1:E4658))))))</f>
        <v> </v>
      </c>
      <c r="K4659" s="25" t="str">
        <f>IF(OR(E4659="",E4659="!!!",F4659="NEW"),"",INDEX(J$1:J4658,SUMPRODUCT(MAX(ROW(E$1:E4658)*(E4659=E$1:E4658)))))</f>
        <v> </v>
      </c>
      <c r="L4659" s="26"/>
    </row>
    <row r="4660" spans="1:12">
      <c r="A4660" s="20" t="s">
        <v>2031</v>
      </c>
      <c r="E4660" s="21">
        <f>IF(D4660="?OLD","!!!","")</f>
        <v/>
      </c>
      <c r="F4660" s="22" t="str">
        <f>IF(OR(E4660="",E4660="!!!"),"",IF(NOT(ISNA(VLOOKUP(E4660,E$1:E4659,1,FALSE()))),"OLD",IF(AND(E4660&lt;&gt;"",E4660&lt;&gt;"!!!"),"NEW","")))</f>
        <v> </v>
      </c>
      <c r="G4660" s="23" t="str">
        <f>IF(OR(E4660="",E4660="!!!"),"",IF(OR(J4660=0,AND(J4660=1,K4660=1),AND(J4660=1,I4660="SBJ"),AND(J4660=1,I4660=0)),"?IN_FOCUS",IF(J4660&lt;=2,"?ACTIVATED",IF(J4660&lt;&gt;"","?FAMILIAR",IF(F4660="NEW",IF(ISNA(VLOOKUP(E4660,#REF!,1,FALSE())),"?TYPE_IDENTIFIABLE","?REFERENTIAL"),"_")))))</f>
        <v> </v>
      </c>
      <c r="H4660" s="24" t="str">
        <f>IF(J4660&lt;&gt;1,"",IF(I4660="SBJ","CB","?"))</f>
        <v> </v>
      </c>
      <c r="I4660" s="25" t="str">
        <f>IF(OR(E4660="",E4660="!!!",F4660="NEW"),"",INDEX(B4659:B$2,-1+SUMPRODUCT(MAX(ROW(E4659:E$2)*(E4660=E4659:E$2)))))</f>
        <v> </v>
      </c>
      <c r="J4660" s="25" t="str">
        <f>IF(OR(E4660="",E4660="!!!",F4660="NEW"),"",COUNTBLANK(OFFSET(A$1,,,SUMPRODUCT(MAX(ROW(E$2:E4660)*(E4660=E$2:E4660)))))-COUNTBLANK(OFFSET(A$1,,,SUMPRODUCT(MAX(ROW(E$1:E4659)*(E2=E$1:E4659))))))</f>
        <v> </v>
      </c>
      <c r="K4660" s="25" t="str">
        <f>IF(OR(E4660="",E4660="!!!",F4660="NEW"),"",INDEX(J$1:J4659,SUMPRODUCT(MAX(ROW(E$1:E4659)*(E4660=E$1:E4659)))))</f>
        <v> </v>
      </c>
      <c r="L4660" s="26"/>
    </row>
    <row r="4661" spans="1:12">
      <c r="A4661" s="20" t="s">
        <v>1207</v>
      </c>
      <c r="E4661" s="21">
        <f>IF(D4661="?OLD","!!!","")</f>
        <v/>
      </c>
      <c r="F4661" s="22" t="str">
        <f>IF(OR(E4661="",E4661="!!!"),"",IF(NOT(ISNA(VLOOKUP(E4661,E$1:E4660,1,FALSE()))),"OLD",IF(AND(E4661&lt;&gt;"",E4661&lt;&gt;"!!!"),"NEW","")))</f>
        <v> </v>
      </c>
      <c r="G4661" s="23" t="str">
        <f>IF(OR(E4661="",E4661="!!!"),"",IF(OR(J4661=0,AND(J4661=1,K4661=1),AND(J4661=1,I4661="SBJ"),AND(J4661=1,I4661=0)),"?IN_FOCUS",IF(J4661&lt;=2,"?ACTIVATED",IF(J4661&lt;&gt;"","?FAMILIAR",IF(F4661="NEW",IF(ISNA(VLOOKUP(E4661,#REF!,1,FALSE())),"?TYPE_IDENTIFIABLE","?REFERENTIAL"),"_")))))</f>
        <v> </v>
      </c>
      <c r="H4661" s="24" t="str">
        <f>IF(J4661&lt;&gt;1,"",IF(I4661="SBJ","CB","?"))</f>
        <v> </v>
      </c>
      <c r="I4661" s="25" t="str">
        <f>IF(OR(E4661="",E4661="!!!",F4661="NEW"),"",INDEX(B4660:B$2,-1+SUMPRODUCT(MAX(ROW(E4660:E$2)*(E4661=E4660:E$2)))))</f>
        <v> </v>
      </c>
      <c r="J4661" s="25" t="str">
        <f>IF(OR(E4661="",E4661="!!!",F4661="NEW"),"",COUNTBLANK(OFFSET(A$1,,,SUMPRODUCT(MAX(ROW(E$2:E4661)*(E4661=E$2:E4661)))))-COUNTBLANK(OFFSET(A$1,,,SUMPRODUCT(MAX(ROW(E$1:E4660)*(E2=E$1:E4660))))))</f>
        <v> </v>
      </c>
      <c r="K4661" s="25" t="str">
        <f>IF(OR(E4661="",E4661="!!!",F4661="NEW"),"",INDEX(J$1:J4660,SUMPRODUCT(MAX(ROW(E$1:E4660)*(E4661=E$1:E4660)))))</f>
        <v> </v>
      </c>
      <c r="L4661" s="26"/>
    </row>
    <row r="4662" spans="1:12">
      <c r="A4662" s="20" t="s">
        <v>2032</v>
      </c>
      <c r="E4662" s="21">
        <f>IF(D4662="?OLD","!!!","")</f>
        <v/>
      </c>
      <c r="F4662" s="22" t="str">
        <f>IF(OR(E4662="",E4662="!!!"),"",IF(NOT(ISNA(VLOOKUP(E4662,E$1:E4661,1,FALSE()))),"OLD",IF(AND(E4662&lt;&gt;"",E4662&lt;&gt;"!!!"),"NEW","")))</f>
        <v> </v>
      </c>
      <c r="G4662" s="23" t="str">
        <f>IF(OR(E4662="",E4662="!!!"),"",IF(OR(J4662=0,AND(J4662=1,K4662=1),AND(J4662=1,I4662="SBJ"),AND(J4662=1,I4662=0)),"?IN_FOCUS",IF(J4662&lt;=2,"?ACTIVATED",IF(J4662&lt;&gt;"","?FAMILIAR",IF(F4662="NEW",IF(ISNA(VLOOKUP(E4662,#REF!,1,FALSE())),"?TYPE_IDENTIFIABLE","?REFERENTIAL"),"_")))))</f>
        <v> </v>
      </c>
      <c r="H4662" s="24" t="str">
        <f>IF(J4662&lt;&gt;1,"",IF(I4662="SBJ","CB","?"))</f>
        <v> </v>
      </c>
      <c r="I4662" s="25" t="str">
        <f>IF(OR(E4662="",E4662="!!!",F4662="NEW"),"",INDEX(B4661:B$2,-1+SUMPRODUCT(MAX(ROW(E4661:E$2)*(E4662=E4661:E$2)))))</f>
        <v> </v>
      </c>
      <c r="J4662" s="25" t="str">
        <f>IF(OR(E4662="",E4662="!!!",F4662="NEW"),"",COUNTBLANK(OFFSET(A$1,,,SUMPRODUCT(MAX(ROW(E$2:E4662)*(E4662=E$2:E4662)))))-COUNTBLANK(OFFSET(A$1,,,SUMPRODUCT(MAX(ROW(E$1:E4661)*(E2=E$1:E4661))))))</f>
        <v> </v>
      </c>
      <c r="K4662" s="25" t="str">
        <f>IF(OR(E4662="",E4662="!!!",F4662="NEW"),"",INDEX(J$1:J4661,SUMPRODUCT(MAX(ROW(E$1:E4661)*(E4662=E$1:E4661)))))</f>
        <v> </v>
      </c>
      <c r="L4662" s="26"/>
    </row>
    <row r="4663" spans="1:12">
      <c r="A4663" s="20" t="s">
        <v>676</v>
      </c>
      <c r="E4663" s="21">
        <f>IF(D4663="?OLD","!!!","")</f>
        <v/>
      </c>
      <c r="F4663" s="22" t="str">
        <f>IF(OR(E4663="",E4663="!!!"),"",IF(NOT(ISNA(VLOOKUP(E4663,E$1:E4662,1,FALSE()))),"OLD",IF(AND(E4663&lt;&gt;"",E4663&lt;&gt;"!!!"),"NEW","")))</f>
        <v> </v>
      </c>
      <c r="G4663" s="23" t="str">
        <f>IF(OR(E4663="",E4663="!!!"),"",IF(OR(J4663=0,AND(J4663=1,K4663=1),AND(J4663=1,I4663="SBJ"),AND(J4663=1,I4663=0)),"?IN_FOCUS",IF(J4663&lt;=2,"?ACTIVATED",IF(J4663&lt;&gt;"","?FAMILIAR",IF(F4663="NEW",IF(ISNA(VLOOKUP(E4663,#REF!,1,FALSE())),"?TYPE_IDENTIFIABLE","?REFERENTIAL"),"_")))))</f>
        <v> </v>
      </c>
      <c r="H4663" s="24" t="str">
        <f>IF(J4663&lt;&gt;1,"",IF(I4663="SBJ","CB","?"))</f>
        <v> </v>
      </c>
      <c r="I4663" s="25" t="str">
        <f>IF(OR(E4663="",E4663="!!!",F4663="NEW"),"",INDEX(B4662:B$2,-1+SUMPRODUCT(MAX(ROW(E4662:E$2)*(E4663=E4662:E$2)))))</f>
        <v> </v>
      </c>
      <c r="J4663" s="25" t="str">
        <f>IF(OR(E4663="",E4663="!!!",F4663="NEW"),"",COUNTBLANK(OFFSET(A$1,,,SUMPRODUCT(MAX(ROW(E$2:E4663)*(E4663=E$2:E4663)))))-COUNTBLANK(OFFSET(A$1,,,SUMPRODUCT(MAX(ROW(E$1:E4662)*(E2=E$1:E4662))))))</f>
        <v> </v>
      </c>
      <c r="K4663" s="25" t="str">
        <f>IF(OR(E4663="",E4663="!!!",F4663="NEW"),"",INDEX(J$1:J4662,SUMPRODUCT(MAX(ROW(E$1:E4662)*(E4663=E$1:E4662)))))</f>
        <v> </v>
      </c>
      <c r="L4663" s="26"/>
    </row>
    <row r="4664" spans="1:12">
      <c r="A4664" s="20" t="s">
        <v>760</v>
      </c>
      <c r="E4664" s="21">
        <f>IF(D4664="?OLD","!!!","")</f>
        <v/>
      </c>
      <c r="F4664" s="22" t="str">
        <f>IF(OR(E4664="",E4664="!!!"),"",IF(NOT(ISNA(VLOOKUP(E4664,E$1:E4663,1,FALSE()))),"OLD",IF(AND(E4664&lt;&gt;"",E4664&lt;&gt;"!!!"),"NEW","")))</f>
        <v> </v>
      </c>
      <c r="G4664" s="23" t="str">
        <f>IF(OR(E4664="",E4664="!!!"),"",IF(OR(J4664=0,AND(J4664=1,K4664=1),AND(J4664=1,I4664="SBJ"),AND(J4664=1,I4664=0)),"?IN_FOCUS",IF(J4664&lt;=2,"?ACTIVATED",IF(J4664&lt;&gt;"","?FAMILIAR",IF(F4664="NEW",IF(ISNA(VLOOKUP(E4664,#REF!,1,FALSE())),"?TYPE_IDENTIFIABLE","?REFERENTIAL"),"_")))))</f>
        <v> </v>
      </c>
      <c r="H4664" s="24" t="str">
        <f>IF(J4664&lt;&gt;1,"",IF(I4664="SBJ","CB","?"))</f>
        <v> </v>
      </c>
      <c r="I4664" s="25" t="str">
        <f>IF(OR(E4664="",E4664="!!!",F4664="NEW"),"",INDEX(B4663:B$2,-1+SUMPRODUCT(MAX(ROW(E4663:E$2)*(E4664=E4663:E$2)))))</f>
        <v> </v>
      </c>
      <c r="J4664" s="25" t="str">
        <f>IF(OR(E4664="",E4664="!!!",F4664="NEW"),"",COUNTBLANK(OFFSET(A$1,,,SUMPRODUCT(MAX(ROW(E$2:E4664)*(E4664=E$2:E4664)))))-COUNTBLANK(OFFSET(A$1,,,SUMPRODUCT(MAX(ROW(E$1:E4663)*(E2=E$1:E4663))))))</f>
        <v> </v>
      </c>
      <c r="K4664" s="25" t="str">
        <f>IF(OR(E4664="",E4664="!!!",F4664="NEW"),"",INDEX(J$1:J4663,SUMPRODUCT(MAX(ROW(E$1:E4663)*(E4664=E$1:E4663)))))</f>
        <v> </v>
      </c>
      <c r="L4664" s="26"/>
    </row>
    <row r="4665" spans="1:12">
      <c r="A4665" s="20" t="s">
        <v>844</v>
      </c>
      <c r="B4665" s="27" t="s">
        <v>696</v>
      </c>
      <c r="C4665" s="27" t="s">
        <v>772</v>
      </c>
      <c r="D4665" s="27" t="s">
        <v>687</v>
      </c>
      <c r="E4665" s="21">
        <f>IF(D4665="?OLD","!!!","")</f>
        <v/>
      </c>
      <c r="F4665" s="22" t="str">
        <f>IF(OR(E4665="",E4665="!!!"),"",IF(NOT(ISNA(VLOOKUP(E4665,E$1:E4664,1,FALSE()))),"OLD",IF(AND(E4665&lt;&gt;"",E4665&lt;&gt;"!!!"),"NEW","")))</f>
        <v> </v>
      </c>
      <c r="G4665" s="23" t="str">
        <f>IF(OR(E4665="",E4665="!!!"),"",IF(OR(J4665=0,AND(J4665=1,K4665=1),AND(J4665=1,I4665="SBJ"),AND(J4665=1,I4665=0)),"?IN_FOCUS",IF(J4665&lt;=2,"?ACTIVATED",IF(J4665&lt;&gt;"","?FAMILIAR",IF(F4665="NEW",IF(ISNA(VLOOKUP(E4665,#REF!,1,FALSE())),"?TYPE_IDENTIFIABLE","?REFERENTIAL"),"_")))))</f>
        <v> </v>
      </c>
      <c r="H4665" s="24" t="str">
        <f>IF(J4665&lt;&gt;1,"",IF(I4665="SBJ","CB","?"))</f>
        <v> </v>
      </c>
      <c r="I4665" s="25" t="str">
        <f>IF(OR(E4665="",E4665="!!!",F4665="NEW"),"",INDEX(B4664:B$2,-1+SUMPRODUCT(MAX(ROW(E4664:E$2)*(E4665=E4664:E$2)))))</f>
        <v> </v>
      </c>
      <c r="J4665" s="25" t="str">
        <f>IF(OR(E4665="",E4665="!!!",F4665="NEW"),"",COUNTBLANK(OFFSET(A$1,,,SUMPRODUCT(MAX(ROW(E$2:E4665)*(E4665=E$2:E4665)))))-COUNTBLANK(OFFSET(A$1,,,SUMPRODUCT(MAX(ROW(E$1:E4664)*(E2=E$1:E4664))))))</f>
        <v> </v>
      </c>
      <c r="K4665" s="25" t="str">
        <f>IF(OR(E4665="",E4665="!!!",F4665="NEW"),"",INDEX(J$1:J4664,SUMPRODUCT(MAX(ROW(E$1:E4664)*(E4665=E$1:E4664)))))</f>
        <v> </v>
      </c>
      <c r="L4665" s="26"/>
    </row>
    <row r="4666" spans="1:12">
      <c r="A4666" s="20" t="s">
        <v>2033</v>
      </c>
      <c r="E4666" s="21">
        <f>IF(D4666="?OLD","!!!","")</f>
        <v/>
      </c>
      <c r="F4666" s="22" t="str">
        <f>IF(OR(E4666="",E4666="!!!"),"",IF(NOT(ISNA(VLOOKUP(E4666,E$1:E4665,1,FALSE()))),"OLD",IF(AND(E4666&lt;&gt;"",E4666&lt;&gt;"!!!"),"NEW","")))</f>
        <v> </v>
      </c>
      <c r="G4666" s="23" t="str">
        <f>IF(OR(E4666="",E4666="!!!"),"",IF(OR(J4666=0,AND(J4666=1,K4666=1),AND(J4666=1,I4666="SBJ"),AND(J4666=1,I4666=0)),"?IN_FOCUS",IF(J4666&lt;=2,"?ACTIVATED",IF(J4666&lt;&gt;"","?FAMILIAR",IF(F4666="NEW",IF(ISNA(VLOOKUP(E4666,#REF!,1,FALSE())),"?TYPE_IDENTIFIABLE","?REFERENTIAL"),"_")))))</f>
        <v> </v>
      </c>
      <c r="H4666" s="24" t="str">
        <f>IF(J4666&lt;&gt;1,"",IF(I4666="SBJ","CB","?"))</f>
        <v> </v>
      </c>
      <c r="I4666" s="25" t="str">
        <f>IF(OR(E4666="",E4666="!!!",F4666="NEW"),"",INDEX(B4665:B$2,-1+SUMPRODUCT(MAX(ROW(E4665:E$2)*(E4666=E4665:E$2)))))</f>
        <v> </v>
      </c>
      <c r="J4666" s="25" t="str">
        <f>IF(OR(E4666="",E4666="!!!",F4666="NEW"),"",COUNTBLANK(OFFSET(A$1,,,SUMPRODUCT(MAX(ROW(E$2:E4666)*(E4666=E$2:E4666)))))-COUNTBLANK(OFFSET(A$1,,,SUMPRODUCT(MAX(ROW(E$1:E4665)*(E2=E$1:E4665))))))</f>
        <v> </v>
      </c>
      <c r="K4666" s="25" t="str">
        <f>IF(OR(E4666="",E4666="!!!",F4666="NEW"),"",INDEX(J$1:J4665,SUMPRODUCT(MAX(ROW(E$1:E4665)*(E4666=E$1:E4665)))))</f>
        <v> </v>
      </c>
      <c r="L4666" s="26"/>
    </row>
    <row r="4667" spans="1:12">
      <c r="A4667" s="20" t="s">
        <v>2034</v>
      </c>
      <c r="B4667" s="27" t="s">
        <v>678</v>
      </c>
      <c r="C4667" s="27" t="s">
        <v>686</v>
      </c>
      <c r="D4667" s="27" t="s">
        <v>687</v>
      </c>
      <c r="E4667" s="21">
        <f>IF(D4667="?OLD","!!!","")</f>
        <v/>
      </c>
      <c r="F4667" s="22" t="str">
        <f>IF(OR(E4667="",E4667="!!!"),"",IF(NOT(ISNA(VLOOKUP(E4667,E$1:E4666,1,FALSE()))),"OLD",IF(AND(E4667&lt;&gt;"",E4667&lt;&gt;"!!!"),"NEW","")))</f>
        <v> </v>
      </c>
      <c r="G4667" s="23" t="str">
        <f>IF(OR(E4667="",E4667="!!!"),"",IF(OR(J4667=0,AND(J4667=1,K4667=1),AND(J4667=1,I4667="SBJ"),AND(J4667=1,I4667=0)),"?IN_FOCUS",IF(J4667&lt;=2,"?ACTIVATED",IF(J4667&lt;&gt;"","?FAMILIAR",IF(F4667="NEW",IF(ISNA(VLOOKUP(E4667,#REF!,1,FALSE())),"?TYPE_IDENTIFIABLE","?REFERENTIAL"),"_")))))</f>
        <v> </v>
      </c>
      <c r="H4667" s="24" t="str">
        <f>IF(J4667&lt;&gt;1,"",IF(I4667="SBJ","CB","?"))</f>
        <v> </v>
      </c>
      <c r="I4667" s="25" t="str">
        <f>IF(OR(E4667="",E4667="!!!",F4667="NEW"),"",INDEX(B4666:B$2,-1+SUMPRODUCT(MAX(ROW(E4666:E$2)*(E4667=E4666:E$2)))))</f>
        <v> </v>
      </c>
      <c r="J4667" s="25" t="str">
        <f>IF(OR(E4667="",E4667="!!!",F4667="NEW"),"",COUNTBLANK(OFFSET(A$1,,,SUMPRODUCT(MAX(ROW(E$2:E4667)*(E4667=E$2:E4667)))))-COUNTBLANK(OFFSET(A$1,,,SUMPRODUCT(MAX(ROW(E$1:E4666)*(E2=E$1:E4666))))))</f>
        <v> </v>
      </c>
      <c r="K4667" s="25" t="str">
        <f>IF(OR(E4667="",E4667="!!!",F4667="NEW"),"",INDEX(J$1:J4666,SUMPRODUCT(MAX(ROW(E$1:E4666)*(E4667=E$1:E4666)))))</f>
        <v> </v>
      </c>
      <c r="L4667" s="26"/>
    </row>
    <row r="4668" spans="1:12">
      <c r="A4668" s="20" t="s">
        <v>698</v>
      </c>
      <c r="E4668" s="21">
        <f>IF(D4668="?OLD","!!!","")</f>
        <v/>
      </c>
      <c r="F4668" s="22" t="str">
        <f>IF(OR(E4668="",E4668="!!!"),"",IF(NOT(ISNA(VLOOKUP(E4668,E$1:E4667,1,FALSE()))),"OLD",IF(AND(E4668&lt;&gt;"",E4668&lt;&gt;"!!!"),"NEW","")))</f>
        <v> </v>
      </c>
      <c r="G4668" s="23" t="str">
        <f>IF(OR(E4668="",E4668="!!!"),"",IF(OR(J4668=0,AND(J4668=1,K4668=1),AND(J4668=1,I4668="SBJ"),AND(J4668=1,I4668=0)),"?IN_FOCUS",IF(J4668&lt;=2,"?ACTIVATED",IF(J4668&lt;&gt;"","?FAMILIAR",IF(F4668="NEW",IF(ISNA(VLOOKUP(E4668,#REF!,1,FALSE())),"?TYPE_IDENTIFIABLE","?REFERENTIAL"),"_")))))</f>
        <v> </v>
      </c>
      <c r="H4668" s="24" t="str">
        <f>IF(J4668&lt;&gt;1,"",IF(I4668="SBJ","CB","?"))</f>
        <v> </v>
      </c>
      <c r="I4668" s="25" t="str">
        <f>IF(OR(E4668="",E4668="!!!",F4668="NEW"),"",INDEX(B4667:B$2,-1+SUMPRODUCT(MAX(ROW(E4667:E$2)*(E4668=E4667:E$2)))))</f>
        <v> </v>
      </c>
      <c r="J4668" s="25" t="str">
        <f>IF(OR(E4668="",E4668="!!!",F4668="NEW"),"",COUNTBLANK(OFFSET(A$1,,,SUMPRODUCT(MAX(ROW(E$2:E4668)*(E4668=E$2:E4668)))))-COUNTBLANK(OFFSET(A$1,,,SUMPRODUCT(MAX(ROW(E$1:E4667)*(E2=E$1:E4667))))))</f>
        <v> </v>
      </c>
      <c r="K4668" s="25" t="str">
        <f>IF(OR(E4668="",E4668="!!!",F4668="NEW"),"",INDEX(J$1:J4667,SUMPRODUCT(MAX(ROW(E$1:E4667)*(E4668=E$1:E4667)))))</f>
        <v> </v>
      </c>
      <c r="L4668" s="26"/>
    </row>
    <row r="4669" spans="1:12">
      <c r="A4669" s="20"/>
    </row>
    <row r="4670" spans="1:12">
      <c r="A4670" s="20" t="s">
        <v>2035</v>
      </c>
    </row>
    <row r="4671" spans="1:12">
      <c r="A4671" s="20" t="s">
        <v>827</v>
      </c>
      <c r="E4671" s="21">
        <f>IF(D4671="?OLD","!!!","")</f>
        <v/>
      </c>
      <c r="F4671" s="22" t="str">
        <f>IF(OR(E4671="",E4671="!!!"),"",IF(NOT(ISNA(VLOOKUP(E4671,E$1:E4670,1,FALSE()))),"OLD",IF(AND(E4671&lt;&gt;"",E4671&lt;&gt;"!!!"),"NEW","")))</f>
        <v> </v>
      </c>
      <c r="G4671" s="23" t="str">
        <f>IF(OR(E4671="",E4671="!!!"),"",IF(OR(J4671=0,AND(J4671=1,K4671=1),AND(J4671=1,I4671="SBJ"),AND(J4671=1,I4671=0)),"?IN_FOCUS",IF(J4671&lt;=2,"?ACTIVATED",IF(J4671&lt;&gt;"","?FAMILIAR",IF(F4671="NEW",IF(ISNA(VLOOKUP(E4671,#REF!,1,FALSE())),"?TYPE_IDENTIFIABLE","?REFERENTIAL"),"_")))))</f>
        <v> </v>
      </c>
      <c r="H4671" s="24" t="str">
        <f>IF(J4671&lt;&gt;1,"",IF(I4671="SBJ","CB","?"))</f>
        <v> </v>
      </c>
      <c r="I4671" s="25" t="str">
        <f>IF(OR(E4671="",E4671="!!!",F4671="NEW"),"",INDEX(B4670:B$2,-1+SUMPRODUCT(MAX(ROW(E4670:E$2)*(E4671=E4670:E$2)))))</f>
        <v> </v>
      </c>
      <c r="J4671" s="25" t="str">
        <f>IF(OR(E4671="",E4671="!!!",F4671="NEW"),"",COUNTBLANK(OFFSET(A$1,,,SUMPRODUCT(MAX(ROW(E$2:E4671)*(E4671=E$2:E4671)))))-COUNTBLANK(OFFSET(A$1,,,SUMPRODUCT(MAX(ROW(E$1:E4670)*(E2=E$1:E4670))))))</f>
        <v> </v>
      </c>
      <c r="K4671" s="25" t="str">
        <f>IF(OR(E4671="",E4671="!!!",F4671="NEW"),"",INDEX(J$1:J4670,SUMPRODUCT(MAX(ROW(E$1:E4670)*(E4671=E$1:E4670)))))</f>
        <v> </v>
      </c>
      <c r="L4671" s="26"/>
    </row>
    <row r="4672" spans="1:12">
      <c r="A4672" s="20" t="s">
        <v>1293</v>
      </c>
      <c r="E4672" s="21">
        <f>IF(D4672="?OLD","!!!","")</f>
        <v/>
      </c>
      <c r="F4672" s="22" t="str">
        <f>IF(OR(E4672="",E4672="!!!"),"",IF(NOT(ISNA(VLOOKUP(E4672,E$1:E4671,1,FALSE()))),"OLD",IF(AND(E4672&lt;&gt;"",E4672&lt;&gt;"!!!"),"NEW","")))</f>
        <v> </v>
      </c>
      <c r="G4672" s="23" t="str">
        <f>IF(OR(E4672="",E4672="!!!"),"",IF(OR(J4672=0,AND(J4672=1,K4672=1),AND(J4672=1,I4672="SBJ"),AND(J4672=1,I4672=0)),"?IN_FOCUS",IF(J4672&lt;=2,"?ACTIVATED",IF(J4672&lt;&gt;"","?FAMILIAR",IF(F4672="NEW",IF(ISNA(VLOOKUP(E4672,#REF!,1,FALSE())),"?TYPE_IDENTIFIABLE","?REFERENTIAL"),"_")))))</f>
        <v> </v>
      </c>
      <c r="H4672" s="24" t="str">
        <f>IF(J4672&lt;&gt;1,"",IF(I4672="SBJ","CB","?"))</f>
        <v> </v>
      </c>
      <c r="I4672" s="25" t="str">
        <f>IF(OR(E4672="",E4672="!!!",F4672="NEW"),"",INDEX(B4671:B$2,-1+SUMPRODUCT(MAX(ROW(E4671:E$2)*(E4672=E4671:E$2)))))</f>
        <v> </v>
      </c>
      <c r="J4672" s="25" t="str">
        <f>IF(OR(E4672="",E4672="!!!",F4672="NEW"),"",COUNTBLANK(OFFSET(A$1,,,SUMPRODUCT(MAX(ROW(E$2:E4672)*(E4672=E$2:E4672)))))-COUNTBLANK(OFFSET(A$1,,,SUMPRODUCT(MAX(ROW(E$1:E4671)*(E2=E$1:E4671))))))</f>
        <v> </v>
      </c>
      <c r="K4672" s="25" t="str">
        <f>IF(OR(E4672="",E4672="!!!",F4672="NEW"),"",INDEX(J$1:J4671,SUMPRODUCT(MAX(ROW(E$1:E4671)*(E4672=E$1:E4671)))))</f>
        <v> </v>
      </c>
      <c r="L4672" s="26"/>
    </row>
    <row r="4673" spans="1:12">
      <c r="A4673" s="20" t="s">
        <v>721</v>
      </c>
      <c r="E4673" s="21">
        <f>IF(D4673="?OLD","!!!","")</f>
        <v/>
      </c>
      <c r="F4673" s="22" t="str">
        <f>IF(OR(E4673="",E4673="!!!"),"",IF(NOT(ISNA(VLOOKUP(E4673,E$1:E4672,1,FALSE()))),"OLD",IF(AND(E4673&lt;&gt;"",E4673&lt;&gt;"!!!"),"NEW","")))</f>
        <v> </v>
      </c>
      <c r="G4673" s="23" t="str">
        <f>IF(OR(E4673="",E4673="!!!"),"",IF(OR(J4673=0,AND(J4673=1,K4673=1),AND(J4673=1,I4673="SBJ"),AND(J4673=1,I4673=0)),"?IN_FOCUS",IF(J4673&lt;=2,"?ACTIVATED",IF(J4673&lt;&gt;"","?FAMILIAR",IF(F4673="NEW",IF(ISNA(VLOOKUP(E4673,#REF!,1,FALSE())),"?TYPE_IDENTIFIABLE","?REFERENTIAL"),"_")))))</f>
        <v> </v>
      </c>
      <c r="H4673" s="24" t="str">
        <f>IF(J4673&lt;&gt;1,"",IF(I4673="SBJ","CB","?"))</f>
        <v> </v>
      </c>
      <c r="I4673" s="25" t="str">
        <f>IF(OR(E4673="",E4673="!!!",F4673="NEW"),"",INDEX(B4672:B$2,-1+SUMPRODUCT(MAX(ROW(E4672:E$2)*(E4673=E4672:E$2)))))</f>
        <v> </v>
      </c>
      <c r="J4673" s="25" t="str">
        <f>IF(OR(E4673="",E4673="!!!",F4673="NEW"),"",COUNTBLANK(OFFSET(A$1,,,SUMPRODUCT(MAX(ROW(E$2:E4673)*(E4673=E$2:E4673)))))-COUNTBLANK(OFFSET(A$1,,,SUMPRODUCT(MAX(ROW(E$1:E4672)*(E2=E$1:E4672))))))</f>
        <v> </v>
      </c>
      <c r="K4673" s="25" t="str">
        <f>IF(OR(E4673="",E4673="!!!",F4673="NEW"),"",INDEX(J$1:J4672,SUMPRODUCT(MAX(ROW(E$1:E4672)*(E4673=E$1:E4672)))))</f>
        <v> </v>
      </c>
      <c r="L4673" s="26"/>
    </row>
    <row r="4674" spans="1:12">
      <c r="A4674" s="20" t="s">
        <v>306</v>
      </c>
      <c r="E4674" s="21">
        <f>IF(D4674="?OLD","!!!","")</f>
        <v/>
      </c>
      <c r="F4674" s="22" t="str">
        <f>IF(OR(E4674="",E4674="!!!"),"",IF(NOT(ISNA(VLOOKUP(E4674,E$1:E4673,1,FALSE()))),"OLD",IF(AND(E4674&lt;&gt;"",E4674&lt;&gt;"!!!"),"NEW","")))</f>
        <v> </v>
      </c>
      <c r="G4674" s="23" t="str">
        <f>IF(OR(E4674="",E4674="!!!"),"",IF(OR(J4674=0,AND(J4674=1,K4674=1),AND(J4674=1,I4674="SBJ"),AND(J4674=1,I4674=0)),"?IN_FOCUS",IF(J4674&lt;=2,"?ACTIVATED",IF(J4674&lt;&gt;"","?FAMILIAR",IF(F4674="NEW",IF(ISNA(VLOOKUP(E4674,#REF!,1,FALSE())),"?TYPE_IDENTIFIABLE","?REFERENTIAL"),"_")))))</f>
        <v> </v>
      </c>
      <c r="H4674" s="24" t="str">
        <f>IF(J4674&lt;&gt;1,"",IF(I4674="SBJ","CB","?"))</f>
        <v> </v>
      </c>
      <c r="I4674" s="25" t="str">
        <f>IF(OR(E4674="",E4674="!!!",F4674="NEW"),"",INDEX(B4673:B$2,-1+SUMPRODUCT(MAX(ROW(E4673:E$2)*(E4674=E4673:E$2)))))</f>
        <v> </v>
      </c>
      <c r="J4674" s="25" t="str">
        <f>IF(OR(E4674="",E4674="!!!",F4674="NEW"),"",COUNTBLANK(OFFSET(A$1,,,SUMPRODUCT(MAX(ROW(E$2:E4674)*(E4674=E$2:E4674)))))-COUNTBLANK(OFFSET(A$1,,,SUMPRODUCT(MAX(ROW(E$1:E4673)*(E2=E$1:E4673))))))</f>
        <v> </v>
      </c>
      <c r="K4674" s="25" t="str">
        <f>IF(OR(E4674="",E4674="!!!",F4674="NEW"),"",INDEX(J$1:J4673,SUMPRODUCT(MAX(ROW(E$1:E4673)*(E4674=E$1:E4673)))))</f>
        <v> </v>
      </c>
      <c r="L4674" s="26"/>
    </row>
    <row r="4675" spans="1:12">
      <c r="A4675" s="20" t="s">
        <v>2036</v>
      </c>
      <c r="B4675" s="27" t="s">
        <v>807</v>
      </c>
      <c r="C4675" s="27" t="s">
        <v>686</v>
      </c>
      <c r="D4675" s="27" t="s">
        <v>687</v>
      </c>
      <c r="E4675" s="21">
        <f>IF(D4675="?OLD","!!!","")</f>
        <v/>
      </c>
      <c r="F4675" s="22" t="str">
        <f>IF(OR(E4675="",E4675="!!!"),"",IF(NOT(ISNA(VLOOKUP(E4675,E$1:E4674,1,FALSE()))),"OLD",IF(AND(E4675&lt;&gt;"",E4675&lt;&gt;"!!!"),"NEW","")))</f>
        <v> </v>
      </c>
      <c r="G4675" s="23" t="str">
        <f>IF(OR(E4675="",E4675="!!!"),"",IF(OR(J4675=0,AND(J4675=1,K4675=1),AND(J4675=1,I4675="SBJ"),AND(J4675=1,I4675=0)),"?IN_FOCUS",IF(J4675&lt;=2,"?ACTIVATED",IF(J4675&lt;&gt;"","?FAMILIAR",IF(F4675="NEW",IF(ISNA(VLOOKUP(E4675,#REF!,1,FALSE())),"?TYPE_IDENTIFIABLE","?REFERENTIAL"),"_")))))</f>
        <v> </v>
      </c>
      <c r="H4675" s="24" t="str">
        <f>IF(J4675&lt;&gt;1,"",IF(I4675="SBJ","CB","?"))</f>
        <v> </v>
      </c>
      <c r="I4675" s="25" t="str">
        <f>IF(OR(E4675="",E4675="!!!",F4675="NEW"),"",INDEX(B4674:B$2,-1+SUMPRODUCT(MAX(ROW(E4674:E$2)*(E4675=E4674:E$2)))))</f>
        <v> </v>
      </c>
      <c r="J4675" s="25" t="str">
        <f>IF(OR(E4675="",E4675="!!!",F4675="NEW"),"",COUNTBLANK(OFFSET(A$1,,,SUMPRODUCT(MAX(ROW(E$2:E4675)*(E4675=E$2:E4675)))))-COUNTBLANK(OFFSET(A$1,,,SUMPRODUCT(MAX(ROW(E$1:E4674)*(E2=E$1:E4674))))))</f>
        <v> </v>
      </c>
      <c r="K4675" s="25" t="str">
        <f>IF(OR(E4675="",E4675="!!!",F4675="NEW"),"",INDEX(J$1:J4674,SUMPRODUCT(MAX(ROW(E$1:E4674)*(E4675=E$1:E4674)))))</f>
        <v> </v>
      </c>
      <c r="L4675" s="26"/>
    </row>
    <row r="4676" spans="1:12">
      <c r="A4676" s="20" t="s">
        <v>1251</v>
      </c>
      <c r="E4676" s="21">
        <f>IF(D4676="?OLD","!!!","")</f>
        <v/>
      </c>
      <c r="F4676" s="22" t="str">
        <f>IF(OR(E4676="",E4676="!!!"),"",IF(NOT(ISNA(VLOOKUP(E4676,E$1:E4675,1,FALSE()))),"OLD",IF(AND(E4676&lt;&gt;"",E4676&lt;&gt;"!!!"),"NEW","")))</f>
        <v> </v>
      </c>
      <c r="G4676" s="23" t="str">
        <f>IF(OR(E4676="",E4676="!!!"),"",IF(OR(J4676=0,AND(J4676=1,K4676=1),AND(J4676=1,I4676="SBJ"),AND(J4676=1,I4676=0)),"?IN_FOCUS",IF(J4676&lt;=2,"?ACTIVATED",IF(J4676&lt;&gt;"","?FAMILIAR",IF(F4676="NEW",IF(ISNA(VLOOKUP(E4676,#REF!,1,FALSE())),"?TYPE_IDENTIFIABLE","?REFERENTIAL"),"_")))))</f>
        <v> </v>
      </c>
      <c r="H4676" s="24" t="str">
        <f>IF(J4676&lt;&gt;1,"",IF(I4676="SBJ","CB","?"))</f>
        <v> </v>
      </c>
      <c r="I4676" s="25" t="str">
        <f>IF(OR(E4676="",E4676="!!!",F4676="NEW"),"",INDEX(B4675:B$2,-1+SUMPRODUCT(MAX(ROW(E4675:E$2)*(E4676=E4675:E$2)))))</f>
        <v> </v>
      </c>
      <c r="J4676" s="25" t="str">
        <f>IF(OR(E4676="",E4676="!!!",F4676="NEW"),"",COUNTBLANK(OFFSET(A$1,,,SUMPRODUCT(MAX(ROW(E$2:E4676)*(E4676=E$2:E4676)))))-COUNTBLANK(OFFSET(A$1,,,SUMPRODUCT(MAX(ROW(E$1:E4675)*(E2=E$1:E4675))))))</f>
        <v> </v>
      </c>
      <c r="K4676" s="25" t="str">
        <f>IF(OR(E4676="",E4676="!!!",F4676="NEW"),"",INDEX(J$1:J4675,SUMPRODUCT(MAX(ROW(E$1:E4675)*(E4676=E$1:E4675)))))</f>
        <v> </v>
      </c>
      <c r="L4676" s="26"/>
    </row>
    <row r="4677" spans="1:12">
      <c r="A4677" s="20" t="s">
        <v>2037</v>
      </c>
      <c r="E4677" s="21">
        <f>IF(D4677="?OLD","!!!","")</f>
        <v/>
      </c>
      <c r="F4677" s="22" t="str">
        <f>IF(OR(E4677="",E4677="!!!"),"",IF(NOT(ISNA(VLOOKUP(E4677,E$1:E4676,1,FALSE()))),"OLD",IF(AND(E4677&lt;&gt;"",E4677&lt;&gt;"!!!"),"NEW","")))</f>
        <v> </v>
      </c>
      <c r="G4677" s="23" t="str">
        <f>IF(OR(E4677="",E4677="!!!"),"",IF(OR(J4677=0,AND(J4677=1,K4677=1),AND(J4677=1,I4677="SBJ"),AND(J4677=1,I4677=0)),"?IN_FOCUS",IF(J4677&lt;=2,"?ACTIVATED",IF(J4677&lt;&gt;"","?FAMILIAR",IF(F4677="NEW",IF(ISNA(VLOOKUP(E4677,#REF!,1,FALSE())),"?TYPE_IDENTIFIABLE","?REFERENTIAL"),"_")))))</f>
        <v> </v>
      </c>
      <c r="H4677" s="24" t="str">
        <f>IF(J4677&lt;&gt;1,"",IF(I4677="SBJ","CB","?"))</f>
        <v> </v>
      </c>
      <c r="I4677" s="25" t="str">
        <f>IF(OR(E4677="",E4677="!!!",F4677="NEW"),"",INDEX(B4676:B$2,-1+SUMPRODUCT(MAX(ROW(E4676:E$2)*(E4677=E4676:E$2)))))</f>
        <v> </v>
      </c>
      <c r="J4677" s="25" t="str">
        <f>IF(OR(E4677="",E4677="!!!",F4677="NEW"),"",COUNTBLANK(OFFSET(A$1,,,SUMPRODUCT(MAX(ROW(E$2:E4677)*(E4677=E$2:E4677)))))-COUNTBLANK(OFFSET(A$1,,,SUMPRODUCT(MAX(ROW(E$1:E4676)*(E2=E$1:E4676))))))</f>
        <v> </v>
      </c>
      <c r="K4677" s="25" t="str">
        <f>IF(OR(E4677="",E4677="!!!",F4677="NEW"),"",INDEX(J$1:J4676,SUMPRODUCT(MAX(ROW(E$1:E4676)*(E4677=E$1:E4676)))))</f>
        <v> </v>
      </c>
      <c r="L4677" s="26"/>
    </row>
    <row r="4678" spans="1:12">
      <c r="A4678" s="20" t="s">
        <v>778</v>
      </c>
      <c r="E4678" s="21">
        <f>IF(D4678="?OLD","!!!","")</f>
        <v/>
      </c>
      <c r="F4678" s="22" t="str">
        <f>IF(OR(E4678="",E4678="!!!"),"",IF(NOT(ISNA(VLOOKUP(E4678,E$1:E4677,1,FALSE()))),"OLD",IF(AND(E4678&lt;&gt;"",E4678&lt;&gt;"!!!"),"NEW","")))</f>
        <v> </v>
      </c>
      <c r="G4678" s="23" t="str">
        <f>IF(OR(E4678="",E4678="!!!"),"",IF(OR(J4678=0,AND(J4678=1,K4678=1),AND(J4678=1,I4678="SBJ"),AND(J4678=1,I4678=0)),"?IN_FOCUS",IF(J4678&lt;=2,"?ACTIVATED",IF(J4678&lt;&gt;"","?FAMILIAR",IF(F4678="NEW",IF(ISNA(VLOOKUP(E4678,#REF!,1,FALSE())),"?TYPE_IDENTIFIABLE","?REFERENTIAL"),"_")))))</f>
        <v> </v>
      </c>
      <c r="H4678" s="24" t="str">
        <f>IF(J4678&lt;&gt;1,"",IF(I4678="SBJ","CB","?"))</f>
        <v> </v>
      </c>
      <c r="I4678" s="25" t="str">
        <f>IF(OR(E4678="",E4678="!!!",F4678="NEW"),"",INDEX(B4677:B$2,-1+SUMPRODUCT(MAX(ROW(E4677:E$2)*(E4678=E4677:E$2)))))</f>
        <v> </v>
      </c>
      <c r="J4678" s="25" t="str">
        <f>IF(OR(E4678="",E4678="!!!",F4678="NEW"),"",COUNTBLANK(OFFSET(A$1,,,SUMPRODUCT(MAX(ROW(E$2:E4678)*(E4678=E$2:E4678)))))-COUNTBLANK(OFFSET(A$1,,,SUMPRODUCT(MAX(ROW(E$1:E4677)*(E2=E$1:E4677))))))</f>
        <v> </v>
      </c>
      <c r="K4678" s="25" t="str">
        <f>IF(OR(E4678="",E4678="!!!",F4678="NEW"),"",INDEX(J$1:J4677,SUMPRODUCT(MAX(ROW(E$1:E4677)*(E4678=E$1:E4677)))))</f>
        <v> </v>
      </c>
      <c r="L4678" s="26"/>
    </row>
    <row r="4679" spans="1:12">
      <c r="A4679" s="20" t="s">
        <v>990</v>
      </c>
      <c r="B4679" s="27" t="s">
        <v>724</v>
      </c>
      <c r="C4679" s="27" t="s">
        <v>679</v>
      </c>
      <c r="E4679" s="21">
        <f>IF(D4679="?OLD","!!!","")</f>
        <v/>
      </c>
      <c r="F4679" s="22" t="str">
        <f>IF(OR(E4679="",E4679="!!!"),"",IF(NOT(ISNA(VLOOKUP(E4679,E$1:E4678,1,FALSE()))),"OLD",IF(AND(E4679&lt;&gt;"",E4679&lt;&gt;"!!!"),"NEW","")))</f>
        <v> </v>
      </c>
      <c r="G4679" s="23" t="str">
        <f>IF(OR(E4679="",E4679="!!!"),"",IF(OR(J4679=0,AND(J4679=1,K4679=1),AND(J4679=1,I4679="SBJ"),AND(J4679=1,I4679=0)),"?IN_FOCUS",IF(J4679&lt;=2,"?ACTIVATED",IF(J4679&lt;&gt;"","?FAMILIAR",IF(F4679="NEW",IF(ISNA(VLOOKUP(E4679,#REF!,1,FALSE())),"?TYPE_IDENTIFIABLE","?REFERENTIAL"),"_")))))</f>
        <v> </v>
      </c>
      <c r="H4679" s="24" t="str">
        <f>IF(J4679&lt;&gt;1,"",IF(I4679="SBJ","CB","?"))</f>
        <v> </v>
      </c>
      <c r="I4679" s="25" t="str">
        <f>IF(OR(E4679="",E4679="!!!",F4679="NEW"),"",INDEX(B4678:B$2,-1+SUMPRODUCT(MAX(ROW(E4678:E$2)*(E4679=E4678:E$2)))))</f>
        <v> </v>
      </c>
      <c r="J4679" s="25" t="str">
        <f>IF(OR(E4679="",E4679="!!!",F4679="NEW"),"",COUNTBLANK(OFFSET(A$1,,,SUMPRODUCT(MAX(ROW(E$2:E4679)*(E4679=E$2:E4679)))))-COUNTBLANK(OFFSET(A$1,,,SUMPRODUCT(MAX(ROW(E$1:E4678)*(E2=E$1:E4678))))))</f>
        <v> </v>
      </c>
      <c r="K4679" s="25" t="str">
        <f>IF(OR(E4679="",E4679="!!!",F4679="NEW"),"",INDEX(J$1:J4678,SUMPRODUCT(MAX(ROW(E$1:E4678)*(E4679=E$1:E4678)))))</f>
        <v> </v>
      </c>
      <c r="L4679" s="26"/>
    </row>
    <row r="4680" spans="1:12">
      <c r="A4680" s="20" t="s">
        <v>958</v>
      </c>
      <c r="E4680" s="21">
        <f>IF(D4680="?OLD","!!!","")</f>
        <v/>
      </c>
      <c r="F4680" s="22" t="str">
        <f>IF(OR(E4680="",E4680="!!!"),"",IF(NOT(ISNA(VLOOKUP(E4680,E$1:E4679,1,FALSE()))),"OLD",IF(AND(E4680&lt;&gt;"",E4680&lt;&gt;"!!!"),"NEW","")))</f>
        <v> </v>
      </c>
      <c r="G4680" s="23" t="str">
        <f>IF(OR(E4680="",E4680="!!!"),"",IF(OR(J4680=0,AND(J4680=1,K4680=1),AND(J4680=1,I4680="SBJ"),AND(J4680=1,I4680=0)),"?IN_FOCUS",IF(J4680&lt;=2,"?ACTIVATED",IF(J4680&lt;&gt;"","?FAMILIAR",IF(F4680="NEW",IF(ISNA(VLOOKUP(E4680,#REF!,1,FALSE())),"?TYPE_IDENTIFIABLE","?REFERENTIAL"),"_")))))</f>
        <v> </v>
      </c>
      <c r="H4680" s="24" t="str">
        <f>IF(J4680&lt;&gt;1,"",IF(I4680="SBJ","CB","?"))</f>
        <v> </v>
      </c>
      <c r="I4680" s="25" t="str">
        <f>IF(OR(E4680="",E4680="!!!",F4680="NEW"),"",INDEX(B4679:B$2,-1+SUMPRODUCT(MAX(ROW(E4679:E$2)*(E4680=E4679:E$2)))))</f>
        <v> </v>
      </c>
      <c r="J4680" s="25" t="str">
        <f>IF(OR(E4680="",E4680="!!!",F4680="NEW"),"",COUNTBLANK(OFFSET(A$1,,,SUMPRODUCT(MAX(ROW(E$2:E4680)*(E4680=E$2:E4680)))))-COUNTBLANK(OFFSET(A$1,,,SUMPRODUCT(MAX(ROW(E$1:E4679)*(E2=E$1:E4679))))))</f>
        <v> </v>
      </c>
      <c r="K4680" s="25" t="str">
        <f>IF(OR(E4680="",E4680="!!!",F4680="NEW"),"",INDEX(J$1:J4679,SUMPRODUCT(MAX(ROW(E$1:E4679)*(E4680=E$1:E4679)))))</f>
        <v> </v>
      </c>
      <c r="L4680" s="26"/>
    </row>
    <row r="4681" spans="1:12">
      <c r="A4681" s="20" t="s">
        <v>2038</v>
      </c>
      <c r="B4681" s="27" t="s">
        <v>810</v>
      </c>
      <c r="C4681" s="27" t="s">
        <v>686</v>
      </c>
      <c r="D4681" s="27" t="s">
        <v>687</v>
      </c>
      <c r="E4681" s="21">
        <f>IF(D4681="?OLD","!!!","")</f>
        <v/>
      </c>
      <c r="F4681" s="22" t="str">
        <f>IF(OR(E4681="",E4681="!!!"),"",IF(NOT(ISNA(VLOOKUP(E4681,E$1:E4680,1,FALSE()))),"OLD",IF(AND(E4681&lt;&gt;"",E4681&lt;&gt;"!!!"),"NEW","")))</f>
        <v> </v>
      </c>
      <c r="G4681" s="23" t="str">
        <f>IF(OR(E4681="",E4681="!!!"),"",IF(OR(J4681=0,AND(J4681=1,K4681=1),AND(J4681=1,I4681="SBJ"),AND(J4681=1,I4681=0)),"?IN_FOCUS",IF(J4681&lt;=2,"?ACTIVATED",IF(J4681&lt;&gt;"","?FAMILIAR",IF(F4681="NEW",IF(ISNA(VLOOKUP(E4681,#REF!,1,FALSE())),"?TYPE_IDENTIFIABLE","?REFERENTIAL"),"_")))))</f>
        <v> </v>
      </c>
      <c r="H4681" s="24" t="str">
        <f>IF(J4681&lt;&gt;1,"",IF(I4681="SBJ","CB","?"))</f>
        <v> </v>
      </c>
      <c r="I4681" s="25" t="str">
        <f>IF(OR(E4681="",E4681="!!!",F4681="NEW"),"",INDEX(B4680:B$2,-1+SUMPRODUCT(MAX(ROW(E4680:E$2)*(E4681=E4680:E$2)))))</f>
        <v> </v>
      </c>
      <c r="J4681" s="25" t="str">
        <f>IF(OR(E4681="",E4681="!!!",F4681="NEW"),"",COUNTBLANK(OFFSET(A$1,,,SUMPRODUCT(MAX(ROW(E$2:E4681)*(E4681=E$2:E4681)))))-COUNTBLANK(OFFSET(A$1,,,SUMPRODUCT(MAX(ROW(E$1:E4680)*(E2=E$1:E4680))))))</f>
        <v> </v>
      </c>
      <c r="K4681" s="25" t="str">
        <f>IF(OR(E4681="",E4681="!!!",F4681="NEW"),"",INDEX(J$1:J4680,SUMPRODUCT(MAX(ROW(E$1:E4680)*(E4681=E$1:E4680)))))</f>
        <v> </v>
      </c>
      <c r="L4681" s="26"/>
    </row>
    <row r="4682" spans="1:12">
      <c r="A4682" s="20" t="s">
        <v>729</v>
      </c>
      <c r="E4682" s="21">
        <f>IF(D4682="?OLD","!!!","")</f>
        <v/>
      </c>
      <c r="F4682" s="22" t="str">
        <f>IF(OR(E4682="",E4682="!!!"),"",IF(NOT(ISNA(VLOOKUP(E4682,E$1:E4681,1,FALSE()))),"OLD",IF(AND(E4682&lt;&gt;"",E4682&lt;&gt;"!!!"),"NEW","")))</f>
        <v> </v>
      </c>
      <c r="G4682" s="23" t="str">
        <f>IF(OR(E4682="",E4682="!!!"),"",IF(OR(J4682=0,AND(J4682=1,K4682=1),AND(J4682=1,I4682="SBJ"),AND(J4682=1,I4682=0)),"?IN_FOCUS",IF(J4682&lt;=2,"?ACTIVATED",IF(J4682&lt;&gt;"","?FAMILIAR",IF(F4682="NEW",IF(ISNA(VLOOKUP(E4682,#REF!,1,FALSE())),"?TYPE_IDENTIFIABLE","?REFERENTIAL"),"_")))))</f>
        <v> </v>
      </c>
      <c r="H4682" s="24" t="str">
        <f>IF(J4682&lt;&gt;1,"",IF(I4682="SBJ","CB","?"))</f>
        <v> </v>
      </c>
      <c r="I4682" s="25" t="str">
        <f>IF(OR(E4682="",E4682="!!!",F4682="NEW"),"",INDEX(B4681:B$2,-1+SUMPRODUCT(MAX(ROW(E4681:E$2)*(E4682=E4681:E$2)))))</f>
        <v> </v>
      </c>
      <c r="J4682" s="25" t="str">
        <f>IF(OR(E4682="",E4682="!!!",F4682="NEW"),"",COUNTBLANK(OFFSET(A$1,,,SUMPRODUCT(MAX(ROW(E$2:E4682)*(E4682=E$2:E4682)))))-COUNTBLANK(OFFSET(A$1,,,SUMPRODUCT(MAX(ROW(E$1:E4681)*(E2=E$1:E4681))))))</f>
        <v> </v>
      </c>
      <c r="K4682" s="25" t="str">
        <f>IF(OR(E4682="",E4682="!!!",F4682="NEW"),"",INDEX(J$1:J4681,SUMPRODUCT(MAX(ROW(E$1:E4681)*(E4682=E$1:E4681)))))</f>
        <v> </v>
      </c>
      <c r="L4682" s="26"/>
    </row>
    <row r="4683" spans="1:12">
      <c r="A4683" s="20" t="s">
        <v>2039</v>
      </c>
      <c r="E4683" s="21">
        <f>IF(D4683="?OLD","!!!","")</f>
        <v/>
      </c>
      <c r="F4683" s="22" t="str">
        <f>IF(OR(E4683="",E4683="!!!"),"",IF(NOT(ISNA(VLOOKUP(E4683,E$1:E4682,1,FALSE()))),"OLD",IF(AND(E4683&lt;&gt;"",E4683&lt;&gt;"!!!"),"NEW","")))</f>
        <v> </v>
      </c>
      <c r="G4683" s="23" t="str">
        <f>IF(OR(E4683="",E4683="!!!"),"",IF(OR(J4683=0,AND(J4683=1,K4683=1),AND(J4683=1,I4683="SBJ"),AND(J4683=1,I4683=0)),"?IN_FOCUS",IF(J4683&lt;=2,"?ACTIVATED",IF(J4683&lt;&gt;"","?FAMILIAR",IF(F4683="NEW",IF(ISNA(VLOOKUP(E4683,#REF!,1,FALSE())),"?TYPE_IDENTIFIABLE","?REFERENTIAL"),"_")))))</f>
        <v> </v>
      </c>
      <c r="H4683" s="24" t="str">
        <f>IF(J4683&lt;&gt;1,"",IF(I4683="SBJ","CB","?"))</f>
        <v> </v>
      </c>
      <c r="I4683" s="25" t="str">
        <f>IF(OR(E4683="",E4683="!!!",F4683="NEW"),"",INDEX(B4682:B$2,-1+SUMPRODUCT(MAX(ROW(E4682:E$2)*(E4683=E4682:E$2)))))</f>
        <v> </v>
      </c>
      <c r="J4683" s="25" t="str">
        <f>IF(OR(E4683="",E4683="!!!",F4683="NEW"),"",COUNTBLANK(OFFSET(A$1,,,SUMPRODUCT(MAX(ROW(E$2:E4683)*(E4683=E$2:E4683)))))-COUNTBLANK(OFFSET(A$1,,,SUMPRODUCT(MAX(ROW(E$1:E4682)*(E2=E$1:E4682))))))</f>
        <v> </v>
      </c>
      <c r="K4683" s="25" t="str">
        <f>IF(OR(E4683="",E4683="!!!",F4683="NEW"),"",INDEX(J$1:J4682,SUMPRODUCT(MAX(ROW(E$1:E4682)*(E4683=E$1:E4682)))))</f>
        <v> </v>
      </c>
      <c r="L4683" s="26"/>
    </row>
    <row r="4684" spans="1:12">
      <c r="A4684" s="20" t="s">
        <v>698</v>
      </c>
      <c r="E4684" s="21">
        <f>IF(D4684="?OLD","!!!","")</f>
        <v/>
      </c>
      <c r="F4684" s="22" t="str">
        <f>IF(OR(E4684="",E4684="!!!"),"",IF(NOT(ISNA(VLOOKUP(E4684,E$1:E4683,1,FALSE()))),"OLD",IF(AND(E4684&lt;&gt;"",E4684&lt;&gt;"!!!"),"NEW","")))</f>
        <v> </v>
      </c>
      <c r="G4684" s="23" t="str">
        <f>IF(OR(E4684="",E4684="!!!"),"",IF(OR(J4684=0,AND(J4684=1,K4684=1),AND(J4684=1,I4684="SBJ"),AND(J4684=1,I4684=0)),"?IN_FOCUS",IF(J4684&lt;=2,"?ACTIVATED",IF(J4684&lt;&gt;"","?FAMILIAR",IF(F4684="NEW",IF(ISNA(VLOOKUP(E4684,#REF!,1,FALSE())),"?TYPE_IDENTIFIABLE","?REFERENTIAL"),"_")))))</f>
        <v> </v>
      </c>
      <c r="H4684" s="24" t="str">
        <f>IF(J4684&lt;&gt;1,"",IF(I4684="SBJ","CB","?"))</f>
        <v> </v>
      </c>
      <c r="I4684" s="25" t="str">
        <f>IF(OR(E4684="",E4684="!!!",F4684="NEW"),"",INDEX(B4683:B$2,-1+SUMPRODUCT(MAX(ROW(E4683:E$2)*(E4684=E4683:E$2)))))</f>
        <v> </v>
      </c>
      <c r="J4684" s="25" t="str">
        <f>IF(OR(E4684="",E4684="!!!",F4684="NEW"),"",COUNTBLANK(OFFSET(A$1,,,SUMPRODUCT(MAX(ROW(E$2:E4684)*(E4684=E$2:E4684)))))-COUNTBLANK(OFFSET(A$1,,,SUMPRODUCT(MAX(ROW(E$1:E4683)*(E2=E$1:E4683))))))</f>
        <v> </v>
      </c>
      <c r="K4684" s="25" t="str">
        <f>IF(OR(E4684="",E4684="!!!",F4684="NEW"),"",INDEX(J$1:J4683,SUMPRODUCT(MAX(ROW(E$1:E4683)*(E4684=E$1:E4683)))))</f>
        <v> </v>
      </c>
      <c r="L4684" s="26"/>
    </row>
    <row r="4685" spans="1:12">
      <c r="A4685" s="20"/>
    </row>
    <row r="4686" spans="1:12">
      <c r="A4686" s="20" t="s">
        <v>2040</v>
      </c>
    </row>
    <row r="4687" spans="1:12">
      <c r="A4687" s="20" t="s">
        <v>2041</v>
      </c>
      <c r="E4687" s="21">
        <f>IF(D4687="?OLD","!!!","")</f>
        <v/>
      </c>
      <c r="F4687" s="22" t="str">
        <f>IF(OR(E4687="",E4687="!!!"),"",IF(NOT(ISNA(VLOOKUP(E4687,E$1:E4686,1,FALSE()))),"OLD",IF(AND(E4687&lt;&gt;"",E4687&lt;&gt;"!!!"),"NEW","")))</f>
        <v> </v>
      </c>
      <c r="G4687" s="23" t="str">
        <f>IF(OR(E4687="",E4687="!!!"),"",IF(OR(J4687=0,AND(J4687=1,K4687=1),AND(J4687=1,I4687="SBJ"),AND(J4687=1,I4687=0)),"?IN_FOCUS",IF(J4687&lt;=2,"?ACTIVATED",IF(J4687&lt;&gt;"","?FAMILIAR",IF(F4687="NEW",IF(ISNA(VLOOKUP(E4687,#REF!,1,FALSE())),"?TYPE_IDENTIFIABLE","?REFERENTIAL"),"_")))))</f>
        <v> </v>
      </c>
      <c r="H4687" s="24" t="str">
        <f>IF(J4687&lt;&gt;1,"",IF(I4687="SBJ","CB","?"))</f>
        <v> </v>
      </c>
      <c r="I4687" s="25" t="str">
        <f>IF(OR(E4687="",E4687="!!!",F4687="NEW"),"",INDEX(B4686:B$2,-1+SUMPRODUCT(MAX(ROW(E4686:E$2)*(E4687=E4686:E$2)))))</f>
        <v> </v>
      </c>
      <c r="J4687" s="25" t="str">
        <f>IF(OR(E4687="",E4687="!!!",F4687="NEW"),"",COUNTBLANK(OFFSET(A$1,,,SUMPRODUCT(MAX(ROW(E$2:E4687)*(E4687=E$2:E4687)))))-COUNTBLANK(OFFSET(A$1,,,SUMPRODUCT(MAX(ROW(E$1:E4686)*(E2=E$1:E4686))))))</f>
        <v> </v>
      </c>
      <c r="K4687" s="25" t="str">
        <f>IF(OR(E4687="",E4687="!!!",F4687="NEW"),"",INDEX(J$1:J4686,SUMPRODUCT(MAX(ROW(E$1:E4686)*(E4687=E$1:E4686)))))</f>
        <v> </v>
      </c>
      <c r="L4687" s="26"/>
    </row>
    <row r="4688" spans="1:12">
      <c r="A4688" s="20" t="s">
        <v>1775</v>
      </c>
      <c r="E4688" s="21">
        <f>IF(D4688="?OLD","!!!","")</f>
        <v/>
      </c>
      <c r="F4688" s="22" t="str">
        <f>IF(OR(E4688="",E4688="!!!"),"",IF(NOT(ISNA(VLOOKUP(E4688,E$1:E4687,1,FALSE()))),"OLD",IF(AND(E4688&lt;&gt;"",E4688&lt;&gt;"!!!"),"NEW","")))</f>
        <v> </v>
      </c>
      <c r="G4688" s="23" t="str">
        <f>IF(OR(E4688="",E4688="!!!"),"",IF(OR(J4688=0,AND(J4688=1,K4688=1),AND(J4688=1,I4688="SBJ"),AND(J4688=1,I4688=0)),"?IN_FOCUS",IF(J4688&lt;=2,"?ACTIVATED",IF(J4688&lt;&gt;"","?FAMILIAR",IF(F4688="NEW",IF(ISNA(VLOOKUP(E4688,#REF!,1,FALSE())),"?TYPE_IDENTIFIABLE","?REFERENTIAL"),"_")))))</f>
        <v> </v>
      </c>
      <c r="H4688" s="24" t="str">
        <f>IF(J4688&lt;&gt;1,"",IF(I4688="SBJ","CB","?"))</f>
        <v> </v>
      </c>
      <c r="I4688" s="25" t="str">
        <f>IF(OR(E4688="",E4688="!!!",F4688="NEW"),"",INDEX(B4687:B$2,-1+SUMPRODUCT(MAX(ROW(E4687:E$2)*(E4688=E4687:E$2)))))</f>
        <v> </v>
      </c>
      <c r="J4688" s="25" t="str">
        <f>IF(OR(E4688="",E4688="!!!",F4688="NEW"),"",COUNTBLANK(OFFSET(A$1,,,SUMPRODUCT(MAX(ROW(E$2:E4688)*(E4688=E$2:E4688)))))-COUNTBLANK(OFFSET(A$1,,,SUMPRODUCT(MAX(ROW(E$1:E4687)*(E2=E$1:E4687))))))</f>
        <v> </v>
      </c>
      <c r="K4688" s="25" t="str">
        <f>IF(OR(E4688="",E4688="!!!",F4688="NEW"),"",INDEX(J$1:J4687,SUMPRODUCT(MAX(ROW(E$1:E4687)*(E4688=E$1:E4687)))))</f>
        <v> </v>
      </c>
      <c r="L4688" s="26"/>
    </row>
    <row r="4689" spans="1:12">
      <c r="A4689" s="20" t="s">
        <v>42</v>
      </c>
      <c r="E4689" s="21">
        <f>IF(D4689="?OLD","!!!","")</f>
        <v/>
      </c>
      <c r="F4689" s="22" t="str">
        <f>IF(OR(E4689="",E4689="!!!"),"",IF(NOT(ISNA(VLOOKUP(E4689,E$1:E4688,1,FALSE()))),"OLD",IF(AND(E4689&lt;&gt;"",E4689&lt;&gt;"!!!"),"NEW","")))</f>
        <v> </v>
      </c>
      <c r="G4689" s="23" t="str">
        <f>IF(OR(E4689="",E4689="!!!"),"",IF(OR(J4689=0,AND(J4689=1,K4689=1),AND(J4689=1,I4689="SBJ"),AND(J4689=1,I4689=0)),"?IN_FOCUS",IF(J4689&lt;=2,"?ACTIVATED",IF(J4689&lt;&gt;"","?FAMILIAR",IF(F4689="NEW",IF(ISNA(VLOOKUP(E4689,#REF!,1,FALSE())),"?TYPE_IDENTIFIABLE","?REFERENTIAL"),"_")))))</f>
        <v> </v>
      </c>
      <c r="H4689" s="24" t="str">
        <f>IF(J4689&lt;&gt;1,"",IF(I4689="SBJ","CB","?"))</f>
        <v> </v>
      </c>
      <c r="I4689" s="25" t="str">
        <f>IF(OR(E4689="",E4689="!!!",F4689="NEW"),"",INDEX(B4688:B$2,-1+SUMPRODUCT(MAX(ROW(E4688:E$2)*(E4689=E4688:E$2)))))</f>
        <v> </v>
      </c>
      <c r="J4689" s="25" t="str">
        <f>IF(OR(E4689="",E4689="!!!",F4689="NEW"),"",COUNTBLANK(OFFSET(A$1,,,SUMPRODUCT(MAX(ROW(E$2:E4689)*(E4689=E$2:E4689)))))-COUNTBLANK(OFFSET(A$1,,,SUMPRODUCT(MAX(ROW(E$1:E4688)*(E2=E$1:E4688))))))</f>
        <v> </v>
      </c>
      <c r="K4689" s="25" t="str">
        <f>IF(OR(E4689="",E4689="!!!",F4689="NEW"),"",INDEX(J$1:J4688,SUMPRODUCT(MAX(ROW(E$1:E4688)*(E4689=E$1:E4688)))))</f>
        <v> </v>
      </c>
      <c r="L4689" s="26"/>
    </row>
    <row r="4690" spans="1:12">
      <c r="A4690" s="20" t="s">
        <v>752</v>
      </c>
      <c r="B4690" s="27" t="s">
        <v>678</v>
      </c>
      <c r="C4690" s="27" t="s">
        <v>899</v>
      </c>
      <c r="D4690" s="27" t="s">
        <v>687</v>
      </c>
      <c r="E4690" s="21">
        <f>IF(D4690="?OLD","!!!","")</f>
        <v/>
      </c>
      <c r="F4690" s="22" t="str">
        <f>IF(OR(E4690="",E4690="!!!"),"",IF(NOT(ISNA(VLOOKUP(E4690,E$1:E4689,1,FALSE()))),"OLD",IF(AND(E4690&lt;&gt;"",E4690&lt;&gt;"!!!"),"NEW","")))</f>
        <v> </v>
      </c>
      <c r="G4690" s="23" t="str">
        <f>IF(OR(E4690="",E4690="!!!"),"",IF(OR(J4690=0,AND(J4690=1,K4690=1),AND(J4690=1,I4690="SBJ"),AND(J4690=1,I4690=0)),"?IN_FOCUS",IF(J4690&lt;=2,"?ACTIVATED",IF(J4690&lt;&gt;"","?FAMILIAR",IF(F4690="NEW",IF(ISNA(VLOOKUP(E4690,#REF!,1,FALSE())),"?TYPE_IDENTIFIABLE","?REFERENTIAL"),"_")))))</f>
        <v> </v>
      </c>
      <c r="H4690" s="24" t="str">
        <f>IF(J4690&lt;&gt;1,"",IF(I4690="SBJ","CB","?"))</f>
        <v> </v>
      </c>
      <c r="I4690" s="25" t="str">
        <f>IF(OR(E4690="",E4690="!!!",F4690="NEW"),"",INDEX(B4689:B$2,-1+SUMPRODUCT(MAX(ROW(E4689:E$2)*(E4690=E4689:E$2)))))</f>
        <v> </v>
      </c>
      <c r="J4690" s="25" t="str">
        <f>IF(OR(E4690="",E4690="!!!",F4690="NEW"),"",COUNTBLANK(OFFSET(A$1,,,SUMPRODUCT(MAX(ROW(E$2:E4690)*(E4690=E$2:E4690)))))-COUNTBLANK(OFFSET(A$1,,,SUMPRODUCT(MAX(ROW(E$1:E4689)*(E2=E$1:E4689))))))</f>
        <v> </v>
      </c>
      <c r="K4690" s="25" t="str">
        <f>IF(OR(E4690="",E4690="!!!",F4690="NEW"),"",INDEX(J$1:J4689,SUMPRODUCT(MAX(ROW(E$1:E4689)*(E4690=E$1:E4689)))))</f>
        <v> </v>
      </c>
      <c r="L4690" s="26"/>
    </row>
    <row r="4691" spans="1:12">
      <c r="A4691" s="20" t="s">
        <v>682</v>
      </c>
      <c r="E4691" s="21">
        <f>IF(D4691="?OLD","!!!","")</f>
        <v/>
      </c>
      <c r="F4691" s="22" t="str">
        <f>IF(OR(E4691="",E4691="!!!"),"",IF(NOT(ISNA(VLOOKUP(E4691,E$1:E4690,1,FALSE()))),"OLD",IF(AND(E4691&lt;&gt;"",E4691&lt;&gt;"!!!"),"NEW","")))</f>
        <v> </v>
      </c>
      <c r="G4691" s="23" t="str">
        <f>IF(OR(E4691="",E4691="!!!"),"",IF(OR(J4691=0,AND(J4691=1,K4691=1),AND(J4691=1,I4691="SBJ"),AND(J4691=1,I4691=0)),"?IN_FOCUS",IF(J4691&lt;=2,"?ACTIVATED",IF(J4691&lt;&gt;"","?FAMILIAR",IF(F4691="NEW",IF(ISNA(VLOOKUP(E4691,#REF!,1,FALSE())),"?TYPE_IDENTIFIABLE","?REFERENTIAL"),"_")))))</f>
        <v> </v>
      </c>
      <c r="H4691" s="24" t="str">
        <f>IF(J4691&lt;&gt;1,"",IF(I4691="SBJ","CB","?"))</f>
        <v> </v>
      </c>
      <c r="I4691" s="25" t="str">
        <f>IF(OR(E4691="",E4691="!!!",F4691="NEW"),"",INDEX(B4690:B$2,-1+SUMPRODUCT(MAX(ROW(E4690:E$2)*(E4691=E4690:E$2)))))</f>
        <v> </v>
      </c>
      <c r="J4691" s="25" t="str">
        <f>IF(OR(E4691="",E4691="!!!",F4691="NEW"),"",COUNTBLANK(OFFSET(A$1,,,SUMPRODUCT(MAX(ROW(E$2:E4691)*(E4691=E$2:E4691)))))-COUNTBLANK(OFFSET(A$1,,,SUMPRODUCT(MAX(ROW(E$1:E4690)*(E2=E$1:E4690))))))</f>
        <v> </v>
      </c>
      <c r="K4691" s="25" t="str">
        <f>IF(OR(E4691="",E4691="!!!",F4691="NEW"),"",INDEX(J$1:J4690,SUMPRODUCT(MAX(ROW(E$1:E4690)*(E4691=E$1:E4690)))))</f>
        <v> </v>
      </c>
      <c r="L4691" s="26"/>
    </row>
    <row r="4692" spans="1:12">
      <c r="A4692" s="20" t="s">
        <v>747</v>
      </c>
      <c r="B4692" s="27" t="s">
        <v>685</v>
      </c>
      <c r="C4692" s="27" t="s">
        <v>749</v>
      </c>
      <c r="D4692" s="27" t="s">
        <v>687</v>
      </c>
      <c r="E4692" s="21">
        <f>IF(D4692="?OLD","!!!","")</f>
        <v/>
      </c>
      <c r="F4692" s="22" t="str">
        <f>IF(OR(E4692="",E4692="!!!"),"",IF(NOT(ISNA(VLOOKUP(E4692,E$1:E4691,1,FALSE()))),"OLD",IF(AND(E4692&lt;&gt;"",E4692&lt;&gt;"!!!"),"NEW","")))</f>
        <v> </v>
      </c>
      <c r="G4692" s="23" t="str">
        <f>IF(OR(E4692="",E4692="!!!"),"",IF(OR(J4692=0,AND(J4692=1,K4692=1),AND(J4692=1,I4692="SBJ"),AND(J4692=1,I4692=0)),"?IN_FOCUS",IF(J4692&lt;=2,"?ACTIVATED",IF(J4692&lt;&gt;"","?FAMILIAR",IF(F4692="NEW",IF(ISNA(VLOOKUP(E4692,#REF!,1,FALSE())),"?TYPE_IDENTIFIABLE","?REFERENTIAL"),"_")))))</f>
        <v> </v>
      </c>
      <c r="H4692" s="24" t="str">
        <f>IF(J4692&lt;&gt;1,"",IF(I4692="SBJ","CB","?"))</f>
        <v> </v>
      </c>
      <c r="I4692" s="25" t="str">
        <f>IF(OR(E4692="",E4692="!!!",F4692="NEW"),"",INDEX(B4691:B$2,-1+SUMPRODUCT(MAX(ROW(E4691:E$2)*(E4692=E4691:E$2)))))</f>
        <v> </v>
      </c>
      <c r="J4692" s="25" t="str">
        <f>IF(OR(E4692="",E4692="!!!",F4692="NEW"),"",COUNTBLANK(OFFSET(A$1,,,SUMPRODUCT(MAX(ROW(E$2:E4692)*(E4692=E$2:E4692)))))-COUNTBLANK(OFFSET(A$1,,,SUMPRODUCT(MAX(ROW(E$1:E4691)*(E2=E$1:E4691))))))</f>
        <v> </v>
      </c>
      <c r="K4692" s="25" t="str">
        <f>IF(OR(E4692="",E4692="!!!",F4692="NEW"),"",INDEX(J$1:J4691,SUMPRODUCT(MAX(ROW(E$1:E4691)*(E4692=E$1:E4691)))))</f>
        <v> </v>
      </c>
      <c r="L4692" s="26"/>
    </row>
    <row r="4693" spans="1:12">
      <c r="A4693" s="20" t="s">
        <v>750</v>
      </c>
      <c r="E4693" s="21">
        <f>IF(D4693="?OLD","!!!","")</f>
        <v/>
      </c>
      <c r="F4693" s="22" t="str">
        <f>IF(OR(E4693="",E4693="!!!"),"",IF(NOT(ISNA(VLOOKUP(E4693,E$1:E4692,1,FALSE()))),"OLD",IF(AND(E4693&lt;&gt;"",E4693&lt;&gt;"!!!"),"NEW","")))</f>
        <v> </v>
      </c>
      <c r="G4693" s="23" t="str">
        <f>IF(OR(E4693="",E4693="!!!"),"",IF(OR(J4693=0,AND(J4693=1,K4693=1),AND(J4693=1,I4693="SBJ"),AND(J4693=1,I4693=0)),"?IN_FOCUS",IF(J4693&lt;=2,"?ACTIVATED",IF(J4693&lt;&gt;"","?FAMILIAR",IF(F4693="NEW",IF(ISNA(VLOOKUP(E4693,#REF!,1,FALSE())),"?TYPE_IDENTIFIABLE","?REFERENTIAL"),"_")))))</f>
        <v> </v>
      </c>
      <c r="H4693" s="24" t="str">
        <f>IF(J4693&lt;&gt;1,"",IF(I4693="SBJ","CB","?"))</f>
        <v> </v>
      </c>
      <c r="I4693" s="25" t="str">
        <f>IF(OR(E4693="",E4693="!!!",F4693="NEW"),"",INDEX(B4692:B$2,-1+SUMPRODUCT(MAX(ROW(E4692:E$2)*(E4693=E4692:E$2)))))</f>
        <v> </v>
      </c>
      <c r="J4693" s="25" t="str">
        <f>IF(OR(E4693="",E4693="!!!",F4693="NEW"),"",COUNTBLANK(OFFSET(A$1,,,SUMPRODUCT(MAX(ROW(E$2:E4693)*(E4693=E$2:E4693)))))-COUNTBLANK(OFFSET(A$1,,,SUMPRODUCT(MAX(ROW(E$1:E4692)*(E2=E$1:E4692))))))</f>
        <v> </v>
      </c>
      <c r="K4693" s="25" t="str">
        <f>IF(OR(E4693="",E4693="!!!",F4693="NEW"),"",INDEX(J$1:J4692,SUMPRODUCT(MAX(ROW(E$1:E4692)*(E4693=E$1:E4692)))))</f>
        <v> </v>
      </c>
      <c r="L4693" s="26"/>
    </row>
    <row r="4694" spans="1:12">
      <c r="A4694" s="20" t="s">
        <v>2042</v>
      </c>
      <c r="E4694" s="21">
        <f>IF(D4694="?OLD","!!!","")</f>
        <v/>
      </c>
      <c r="F4694" s="22" t="str">
        <f>IF(OR(E4694="",E4694="!!!"),"",IF(NOT(ISNA(VLOOKUP(E4694,E$1:E4693,1,FALSE()))),"OLD",IF(AND(E4694&lt;&gt;"",E4694&lt;&gt;"!!!"),"NEW","")))</f>
        <v> </v>
      </c>
      <c r="G4694" s="23" t="str">
        <f>IF(OR(E4694="",E4694="!!!"),"",IF(OR(J4694=0,AND(J4694=1,K4694=1),AND(J4694=1,I4694="SBJ"),AND(J4694=1,I4694=0)),"?IN_FOCUS",IF(J4694&lt;=2,"?ACTIVATED",IF(J4694&lt;&gt;"","?FAMILIAR",IF(F4694="NEW",IF(ISNA(VLOOKUP(E4694,#REF!,1,FALSE())),"?TYPE_IDENTIFIABLE","?REFERENTIAL"),"_")))))</f>
        <v> </v>
      </c>
      <c r="H4694" s="24" t="str">
        <f>IF(J4694&lt;&gt;1,"",IF(I4694="SBJ","CB","?"))</f>
        <v> </v>
      </c>
      <c r="I4694" s="25" t="str">
        <f>IF(OR(E4694="",E4694="!!!",F4694="NEW"),"",INDEX(B4693:B$2,-1+SUMPRODUCT(MAX(ROW(E4693:E$2)*(E4694=E4693:E$2)))))</f>
        <v> </v>
      </c>
      <c r="J4694" s="25" t="str">
        <f>IF(OR(E4694="",E4694="!!!",F4694="NEW"),"",COUNTBLANK(OFFSET(A$1,,,SUMPRODUCT(MAX(ROW(E$2:E4694)*(E4694=E$2:E4694)))))-COUNTBLANK(OFFSET(A$1,,,SUMPRODUCT(MAX(ROW(E$1:E4693)*(E2=E$1:E4693))))))</f>
        <v> </v>
      </c>
      <c r="K4694" s="25" t="str">
        <f>IF(OR(E4694="",E4694="!!!",F4694="NEW"),"",INDEX(J$1:J4693,SUMPRODUCT(MAX(ROW(E$1:E4693)*(E4694=E$1:E4693)))))</f>
        <v> </v>
      </c>
      <c r="L4694" s="26"/>
    </row>
    <row r="4695" spans="1:12">
      <c r="A4695" s="20" t="s">
        <v>703</v>
      </c>
      <c r="E4695" s="21">
        <f>IF(D4695="?OLD","!!!","")</f>
        <v/>
      </c>
      <c r="F4695" s="22" t="str">
        <f>IF(OR(E4695="",E4695="!!!"),"",IF(NOT(ISNA(VLOOKUP(E4695,E$1:E4694,1,FALSE()))),"OLD",IF(AND(E4695&lt;&gt;"",E4695&lt;&gt;"!!!"),"NEW","")))</f>
        <v> </v>
      </c>
      <c r="G4695" s="23" t="str">
        <f>IF(OR(E4695="",E4695="!!!"),"",IF(OR(J4695=0,AND(J4695=1,K4695=1),AND(J4695=1,I4695="SBJ"),AND(J4695=1,I4695=0)),"?IN_FOCUS",IF(J4695&lt;=2,"?ACTIVATED",IF(J4695&lt;&gt;"","?FAMILIAR",IF(F4695="NEW",IF(ISNA(VLOOKUP(E4695,#REF!,1,FALSE())),"?TYPE_IDENTIFIABLE","?REFERENTIAL"),"_")))))</f>
        <v> </v>
      </c>
      <c r="H4695" s="24" t="str">
        <f>IF(J4695&lt;&gt;1,"",IF(I4695="SBJ","CB","?"))</f>
        <v> </v>
      </c>
      <c r="I4695" s="25" t="str">
        <f>IF(OR(E4695="",E4695="!!!",F4695="NEW"),"",INDEX(B4694:B$2,-1+SUMPRODUCT(MAX(ROW(E4694:E$2)*(E4695=E4694:E$2)))))</f>
        <v> </v>
      </c>
      <c r="J4695" s="25" t="str">
        <f>IF(OR(E4695="",E4695="!!!",F4695="NEW"),"",COUNTBLANK(OFFSET(A$1,,,SUMPRODUCT(MAX(ROW(E$2:E4695)*(E4695=E$2:E4695)))))-COUNTBLANK(OFFSET(A$1,,,SUMPRODUCT(MAX(ROW(E$1:E4694)*(E2=E$1:E4694))))))</f>
        <v> </v>
      </c>
      <c r="K4695" s="25" t="str">
        <f>IF(OR(E4695="",E4695="!!!",F4695="NEW"),"",INDEX(J$1:J4694,SUMPRODUCT(MAX(ROW(E$1:E4694)*(E4695=E$1:E4694)))))</f>
        <v> </v>
      </c>
      <c r="L4695" s="26"/>
    </row>
    <row r="4696" spans="1:12">
      <c r="A4696" s="20" t="s">
        <v>2043</v>
      </c>
      <c r="E4696" s="21">
        <f>IF(D4696="?OLD","!!!","")</f>
        <v/>
      </c>
      <c r="F4696" s="22" t="str">
        <f>IF(OR(E4696="",E4696="!!!"),"",IF(NOT(ISNA(VLOOKUP(E4696,E$1:E4695,1,FALSE()))),"OLD",IF(AND(E4696&lt;&gt;"",E4696&lt;&gt;"!!!"),"NEW","")))</f>
        <v> </v>
      </c>
      <c r="G4696" s="23" t="str">
        <f>IF(OR(E4696="",E4696="!!!"),"",IF(OR(J4696=0,AND(J4696=1,K4696=1),AND(J4696=1,I4696="SBJ"),AND(J4696=1,I4696=0)),"?IN_FOCUS",IF(J4696&lt;=2,"?ACTIVATED",IF(J4696&lt;&gt;"","?FAMILIAR",IF(F4696="NEW",IF(ISNA(VLOOKUP(E4696,#REF!,1,FALSE())),"?TYPE_IDENTIFIABLE","?REFERENTIAL"),"_")))))</f>
        <v> </v>
      </c>
      <c r="H4696" s="24" t="str">
        <f>IF(J4696&lt;&gt;1,"",IF(I4696="SBJ","CB","?"))</f>
        <v> </v>
      </c>
      <c r="I4696" s="25" t="str">
        <f>IF(OR(E4696="",E4696="!!!",F4696="NEW"),"",INDEX(B4695:B$2,-1+SUMPRODUCT(MAX(ROW(E4695:E$2)*(E4696=E4695:E$2)))))</f>
        <v> </v>
      </c>
      <c r="J4696" s="25" t="str">
        <f>IF(OR(E4696="",E4696="!!!",F4696="NEW"),"",COUNTBLANK(OFFSET(A$1,,,SUMPRODUCT(MAX(ROW(E$2:E4696)*(E4696=E$2:E4696)))))-COUNTBLANK(OFFSET(A$1,,,SUMPRODUCT(MAX(ROW(E$1:E4695)*(E2=E$1:E4695))))))</f>
        <v> </v>
      </c>
      <c r="K4696" s="25" t="str">
        <f>IF(OR(E4696="",E4696="!!!",F4696="NEW"),"",INDEX(J$1:J4695,SUMPRODUCT(MAX(ROW(E$1:E4695)*(E4696=E$1:E4695)))))</f>
        <v> </v>
      </c>
      <c r="L4696" s="26"/>
    </row>
    <row r="4697" spans="1:12">
      <c r="A4697" s="20" t="s">
        <v>683</v>
      </c>
      <c r="E4697" s="21">
        <f>IF(D4697="?OLD","!!!","")</f>
        <v/>
      </c>
      <c r="F4697" s="22" t="str">
        <f>IF(OR(E4697="",E4697="!!!"),"",IF(NOT(ISNA(VLOOKUP(E4697,E$1:E4696,1,FALSE()))),"OLD",IF(AND(E4697&lt;&gt;"",E4697&lt;&gt;"!!!"),"NEW","")))</f>
        <v> </v>
      </c>
      <c r="G4697" s="23" t="str">
        <f>IF(OR(E4697="",E4697="!!!"),"",IF(OR(J4697=0,AND(J4697=1,K4697=1),AND(J4697=1,I4697="SBJ"),AND(J4697=1,I4697=0)),"?IN_FOCUS",IF(J4697&lt;=2,"?ACTIVATED",IF(J4697&lt;&gt;"","?FAMILIAR",IF(F4697="NEW",IF(ISNA(VLOOKUP(E4697,#REF!,1,FALSE())),"?TYPE_IDENTIFIABLE","?REFERENTIAL"),"_")))))</f>
        <v> </v>
      </c>
      <c r="H4697" s="24" t="str">
        <f>IF(J4697&lt;&gt;1,"",IF(I4697="SBJ","CB","?"))</f>
        <v> </v>
      </c>
      <c r="I4697" s="25" t="str">
        <f>IF(OR(E4697="",E4697="!!!",F4697="NEW"),"",INDEX(B4696:B$2,-1+SUMPRODUCT(MAX(ROW(E4696:E$2)*(E4697=E4696:E$2)))))</f>
        <v> </v>
      </c>
      <c r="J4697" s="25" t="str">
        <f>IF(OR(E4697="",E4697="!!!",F4697="NEW"),"",COUNTBLANK(OFFSET(A$1,,,SUMPRODUCT(MAX(ROW(E$2:E4697)*(E4697=E$2:E4697)))))-COUNTBLANK(OFFSET(A$1,,,SUMPRODUCT(MAX(ROW(E$1:E4696)*(E2=E$1:E4696))))))</f>
        <v> </v>
      </c>
      <c r="K4697" s="25" t="str">
        <f>IF(OR(E4697="",E4697="!!!",F4697="NEW"),"",INDEX(J$1:J4696,SUMPRODUCT(MAX(ROW(E$1:E4696)*(E4697=E$1:E4696)))))</f>
        <v> </v>
      </c>
      <c r="L4697" s="26"/>
    </row>
    <row r="4698" spans="1:12">
      <c r="A4698" s="20" t="s">
        <v>2044</v>
      </c>
      <c r="E4698" s="21">
        <f>IF(D4698="?OLD","!!!","")</f>
        <v/>
      </c>
      <c r="F4698" s="22" t="str">
        <f>IF(OR(E4698="",E4698="!!!"),"",IF(NOT(ISNA(VLOOKUP(E4698,E$1:E4697,1,FALSE()))),"OLD",IF(AND(E4698&lt;&gt;"",E4698&lt;&gt;"!!!"),"NEW","")))</f>
        <v> </v>
      </c>
      <c r="G4698" s="23" t="str">
        <f>IF(OR(E4698="",E4698="!!!"),"",IF(OR(J4698=0,AND(J4698=1,K4698=1),AND(J4698=1,I4698="SBJ"),AND(J4698=1,I4698=0)),"?IN_FOCUS",IF(J4698&lt;=2,"?ACTIVATED",IF(J4698&lt;&gt;"","?FAMILIAR",IF(F4698="NEW",IF(ISNA(VLOOKUP(E4698,#REF!,1,FALSE())),"?TYPE_IDENTIFIABLE","?REFERENTIAL"),"_")))))</f>
        <v> </v>
      </c>
      <c r="H4698" s="24" t="str">
        <f>IF(J4698&lt;&gt;1,"",IF(I4698="SBJ","CB","?"))</f>
        <v> </v>
      </c>
      <c r="I4698" s="25" t="str">
        <f>IF(OR(E4698="",E4698="!!!",F4698="NEW"),"",INDEX(B4697:B$2,-1+SUMPRODUCT(MAX(ROW(E4697:E$2)*(E4698=E4697:E$2)))))</f>
        <v> </v>
      </c>
      <c r="J4698" s="25" t="str">
        <f>IF(OR(E4698="",E4698="!!!",F4698="NEW"),"",COUNTBLANK(OFFSET(A$1,,,SUMPRODUCT(MAX(ROW(E$2:E4698)*(E4698=E$2:E4698)))))-COUNTBLANK(OFFSET(A$1,,,SUMPRODUCT(MAX(ROW(E$1:E4697)*(E2=E$1:E4697))))))</f>
        <v> </v>
      </c>
      <c r="K4698" s="25" t="str">
        <f>IF(OR(E4698="",E4698="!!!",F4698="NEW"),"",INDEX(J$1:J4697,SUMPRODUCT(MAX(ROW(E$1:E4697)*(E4698=E$1:E4697)))))</f>
        <v> </v>
      </c>
      <c r="L4698" s="26"/>
    </row>
    <row r="4699" spans="1:12">
      <c r="A4699" s="20" t="s">
        <v>2045</v>
      </c>
      <c r="B4699" s="27" t="s">
        <v>791</v>
      </c>
      <c r="C4699" s="27" t="s">
        <v>693</v>
      </c>
      <c r="D4699" s="27" t="s">
        <v>687</v>
      </c>
      <c r="E4699" s="21">
        <f>IF(D4699="?OLD","!!!","")</f>
        <v/>
      </c>
      <c r="F4699" s="22" t="str">
        <f>IF(OR(E4699="",E4699="!!!"),"",IF(NOT(ISNA(VLOOKUP(E4699,E$1:E4698,1,FALSE()))),"OLD",IF(AND(E4699&lt;&gt;"",E4699&lt;&gt;"!!!"),"NEW","")))</f>
        <v> </v>
      </c>
      <c r="G4699" s="23" t="str">
        <f>IF(OR(E4699="",E4699="!!!"),"",IF(OR(J4699=0,AND(J4699=1,K4699=1),AND(J4699=1,I4699="SBJ"),AND(J4699=1,I4699=0)),"?IN_FOCUS",IF(J4699&lt;=2,"?ACTIVATED",IF(J4699&lt;&gt;"","?FAMILIAR",IF(F4699="NEW",IF(ISNA(VLOOKUP(E4699,#REF!,1,FALSE())),"?TYPE_IDENTIFIABLE","?REFERENTIAL"),"_")))))</f>
        <v> </v>
      </c>
      <c r="H4699" s="24" t="str">
        <f>IF(J4699&lt;&gt;1,"",IF(I4699="SBJ","CB","?"))</f>
        <v> </v>
      </c>
      <c r="I4699" s="25" t="str">
        <f>IF(OR(E4699="",E4699="!!!",F4699="NEW"),"",INDEX(B4698:B$2,-1+SUMPRODUCT(MAX(ROW(E4698:E$2)*(E4699=E4698:E$2)))))</f>
        <v> </v>
      </c>
      <c r="J4699" s="25" t="str">
        <f>IF(OR(E4699="",E4699="!!!",F4699="NEW"),"",COUNTBLANK(OFFSET(A$1,,,SUMPRODUCT(MAX(ROW(E$2:E4699)*(E4699=E$2:E4699)))))-COUNTBLANK(OFFSET(A$1,,,SUMPRODUCT(MAX(ROW(E$1:E4698)*(E2=E$1:E4698))))))</f>
        <v> </v>
      </c>
      <c r="K4699" s="25" t="str">
        <f>IF(OR(E4699="",E4699="!!!",F4699="NEW"),"",INDEX(J$1:J4698,SUMPRODUCT(MAX(ROW(E$1:E4698)*(E4699=E$1:E4698)))))</f>
        <v> </v>
      </c>
      <c r="L4699" s="26"/>
    </row>
    <row r="4700" spans="1:12">
      <c r="A4700" s="20" t="s">
        <v>694</v>
      </c>
      <c r="E4700" s="21">
        <f>IF(D4700="?OLD","!!!","")</f>
        <v/>
      </c>
      <c r="F4700" s="22" t="str">
        <f>IF(OR(E4700="",E4700="!!!"),"",IF(NOT(ISNA(VLOOKUP(E4700,E$1:E4699,1,FALSE()))),"OLD",IF(AND(E4700&lt;&gt;"",E4700&lt;&gt;"!!!"),"NEW","")))</f>
        <v> </v>
      </c>
      <c r="G4700" s="23" t="str">
        <f>IF(OR(E4700="",E4700="!!!"),"",IF(OR(J4700=0,AND(J4700=1,K4700=1),AND(J4700=1,I4700="SBJ"),AND(J4700=1,I4700=0)),"?IN_FOCUS",IF(J4700&lt;=2,"?ACTIVATED",IF(J4700&lt;&gt;"","?FAMILIAR",IF(F4700="NEW",IF(ISNA(VLOOKUP(E4700,#REF!,1,FALSE())),"?TYPE_IDENTIFIABLE","?REFERENTIAL"),"_")))))</f>
        <v> </v>
      </c>
      <c r="H4700" s="24" t="str">
        <f>IF(J4700&lt;&gt;1,"",IF(I4700="SBJ","CB","?"))</f>
        <v> </v>
      </c>
      <c r="I4700" s="25" t="str">
        <f>IF(OR(E4700="",E4700="!!!",F4700="NEW"),"",INDEX(B4699:B$2,-1+SUMPRODUCT(MAX(ROW(E4699:E$2)*(E4700=E4699:E$2)))))</f>
        <v> </v>
      </c>
      <c r="J4700" s="25" t="str">
        <f>IF(OR(E4700="",E4700="!!!",F4700="NEW"),"",COUNTBLANK(OFFSET(A$1,,,SUMPRODUCT(MAX(ROW(E$2:E4700)*(E4700=E$2:E4700)))))-COUNTBLANK(OFFSET(A$1,,,SUMPRODUCT(MAX(ROW(E$1:E4699)*(E2=E$1:E4699))))))</f>
        <v> </v>
      </c>
      <c r="K4700" s="25" t="str">
        <f>IF(OR(E4700="",E4700="!!!",F4700="NEW"),"",INDEX(J$1:J4699,SUMPRODUCT(MAX(ROW(E$1:E4699)*(E4700=E$1:E4699)))))</f>
        <v> </v>
      </c>
      <c r="L4700" s="26"/>
    </row>
    <row r="4701" spans="1:12">
      <c r="A4701" s="20" t="s">
        <v>683</v>
      </c>
      <c r="E4701" s="21">
        <f>IF(D4701="?OLD","!!!","")</f>
        <v/>
      </c>
      <c r="F4701" s="22" t="str">
        <f>IF(OR(E4701="",E4701="!!!"),"",IF(NOT(ISNA(VLOOKUP(E4701,E$1:E4700,1,FALSE()))),"OLD",IF(AND(E4701&lt;&gt;"",E4701&lt;&gt;"!!!"),"NEW","")))</f>
        <v> </v>
      </c>
      <c r="G4701" s="23" t="str">
        <f>IF(OR(E4701="",E4701="!!!"),"",IF(OR(J4701=0,AND(J4701=1,K4701=1),AND(J4701=1,I4701="SBJ"),AND(J4701=1,I4701=0)),"?IN_FOCUS",IF(J4701&lt;=2,"?ACTIVATED",IF(J4701&lt;&gt;"","?FAMILIAR",IF(F4701="NEW",IF(ISNA(VLOOKUP(E4701,#REF!,1,FALSE())),"?TYPE_IDENTIFIABLE","?REFERENTIAL"),"_")))))</f>
        <v> </v>
      </c>
      <c r="H4701" s="24" t="str">
        <f>IF(J4701&lt;&gt;1,"",IF(I4701="SBJ","CB","?"))</f>
        <v> </v>
      </c>
      <c r="I4701" s="25" t="str">
        <f>IF(OR(E4701="",E4701="!!!",F4701="NEW"),"",INDEX(B4700:B$2,-1+SUMPRODUCT(MAX(ROW(E4700:E$2)*(E4701=E4700:E$2)))))</f>
        <v> </v>
      </c>
      <c r="J4701" s="25" t="str">
        <f>IF(OR(E4701="",E4701="!!!",F4701="NEW"),"",COUNTBLANK(OFFSET(A$1,,,SUMPRODUCT(MAX(ROW(E$2:E4701)*(E4701=E$2:E4701)))))-COUNTBLANK(OFFSET(A$1,,,SUMPRODUCT(MAX(ROW(E$1:E4700)*(E2=E$1:E4700))))))</f>
        <v> </v>
      </c>
      <c r="K4701" s="25" t="str">
        <f>IF(OR(E4701="",E4701="!!!",F4701="NEW"),"",INDEX(J$1:J4700,SUMPRODUCT(MAX(ROW(E$1:E4700)*(E4701=E$1:E4700)))))</f>
        <v> </v>
      </c>
      <c r="L4701" s="26"/>
    </row>
    <row r="4702" spans="1:12">
      <c r="A4702" s="20" t="s">
        <v>2046</v>
      </c>
      <c r="B4702" s="27" t="s">
        <v>724</v>
      </c>
      <c r="C4702" s="27" t="s">
        <v>686</v>
      </c>
      <c r="D4702" s="27" t="s">
        <v>687</v>
      </c>
      <c r="E4702" s="21">
        <f>IF(D4702="?OLD","!!!","")</f>
        <v/>
      </c>
      <c r="F4702" s="22" t="str">
        <f>IF(OR(E4702="",E4702="!!!"),"",IF(NOT(ISNA(VLOOKUP(E4702,E$1:E4701,1,FALSE()))),"OLD",IF(AND(E4702&lt;&gt;"",E4702&lt;&gt;"!!!"),"NEW","")))</f>
        <v> </v>
      </c>
      <c r="G4702" s="23" t="str">
        <f>IF(OR(E4702="",E4702="!!!"),"",IF(OR(J4702=0,AND(J4702=1,K4702=1),AND(J4702=1,I4702="SBJ"),AND(J4702=1,I4702=0)),"?IN_FOCUS",IF(J4702&lt;=2,"?ACTIVATED",IF(J4702&lt;&gt;"","?FAMILIAR",IF(F4702="NEW",IF(ISNA(VLOOKUP(E4702,#REF!,1,FALSE())),"?TYPE_IDENTIFIABLE","?REFERENTIAL"),"_")))))</f>
        <v> </v>
      </c>
      <c r="H4702" s="24" t="str">
        <f>IF(J4702&lt;&gt;1,"",IF(I4702="SBJ","CB","?"))</f>
        <v> </v>
      </c>
      <c r="I4702" s="25" t="str">
        <f>IF(OR(E4702="",E4702="!!!",F4702="NEW"),"",INDEX(B4701:B$2,-1+SUMPRODUCT(MAX(ROW(E4701:E$2)*(E4702=E4701:E$2)))))</f>
        <v> </v>
      </c>
      <c r="J4702" s="25" t="str">
        <f>IF(OR(E4702="",E4702="!!!",F4702="NEW"),"",COUNTBLANK(OFFSET(A$1,,,SUMPRODUCT(MAX(ROW(E$2:E4702)*(E4702=E$2:E4702)))))-COUNTBLANK(OFFSET(A$1,,,SUMPRODUCT(MAX(ROW(E$1:E4701)*(E2=E$1:E4701))))))</f>
        <v> </v>
      </c>
      <c r="K4702" s="25" t="str">
        <f>IF(OR(E4702="",E4702="!!!",F4702="NEW"),"",INDEX(J$1:J4701,SUMPRODUCT(MAX(ROW(E$1:E4701)*(E4702=E$1:E4701)))))</f>
        <v> </v>
      </c>
      <c r="L4702" s="26"/>
    </row>
    <row r="4703" spans="1:12">
      <c r="A4703" s="20" t="s">
        <v>2047</v>
      </c>
      <c r="E4703" s="21">
        <f>IF(D4703="?OLD","!!!","")</f>
        <v/>
      </c>
      <c r="F4703" s="22" t="str">
        <f>IF(OR(E4703="",E4703="!!!"),"",IF(NOT(ISNA(VLOOKUP(E4703,E$1:E4702,1,FALSE()))),"OLD",IF(AND(E4703&lt;&gt;"",E4703&lt;&gt;"!!!"),"NEW","")))</f>
        <v> </v>
      </c>
      <c r="G4703" s="23" t="str">
        <f>IF(OR(E4703="",E4703="!!!"),"",IF(OR(J4703=0,AND(J4703=1,K4703=1),AND(J4703=1,I4703="SBJ"),AND(J4703=1,I4703=0)),"?IN_FOCUS",IF(J4703&lt;=2,"?ACTIVATED",IF(J4703&lt;&gt;"","?FAMILIAR",IF(F4703="NEW",IF(ISNA(VLOOKUP(E4703,#REF!,1,FALSE())),"?TYPE_IDENTIFIABLE","?REFERENTIAL"),"_")))))</f>
        <v> </v>
      </c>
      <c r="H4703" s="24" t="str">
        <f>IF(J4703&lt;&gt;1,"",IF(I4703="SBJ","CB","?"))</f>
        <v> </v>
      </c>
      <c r="I4703" s="25" t="str">
        <f>IF(OR(E4703="",E4703="!!!",F4703="NEW"),"",INDEX(B4702:B$2,-1+SUMPRODUCT(MAX(ROW(E4702:E$2)*(E4703=E4702:E$2)))))</f>
        <v> </v>
      </c>
      <c r="J4703" s="25" t="str">
        <f>IF(OR(E4703="",E4703="!!!",F4703="NEW"),"",COUNTBLANK(OFFSET(A$1,,,SUMPRODUCT(MAX(ROW(E$2:E4703)*(E4703=E$2:E4703)))))-COUNTBLANK(OFFSET(A$1,,,SUMPRODUCT(MAX(ROW(E$1:E4702)*(E2=E$1:E4702))))))</f>
        <v> </v>
      </c>
      <c r="K4703" s="25" t="str">
        <f>IF(OR(E4703="",E4703="!!!",F4703="NEW"),"",INDEX(J$1:J4702,SUMPRODUCT(MAX(ROW(E$1:E4702)*(E4703=E$1:E4702)))))</f>
        <v> </v>
      </c>
      <c r="L4703" s="26"/>
    </row>
    <row r="4704" spans="1:12">
      <c r="A4704" s="20" t="s">
        <v>682</v>
      </c>
      <c r="E4704" s="21">
        <f>IF(D4704="?OLD","!!!","")</f>
        <v/>
      </c>
      <c r="F4704" s="22" t="str">
        <f>IF(OR(E4704="",E4704="!!!"),"",IF(NOT(ISNA(VLOOKUP(E4704,E$1:E4703,1,FALSE()))),"OLD",IF(AND(E4704&lt;&gt;"",E4704&lt;&gt;"!!!"),"NEW","")))</f>
        <v> </v>
      </c>
      <c r="G4704" s="23" t="str">
        <f>IF(OR(E4704="",E4704="!!!"),"",IF(OR(J4704=0,AND(J4704=1,K4704=1),AND(J4704=1,I4704="SBJ"),AND(J4704=1,I4704=0)),"?IN_FOCUS",IF(J4704&lt;=2,"?ACTIVATED",IF(J4704&lt;&gt;"","?FAMILIAR",IF(F4704="NEW",IF(ISNA(VLOOKUP(E4704,#REF!,1,FALSE())),"?TYPE_IDENTIFIABLE","?REFERENTIAL"),"_")))))</f>
        <v> </v>
      </c>
      <c r="H4704" s="24" t="str">
        <f>IF(J4704&lt;&gt;1,"",IF(I4704="SBJ","CB","?"))</f>
        <v> </v>
      </c>
      <c r="I4704" s="25" t="str">
        <f>IF(OR(E4704="",E4704="!!!",F4704="NEW"),"",INDEX(B4703:B$2,-1+SUMPRODUCT(MAX(ROW(E4703:E$2)*(E4704=E4703:E$2)))))</f>
        <v> </v>
      </c>
      <c r="J4704" s="25" t="str">
        <f>IF(OR(E4704="",E4704="!!!",F4704="NEW"),"",COUNTBLANK(OFFSET(A$1,,,SUMPRODUCT(MAX(ROW(E$2:E4704)*(E4704=E$2:E4704)))))-COUNTBLANK(OFFSET(A$1,,,SUMPRODUCT(MAX(ROW(E$1:E4703)*(E2=E$1:E4703))))))</f>
        <v> </v>
      </c>
      <c r="K4704" s="25" t="str">
        <f>IF(OR(E4704="",E4704="!!!",F4704="NEW"),"",INDEX(J$1:J4703,SUMPRODUCT(MAX(ROW(E$1:E4703)*(E4704=E$1:E4703)))))</f>
        <v> </v>
      </c>
      <c r="L4704" s="26"/>
    </row>
    <row r="4705" spans="1:12">
      <c r="A4705" s="20" t="s">
        <v>703</v>
      </c>
      <c r="E4705" s="21">
        <f>IF(D4705="?OLD","!!!","")</f>
        <v/>
      </c>
      <c r="F4705" s="22" t="str">
        <f>IF(OR(E4705="",E4705="!!!"),"",IF(NOT(ISNA(VLOOKUP(E4705,E$1:E4704,1,FALSE()))),"OLD",IF(AND(E4705&lt;&gt;"",E4705&lt;&gt;"!!!"),"NEW","")))</f>
        <v> </v>
      </c>
      <c r="G4705" s="23" t="str">
        <f>IF(OR(E4705="",E4705="!!!"),"",IF(OR(J4705=0,AND(J4705=1,K4705=1),AND(J4705=1,I4705="SBJ"),AND(J4705=1,I4705=0)),"?IN_FOCUS",IF(J4705&lt;=2,"?ACTIVATED",IF(J4705&lt;&gt;"","?FAMILIAR",IF(F4705="NEW",IF(ISNA(VLOOKUP(E4705,#REF!,1,FALSE())),"?TYPE_IDENTIFIABLE","?REFERENTIAL"),"_")))))</f>
        <v> </v>
      </c>
      <c r="H4705" s="24" t="str">
        <f>IF(J4705&lt;&gt;1,"",IF(I4705="SBJ","CB","?"))</f>
        <v> </v>
      </c>
      <c r="I4705" s="25" t="str">
        <f>IF(OR(E4705="",E4705="!!!",F4705="NEW"),"",INDEX(B4704:B$2,-1+SUMPRODUCT(MAX(ROW(E4704:E$2)*(E4705=E4704:E$2)))))</f>
        <v> </v>
      </c>
      <c r="J4705" s="25" t="str">
        <f>IF(OR(E4705="",E4705="!!!",F4705="NEW"),"",COUNTBLANK(OFFSET(A$1,,,SUMPRODUCT(MAX(ROW(E$2:E4705)*(E4705=E$2:E4705)))))-COUNTBLANK(OFFSET(A$1,,,SUMPRODUCT(MAX(ROW(E$1:E4704)*(E2=E$1:E4704))))))</f>
        <v> </v>
      </c>
      <c r="K4705" s="25" t="str">
        <f>IF(OR(E4705="",E4705="!!!",F4705="NEW"),"",INDEX(J$1:J4704,SUMPRODUCT(MAX(ROW(E$1:E4704)*(E4705=E$1:E4704)))))</f>
        <v> </v>
      </c>
      <c r="L4705" s="26"/>
    </row>
    <row r="4706" spans="1:12">
      <c r="A4706" s="20" t="s">
        <v>750</v>
      </c>
      <c r="E4706" s="21">
        <f>IF(D4706="?OLD","!!!","")</f>
        <v/>
      </c>
      <c r="F4706" s="22" t="str">
        <f>IF(OR(E4706="",E4706="!!!"),"",IF(NOT(ISNA(VLOOKUP(E4706,E$1:E4705,1,FALSE()))),"OLD",IF(AND(E4706&lt;&gt;"",E4706&lt;&gt;"!!!"),"NEW","")))</f>
        <v> </v>
      </c>
      <c r="G4706" s="23" t="str">
        <f>IF(OR(E4706="",E4706="!!!"),"",IF(OR(J4706=0,AND(J4706=1,K4706=1),AND(J4706=1,I4706="SBJ"),AND(J4706=1,I4706=0)),"?IN_FOCUS",IF(J4706&lt;=2,"?ACTIVATED",IF(J4706&lt;&gt;"","?FAMILIAR",IF(F4706="NEW",IF(ISNA(VLOOKUP(E4706,#REF!,1,FALSE())),"?TYPE_IDENTIFIABLE","?REFERENTIAL"),"_")))))</f>
        <v> </v>
      </c>
      <c r="H4706" s="24" t="str">
        <f>IF(J4706&lt;&gt;1,"",IF(I4706="SBJ","CB","?"))</f>
        <v> </v>
      </c>
      <c r="I4706" s="25" t="str">
        <f>IF(OR(E4706="",E4706="!!!",F4706="NEW"),"",INDEX(B4705:B$2,-1+SUMPRODUCT(MAX(ROW(E4705:E$2)*(E4706=E4705:E$2)))))</f>
        <v> </v>
      </c>
      <c r="J4706" s="25" t="str">
        <f>IF(OR(E4706="",E4706="!!!",F4706="NEW"),"",COUNTBLANK(OFFSET(A$1,,,SUMPRODUCT(MAX(ROW(E$2:E4706)*(E4706=E$2:E4706)))))-COUNTBLANK(OFFSET(A$1,,,SUMPRODUCT(MAX(ROW(E$1:E4705)*(E2=E$1:E4705))))))</f>
        <v> </v>
      </c>
      <c r="K4706" s="25" t="str">
        <f>IF(OR(E4706="",E4706="!!!",F4706="NEW"),"",INDEX(J$1:J4705,SUMPRODUCT(MAX(ROW(E$1:E4705)*(E4706=E$1:E4705)))))</f>
        <v> </v>
      </c>
      <c r="L4706" s="26"/>
    </row>
    <row r="4707" spans="1:12">
      <c r="A4707" s="20" t="s">
        <v>1866</v>
      </c>
      <c r="E4707" s="21">
        <f>IF(D4707="?OLD","!!!","")</f>
        <v/>
      </c>
      <c r="F4707" s="22" t="str">
        <f>IF(OR(E4707="",E4707="!!!"),"",IF(NOT(ISNA(VLOOKUP(E4707,E$1:E4706,1,FALSE()))),"OLD",IF(AND(E4707&lt;&gt;"",E4707&lt;&gt;"!!!"),"NEW","")))</f>
        <v> </v>
      </c>
      <c r="G4707" s="23" t="str">
        <f>IF(OR(E4707="",E4707="!!!"),"",IF(OR(J4707=0,AND(J4707=1,K4707=1),AND(J4707=1,I4707="SBJ"),AND(J4707=1,I4707=0)),"?IN_FOCUS",IF(J4707&lt;=2,"?ACTIVATED",IF(J4707&lt;&gt;"","?FAMILIAR",IF(F4707="NEW",IF(ISNA(VLOOKUP(E4707,#REF!,1,FALSE())),"?TYPE_IDENTIFIABLE","?REFERENTIAL"),"_")))))</f>
        <v> </v>
      </c>
      <c r="H4707" s="24" t="str">
        <f>IF(J4707&lt;&gt;1,"",IF(I4707="SBJ","CB","?"))</f>
        <v> </v>
      </c>
      <c r="I4707" s="25" t="str">
        <f>IF(OR(E4707="",E4707="!!!",F4707="NEW"),"",INDEX(B4706:B$2,-1+SUMPRODUCT(MAX(ROW(E4706:E$2)*(E4707=E4706:E$2)))))</f>
        <v> </v>
      </c>
      <c r="J4707" s="25" t="str">
        <f>IF(OR(E4707="",E4707="!!!",F4707="NEW"),"",COUNTBLANK(OFFSET(A$1,,,SUMPRODUCT(MAX(ROW(E$2:E4707)*(E4707=E$2:E4707)))))-COUNTBLANK(OFFSET(A$1,,,SUMPRODUCT(MAX(ROW(E$1:E4706)*(E2=E$1:E4706))))))</f>
        <v> </v>
      </c>
      <c r="K4707" s="25" t="str">
        <f>IF(OR(E4707="",E4707="!!!",F4707="NEW"),"",INDEX(J$1:J4706,SUMPRODUCT(MAX(ROW(E$1:E4706)*(E4707=E$1:E4706)))))</f>
        <v> </v>
      </c>
      <c r="L4707" s="26"/>
    </row>
    <row r="4708" spans="1:12">
      <c r="A4708" s="20" t="s">
        <v>721</v>
      </c>
      <c r="E4708" s="21">
        <f>IF(D4708="?OLD","!!!","")</f>
        <v/>
      </c>
      <c r="F4708" s="22" t="str">
        <f>IF(OR(E4708="",E4708="!!!"),"",IF(NOT(ISNA(VLOOKUP(E4708,E$1:E4707,1,FALSE()))),"OLD",IF(AND(E4708&lt;&gt;"",E4708&lt;&gt;"!!!"),"NEW","")))</f>
        <v> </v>
      </c>
      <c r="G4708" s="23" t="str">
        <f>IF(OR(E4708="",E4708="!!!"),"",IF(OR(J4708=0,AND(J4708=1,K4708=1),AND(J4708=1,I4708="SBJ"),AND(J4708=1,I4708=0)),"?IN_FOCUS",IF(J4708&lt;=2,"?ACTIVATED",IF(J4708&lt;&gt;"","?FAMILIAR",IF(F4708="NEW",IF(ISNA(VLOOKUP(E4708,#REF!,1,FALSE())),"?TYPE_IDENTIFIABLE","?REFERENTIAL"),"_")))))</f>
        <v> </v>
      </c>
      <c r="H4708" s="24" t="str">
        <f>IF(J4708&lt;&gt;1,"",IF(I4708="SBJ","CB","?"))</f>
        <v> </v>
      </c>
      <c r="I4708" s="25" t="str">
        <f>IF(OR(E4708="",E4708="!!!",F4708="NEW"),"",INDEX(B4707:B$2,-1+SUMPRODUCT(MAX(ROW(E4707:E$2)*(E4708=E4707:E$2)))))</f>
        <v> </v>
      </c>
      <c r="J4708" s="25" t="str">
        <f>IF(OR(E4708="",E4708="!!!",F4708="NEW"),"",COUNTBLANK(OFFSET(A$1,,,SUMPRODUCT(MAX(ROW(E$2:E4708)*(E4708=E$2:E4708)))))-COUNTBLANK(OFFSET(A$1,,,SUMPRODUCT(MAX(ROW(E$1:E4707)*(E2=E$1:E4707))))))</f>
        <v> </v>
      </c>
      <c r="K4708" s="25" t="str">
        <f>IF(OR(E4708="",E4708="!!!",F4708="NEW"),"",INDEX(J$1:J4707,SUMPRODUCT(MAX(ROW(E$1:E4707)*(E4708=E$1:E4707)))))</f>
        <v> </v>
      </c>
      <c r="L4708" s="26"/>
    </row>
    <row r="4709" spans="1:12">
      <c r="A4709" s="20" t="s">
        <v>828</v>
      </c>
      <c r="B4709" s="27" t="s">
        <v>807</v>
      </c>
      <c r="C4709" s="27" t="s">
        <v>749</v>
      </c>
      <c r="D4709" s="27" t="s">
        <v>687</v>
      </c>
      <c r="E4709" s="21">
        <f>IF(D4709="?OLD","!!!","")</f>
        <v/>
      </c>
      <c r="F4709" s="22" t="str">
        <f>IF(OR(E4709="",E4709="!!!"),"",IF(NOT(ISNA(VLOOKUP(E4709,E$1:E4708,1,FALSE()))),"OLD",IF(AND(E4709&lt;&gt;"",E4709&lt;&gt;"!!!"),"NEW","")))</f>
        <v> </v>
      </c>
      <c r="G4709" s="23" t="str">
        <f>IF(OR(E4709="",E4709="!!!"),"",IF(OR(J4709=0,AND(J4709=1,K4709=1),AND(J4709=1,I4709="SBJ"),AND(J4709=1,I4709=0)),"?IN_FOCUS",IF(J4709&lt;=2,"?ACTIVATED",IF(J4709&lt;&gt;"","?FAMILIAR",IF(F4709="NEW",IF(ISNA(VLOOKUP(E4709,#REF!,1,FALSE())),"?TYPE_IDENTIFIABLE","?REFERENTIAL"),"_")))))</f>
        <v> </v>
      </c>
      <c r="H4709" s="24" t="str">
        <f>IF(J4709&lt;&gt;1,"",IF(I4709="SBJ","CB","?"))</f>
        <v> </v>
      </c>
      <c r="I4709" s="25" t="str">
        <f>IF(OR(E4709="",E4709="!!!",F4709="NEW"),"",INDEX(B4708:B$2,-1+SUMPRODUCT(MAX(ROW(E4708:E$2)*(E4709=E4708:E$2)))))</f>
        <v> </v>
      </c>
      <c r="J4709" s="25" t="str">
        <f>IF(OR(E4709="",E4709="!!!",F4709="NEW"),"",COUNTBLANK(OFFSET(A$1,,,SUMPRODUCT(MAX(ROW(E$2:E4709)*(E4709=E$2:E4709)))))-COUNTBLANK(OFFSET(A$1,,,SUMPRODUCT(MAX(ROW(E$1:E4708)*(E2=E$1:E4708))))))</f>
        <v> </v>
      </c>
      <c r="K4709" s="25" t="str">
        <f>IF(OR(E4709="",E4709="!!!",F4709="NEW"),"",INDEX(J$1:J4708,SUMPRODUCT(MAX(ROW(E$1:E4708)*(E4709=E$1:E4708)))))</f>
        <v> </v>
      </c>
      <c r="L4709" s="26"/>
    </row>
    <row r="4710" spans="1:12">
      <c r="A4710" s="20" t="s">
        <v>2048</v>
      </c>
      <c r="E4710" s="21">
        <f>IF(D4710="?OLD","!!!","")</f>
        <v/>
      </c>
      <c r="F4710" s="22" t="str">
        <f>IF(OR(E4710="",E4710="!!!"),"",IF(NOT(ISNA(VLOOKUP(E4710,E$1:E4709,1,FALSE()))),"OLD",IF(AND(E4710&lt;&gt;"",E4710&lt;&gt;"!!!"),"NEW","")))</f>
        <v> </v>
      </c>
      <c r="G4710" s="23" t="str">
        <f>IF(OR(E4710="",E4710="!!!"),"",IF(OR(J4710=0,AND(J4710=1,K4710=1),AND(J4710=1,I4710="SBJ"),AND(J4710=1,I4710=0)),"?IN_FOCUS",IF(J4710&lt;=2,"?ACTIVATED",IF(J4710&lt;&gt;"","?FAMILIAR",IF(F4710="NEW",IF(ISNA(VLOOKUP(E4710,#REF!,1,FALSE())),"?TYPE_IDENTIFIABLE","?REFERENTIAL"),"_")))))</f>
        <v> </v>
      </c>
      <c r="H4710" s="24" t="str">
        <f>IF(J4710&lt;&gt;1,"",IF(I4710="SBJ","CB","?"))</f>
        <v> </v>
      </c>
      <c r="I4710" s="25" t="str">
        <f>IF(OR(E4710="",E4710="!!!",F4710="NEW"),"",INDEX(B4709:B$2,-1+SUMPRODUCT(MAX(ROW(E4709:E$2)*(E4710=E4709:E$2)))))</f>
        <v> </v>
      </c>
      <c r="J4710" s="25" t="str">
        <f>IF(OR(E4710="",E4710="!!!",F4710="NEW"),"",COUNTBLANK(OFFSET(A$1,,,SUMPRODUCT(MAX(ROW(E$2:E4710)*(E4710=E$2:E4710)))))-COUNTBLANK(OFFSET(A$1,,,SUMPRODUCT(MAX(ROW(E$1:E4709)*(E2=E$1:E4709))))))</f>
        <v> </v>
      </c>
      <c r="K4710" s="25" t="str">
        <f>IF(OR(E4710="",E4710="!!!",F4710="NEW"),"",INDEX(J$1:J4709,SUMPRODUCT(MAX(ROW(E$1:E4709)*(E4710=E$1:E4709)))))</f>
        <v> </v>
      </c>
      <c r="L4710" s="26"/>
    </row>
    <row r="4711" spans="1:12">
      <c r="A4711" s="20" t="s">
        <v>1342</v>
      </c>
      <c r="B4711" s="27" t="s">
        <v>810</v>
      </c>
      <c r="C4711" s="27" t="s">
        <v>716</v>
      </c>
      <c r="E4711" s="21">
        <f>IF(D4711="?OLD","!!!","")</f>
        <v/>
      </c>
      <c r="F4711" s="22" t="str">
        <f>IF(OR(E4711="",E4711="!!!"),"",IF(NOT(ISNA(VLOOKUP(E4711,E$1:E4710,1,FALSE()))),"OLD",IF(AND(E4711&lt;&gt;"",E4711&lt;&gt;"!!!"),"NEW","")))</f>
        <v> </v>
      </c>
      <c r="G4711" s="23" t="str">
        <f>IF(OR(E4711="",E4711="!!!"),"",IF(OR(J4711=0,AND(J4711=1,K4711=1),AND(J4711=1,I4711="SBJ"),AND(J4711=1,I4711=0)),"?IN_FOCUS",IF(J4711&lt;=2,"?ACTIVATED",IF(J4711&lt;&gt;"","?FAMILIAR",IF(F4711="NEW",IF(ISNA(VLOOKUP(E4711,#REF!,1,FALSE())),"?TYPE_IDENTIFIABLE","?REFERENTIAL"),"_")))))</f>
        <v> </v>
      </c>
      <c r="H4711" s="24" t="str">
        <f>IF(J4711&lt;&gt;1,"",IF(I4711="SBJ","CB","?"))</f>
        <v> </v>
      </c>
      <c r="I4711" s="25" t="str">
        <f>IF(OR(E4711="",E4711="!!!",F4711="NEW"),"",INDEX(B4710:B$2,-1+SUMPRODUCT(MAX(ROW(E4710:E$2)*(E4711=E4710:E$2)))))</f>
        <v> </v>
      </c>
      <c r="J4711" s="25" t="str">
        <f>IF(OR(E4711="",E4711="!!!",F4711="NEW"),"",COUNTBLANK(OFFSET(A$1,,,SUMPRODUCT(MAX(ROW(E$2:E4711)*(E4711=E$2:E4711)))))-COUNTBLANK(OFFSET(A$1,,,SUMPRODUCT(MAX(ROW(E$1:E4710)*(E2=E$1:E4710))))))</f>
        <v> </v>
      </c>
      <c r="K4711" s="25" t="str">
        <f>IF(OR(E4711="",E4711="!!!",F4711="NEW"),"",INDEX(J$1:J4710,SUMPRODUCT(MAX(ROW(E$1:E4710)*(E4711=E$1:E4710)))))</f>
        <v> </v>
      </c>
      <c r="L4711" s="26"/>
    </row>
    <row r="4712" spans="1:12">
      <c r="A4712" s="20" t="s">
        <v>306</v>
      </c>
      <c r="E4712" s="21">
        <f>IF(D4712="?OLD","!!!","")</f>
        <v/>
      </c>
      <c r="F4712" s="22" t="str">
        <f>IF(OR(E4712="",E4712="!!!"),"",IF(NOT(ISNA(VLOOKUP(E4712,E$1:E4711,1,FALSE()))),"OLD",IF(AND(E4712&lt;&gt;"",E4712&lt;&gt;"!!!"),"NEW","")))</f>
        <v> </v>
      </c>
      <c r="G4712" s="23" t="str">
        <f>IF(OR(E4712="",E4712="!!!"),"",IF(OR(J4712=0,AND(J4712=1,K4712=1),AND(J4712=1,I4712="SBJ"),AND(J4712=1,I4712=0)),"?IN_FOCUS",IF(J4712&lt;=2,"?ACTIVATED",IF(J4712&lt;&gt;"","?FAMILIAR",IF(F4712="NEW",IF(ISNA(VLOOKUP(E4712,#REF!,1,FALSE())),"?TYPE_IDENTIFIABLE","?REFERENTIAL"),"_")))))</f>
        <v> </v>
      </c>
      <c r="H4712" s="24" t="str">
        <f>IF(J4712&lt;&gt;1,"",IF(I4712="SBJ","CB","?"))</f>
        <v> </v>
      </c>
      <c r="I4712" s="25" t="str">
        <f>IF(OR(E4712="",E4712="!!!",F4712="NEW"),"",INDEX(B4711:B$2,-1+SUMPRODUCT(MAX(ROW(E4711:E$2)*(E4712=E4711:E$2)))))</f>
        <v> </v>
      </c>
      <c r="J4712" s="25" t="str">
        <f>IF(OR(E4712="",E4712="!!!",F4712="NEW"),"",COUNTBLANK(OFFSET(A$1,,,SUMPRODUCT(MAX(ROW(E$2:E4712)*(E4712=E$2:E4712)))))-COUNTBLANK(OFFSET(A$1,,,SUMPRODUCT(MAX(ROW(E$1:E4711)*(E2=E$1:E4711))))))</f>
        <v> </v>
      </c>
      <c r="K4712" s="25" t="str">
        <f>IF(OR(E4712="",E4712="!!!",F4712="NEW"),"",INDEX(J$1:J4711,SUMPRODUCT(MAX(ROW(E$1:E4711)*(E4712=E$1:E4711)))))</f>
        <v> </v>
      </c>
      <c r="L4712" s="26"/>
    </row>
    <row r="4713" spans="1:12">
      <c r="A4713" s="20" t="s">
        <v>2049</v>
      </c>
      <c r="B4713" s="27" t="s">
        <v>724</v>
      </c>
      <c r="C4713" s="27" t="s">
        <v>686</v>
      </c>
      <c r="D4713" s="27" t="s">
        <v>687</v>
      </c>
      <c r="E4713" s="21">
        <f>IF(D4713="?OLD","!!!","")</f>
        <v/>
      </c>
      <c r="F4713" s="22" t="str">
        <f>IF(OR(E4713="",E4713="!!!"),"",IF(NOT(ISNA(VLOOKUP(E4713,E$1:E4712,1,FALSE()))),"OLD",IF(AND(E4713&lt;&gt;"",E4713&lt;&gt;"!!!"),"NEW","")))</f>
        <v> </v>
      </c>
      <c r="G4713" s="23" t="str">
        <f>IF(OR(E4713="",E4713="!!!"),"",IF(OR(J4713=0,AND(J4713=1,K4713=1),AND(J4713=1,I4713="SBJ"),AND(J4713=1,I4713=0)),"?IN_FOCUS",IF(J4713&lt;=2,"?ACTIVATED",IF(J4713&lt;&gt;"","?FAMILIAR",IF(F4713="NEW",IF(ISNA(VLOOKUP(E4713,#REF!,1,FALSE())),"?TYPE_IDENTIFIABLE","?REFERENTIAL"),"_")))))</f>
        <v> </v>
      </c>
      <c r="H4713" s="24" t="str">
        <f>IF(J4713&lt;&gt;1,"",IF(I4713="SBJ","CB","?"))</f>
        <v> </v>
      </c>
      <c r="I4713" s="25" t="str">
        <f>IF(OR(E4713="",E4713="!!!",F4713="NEW"),"",INDEX(B4712:B$2,-1+SUMPRODUCT(MAX(ROW(E4712:E$2)*(E4713=E4712:E$2)))))</f>
        <v> </v>
      </c>
      <c r="J4713" s="25" t="str">
        <f>IF(OR(E4713="",E4713="!!!",F4713="NEW"),"",COUNTBLANK(OFFSET(A$1,,,SUMPRODUCT(MAX(ROW(E$2:E4713)*(E4713=E$2:E4713)))))-COUNTBLANK(OFFSET(A$1,,,SUMPRODUCT(MAX(ROW(E$1:E4712)*(E2=E$1:E4712))))))</f>
        <v> </v>
      </c>
      <c r="K4713" s="25" t="str">
        <f>IF(OR(E4713="",E4713="!!!",F4713="NEW"),"",INDEX(J$1:J4712,SUMPRODUCT(MAX(ROW(E$1:E4712)*(E4713=E$1:E4712)))))</f>
        <v> </v>
      </c>
      <c r="L4713" s="26"/>
    </row>
    <row r="4714" spans="1:12">
      <c r="A4714" s="20" t="s">
        <v>698</v>
      </c>
      <c r="E4714" s="21">
        <f>IF(D4714="?OLD","!!!","")</f>
        <v/>
      </c>
      <c r="F4714" s="22" t="str">
        <f>IF(OR(E4714="",E4714="!!!"),"",IF(NOT(ISNA(VLOOKUP(E4714,E$1:E4713,1,FALSE()))),"OLD",IF(AND(E4714&lt;&gt;"",E4714&lt;&gt;"!!!"),"NEW","")))</f>
        <v> </v>
      </c>
      <c r="G4714" s="23" t="str">
        <f>IF(OR(E4714="",E4714="!!!"),"",IF(OR(J4714=0,AND(J4714=1,K4714=1),AND(J4714=1,I4714="SBJ"),AND(J4714=1,I4714=0)),"?IN_FOCUS",IF(J4714&lt;=2,"?ACTIVATED",IF(J4714&lt;&gt;"","?FAMILIAR",IF(F4714="NEW",IF(ISNA(VLOOKUP(E4714,#REF!,1,FALSE())),"?TYPE_IDENTIFIABLE","?REFERENTIAL"),"_")))))</f>
        <v> </v>
      </c>
      <c r="H4714" s="24" t="str">
        <f>IF(J4714&lt;&gt;1,"",IF(I4714="SBJ","CB","?"))</f>
        <v> </v>
      </c>
      <c r="I4714" s="25" t="str">
        <f>IF(OR(E4714="",E4714="!!!",F4714="NEW"),"",INDEX(B4713:B$2,-1+SUMPRODUCT(MAX(ROW(E4713:E$2)*(E4714=E4713:E$2)))))</f>
        <v> </v>
      </c>
      <c r="J4714" s="25" t="str">
        <f>IF(OR(E4714="",E4714="!!!",F4714="NEW"),"",COUNTBLANK(OFFSET(A$1,,,SUMPRODUCT(MAX(ROW(E$2:E4714)*(E4714=E$2:E4714)))))-COUNTBLANK(OFFSET(A$1,,,SUMPRODUCT(MAX(ROW(E$1:E4713)*(E2=E$1:E4713))))))</f>
        <v> </v>
      </c>
      <c r="K4714" s="25" t="str">
        <f>IF(OR(E4714="",E4714="!!!",F4714="NEW"),"",INDEX(J$1:J4713,SUMPRODUCT(MAX(ROW(E$1:E4713)*(E4714=E$1:E4713)))))</f>
        <v> </v>
      </c>
      <c r="L4714" s="26"/>
    </row>
    <row r="4715" spans="1:12">
      <c r="A4715" s="20"/>
    </row>
    <row r="4716" spans="1:12">
      <c r="A4716" s="20" t="s">
        <v>2050</v>
      </c>
    </row>
    <row r="4717" spans="1:12">
      <c r="A4717" s="20" t="s">
        <v>1103</v>
      </c>
      <c r="E4717" s="21">
        <f>IF(D4717="?OLD","!!!","")</f>
        <v/>
      </c>
      <c r="F4717" s="22" t="str">
        <f>IF(OR(E4717="",E4717="!!!"),"",IF(NOT(ISNA(VLOOKUP(E4717,E$1:E4716,1,FALSE()))),"OLD",IF(AND(E4717&lt;&gt;"",E4717&lt;&gt;"!!!"),"NEW","")))</f>
        <v> </v>
      </c>
      <c r="G4717" s="23" t="str">
        <f>IF(OR(E4717="",E4717="!!!"),"",IF(OR(J4717=0,AND(J4717=1,K4717=1),AND(J4717=1,I4717="SBJ"),AND(J4717=1,I4717=0)),"?IN_FOCUS",IF(J4717&lt;=2,"?ACTIVATED",IF(J4717&lt;&gt;"","?FAMILIAR",IF(F4717="NEW",IF(ISNA(VLOOKUP(E4717,#REF!,1,FALSE())),"?TYPE_IDENTIFIABLE","?REFERENTIAL"),"_")))))</f>
        <v> </v>
      </c>
      <c r="H4717" s="24" t="str">
        <f>IF(J4717&lt;&gt;1,"",IF(I4717="SBJ","CB","?"))</f>
        <v> </v>
      </c>
      <c r="I4717" s="25" t="str">
        <f>IF(OR(E4717="",E4717="!!!",F4717="NEW"),"",INDEX(B4716:B$2,-1+SUMPRODUCT(MAX(ROW(E4716:E$2)*(E4717=E4716:E$2)))))</f>
        <v> </v>
      </c>
      <c r="J4717" s="25" t="str">
        <f>IF(OR(E4717="",E4717="!!!",F4717="NEW"),"",COUNTBLANK(OFFSET(A$1,,,SUMPRODUCT(MAX(ROW(E$2:E4717)*(E4717=E$2:E4717)))))-COUNTBLANK(OFFSET(A$1,,,SUMPRODUCT(MAX(ROW(E$1:E4716)*(E2=E$1:E4716))))))</f>
        <v> </v>
      </c>
      <c r="K4717" s="25" t="str">
        <f>IF(OR(E4717="",E4717="!!!",F4717="NEW"),"",INDEX(J$1:J4716,SUMPRODUCT(MAX(ROW(E$1:E4716)*(E4717=E$1:E4716)))))</f>
        <v> </v>
      </c>
      <c r="L4717" s="26"/>
    </row>
    <row r="4718" spans="1:12">
      <c r="A4718" s="20" t="s">
        <v>682</v>
      </c>
      <c r="E4718" s="21">
        <f>IF(D4718="?OLD","!!!","")</f>
        <v/>
      </c>
      <c r="F4718" s="22" t="str">
        <f>IF(OR(E4718="",E4718="!!!"),"",IF(NOT(ISNA(VLOOKUP(E4718,E$1:E4717,1,FALSE()))),"OLD",IF(AND(E4718&lt;&gt;"",E4718&lt;&gt;"!!!"),"NEW","")))</f>
        <v> </v>
      </c>
      <c r="G4718" s="23" t="str">
        <f>IF(OR(E4718="",E4718="!!!"),"",IF(OR(J4718=0,AND(J4718=1,K4718=1),AND(J4718=1,I4718="SBJ"),AND(J4718=1,I4718=0)),"?IN_FOCUS",IF(J4718&lt;=2,"?ACTIVATED",IF(J4718&lt;&gt;"","?FAMILIAR",IF(F4718="NEW",IF(ISNA(VLOOKUP(E4718,#REF!,1,FALSE())),"?TYPE_IDENTIFIABLE","?REFERENTIAL"),"_")))))</f>
        <v> </v>
      </c>
      <c r="H4718" s="24" t="str">
        <f>IF(J4718&lt;&gt;1,"",IF(I4718="SBJ","CB","?"))</f>
        <v> </v>
      </c>
      <c r="I4718" s="25" t="str">
        <f>IF(OR(E4718="",E4718="!!!",F4718="NEW"),"",INDEX(B4717:B$2,-1+SUMPRODUCT(MAX(ROW(E4717:E$2)*(E4718=E4717:E$2)))))</f>
        <v> </v>
      </c>
      <c r="J4718" s="25" t="str">
        <f>IF(OR(E4718="",E4718="!!!",F4718="NEW"),"",COUNTBLANK(OFFSET(A$1,,,SUMPRODUCT(MAX(ROW(E$2:E4718)*(E4718=E$2:E4718)))))-COUNTBLANK(OFFSET(A$1,,,SUMPRODUCT(MAX(ROW(E$1:E4717)*(E2=E$1:E4717))))))</f>
        <v> </v>
      </c>
      <c r="K4718" s="25" t="str">
        <f>IF(OR(E4718="",E4718="!!!",F4718="NEW"),"",INDEX(J$1:J4717,SUMPRODUCT(MAX(ROW(E$1:E4717)*(E4718=E$1:E4717)))))</f>
        <v> </v>
      </c>
      <c r="L4718" s="26"/>
    </row>
    <row r="4719" spans="1:12">
      <c r="A4719" s="20" t="s">
        <v>850</v>
      </c>
      <c r="E4719" s="21">
        <f>IF(D4719="?OLD","!!!","")</f>
        <v/>
      </c>
      <c r="F4719" s="22" t="str">
        <f>IF(OR(E4719="",E4719="!!!"),"",IF(NOT(ISNA(VLOOKUP(E4719,E$1:E4718,1,FALSE()))),"OLD",IF(AND(E4719&lt;&gt;"",E4719&lt;&gt;"!!!"),"NEW","")))</f>
        <v> </v>
      </c>
      <c r="G4719" s="23" t="str">
        <f>IF(OR(E4719="",E4719="!!!"),"",IF(OR(J4719=0,AND(J4719=1,K4719=1),AND(J4719=1,I4719="SBJ"),AND(J4719=1,I4719=0)),"?IN_FOCUS",IF(J4719&lt;=2,"?ACTIVATED",IF(J4719&lt;&gt;"","?FAMILIAR",IF(F4719="NEW",IF(ISNA(VLOOKUP(E4719,#REF!,1,FALSE())),"?TYPE_IDENTIFIABLE","?REFERENTIAL"),"_")))))</f>
        <v> </v>
      </c>
      <c r="H4719" s="24" t="str">
        <f>IF(J4719&lt;&gt;1,"",IF(I4719="SBJ","CB","?"))</f>
        <v> </v>
      </c>
      <c r="I4719" s="25" t="str">
        <f>IF(OR(E4719="",E4719="!!!",F4719="NEW"),"",INDEX(B4718:B$2,-1+SUMPRODUCT(MAX(ROW(E4718:E$2)*(E4719=E4718:E$2)))))</f>
        <v> </v>
      </c>
      <c r="J4719" s="25" t="str">
        <f>IF(OR(E4719="",E4719="!!!",F4719="NEW"),"",COUNTBLANK(OFFSET(A$1,,,SUMPRODUCT(MAX(ROW(E$2:E4719)*(E4719=E$2:E4719)))))-COUNTBLANK(OFFSET(A$1,,,SUMPRODUCT(MAX(ROW(E$1:E4718)*(E2=E$1:E4718))))))</f>
        <v> </v>
      </c>
      <c r="K4719" s="25" t="str">
        <f>IF(OR(E4719="",E4719="!!!",F4719="NEW"),"",INDEX(J$1:J4718,SUMPRODUCT(MAX(ROW(E$1:E4718)*(E4719=E$1:E4718)))))</f>
        <v> </v>
      </c>
      <c r="L4719" s="26"/>
    </row>
    <row r="4720" spans="1:12">
      <c r="A4720" s="20" t="s">
        <v>1175</v>
      </c>
      <c r="B4720" s="27" t="s">
        <v>696</v>
      </c>
      <c r="C4720" s="27" t="s">
        <v>679</v>
      </c>
      <c r="E4720" s="21">
        <f>IF(D4720="?OLD","!!!","")</f>
        <v/>
      </c>
      <c r="F4720" s="22" t="str">
        <f>IF(OR(E4720="",E4720="!!!"),"",IF(NOT(ISNA(VLOOKUP(E4720,E$1:E4719,1,FALSE()))),"OLD",IF(AND(E4720&lt;&gt;"",E4720&lt;&gt;"!!!"),"NEW","")))</f>
        <v> </v>
      </c>
      <c r="G4720" s="23" t="str">
        <f>IF(OR(E4720="",E4720="!!!"),"",IF(OR(J4720=0,AND(J4720=1,K4720=1),AND(J4720=1,I4720="SBJ"),AND(J4720=1,I4720=0)),"?IN_FOCUS",IF(J4720&lt;=2,"?ACTIVATED",IF(J4720&lt;&gt;"","?FAMILIAR",IF(F4720="NEW",IF(ISNA(VLOOKUP(E4720,#REF!,1,FALSE())),"?TYPE_IDENTIFIABLE","?REFERENTIAL"),"_")))))</f>
        <v> </v>
      </c>
      <c r="H4720" s="24" t="str">
        <f>IF(J4720&lt;&gt;1,"",IF(I4720="SBJ","CB","?"))</f>
        <v> </v>
      </c>
      <c r="I4720" s="25" t="str">
        <f>IF(OR(E4720="",E4720="!!!",F4720="NEW"),"",INDEX(B4719:B$2,-1+SUMPRODUCT(MAX(ROW(E4719:E$2)*(E4720=E4719:E$2)))))</f>
        <v> </v>
      </c>
      <c r="J4720" s="25" t="str">
        <f>IF(OR(E4720="",E4720="!!!",F4720="NEW"),"",COUNTBLANK(OFFSET(A$1,,,SUMPRODUCT(MAX(ROW(E$2:E4720)*(E4720=E$2:E4720)))))-COUNTBLANK(OFFSET(A$1,,,SUMPRODUCT(MAX(ROW(E$1:E4719)*(E2=E$1:E4719))))))</f>
        <v> </v>
      </c>
      <c r="K4720" s="25" t="str">
        <f>IF(OR(E4720="",E4720="!!!",F4720="NEW"),"",INDEX(J$1:J4719,SUMPRODUCT(MAX(ROW(E$1:E4719)*(E4720=E$1:E4719)))))</f>
        <v> </v>
      </c>
      <c r="L4720" s="26"/>
    </row>
    <row r="4721" spans="1:12">
      <c r="A4721" s="20" t="s">
        <v>682</v>
      </c>
      <c r="E4721" s="21">
        <f>IF(D4721="?OLD","!!!","")</f>
        <v/>
      </c>
      <c r="F4721" s="22" t="str">
        <f>IF(OR(E4721="",E4721="!!!"),"",IF(NOT(ISNA(VLOOKUP(E4721,E$1:E4720,1,FALSE()))),"OLD",IF(AND(E4721&lt;&gt;"",E4721&lt;&gt;"!!!"),"NEW","")))</f>
        <v> </v>
      </c>
      <c r="G4721" s="23" t="str">
        <f>IF(OR(E4721="",E4721="!!!"),"",IF(OR(J4721=0,AND(J4721=1,K4721=1),AND(J4721=1,I4721="SBJ"),AND(J4721=1,I4721=0)),"?IN_FOCUS",IF(J4721&lt;=2,"?ACTIVATED",IF(J4721&lt;&gt;"","?FAMILIAR",IF(F4721="NEW",IF(ISNA(VLOOKUP(E4721,#REF!,1,FALSE())),"?TYPE_IDENTIFIABLE","?REFERENTIAL"),"_")))))</f>
        <v> </v>
      </c>
      <c r="H4721" s="24" t="str">
        <f>IF(J4721&lt;&gt;1,"",IF(I4721="SBJ","CB","?"))</f>
        <v> </v>
      </c>
      <c r="I4721" s="25" t="str">
        <f>IF(OR(E4721="",E4721="!!!",F4721="NEW"),"",INDEX(B4720:B$2,-1+SUMPRODUCT(MAX(ROW(E4720:E$2)*(E4721=E4720:E$2)))))</f>
        <v> </v>
      </c>
      <c r="J4721" s="25" t="str">
        <f>IF(OR(E4721="",E4721="!!!",F4721="NEW"),"",COUNTBLANK(OFFSET(A$1,,,SUMPRODUCT(MAX(ROW(E$2:E4721)*(E4721=E$2:E4721)))))-COUNTBLANK(OFFSET(A$1,,,SUMPRODUCT(MAX(ROW(E$1:E4720)*(E2=E$1:E4720))))))</f>
        <v> </v>
      </c>
      <c r="K4721" s="25" t="str">
        <f>IF(OR(E4721="",E4721="!!!",F4721="NEW"),"",INDEX(J$1:J4720,SUMPRODUCT(MAX(ROW(E$1:E4720)*(E4721=E$1:E4720)))))</f>
        <v> </v>
      </c>
      <c r="L4721" s="26"/>
    </row>
    <row r="4722" spans="1:12">
      <c r="A4722" s="20" t="s">
        <v>747</v>
      </c>
      <c r="B4722" s="27" t="s">
        <v>787</v>
      </c>
      <c r="C4722" s="27" t="s">
        <v>749</v>
      </c>
      <c r="D4722" s="27" t="s">
        <v>687</v>
      </c>
      <c r="E4722" s="21">
        <f>IF(D4722="?OLD","!!!","")</f>
        <v/>
      </c>
      <c r="F4722" s="22" t="str">
        <f>IF(OR(E4722="",E4722="!!!"),"",IF(NOT(ISNA(VLOOKUP(E4722,E$1:E4721,1,FALSE()))),"OLD",IF(AND(E4722&lt;&gt;"",E4722&lt;&gt;"!!!"),"NEW","")))</f>
        <v> </v>
      </c>
      <c r="G4722" s="23" t="str">
        <f>IF(OR(E4722="",E4722="!!!"),"",IF(OR(J4722=0,AND(J4722=1,K4722=1),AND(J4722=1,I4722="SBJ"),AND(J4722=1,I4722=0)),"?IN_FOCUS",IF(J4722&lt;=2,"?ACTIVATED",IF(J4722&lt;&gt;"","?FAMILIAR",IF(F4722="NEW",IF(ISNA(VLOOKUP(E4722,#REF!,1,FALSE())),"?TYPE_IDENTIFIABLE","?REFERENTIAL"),"_")))))</f>
        <v> </v>
      </c>
      <c r="H4722" s="24" t="str">
        <f>IF(J4722&lt;&gt;1,"",IF(I4722="SBJ","CB","?"))</f>
        <v> </v>
      </c>
      <c r="I4722" s="25" t="str">
        <f>IF(OR(E4722="",E4722="!!!",F4722="NEW"),"",INDEX(B4721:B$2,-1+SUMPRODUCT(MAX(ROW(E4721:E$2)*(E4722=E4721:E$2)))))</f>
        <v> </v>
      </c>
      <c r="J4722" s="25" t="str">
        <f>IF(OR(E4722="",E4722="!!!",F4722="NEW"),"",COUNTBLANK(OFFSET(A$1,,,SUMPRODUCT(MAX(ROW(E$2:E4722)*(E4722=E$2:E4722)))))-COUNTBLANK(OFFSET(A$1,,,SUMPRODUCT(MAX(ROW(E$1:E4721)*(E2=E$1:E4721))))))</f>
        <v> </v>
      </c>
      <c r="K4722" s="25" t="str">
        <f>IF(OR(E4722="",E4722="!!!",F4722="NEW"),"",INDEX(J$1:J4721,SUMPRODUCT(MAX(ROW(E$1:E4721)*(E4722=E$1:E4721)))))</f>
        <v> </v>
      </c>
      <c r="L4722" s="26"/>
    </row>
    <row r="4723" spans="1:12">
      <c r="A4723" s="20" t="s">
        <v>1378</v>
      </c>
      <c r="E4723" s="21">
        <f>IF(D4723="?OLD","!!!","")</f>
        <v/>
      </c>
      <c r="F4723" s="22" t="str">
        <f>IF(OR(E4723="",E4723="!!!"),"",IF(NOT(ISNA(VLOOKUP(E4723,E$1:E4722,1,FALSE()))),"OLD",IF(AND(E4723&lt;&gt;"",E4723&lt;&gt;"!!!"),"NEW","")))</f>
        <v> </v>
      </c>
      <c r="G4723" s="23" t="str">
        <f>IF(OR(E4723="",E4723="!!!"),"",IF(OR(J4723=0,AND(J4723=1,K4723=1),AND(J4723=1,I4723="SBJ"),AND(J4723=1,I4723=0)),"?IN_FOCUS",IF(J4723&lt;=2,"?ACTIVATED",IF(J4723&lt;&gt;"","?FAMILIAR",IF(F4723="NEW",IF(ISNA(VLOOKUP(E4723,#REF!,1,FALSE())),"?TYPE_IDENTIFIABLE","?REFERENTIAL"),"_")))))</f>
        <v> </v>
      </c>
      <c r="H4723" s="24" t="str">
        <f>IF(J4723&lt;&gt;1,"",IF(I4723="SBJ","CB","?"))</f>
        <v> </v>
      </c>
      <c r="I4723" s="25" t="str">
        <f>IF(OR(E4723="",E4723="!!!",F4723="NEW"),"",INDEX(B4722:B$2,-1+SUMPRODUCT(MAX(ROW(E4722:E$2)*(E4723=E4722:E$2)))))</f>
        <v> </v>
      </c>
      <c r="J4723" s="25" t="str">
        <f>IF(OR(E4723="",E4723="!!!",F4723="NEW"),"",COUNTBLANK(OFFSET(A$1,,,SUMPRODUCT(MAX(ROW(E$2:E4723)*(E4723=E$2:E4723)))))-COUNTBLANK(OFFSET(A$1,,,SUMPRODUCT(MAX(ROW(E$1:E4722)*(E2=E$1:E4722))))))</f>
        <v> </v>
      </c>
      <c r="K4723" s="25" t="str">
        <f>IF(OR(E4723="",E4723="!!!",F4723="NEW"),"",INDEX(J$1:J4722,SUMPRODUCT(MAX(ROW(E$1:E4722)*(E4723=E$1:E4722)))))</f>
        <v> </v>
      </c>
      <c r="L4723" s="26"/>
    </row>
    <row r="4724" spans="1:12">
      <c r="A4724" s="20" t="s">
        <v>2051</v>
      </c>
      <c r="E4724" s="21">
        <f>IF(D4724="?OLD","!!!","")</f>
        <v/>
      </c>
      <c r="F4724" s="22" t="str">
        <f>IF(OR(E4724="",E4724="!!!"),"",IF(NOT(ISNA(VLOOKUP(E4724,E$1:E4723,1,FALSE()))),"OLD",IF(AND(E4724&lt;&gt;"",E4724&lt;&gt;"!!!"),"NEW","")))</f>
        <v> </v>
      </c>
      <c r="G4724" s="23" t="str">
        <f>IF(OR(E4724="",E4724="!!!"),"",IF(OR(J4724=0,AND(J4724=1,K4724=1),AND(J4724=1,I4724="SBJ"),AND(J4724=1,I4724=0)),"?IN_FOCUS",IF(J4724&lt;=2,"?ACTIVATED",IF(J4724&lt;&gt;"","?FAMILIAR",IF(F4724="NEW",IF(ISNA(VLOOKUP(E4724,#REF!,1,FALSE())),"?TYPE_IDENTIFIABLE","?REFERENTIAL"),"_")))))</f>
        <v> </v>
      </c>
      <c r="H4724" s="24" t="str">
        <f>IF(J4724&lt;&gt;1,"",IF(I4724="SBJ","CB","?"))</f>
        <v> </v>
      </c>
      <c r="I4724" s="25" t="str">
        <f>IF(OR(E4724="",E4724="!!!",F4724="NEW"),"",INDEX(B4723:B$2,-1+SUMPRODUCT(MAX(ROW(E4723:E$2)*(E4724=E4723:E$2)))))</f>
        <v> </v>
      </c>
      <c r="J4724" s="25" t="str">
        <f>IF(OR(E4724="",E4724="!!!",F4724="NEW"),"",COUNTBLANK(OFFSET(A$1,,,SUMPRODUCT(MAX(ROW(E$2:E4724)*(E4724=E$2:E4724)))))-COUNTBLANK(OFFSET(A$1,,,SUMPRODUCT(MAX(ROW(E$1:E4723)*(E2=E$1:E4723))))))</f>
        <v> </v>
      </c>
      <c r="K4724" s="25" t="str">
        <f>IF(OR(E4724="",E4724="!!!",F4724="NEW"),"",INDEX(J$1:J4723,SUMPRODUCT(MAX(ROW(E$1:E4723)*(E4724=E$1:E4723)))))</f>
        <v> </v>
      </c>
      <c r="L4724" s="26"/>
    </row>
    <row r="4725" spans="1:12">
      <c r="A4725" s="20" t="s">
        <v>732</v>
      </c>
      <c r="E4725" s="21">
        <f>IF(D4725="?OLD","!!!","")</f>
        <v/>
      </c>
      <c r="F4725" s="22" t="str">
        <f>IF(OR(E4725="",E4725="!!!"),"",IF(NOT(ISNA(VLOOKUP(E4725,E$1:E4724,1,FALSE()))),"OLD",IF(AND(E4725&lt;&gt;"",E4725&lt;&gt;"!!!"),"NEW","")))</f>
        <v> </v>
      </c>
      <c r="G4725" s="23" t="str">
        <f>IF(OR(E4725="",E4725="!!!"),"",IF(OR(J4725=0,AND(J4725=1,K4725=1),AND(J4725=1,I4725="SBJ"),AND(J4725=1,I4725=0)),"?IN_FOCUS",IF(J4725&lt;=2,"?ACTIVATED",IF(J4725&lt;&gt;"","?FAMILIAR",IF(F4725="NEW",IF(ISNA(VLOOKUP(E4725,#REF!,1,FALSE())),"?TYPE_IDENTIFIABLE","?REFERENTIAL"),"_")))))</f>
        <v> </v>
      </c>
      <c r="H4725" s="24" t="str">
        <f>IF(J4725&lt;&gt;1,"",IF(I4725="SBJ","CB","?"))</f>
        <v> </v>
      </c>
      <c r="I4725" s="25" t="str">
        <f>IF(OR(E4725="",E4725="!!!",F4725="NEW"),"",INDEX(B4724:B$2,-1+SUMPRODUCT(MAX(ROW(E4724:E$2)*(E4725=E4724:E$2)))))</f>
        <v> </v>
      </c>
      <c r="J4725" s="25" t="str">
        <f>IF(OR(E4725="",E4725="!!!",F4725="NEW"),"",COUNTBLANK(OFFSET(A$1,,,SUMPRODUCT(MAX(ROW(E$2:E4725)*(E4725=E$2:E4725)))))-COUNTBLANK(OFFSET(A$1,,,SUMPRODUCT(MAX(ROW(E$1:E4724)*(E2=E$1:E4724))))))</f>
        <v> </v>
      </c>
      <c r="K4725" s="25" t="str">
        <f>IF(OR(E4725="",E4725="!!!",F4725="NEW"),"",INDEX(J$1:J4724,SUMPRODUCT(MAX(ROW(E$1:E4724)*(E4725=E$1:E4724)))))</f>
        <v> </v>
      </c>
      <c r="L4725" s="26"/>
    </row>
    <row r="4726" spans="1:12">
      <c r="A4726" s="20" t="s">
        <v>760</v>
      </c>
      <c r="E4726" s="21">
        <f>IF(D4726="?OLD","!!!","")</f>
        <v/>
      </c>
      <c r="F4726" s="22" t="str">
        <f>IF(OR(E4726="",E4726="!!!"),"",IF(NOT(ISNA(VLOOKUP(E4726,E$1:E4725,1,FALSE()))),"OLD",IF(AND(E4726&lt;&gt;"",E4726&lt;&gt;"!!!"),"NEW","")))</f>
        <v> </v>
      </c>
      <c r="G4726" s="23" t="str">
        <f>IF(OR(E4726="",E4726="!!!"),"",IF(OR(J4726=0,AND(J4726=1,K4726=1),AND(J4726=1,I4726="SBJ"),AND(J4726=1,I4726=0)),"?IN_FOCUS",IF(J4726&lt;=2,"?ACTIVATED",IF(J4726&lt;&gt;"","?FAMILIAR",IF(F4726="NEW",IF(ISNA(VLOOKUP(E4726,#REF!,1,FALSE())),"?TYPE_IDENTIFIABLE","?REFERENTIAL"),"_")))))</f>
        <v> </v>
      </c>
      <c r="H4726" s="24" t="str">
        <f>IF(J4726&lt;&gt;1,"",IF(I4726="SBJ","CB","?"))</f>
        <v> </v>
      </c>
      <c r="I4726" s="25" t="str">
        <f>IF(OR(E4726="",E4726="!!!",F4726="NEW"),"",INDEX(B4725:B$2,-1+SUMPRODUCT(MAX(ROW(E4725:E$2)*(E4726=E4725:E$2)))))</f>
        <v> </v>
      </c>
      <c r="J4726" s="25" t="str">
        <f>IF(OR(E4726="",E4726="!!!",F4726="NEW"),"",COUNTBLANK(OFFSET(A$1,,,SUMPRODUCT(MAX(ROW(E$2:E4726)*(E4726=E$2:E4726)))))-COUNTBLANK(OFFSET(A$1,,,SUMPRODUCT(MAX(ROW(E$1:E4725)*(E2=E$1:E4725))))))</f>
        <v> </v>
      </c>
      <c r="K4726" s="25" t="str">
        <f>IF(OR(E4726="",E4726="!!!",F4726="NEW"),"",INDEX(J$1:J4725,SUMPRODUCT(MAX(ROW(E$1:E4725)*(E4726=E$1:E4725)))))</f>
        <v> </v>
      </c>
      <c r="L4726" s="26"/>
    </row>
    <row r="4727" spans="1:12">
      <c r="A4727" s="20" t="s">
        <v>1039</v>
      </c>
      <c r="B4727" s="27" t="s">
        <v>807</v>
      </c>
      <c r="C4727" s="27" t="s">
        <v>686</v>
      </c>
      <c r="D4727" s="27" t="s">
        <v>687</v>
      </c>
      <c r="E4727" s="21">
        <f>IF(D4727="?OLD","!!!","")</f>
        <v/>
      </c>
      <c r="F4727" s="22" t="str">
        <f>IF(OR(E4727="",E4727="!!!"),"",IF(NOT(ISNA(VLOOKUP(E4727,E$1:E4726,1,FALSE()))),"OLD",IF(AND(E4727&lt;&gt;"",E4727&lt;&gt;"!!!"),"NEW","")))</f>
        <v> </v>
      </c>
      <c r="G4727" s="23" t="str">
        <f>IF(OR(E4727="",E4727="!!!"),"",IF(OR(J4727=0,AND(J4727=1,K4727=1),AND(J4727=1,I4727="SBJ"),AND(J4727=1,I4727=0)),"?IN_FOCUS",IF(J4727&lt;=2,"?ACTIVATED",IF(J4727&lt;&gt;"","?FAMILIAR",IF(F4727="NEW",IF(ISNA(VLOOKUP(E4727,#REF!,1,FALSE())),"?TYPE_IDENTIFIABLE","?REFERENTIAL"),"_")))))</f>
        <v> </v>
      </c>
      <c r="H4727" s="24" t="str">
        <f>IF(J4727&lt;&gt;1,"",IF(I4727="SBJ","CB","?"))</f>
        <v> </v>
      </c>
      <c r="I4727" s="25" t="str">
        <f>IF(OR(E4727="",E4727="!!!",F4727="NEW"),"",INDEX(B4726:B$2,-1+SUMPRODUCT(MAX(ROW(E4726:E$2)*(E4727=E4726:E$2)))))</f>
        <v> </v>
      </c>
      <c r="J4727" s="25" t="str">
        <f>IF(OR(E4727="",E4727="!!!",F4727="NEW"),"",COUNTBLANK(OFFSET(A$1,,,SUMPRODUCT(MAX(ROW(E$2:E4727)*(E4727=E$2:E4727)))))-COUNTBLANK(OFFSET(A$1,,,SUMPRODUCT(MAX(ROW(E$1:E4726)*(E2=E$1:E4726))))))</f>
        <v> </v>
      </c>
      <c r="K4727" s="25" t="str">
        <f>IF(OR(E4727="",E4727="!!!",F4727="NEW"),"",INDEX(J$1:J4726,SUMPRODUCT(MAX(ROW(E$1:E4726)*(E4727=E$1:E4726)))))</f>
        <v> </v>
      </c>
      <c r="L4727" s="26"/>
    </row>
    <row r="4728" spans="1:12">
      <c r="A4728" s="20" t="s">
        <v>732</v>
      </c>
      <c r="B4728" s="27" t="s">
        <v>742</v>
      </c>
      <c r="E4728" s="21">
        <f>IF(D4728="?OLD","!!!","")</f>
        <v/>
      </c>
      <c r="F4728" s="22" t="str">
        <f>IF(OR(E4728="",E4728="!!!"),"",IF(NOT(ISNA(VLOOKUP(E4728,E$1:E4727,1,FALSE()))),"OLD",IF(AND(E4728&lt;&gt;"",E4728&lt;&gt;"!!!"),"NEW","")))</f>
        <v> </v>
      </c>
      <c r="G4728" s="23" t="str">
        <f>IF(OR(E4728="",E4728="!!!"),"",IF(OR(J4728=0,AND(J4728=1,K4728=1),AND(J4728=1,I4728="SBJ"),AND(J4728=1,I4728=0)),"?IN_FOCUS",IF(J4728&lt;=2,"?ACTIVATED",IF(J4728&lt;&gt;"","?FAMILIAR",IF(F4728="NEW",IF(ISNA(VLOOKUP(E4728,#REF!,1,FALSE())),"?TYPE_IDENTIFIABLE","?REFERENTIAL"),"_")))))</f>
        <v> </v>
      </c>
      <c r="H4728" s="24" t="str">
        <f>IF(J4728&lt;&gt;1,"",IF(I4728="SBJ","CB","?"))</f>
        <v> </v>
      </c>
      <c r="I4728" s="25" t="str">
        <f>IF(OR(E4728="",E4728="!!!",F4728="NEW"),"",INDEX(B4727:B$2,-1+SUMPRODUCT(MAX(ROW(E4727:E$2)*(E4728=E4727:E$2)))))</f>
        <v> </v>
      </c>
      <c r="J4728" s="25" t="str">
        <f>IF(OR(E4728="",E4728="!!!",F4728="NEW"),"",COUNTBLANK(OFFSET(A$1,,,SUMPRODUCT(MAX(ROW(E$2:E4728)*(E4728=E$2:E4728)))))-COUNTBLANK(OFFSET(A$1,,,SUMPRODUCT(MAX(ROW(E$1:E4727)*(E2=E$1:E4727))))))</f>
        <v> </v>
      </c>
      <c r="K4728" s="25" t="str">
        <f>IF(OR(E4728="",E4728="!!!",F4728="NEW"),"",INDEX(J$1:J4727,SUMPRODUCT(MAX(ROW(E$1:E4727)*(E4728=E$1:E4727)))))</f>
        <v> </v>
      </c>
      <c r="L4728" s="26"/>
    </row>
    <row r="4729" spans="1:12">
      <c r="A4729" s="20" t="s">
        <v>747</v>
      </c>
      <c r="B4729" s="27" t="s">
        <v>1066</v>
      </c>
      <c r="C4729" s="27" t="s">
        <v>749</v>
      </c>
      <c r="D4729" s="27" t="s">
        <v>687</v>
      </c>
      <c r="E4729" s="21">
        <f>IF(D4729="?OLD","!!!","")</f>
        <v/>
      </c>
      <c r="F4729" s="22" t="str">
        <f>IF(OR(E4729="",E4729="!!!"),"",IF(NOT(ISNA(VLOOKUP(E4729,E$1:E4728,1,FALSE()))),"OLD",IF(AND(E4729&lt;&gt;"",E4729&lt;&gt;"!!!"),"NEW","")))</f>
        <v> </v>
      </c>
      <c r="G4729" s="23" t="str">
        <f>IF(OR(E4729="",E4729="!!!"),"",IF(OR(J4729=0,AND(J4729=1,K4729=1),AND(J4729=1,I4729="SBJ"),AND(J4729=1,I4729=0)),"?IN_FOCUS",IF(J4729&lt;=2,"?ACTIVATED",IF(J4729&lt;&gt;"","?FAMILIAR",IF(F4729="NEW",IF(ISNA(VLOOKUP(E4729,#REF!,1,FALSE())),"?TYPE_IDENTIFIABLE","?REFERENTIAL"),"_")))))</f>
        <v> </v>
      </c>
      <c r="H4729" s="24" t="str">
        <f>IF(J4729&lt;&gt;1,"",IF(I4729="SBJ","CB","?"))</f>
        <v> </v>
      </c>
      <c r="I4729" s="25" t="str">
        <f>IF(OR(E4729="",E4729="!!!",F4729="NEW"),"",INDEX(B4728:B$2,-1+SUMPRODUCT(MAX(ROW(E4728:E$2)*(E4729=E4728:E$2)))))</f>
        <v> </v>
      </c>
      <c r="J4729" s="25" t="str">
        <f>IF(OR(E4729="",E4729="!!!",F4729="NEW"),"",COUNTBLANK(OFFSET(A$1,,,SUMPRODUCT(MAX(ROW(E$2:E4729)*(E4729=E$2:E4729)))))-COUNTBLANK(OFFSET(A$1,,,SUMPRODUCT(MAX(ROW(E$1:E4728)*(E2=E$1:E4728))))))</f>
        <v> </v>
      </c>
      <c r="K4729" s="25" t="str">
        <f>IF(OR(E4729="",E4729="!!!",F4729="NEW"),"",INDEX(J$1:J4728,SUMPRODUCT(MAX(ROW(E$1:E4728)*(E4729=E$1:E4728)))))</f>
        <v> </v>
      </c>
      <c r="L4729" s="26"/>
    </row>
    <row r="4730" spans="1:12">
      <c r="A4730" s="20" t="s">
        <v>1010</v>
      </c>
      <c r="E4730" s="21">
        <f>IF(D4730="?OLD","!!!","")</f>
        <v/>
      </c>
      <c r="F4730" s="22" t="str">
        <f>IF(OR(E4730="",E4730="!!!"),"",IF(NOT(ISNA(VLOOKUP(E4730,E$1:E4729,1,FALSE()))),"OLD",IF(AND(E4730&lt;&gt;"",E4730&lt;&gt;"!!!"),"NEW","")))</f>
        <v> </v>
      </c>
      <c r="G4730" s="23" t="str">
        <f>IF(OR(E4730="",E4730="!!!"),"",IF(OR(J4730=0,AND(J4730=1,K4730=1),AND(J4730=1,I4730="SBJ"),AND(J4730=1,I4730=0)),"?IN_FOCUS",IF(J4730&lt;=2,"?ACTIVATED",IF(J4730&lt;&gt;"","?FAMILIAR",IF(F4730="NEW",IF(ISNA(VLOOKUP(E4730,#REF!,1,FALSE())),"?TYPE_IDENTIFIABLE","?REFERENTIAL"),"_")))))</f>
        <v> </v>
      </c>
      <c r="H4730" s="24" t="str">
        <f>IF(J4730&lt;&gt;1,"",IF(I4730="SBJ","CB","?"))</f>
        <v> </v>
      </c>
      <c r="I4730" s="25" t="str">
        <f>IF(OR(E4730="",E4730="!!!",F4730="NEW"),"",INDEX(B4729:B$2,-1+SUMPRODUCT(MAX(ROW(E4729:E$2)*(E4730=E4729:E$2)))))</f>
        <v> </v>
      </c>
      <c r="J4730" s="25" t="str">
        <f>IF(OR(E4730="",E4730="!!!",F4730="NEW"),"",COUNTBLANK(OFFSET(A$1,,,SUMPRODUCT(MAX(ROW(E$2:E4730)*(E4730=E$2:E4730)))))-COUNTBLANK(OFFSET(A$1,,,SUMPRODUCT(MAX(ROW(E$1:E4729)*(E2=E$1:E4729))))))</f>
        <v> </v>
      </c>
      <c r="K4730" s="25" t="str">
        <f>IF(OR(E4730="",E4730="!!!",F4730="NEW"),"",INDEX(J$1:J4729,SUMPRODUCT(MAX(ROW(E$1:E4729)*(E4730=E$1:E4729)))))</f>
        <v> </v>
      </c>
      <c r="L4730" s="26"/>
    </row>
    <row r="4731" spans="1:12">
      <c r="A4731" s="20" t="s">
        <v>683</v>
      </c>
      <c r="E4731" s="21">
        <f>IF(D4731="?OLD","!!!","")</f>
        <v/>
      </c>
      <c r="F4731" s="22" t="str">
        <f>IF(OR(E4731="",E4731="!!!"),"",IF(NOT(ISNA(VLOOKUP(E4731,E$1:E4730,1,FALSE()))),"OLD",IF(AND(E4731&lt;&gt;"",E4731&lt;&gt;"!!!"),"NEW","")))</f>
        <v> </v>
      </c>
      <c r="G4731" s="23" t="str">
        <f>IF(OR(E4731="",E4731="!!!"),"",IF(OR(J4731=0,AND(J4731=1,K4731=1),AND(J4731=1,I4731="SBJ"),AND(J4731=1,I4731=0)),"?IN_FOCUS",IF(J4731&lt;=2,"?ACTIVATED",IF(J4731&lt;&gt;"","?FAMILIAR",IF(F4731="NEW",IF(ISNA(VLOOKUP(E4731,#REF!,1,FALSE())),"?TYPE_IDENTIFIABLE","?REFERENTIAL"),"_")))))</f>
        <v> </v>
      </c>
      <c r="H4731" s="24" t="str">
        <f>IF(J4731&lt;&gt;1,"",IF(I4731="SBJ","CB","?"))</f>
        <v> </v>
      </c>
      <c r="I4731" s="25" t="str">
        <f>IF(OR(E4731="",E4731="!!!",F4731="NEW"),"",INDEX(B4730:B$2,-1+SUMPRODUCT(MAX(ROW(E4730:E$2)*(E4731=E4730:E$2)))))</f>
        <v> </v>
      </c>
      <c r="J4731" s="25" t="str">
        <f>IF(OR(E4731="",E4731="!!!",F4731="NEW"),"",COUNTBLANK(OFFSET(A$1,,,SUMPRODUCT(MAX(ROW(E$2:E4731)*(E4731=E$2:E4731)))))-COUNTBLANK(OFFSET(A$1,,,SUMPRODUCT(MAX(ROW(E$1:E4730)*(E2=E$1:E4730))))))</f>
        <v> </v>
      </c>
      <c r="K4731" s="25" t="str">
        <f>IF(OR(E4731="",E4731="!!!",F4731="NEW"),"",INDEX(J$1:J4730,SUMPRODUCT(MAX(ROW(E$1:E4730)*(E4731=E$1:E4730)))))</f>
        <v> </v>
      </c>
      <c r="L4731" s="26"/>
    </row>
    <row r="4732" spans="1:12">
      <c r="A4732" s="20" t="s">
        <v>2052</v>
      </c>
      <c r="E4732" s="21">
        <f>IF(D4732="?OLD","!!!","")</f>
        <v/>
      </c>
      <c r="F4732" s="22" t="str">
        <f>IF(OR(E4732="",E4732="!!!"),"",IF(NOT(ISNA(VLOOKUP(E4732,E$1:E4731,1,FALSE()))),"OLD",IF(AND(E4732&lt;&gt;"",E4732&lt;&gt;"!!!"),"NEW","")))</f>
        <v> </v>
      </c>
      <c r="G4732" s="23" t="str">
        <f>IF(OR(E4732="",E4732="!!!"),"",IF(OR(J4732=0,AND(J4732=1,K4732=1),AND(J4732=1,I4732="SBJ"),AND(J4732=1,I4732=0)),"?IN_FOCUS",IF(J4732&lt;=2,"?ACTIVATED",IF(J4732&lt;&gt;"","?FAMILIAR",IF(F4732="NEW",IF(ISNA(VLOOKUP(E4732,#REF!,1,FALSE())),"?TYPE_IDENTIFIABLE","?REFERENTIAL"),"_")))))</f>
        <v> </v>
      </c>
      <c r="H4732" s="24" t="str">
        <f>IF(J4732&lt;&gt;1,"",IF(I4732="SBJ","CB","?"))</f>
        <v> </v>
      </c>
      <c r="I4732" s="25" t="str">
        <f>IF(OR(E4732="",E4732="!!!",F4732="NEW"),"",INDEX(B4731:B$2,-1+SUMPRODUCT(MAX(ROW(E4731:E$2)*(E4732=E4731:E$2)))))</f>
        <v> </v>
      </c>
      <c r="J4732" s="25" t="str">
        <f>IF(OR(E4732="",E4732="!!!",F4732="NEW"),"",COUNTBLANK(OFFSET(A$1,,,SUMPRODUCT(MAX(ROW(E$2:E4732)*(E4732=E$2:E4732)))))-COUNTBLANK(OFFSET(A$1,,,SUMPRODUCT(MAX(ROW(E$1:E4731)*(E2=E$1:E4731))))))</f>
        <v> </v>
      </c>
      <c r="K4732" s="25" t="str">
        <f>IF(OR(E4732="",E4732="!!!",F4732="NEW"),"",INDEX(J$1:J4731,SUMPRODUCT(MAX(ROW(E$1:E4731)*(E4732=E$1:E4731)))))</f>
        <v> </v>
      </c>
      <c r="L4732" s="26"/>
    </row>
    <row r="4733" spans="1:12">
      <c r="A4733" s="20" t="s">
        <v>982</v>
      </c>
      <c r="E4733" s="21">
        <f>IF(D4733="?OLD","!!!","")</f>
        <v/>
      </c>
      <c r="F4733" s="22" t="str">
        <f>IF(OR(E4733="",E4733="!!!"),"",IF(NOT(ISNA(VLOOKUP(E4733,E$1:E4732,1,FALSE()))),"OLD",IF(AND(E4733&lt;&gt;"",E4733&lt;&gt;"!!!"),"NEW","")))</f>
        <v> </v>
      </c>
      <c r="G4733" s="23" t="str">
        <f>IF(OR(E4733="",E4733="!!!"),"",IF(OR(J4733=0,AND(J4733=1,K4733=1),AND(J4733=1,I4733="SBJ"),AND(J4733=1,I4733=0)),"?IN_FOCUS",IF(J4733&lt;=2,"?ACTIVATED",IF(J4733&lt;&gt;"","?FAMILIAR",IF(F4733="NEW",IF(ISNA(VLOOKUP(E4733,#REF!,1,FALSE())),"?TYPE_IDENTIFIABLE","?REFERENTIAL"),"_")))))</f>
        <v> </v>
      </c>
      <c r="H4733" s="24" t="str">
        <f>IF(J4733&lt;&gt;1,"",IF(I4733="SBJ","CB","?"))</f>
        <v> </v>
      </c>
      <c r="I4733" s="25" t="str">
        <f>IF(OR(E4733="",E4733="!!!",F4733="NEW"),"",INDEX(B4732:B$2,-1+SUMPRODUCT(MAX(ROW(E4732:E$2)*(E4733=E4732:E$2)))))</f>
        <v> </v>
      </c>
      <c r="J4733" s="25" t="str">
        <f>IF(OR(E4733="",E4733="!!!",F4733="NEW"),"",COUNTBLANK(OFFSET(A$1,,,SUMPRODUCT(MAX(ROW(E$2:E4733)*(E4733=E$2:E4733)))))-COUNTBLANK(OFFSET(A$1,,,SUMPRODUCT(MAX(ROW(E$1:E4732)*(E2=E$1:E4732))))))</f>
        <v> </v>
      </c>
      <c r="K4733" s="25" t="str">
        <f>IF(OR(E4733="",E4733="!!!",F4733="NEW"),"",INDEX(J$1:J4732,SUMPRODUCT(MAX(ROW(E$1:E4732)*(E4733=E$1:E4732)))))</f>
        <v> </v>
      </c>
      <c r="L4733" s="26"/>
    </row>
    <row r="4734" spans="1:12">
      <c r="A4734" s="20" t="s">
        <v>2053</v>
      </c>
      <c r="B4734" s="27" t="s">
        <v>696</v>
      </c>
      <c r="C4734" s="27" t="s">
        <v>679</v>
      </c>
      <c r="E4734" s="21">
        <f>IF(D4734="?OLD","!!!","")</f>
        <v/>
      </c>
      <c r="F4734" s="22" t="str">
        <f>IF(OR(E4734="",E4734="!!!"),"",IF(NOT(ISNA(VLOOKUP(E4734,E$1:E4733,1,FALSE()))),"OLD",IF(AND(E4734&lt;&gt;"",E4734&lt;&gt;"!!!"),"NEW","")))</f>
        <v> </v>
      </c>
      <c r="G4734" s="23" t="str">
        <f>IF(OR(E4734="",E4734="!!!"),"",IF(OR(J4734=0,AND(J4734=1,K4734=1),AND(J4734=1,I4734="SBJ"),AND(J4734=1,I4734=0)),"?IN_FOCUS",IF(J4734&lt;=2,"?ACTIVATED",IF(J4734&lt;&gt;"","?FAMILIAR",IF(F4734="NEW",IF(ISNA(VLOOKUP(E4734,#REF!,1,FALSE())),"?TYPE_IDENTIFIABLE","?REFERENTIAL"),"_")))))</f>
        <v> </v>
      </c>
      <c r="H4734" s="24" t="str">
        <f>IF(J4734&lt;&gt;1,"",IF(I4734="SBJ","CB","?"))</f>
        <v> </v>
      </c>
      <c r="I4734" s="25" t="str">
        <f>IF(OR(E4734="",E4734="!!!",F4734="NEW"),"",INDEX(B4733:B$2,-1+SUMPRODUCT(MAX(ROW(E4733:E$2)*(E4734=E4733:E$2)))))</f>
        <v> </v>
      </c>
      <c r="J4734" s="25" t="str">
        <f>IF(OR(E4734="",E4734="!!!",F4734="NEW"),"",COUNTBLANK(OFFSET(A$1,,,SUMPRODUCT(MAX(ROW(E$2:E4734)*(E4734=E$2:E4734)))))-COUNTBLANK(OFFSET(A$1,,,SUMPRODUCT(MAX(ROW(E$1:E4733)*(E2=E$1:E4733))))))</f>
        <v> </v>
      </c>
      <c r="K4734" s="25" t="str">
        <f>IF(OR(E4734="",E4734="!!!",F4734="NEW"),"",INDEX(J$1:J4733,SUMPRODUCT(MAX(ROW(E$1:E4733)*(E4734=E$1:E4733)))))</f>
        <v> </v>
      </c>
      <c r="L4734" s="26"/>
    </row>
    <row r="4735" spans="1:12">
      <c r="A4735" s="20" t="s">
        <v>682</v>
      </c>
      <c r="E4735" s="21">
        <f>IF(D4735="?OLD","!!!","")</f>
        <v/>
      </c>
      <c r="F4735" s="22" t="str">
        <f>IF(OR(E4735="",E4735="!!!"),"",IF(NOT(ISNA(VLOOKUP(E4735,E$1:E4734,1,FALSE()))),"OLD",IF(AND(E4735&lt;&gt;"",E4735&lt;&gt;"!!!"),"NEW","")))</f>
        <v> </v>
      </c>
      <c r="G4735" s="23" t="str">
        <f>IF(OR(E4735="",E4735="!!!"),"",IF(OR(J4735=0,AND(J4735=1,K4735=1),AND(J4735=1,I4735="SBJ"),AND(J4735=1,I4735=0)),"?IN_FOCUS",IF(J4735&lt;=2,"?ACTIVATED",IF(J4735&lt;&gt;"","?FAMILIAR",IF(F4735="NEW",IF(ISNA(VLOOKUP(E4735,#REF!,1,FALSE())),"?TYPE_IDENTIFIABLE","?REFERENTIAL"),"_")))))</f>
        <v> </v>
      </c>
      <c r="H4735" s="24" t="str">
        <f>IF(J4735&lt;&gt;1,"",IF(I4735="SBJ","CB","?"))</f>
        <v> </v>
      </c>
      <c r="I4735" s="25" t="str">
        <f>IF(OR(E4735="",E4735="!!!",F4735="NEW"),"",INDEX(B4734:B$2,-1+SUMPRODUCT(MAX(ROW(E4734:E$2)*(E4735=E4734:E$2)))))</f>
        <v> </v>
      </c>
      <c r="J4735" s="25" t="str">
        <f>IF(OR(E4735="",E4735="!!!",F4735="NEW"),"",COUNTBLANK(OFFSET(A$1,,,SUMPRODUCT(MAX(ROW(E$2:E4735)*(E4735=E$2:E4735)))))-COUNTBLANK(OFFSET(A$1,,,SUMPRODUCT(MAX(ROW(E$1:E4734)*(E2=E$1:E4734))))))</f>
        <v> </v>
      </c>
      <c r="K4735" s="25" t="str">
        <f>IF(OR(E4735="",E4735="!!!",F4735="NEW"),"",INDEX(J$1:J4734,SUMPRODUCT(MAX(ROW(E$1:E4734)*(E4735=E$1:E4734)))))</f>
        <v> </v>
      </c>
      <c r="L4735" s="26"/>
    </row>
    <row r="4736" spans="1:12">
      <c r="A4736" s="20" t="s">
        <v>2054</v>
      </c>
      <c r="E4736" s="21">
        <f>IF(D4736="?OLD","!!!","")</f>
        <v/>
      </c>
      <c r="F4736" s="22" t="str">
        <f>IF(OR(E4736="",E4736="!!!"),"",IF(NOT(ISNA(VLOOKUP(E4736,E$1:E4735,1,FALSE()))),"OLD",IF(AND(E4736&lt;&gt;"",E4736&lt;&gt;"!!!"),"NEW","")))</f>
        <v> </v>
      </c>
      <c r="G4736" s="23" t="str">
        <f>IF(OR(E4736="",E4736="!!!"),"",IF(OR(J4736=0,AND(J4736=1,K4736=1),AND(J4736=1,I4736="SBJ"),AND(J4736=1,I4736=0)),"?IN_FOCUS",IF(J4736&lt;=2,"?ACTIVATED",IF(J4736&lt;&gt;"","?FAMILIAR",IF(F4736="NEW",IF(ISNA(VLOOKUP(E4736,#REF!,1,FALSE())),"?TYPE_IDENTIFIABLE","?REFERENTIAL"),"_")))))</f>
        <v> </v>
      </c>
      <c r="H4736" s="24" t="str">
        <f>IF(J4736&lt;&gt;1,"",IF(I4736="SBJ","CB","?"))</f>
        <v> </v>
      </c>
      <c r="I4736" s="25" t="str">
        <f>IF(OR(E4736="",E4736="!!!",F4736="NEW"),"",INDEX(B4735:B$2,-1+SUMPRODUCT(MAX(ROW(E4735:E$2)*(E4736=E4735:E$2)))))</f>
        <v> </v>
      </c>
      <c r="J4736" s="25" t="str">
        <f>IF(OR(E4736="",E4736="!!!",F4736="NEW"),"",COUNTBLANK(OFFSET(A$1,,,SUMPRODUCT(MAX(ROW(E$2:E4736)*(E4736=E$2:E4736)))))-COUNTBLANK(OFFSET(A$1,,,SUMPRODUCT(MAX(ROW(E$1:E4735)*(E2=E$1:E4735))))))</f>
        <v> </v>
      </c>
      <c r="K4736" s="25" t="str">
        <f>IF(OR(E4736="",E4736="!!!",F4736="NEW"),"",INDEX(J$1:J4735,SUMPRODUCT(MAX(ROW(E$1:E4735)*(E4736=E$1:E4735)))))</f>
        <v> </v>
      </c>
      <c r="L4736" s="26"/>
    </row>
    <row r="4737" spans="1:12">
      <c r="A4737" s="20" t="s">
        <v>782</v>
      </c>
      <c r="E4737" s="21">
        <f>IF(D4737="?OLD","!!!","")</f>
        <v/>
      </c>
      <c r="F4737" s="22" t="str">
        <f>IF(OR(E4737="",E4737="!!!"),"",IF(NOT(ISNA(VLOOKUP(E4737,E$1:E4736,1,FALSE()))),"OLD",IF(AND(E4737&lt;&gt;"",E4737&lt;&gt;"!!!"),"NEW","")))</f>
        <v> </v>
      </c>
      <c r="G4737" s="23" t="str">
        <f>IF(OR(E4737="",E4737="!!!"),"",IF(OR(J4737=0,AND(J4737=1,K4737=1),AND(J4737=1,I4737="SBJ"),AND(J4737=1,I4737=0)),"?IN_FOCUS",IF(J4737&lt;=2,"?ACTIVATED",IF(J4737&lt;&gt;"","?FAMILIAR",IF(F4737="NEW",IF(ISNA(VLOOKUP(E4737,#REF!,1,FALSE())),"?TYPE_IDENTIFIABLE","?REFERENTIAL"),"_")))))</f>
        <v> </v>
      </c>
      <c r="H4737" s="24" t="str">
        <f>IF(J4737&lt;&gt;1,"",IF(I4737="SBJ","CB","?"))</f>
        <v> </v>
      </c>
      <c r="I4737" s="25" t="str">
        <f>IF(OR(E4737="",E4737="!!!",F4737="NEW"),"",INDEX(B4736:B$2,-1+SUMPRODUCT(MAX(ROW(E4736:E$2)*(E4737=E4736:E$2)))))</f>
        <v> </v>
      </c>
      <c r="J4737" s="25" t="str">
        <f>IF(OR(E4737="",E4737="!!!",F4737="NEW"),"",COUNTBLANK(OFFSET(A$1,,,SUMPRODUCT(MAX(ROW(E$2:E4737)*(E4737=E$2:E4737)))))-COUNTBLANK(OFFSET(A$1,,,SUMPRODUCT(MAX(ROW(E$1:E4736)*(E2=E$1:E4736))))))</f>
        <v> </v>
      </c>
      <c r="K4737" s="25" t="str">
        <f>IF(OR(E4737="",E4737="!!!",F4737="NEW"),"",INDEX(J$1:J4736,SUMPRODUCT(MAX(ROW(E$1:E4736)*(E4737=E$1:E4736)))))</f>
        <v> </v>
      </c>
      <c r="L4737" s="26"/>
    </row>
    <row r="4738" spans="1:12">
      <c r="A4738" s="20" t="s">
        <v>708</v>
      </c>
      <c r="E4738" s="21">
        <f>IF(D4738="?OLD","!!!","")</f>
        <v/>
      </c>
      <c r="F4738" s="22" t="str">
        <f>IF(OR(E4738="",E4738="!!!"),"",IF(NOT(ISNA(VLOOKUP(E4738,E$1:E4737,1,FALSE()))),"OLD",IF(AND(E4738&lt;&gt;"",E4738&lt;&gt;"!!!"),"NEW","")))</f>
        <v> </v>
      </c>
      <c r="G4738" s="23" t="str">
        <f>IF(OR(E4738="",E4738="!!!"),"",IF(OR(J4738=0,AND(J4738=1,K4738=1),AND(J4738=1,I4738="SBJ"),AND(J4738=1,I4738=0)),"?IN_FOCUS",IF(J4738&lt;=2,"?ACTIVATED",IF(J4738&lt;&gt;"","?FAMILIAR",IF(F4738="NEW",IF(ISNA(VLOOKUP(E4738,#REF!,1,FALSE())),"?TYPE_IDENTIFIABLE","?REFERENTIAL"),"_")))))</f>
        <v> </v>
      </c>
      <c r="H4738" s="24" t="str">
        <f>IF(J4738&lt;&gt;1,"",IF(I4738="SBJ","CB","?"))</f>
        <v> </v>
      </c>
      <c r="I4738" s="25" t="str">
        <f>IF(OR(E4738="",E4738="!!!",F4738="NEW"),"",INDEX(B4737:B$2,-1+SUMPRODUCT(MAX(ROW(E4737:E$2)*(E4738=E4737:E$2)))))</f>
        <v> </v>
      </c>
      <c r="J4738" s="25" t="str">
        <f>IF(OR(E4738="",E4738="!!!",F4738="NEW"),"",COUNTBLANK(OFFSET(A$1,,,SUMPRODUCT(MAX(ROW(E$2:E4738)*(E4738=E$2:E4738)))))-COUNTBLANK(OFFSET(A$1,,,SUMPRODUCT(MAX(ROW(E$1:E4737)*(E2=E$1:E4737))))))</f>
        <v> </v>
      </c>
      <c r="K4738" s="25" t="str">
        <f>IF(OR(E4738="",E4738="!!!",F4738="NEW"),"",INDEX(J$1:J4737,SUMPRODUCT(MAX(ROW(E$1:E4737)*(E4738=E$1:E4737)))))</f>
        <v> </v>
      </c>
      <c r="L4738" s="26"/>
    </row>
    <row r="4739" spans="1:12">
      <c r="A4739" s="20" t="s">
        <v>733</v>
      </c>
      <c r="E4739" s="21">
        <f>IF(D4739="?OLD","!!!","")</f>
        <v/>
      </c>
      <c r="F4739" s="22" t="str">
        <f>IF(OR(E4739="",E4739="!!!"),"",IF(NOT(ISNA(VLOOKUP(E4739,E$1:E4738,1,FALSE()))),"OLD",IF(AND(E4739&lt;&gt;"",E4739&lt;&gt;"!!!"),"NEW","")))</f>
        <v> </v>
      </c>
      <c r="G4739" s="23" t="str">
        <f>IF(OR(E4739="",E4739="!!!"),"",IF(OR(J4739=0,AND(J4739=1,K4739=1),AND(J4739=1,I4739="SBJ"),AND(J4739=1,I4739=0)),"?IN_FOCUS",IF(J4739&lt;=2,"?ACTIVATED",IF(J4739&lt;&gt;"","?FAMILIAR",IF(F4739="NEW",IF(ISNA(VLOOKUP(E4739,#REF!,1,FALSE())),"?TYPE_IDENTIFIABLE","?REFERENTIAL"),"_")))))</f>
        <v> </v>
      </c>
      <c r="H4739" s="24" t="str">
        <f>IF(J4739&lt;&gt;1,"",IF(I4739="SBJ","CB","?"))</f>
        <v> </v>
      </c>
      <c r="I4739" s="25" t="str">
        <f>IF(OR(E4739="",E4739="!!!",F4739="NEW"),"",INDEX(B4738:B$2,-1+SUMPRODUCT(MAX(ROW(E4738:E$2)*(E4739=E4738:E$2)))))</f>
        <v> </v>
      </c>
      <c r="J4739" s="25" t="str">
        <f>IF(OR(E4739="",E4739="!!!",F4739="NEW"),"",COUNTBLANK(OFFSET(A$1,,,SUMPRODUCT(MAX(ROW(E$2:E4739)*(E4739=E$2:E4739)))))-COUNTBLANK(OFFSET(A$1,,,SUMPRODUCT(MAX(ROW(E$1:E4738)*(E2=E$1:E4738))))))</f>
        <v> </v>
      </c>
      <c r="K4739" s="25" t="str">
        <f>IF(OR(E4739="",E4739="!!!",F4739="NEW"),"",INDEX(J$1:J4738,SUMPRODUCT(MAX(ROW(E$1:E4738)*(E4739=E$1:E4738)))))</f>
        <v> </v>
      </c>
      <c r="L4739" s="26"/>
    </row>
    <row r="4740" spans="1:12">
      <c r="A4740" s="20" t="s">
        <v>2055</v>
      </c>
      <c r="B4740" s="27" t="s">
        <v>724</v>
      </c>
      <c r="C4740" s="27" t="s">
        <v>693</v>
      </c>
      <c r="D4740" s="27" t="s">
        <v>687</v>
      </c>
      <c r="E4740" s="21">
        <f>IF(D4740="?OLD","!!!","")</f>
        <v/>
      </c>
      <c r="F4740" s="22" t="str">
        <f>IF(OR(E4740="",E4740="!!!"),"",IF(NOT(ISNA(VLOOKUP(E4740,E$1:E4739,1,FALSE()))),"OLD",IF(AND(E4740&lt;&gt;"",E4740&lt;&gt;"!!!"),"NEW","")))</f>
        <v> </v>
      </c>
      <c r="G4740" s="23" t="str">
        <f>IF(OR(E4740="",E4740="!!!"),"",IF(OR(J4740=0,AND(J4740=1,K4740=1),AND(J4740=1,I4740="SBJ"),AND(J4740=1,I4740=0)),"?IN_FOCUS",IF(J4740&lt;=2,"?ACTIVATED",IF(J4740&lt;&gt;"","?FAMILIAR",IF(F4740="NEW",IF(ISNA(VLOOKUP(E4740,#REF!,1,FALSE())),"?TYPE_IDENTIFIABLE","?REFERENTIAL"),"_")))))</f>
        <v> </v>
      </c>
      <c r="H4740" s="24" t="str">
        <f>IF(J4740&lt;&gt;1,"",IF(I4740="SBJ","CB","?"))</f>
        <v> </v>
      </c>
      <c r="I4740" s="25" t="str">
        <f>IF(OR(E4740="",E4740="!!!",F4740="NEW"),"",INDEX(B4739:B$2,-1+SUMPRODUCT(MAX(ROW(E4739:E$2)*(E4740=E4739:E$2)))))</f>
        <v> </v>
      </c>
      <c r="J4740" s="25" t="str">
        <f>IF(OR(E4740="",E4740="!!!",F4740="NEW"),"",COUNTBLANK(OFFSET(A$1,,,SUMPRODUCT(MAX(ROW(E$2:E4740)*(E4740=E$2:E4740)))))-COUNTBLANK(OFFSET(A$1,,,SUMPRODUCT(MAX(ROW(E$1:E4739)*(E2=E$1:E4739))))))</f>
        <v> </v>
      </c>
      <c r="K4740" s="25" t="str">
        <f>IF(OR(E4740="",E4740="!!!",F4740="NEW"),"",INDEX(J$1:J4739,SUMPRODUCT(MAX(ROW(E$1:E4739)*(E4740=E$1:E4739)))))</f>
        <v> </v>
      </c>
      <c r="L4740" s="26"/>
    </row>
    <row r="4741" spans="1:12">
      <c r="A4741" s="20" t="s">
        <v>694</v>
      </c>
      <c r="E4741" s="21">
        <f>IF(D4741="?OLD","!!!","")</f>
        <v/>
      </c>
      <c r="F4741" s="22" t="str">
        <f>IF(OR(E4741="",E4741="!!!"),"",IF(NOT(ISNA(VLOOKUP(E4741,E$1:E4740,1,FALSE()))),"OLD",IF(AND(E4741&lt;&gt;"",E4741&lt;&gt;"!!!"),"NEW","")))</f>
        <v> </v>
      </c>
      <c r="G4741" s="23" t="str">
        <f>IF(OR(E4741="",E4741="!!!"),"",IF(OR(J4741=0,AND(J4741=1,K4741=1),AND(J4741=1,I4741="SBJ"),AND(J4741=1,I4741=0)),"?IN_FOCUS",IF(J4741&lt;=2,"?ACTIVATED",IF(J4741&lt;&gt;"","?FAMILIAR",IF(F4741="NEW",IF(ISNA(VLOOKUP(E4741,#REF!,1,FALSE())),"?TYPE_IDENTIFIABLE","?REFERENTIAL"),"_")))))</f>
        <v> </v>
      </c>
      <c r="H4741" s="24" t="str">
        <f>IF(J4741&lt;&gt;1,"",IF(I4741="SBJ","CB","?"))</f>
        <v> </v>
      </c>
      <c r="I4741" s="25" t="str">
        <f>IF(OR(E4741="",E4741="!!!",F4741="NEW"),"",INDEX(B4740:B$2,-1+SUMPRODUCT(MAX(ROW(E4740:E$2)*(E4741=E4740:E$2)))))</f>
        <v> </v>
      </c>
      <c r="J4741" s="25" t="str">
        <f>IF(OR(E4741="",E4741="!!!",F4741="NEW"),"",COUNTBLANK(OFFSET(A$1,,,SUMPRODUCT(MAX(ROW(E$2:E4741)*(E4741=E$2:E4741)))))-COUNTBLANK(OFFSET(A$1,,,SUMPRODUCT(MAX(ROW(E$1:E4740)*(E2=E$1:E4740))))))</f>
        <v> </v>
      </c>
      <c r="K4741" s="25" t="str">
        <f>IF(OR(E4741="",E4741="!!!",F4741="NEW"),"",INDEX(J$1:J4740,SUMPRODUCT(MAX(ROW(E$1:E4740)*(E4741=E$1:E4740)))))</f>
        <v> </v>
      </c>
      <c r="L4741" s="26"/>
    </row>
    <row r="4742" spans="1:12">
      <c r="A4742" s="20" t="s">
        <v>712</v>
      </c>
      <c r="B4742" s="27" t="s">
        <v>812</v>
      </c>
      <c r="C4742" s="27" t="s">
        <v>679</v>
      </c>
      <c r="E4742" s="21">
        <f>IF(D4742="?OLD","!!!","")</f>
        <v/>
      </c>
      <c r="F4742" s="22" t="str">
        <f>IF(OR(E4742="",E4742="!!!"),"",IF(NOT(ISNA(VLOOKUP(E4742,E$1:E4741,1,FALSE()))),"OLD",IF(AND(E4742&lt;&gt;"",E4742&lt;&gt;"!!!"),"NEW","")))</f>
        <v> </v>
      </c>
      <c r="G4742" s="23" t="str">
        <f>IF(OR(E4742="",E4742="!!!"),"",IF(OR(J4742=0,AND(J4742=1,K4742=1),AND(J4742=1,I4742="SBJ"),AND(J4742=1,I4742=0)),"?IN_FOCUS",IF(J4742&lt;=2,"?ACTIVATED",IF(J4742&lt;&gt;"","?FAMILIAR",IF(F4742="NEW",IF(ISNA(VLOOKUP(E4742,#REF!,1,FALSE())),"?TYPE_IDENTIFIABLE","?REFERENTIAL"),"_")))))</f>
        <v> </v>
      </c>
      <c r="H4742" s="24" t="str">
        <f>IF(J4742&lt;&gt;1,"",IF(I4742="SBJ","CB","?"))</f>
        <v> </v>
      </c>
      <c r="I4742" s="25" t="str">
        <f>IF(OR(E4742="",E4742="!!!",F4742="NEW"),"",INDEX(B4741:B$2,-1+SUMPRODUCT(MAX(ROW(E4741:E$2)*(E4742=E4741:E$2)))))</f>
        <v> </v>
      </c>
      <c r="J4742" s="25" t="str">
        <f>IF(OR(E4742="",E4742="!!!",F4742="NEW"),"",COUNTBLANK(OFFSET(A$1,,,SUMPRODUCT(MAX(ROW(E$2:E4742)*(E4742=E$2:E4742)))))-COUNTBLANK(OFFSET(A$1,,,SUMPRODUCT(MAX(ROW(E$1:E4741)*(E2=E$1:E4741))))))</f>
        <v> </v>
      </c>
      <c r="K4742" s="25" t="str">
        <f>IF(OR(E4742="",E4742="!!!",F4742="NEW"),"",INDEX(J$1:J4741,SUMPRODUCT(MAX(ROW(E$1:E4741)*(E4742=E$1:E4741)))))</f>
        <v> </v>
      </c>
      <c r="L4742" s="26"/>
    </row>
    <row r="4743" spans="1:12">
      <c r="A4743" s="20" t="s">
        <v>794</v>
      </c>
      <c r="E4743" s="21">
        <f>IF(D4743="?OLD","!!!","")</f>
        <v/>
      </c>
      <c r="F4743" s="22" t="str">
        <f>IF(OR(E4743="",E4743="!!!"),"",IF(NOT(ISNA(VLOOKUP(E4743,E$1:E4742,1,FALSE()))),"OLD",IF(AND(E4743&lt;&gt;"",E4743&lt;&gt;"!!!"),"NEW","")))</f>
        <v> </v>
      </c>
      <c r="G4743" s="23" t="str">
        <f>IF(OR(E4743="",E4743="!!!"),"",IF(OR(J4743=0,AND(J4743=1,K4743=1),AND(J4743=1,I4743="SBJ"),AND(J4743=1,I4743=0)),"?IN_FOCUS",IF(J4743&lt;=2,"?ACTIVATED",IF(J4743&lt;&gt;"","?FAMILIAR",IF(F4743="NEW",IF(ISNA(VLOOKUP(E4743,#REF!,1,FALSE())),"?TYPE_IDENTIFIABLE","?REFERENTIAL"),"_")))))</f>
        <v> </v>
      </c>
      <c r="H4743" s="24" t="str">
        <f>IF(J4743&lt;&gt;1,"",IF(I4743="SBJ","CB","?"))</f>
        <v> </v>
      </c>
      <c r="I4743" s="25" t="str">
        <f>IF(OR(E4743="",E4743="!!!",F4743="NEW"),"",INDEX(B4742:B$2,-1+SUMPRODUCT(MAX(ROW(E4742:E$2)*(E4743=E4742:E$2)))))</f>
        <v> </v>
      </c>
      <c r="J4743" s="25" t="str">
        <f>IF(OR(E4743="",E4743="!!!",F4743="NEW"),"",COUNTBLANK(OFFSET(A$1,,,SUMPRODUCT(MAX(ROW(E$2:E4743)*(E4743=E$2:E4743)))))-COUNTBLANK(OFFSET(A$1,,,SUMPRODUCT(MAX(ROW(E$1:E4742)*(E2=E$1:E4742))))))</f>
        <v> </v>
      </c>
      <c r="K4743" s="25" t="str">
        <f>IF(OR(E4743="",E4743="!!!",F4743="NEW"),"",INDEX(J$1:J4742,SUMPRODUCT(MAX(ROW(E$1:E4742)*(E4743=E$1:E4742)))))</f>
        <v> </v>
      </c>
      <c r="L4743" s="26"/>
    </row>
    <row r="4744" spans="1:12">
      <c r="A4744" s="20" t="s">
        <v>760</v>
      </c>
      <c r="E4744" s="21">
        <f>IF(D4744="?OLD","!!!","")</f>
        <v/>
      </c>
      <c r="F4744" s="22" t="str">
        <f>IF(OR(E4744="",E4744="!!!"),"",IF(NOT(ISNA(VLOOKUP(E4744,E$1:E4743,1,FALSE()))),"OLD",IF(AND(E4744&lt;&gt;"",E4744&lt;&gt;"!!!"),"NEW","")))</f>
        <v> </v>
      </c>
      <c r="G4744" s="23" t="str">
        <f>IF(OR(E4744="",E4744="!!!"),"",IF(OR(J4744=0,AND(J4744=1,K4744=1),AND(J4744=1,I4744="SBJ"),AND(J4744=1,I4744=0)),"?IN_FOCUS",IF(J4744&lt;=2,"?ACTIVATED",IF(J4744&lt;&gt;"","?FAMILIAR",IF(F4744="NEW",IF(ISNA(VLOOKUP(E4744,#REF!,1,FALSE())),"?TYPE_IDENTIFIABLE","?REFERENTIAL"),"_")))))</f>
        <v> </v>
      </c>
      <c r="H4744" s="24" t="str">
        <f>IF(J4744&lt;&gt;1,"",IF(I4744="SBJ","CB","?"))</f>
        <v> </v>
      </c>
      <c r="I4744" s="25" t="str">
        <f>IF(OR(E4744="",E4744="!!!",F4744="NEW"),"",INDEX(B4743:B$2,-1+SUMPRODUCT(MAX(ROW(E4743:E$2)*(E4744=E4743:E$2)))))</f>
        <v> </v>
      </c>
      <c r="J4744" s="25" t="str">
        <f>IF(OR(E4744="",E4744="!!!",F4744="NEW"),"",COUNTBLANK(OFFSET(A$1,,,SUMPRODUCT(MAX(ROW(E$2:E4744)*(E4744=E$2:E4744)))))-COUNTBLANK(OFFSET(A$1,,,SUMPRODUCT(MAX(ROW(E$1:E4743)*(E2=E$1:E4743))))))</f>
        <v> </v>
      </c>
      <c r="K4744" s="25" t="str">
        <f>IF(OR(E4744="",E4744="!!!",F4744="NEW"),"",INDEX(J$1:J4743,SUMPRODUCT(MAX(ROW(E$1:E4743)*(E4744=E$1:E4743)))))</f>
        <v> </v>
      </c>
      <c r="L4744" s="26"/>
    </row>
    <row r="4745" spans="1:12">
      <c r="A4745" s="20" t="s">
        <v>844</v>
      </c>
      <c r="B4745" s="27" t="s">
        <v>812</v>
      </c>
      <c r="C4745" s="27" t="s">
        <v>772</v>
      </c>
      <c r="D4745" s="27" t="s">
        <v>687</v>
      </c>
      <c r="E4745" s="21">
        <f>IF(D4745="?OLD","!!!","")</f>
        <v/>
      </c>
      <c r="F4745" s="22" t="str">
        <f>IF(OR(E4745="",E4745="!!!"),"",IF(NOT(ISNA(VLOOKUP(E4745,E$1:E4744,1,FALSE()))),"OLD",IF(AND(E4745&lt;&gt;"",E4745&lt;&gt;"!!!"),"NEW","")))</f>
        <v> </v>
      </c>
      <c r="G4745" s="23" t="str">
        <f>IF(OR(E4745="",E4745="!!!"),"",IF(OR(J4745=0,AND(J4745=1,K4745=1),AND(J4745=1,I4745="SBJ"),AND(J4745=1,I4745=0)),"?IN_FOCUS",IF(J4745&lt;=2,"?ACTIVATED",IF(J4745&lt;&gt;"","?FAMILIAR",IF(F4745="NEW",IF(ISNA(VLOOKUP(E4745,#REF!,1,FALSE())),"?TYPE_IDENTIFIABLE","?REFERENTIAL"),"_")))))</f>
        <v> </v>
      </c>
      <c r="H4745" s="24" t="str">
        <f>IF(J4745&lt;&gt;1,"",IF(I4745="SBJ","CB","?"))</f>
        <v> </v>
      </c>
      <c r="I4745" s="25" t="str">
        <f>IF(OR(E4745="",E4745="!!!",F4745="NEW"),"",INDEX(B4744:B$2,-1+SUMPRODUCT(MAX(ROW(E4744:E$2)*(E4745=E4744:E$2)))))</f>
        <v> </v>
      </c>
      <c r="J4745" s="25" t="str">
        <f>IF(OR(E4745="",E4745="!!!",F4745="NEW"),"",COUNTBLANK(OFFSET(A$1,,,SUMPRODUCT(MAX(ROW(E$2:E4745)*(E4745=E$2:E4745)))))-COUNTBLANK(OFFSET(A$1,,,SUMPRODUCT(MAX(ROW(E$1:E4744)*(E2=E$1:E4744))))))</f>
        <v> </v>
      </c>
      <c r="K4745" s="25" t="str">
        <f>IF(OR(E4745="",E4745="!!!",F4745="NEW"),"",INDEX(J$1:J4744,SUMPRODUCT(MAX(ROW(E$1:E4744)*(E4745=E$1:E4744)))))</f>
        <v> </v>
      </c>
      <c r="L4745" s="26"/>
    </row>
    <row r="4746" spans="1:12">
      <c r="A4746" s="20" t="s">
        <v>851</v>
      </c>
      <c r="B4746" s="27" t="s">
        <v>810</v>
      </c>
      <c r="C4746" s="27" t="s">
        <v>686</v>
      </c>
      <c r="D4746" s="27" t="s">
        <v>687</v>
      </c>
      <c r="E4746" s="21">
        <f>IF(D4746="?OLD","!!!","")</f>
        <v/>
      </c>
      <c r="F4746" s="22" t="str">
        <f>IF(OR(E4746="",E4746="!!!"),"",IF(NOT(ISNA(VLOOKUP(E4746,E$1:E4745,1,FALSE()))),"OLD",IF(AND(E4746&lt;&gt;"",E4746&lt;&gt;"!!!"),"NEW","")))</f>
        <v> </v>
      </c>
      <c r="G4746" s="23" t="str">
        <f>IF(OR(E4746="",E4746="!!!"),"",IF(OR(J4746=0,AND(J4746=1,K4746=1),AND(J4746=1,I4746="SBJ"),AND(J4746=1,I4746=0)),"?IN_FOCUS",IF(J4746&lt;=2,"?ACTIVATED",IF(J4746&lt;&gt;"","?FAMILIAR",IF(F4746="NEW",IF(ISNA(VLOOKUP(E4746,#REF!,1,FALSE())),"?TYPE_IDENTIFIABLE","?REFERENTIAL"),"_")))))</f>
        <v> </v>
      </c>
      <c r="H4746" s="24" t="str">
        <f>IF(J4746&lt;&gt;1,"",IF(I4746="SBJ","CB","?"))</f>
        <v> </v>
      </c>
      <c r="I4746" s="25" t="str">
        <f>IF(OR(E4746="",E4746="!!!",F4746="NEW"),"",INDEX(B4745:B$2,-1+SUMPRODUCT(MAX(ROW(E4745:E$2)*(E4746=E4745:E$2)))))</f>
        <v> </v>
      </c>
      <c r="J4746" s="25" t="str">
        <f>IF(OR(E4746="",E4746="!!!",F4746="NEW"),"",COUNTBLANK(OFFSET(A$1,,,SUMPRODUCT(MAX(ROW(E$2:E4746)*(E4746=E$2:E4746)))))-COUNTBLANK(OFFSET(A$1,,,SUMPRODUCT(MAX(ROW(E$1:E4745)*(E2=E$1:E4745))))))</f>
        <v> </v>
      </c>
      <c r="K4746" s="25" t="str">
        <f>IF(OR(E4746="",E4746="!!!",F4746="NEW"),"",INDEX(J$1:J4745,SUMPRODUCT(MAX(ROW(E$1:E4745)*(E4746=E$1:E4745)))))</f>
        <v> </v>
      </c>
      <c r="L4746" s="26"/>
    </row>
    <row r="4747" spans="1:12">
      <c r="A4747" s="20" t="s">
        <v>2056</v>
      </c>
      <c r="E4747" s="21">
        <f>IF(D4747="?OLD","!!!","")</f>
        <v/>
      </c>
      <c r="F4747" s="22" t="str">
        <f>IF(OR(E4747="",E4747="!!!"),"",IF(NOT(ISNA(VLOOKUP(E4747,E$1:E4746,1,FALSE()))),"OLD",IF(AND(E4747&lt;&gt;"",E4747&lt;&gt;"!!!"),"NEW","")))</f>
        <v> </v>
      </c>
      <c r="G4747" s="23" t="str">
        <f>IF(OR(E4747="",E4747="!!!"),"",IF(OR(J4747=0,AND(J4747=1,K4747=1),AND(J4747=1,I4747="SBJ"),AND(J4747=1,I4747=0)),"?IN_FOCUS",IF(J4747&lt;=2,"?ACTIVATED",IF(J4747&lt;&gt;"","?FAMILIAR",IF(F4747="NEW",IF(ISNA(VLOOKUP(E4747,#REF!,1,FALSE())),"?TYPE_IDENTIFIABLE","?REFERENTIAL"),"_")))))</f>
        <v> </v>
      </c>
      <c r="H4747" s="24" t="str">
        <f>IF(J4747&lt;&gt;1,"",IF(I4747="SBJ","CB","?"))</f>
        <v> </v>
      </c>
      <c r="I4747" s="25" t="str">
        <f>IF(OR(E4747="",E4747="!!!",F4747="NEW"),"",INDEX(B4746:B$2,-1+SUMPRODUCT(MAX(ROW(E4746:E$2)*(E4747=E4746:E$2)))))</f>
        <v> </v>
      </c>
      <c r="J4747" s="25" t="str">
        <f>IF(OR(E4747="",E4747="!!!",F4747="NEW"),"",COUNTBLANK(OFFSET(A$1,,,SUMPRODUCT(MAX(ROW(E$2:E4747)*(E4747=E$2:E4747)))))-COUNTBLANK(OFFSET(A$1,,,SUMPRODUCT(MAX(ROW(E$1:E4746)*(E2=E$1:E4746))))))</f>
        <v> </v>
      </c>
      <c r="K4747" s="25" t="str">
        <f>IF(OR(E4747="",E4747="!!!",F4747="NEW"),"",INDEX(J$1:J4746,SUMPRODUCT(MAX(ROW(E$1:E4746)*(E4747=E$1:E4746)))))</f>
        <v> </v>
      </c>
      <c r="L4747" s="26"/>
    </row>
    <row r="4748" spans="1:12">
      <c r="A4748" s="20" t="s">
        <v>703</v>
      </c>
      <c r="E4748" s="21">
        <f>IF(D4748="?OLD","!!!","")</f>
        <v/>
      </c>
      <c r="F4748" s="22" t="str">
        <f>IF(OR(E4748="",E4748="!!!"),"",IF(NOT(ISNA(VLOOKUP(E4748,E$1:E4747,1,FALSE()))),"OLD",IF(AND(E4748&lt;&gt;"",E4748&lt;&gt;"!!!"),"NEW","")))</f>
        <v> </v>
      </c>
      <c r="G4748" s="23" t="str">
        <f>IF(OR(E4748="",E4748="!!!"),"",IF(OR(J4748=0,AND(J4748=1,K4748=1),AND(J4748=1,I4748="SBJ"),AND(J4748=1,I4748=0)),"?IN_FOCUS",IF(J4748&lt;=2,"?ACTIVATED",IF(J4748&lt;&gt;"","?FAMILIAR",IF(F4748="NEW",IF(ISNA(VLOOKUP(E4748,#REF!,1,FALSE())),"?TYPE_IDENTIFIABLE","?REFERENTIAL"),"_")))))</f>
        <v> </v>
      </c>
      <c r="H4748" s="24" t="str">
        <f>IF(J4748&lt;&gt;1,"",IF(I4748="SBJ","CB","?"))</f>
        <v> </v>
      </c>
      <c r="I4748" s="25" t="str">
        <f>IF(OR(E4748="",E4748="!!!",F4748="NEW"),"",INDEX(B4747:B$2,-1+SUMPRODUCT(MAX(ROW(E4747:E$2)*(E4748=E4747:E$2)))))</f>
        <v> </v>
      </c>
      <c r="J4748" s="25" t="str">
        <f>IF(OR(E4748="",E4748="!!!",F4748="NEW"),"",COUNTBLANK(OFFSET(A$1,,,SUMPRODUCT(MAX(ROW(E$2:E4748)*(E4748=E$2:E4748)))))-COUNTBLANK(OFFSET(A$1,,,SUMPRODUCT(MAX(ROW(E$1:E4747)*(E2=E$1:E4747))))))</f>
        <v> </v>
      </c>
      <c r="K4748" s="25" t="str">
        <f>IF(OR(E4748="",E4748="!!!",F4748="NEW"),"",INDEX(J$1:J4747,SUMPRODUCT(MAX(ROW(E$1:E4747)*(E4748=E$1:E4747)))))</f>
        <v> </v>
      </c>
      <c r="L4748" s="26"/>
    </row>
    <row r="4749" spans="1:12">
      <c r="A4749" s="20" t="s">
        <v>2057</v>
      </c>
      <c r="E4749" s="21">
        <f>IF(D4749="?OLD","!!!","")</f>
        <v/>
      </c>
      <c r="F4749" s="22" t="str">
        <f>IF(OR(E4749="",E4749="!!!"),"",IF(NOT(ISNA(VLOOKUP(E4749,E$1:E4748,1,FALSE()))),"OLD",IF(AND(E4749&lt;&gt;"",E4749&lt;&gt;"!!!"),"NEW","")))</f>
        <v> </v>
      </c>
      <c r="G4749" s="23" t="str">
        <f>IF(OR(E4749="",E4749="!!!"),"",IF(OR(J4749=0,AND(J4749=1,K4749=1),AND(J4749=1,I4749="SBJ"),AND(J4749=1,I4749=0)),"?IN_FOCUS",IF(J4749&lt;=2,"?ACTIVATED",IF(J4749&lt;&gt;"","?FAMILIAR",IF(F4749="NEW",IF(ISNA(VLOOKUP(E4749,#REF!,1,FALSE())),"?TYPE_IDENTIFIABLE","?REFERENTIAL"),"_")))))</f>
        <v> </v>
      </c>
      <c r="H4749" s="24" t="str">
        <f>IF(J4749&lt;&gt;1,"",IF(I4749="SBJ","CB","?"))</f>
        <v> </v>
      </c>
      <c r="I4749" s="25" t="str">
        <f>IF(OR(E4749="",E4749="!!!",F4749="NEW"),"",INDEX(B4748:B$2,-1+SUMPRODUCT(MAX(ROW(E4748:E$2)*(E4749=E4748:E$2)))))</f>
        <v> </v>
      </c>
      <c r="J4749" s="25" t="str">
        <f>IF(OR(E4749="",E4749="!!!",F4749="NEW"),"",COUNTBLANK(OFFSET(A$1,,,SUMPRODUCT(MAX(ROW(E$2:E4749)*(E4749=E$2:E4749)))))-COUNTBLANK(OFFSET(A$1,,,SUMPRODUCT(MAX(ROW(E$1:E4748)*(E2=E$1:E4748))))))</f>
        <v> </v>
      </c>
      <c r="K4749" s="25" t="str">
        <f>IF(OR(E4749="",E4749="!!!",F4749="NEW"),"",INDEX(J$1:J4748,SUMPRODUCT(MAX(ROW(E$1:E4748)*(E4749=E$1:E4748)))))</f>
        <v> </v>
      </c>
      <c r="L4749" s="26"/>
    </row>
    <row r="4750" spans="1:12">
      <c r="A4750" s="20" t="s">
        <v>2058</v>
      </c>
      <c r="E4750" s="21">
        <f>IF(D4750="?OLD","!!!","")</f>
        <v/>
      </c>
      <c r="F4750" s="22" t="str">
        <f>IF(OR(E4750="",E4750="!!!"),"",IF(NOT(ISNA(VLOOKUP(E4750,E$1:E4749,1,FALSE()))),"OLD",IF(AND(E4750&lt;&gt;"",E4750&lt;&gt;"!!!"),"NEW","")))</f>
        <v> </v>
      </c>
      <c r="G4750" s="23" t="str">
        <f>IF(OR(E4750="",E4750="!!!"),"",IF(OR(J4750=0,AND(J4750=1,K4750=1),AND(J4750=1,I4750="SBJ"),AND(J4750=1,I4750=0)),"?IN_FOCUS",IF(J4750&lt;=2,"?ACTIVATED",IF(J4750&lt;&gt;"","?FAMILIAR",IF(F4750="NEW",IF(ISNA(VLOOKUP(E4750,#REF!,1,FALSE())),"?TYPE_IDENTIFIABLE","?REFERENTIAL"),"_")))))</f>
        <v> </v>
      </c>
      <c r="H4750" s="24" t="str">
        <f>IF(J4750&lt;&gt;1,"",IF(I4750="SBJ","CB","?"))</f>
        <v> </v>
      </c>
      <c r="I4750" s="25" t="str">
        <f>IF(OR(E4750="",E4750="!!!",F4750="NEW"),"",INDEX(B4749:B$2,-1+SUMPRODUCT(MAX(ROW(E4749:E$2)*(E4750=E4749:E$2)))))</f>
        <v> </v>
      </c>
      <c r="J4750" s="25" t="str">
        <f>IF(OR(E4750="",E4750="!!!",F4750="NEW"),"",COUNTBLANK(OFFSET(A$1,,,SUMPRODUCT(MAX(ROW(E$2:E4750)*(E4750=E$2:E4750)))))-COUNTBLANK(OFFSET(A$1,,,SUMPRODUCT(MAX(ROW(E$1:E4749)*(E2=E$1:E4749))))))</f>
        <v> </v>
      </c>
      <c r="K4750" s="25" t="str">
        <f>IF(OR(E4750="",E4750="!!!",F4750="NEW"),"",INDEX(J$1:J4749,SUMPRODUCT(MAX(ROW(E$1:E4749)*(E4750=E$1:E4749)))))</f>
        <v> </v>
      </c>
      <c r="L4750" s="26"/>
    </row>
    <row r="4751" spans="1:12">
      <c r="A4751" s="20" t="s">
        <v>784</v>
      </c>
      <c r="B4751" s="27" t="s">
        <v>821</v>
      </c>
      <c r="C4751" s="27" t="s">
        <v>679</v>
      </c>
      <c r="E4751" s="21">
        <f>IF(D4751="?OLD","!!!","")</f>
        <v/>
      </c>
      <c r="F4751" s="22" t="str">
        <f>IF(OR(E4751="",E4751="!!!"),"",IF(NOT(ISNA(VLOOKUP(E4751,E$1:E4750,1,FALSE()))),"OLD",IF(AND(E4751&lt;&gt;"",E4751&lt;&gt;"!!!"),"NEW","")))</f>
        <v> </v>
      </c>
      <c r="G4751" s="23" t="str">
        <f>IF(OR(E4751="",E4751="!!!"),"",IF(OR(J4751=0,AND(J4751=1,K4751=1),AND(J4751=1,I4751="SBJ"),AND(J4751=1,I4751=0)),"?IN_FOCUS",IF(J4751&lt;=2,"?ACTIVATED",IF(J4751&lt;&gt;"","?FAMILIAR",IF(F4751="NEW",IF(ISNA(VLOOKUP(E4751,#REF!,1,FALSE())),"?TYPE_IDENTIFIABLE","?REFERENTIAL"),"_")))))</f>
        <v> </v>
      </c>
      <c r="H4751" s="24" t="str">
        <f>IF(J4751&lt;&gt;1,"",IF(I4751="SBJ","CB","?"))</f>
        <v> </v>
      </c>
      <c r="I4751" s="25" t="str">
        <f>IF(OR(E4751="",E4751="!!!",F4751="NEW"),"",INDEX(B4750:B$2,-1+SUMPRODUCT(MAX(ROW(E4750:E$2)*(E4751=E4750:E$2)))))</f>
        <v> </v>
      </c>
      <c r="J4751" s="25" t="str">
        <f>IF(OR(E4751="",E4751="!!!",F4751="NEW"),"",COUNTBLANK(OFFSET(A$1,,,SUMPRODUCT(MAX(ROW(E$2:E4751)*(E4751=E$2:E4751)))))-COUNTBLANK(OFFSET(A$1,,,SUMPRODUCT(MAX(ROW(E$1:E4750)*(E2=E$1:E4750))))))</f>
        <v> </v>
      </c>
      <c r="K4751" s="25" t="str">
        <f>IF(OR(E4751="",E4751="!!!",F4751="NEW"),"",INDEX(J$1:J4750,SUMPRODUCT(MAX(ROW(E$1:E4750)*(E4751=E$1:E4750)))))</f>
        <v> </v>
      </c>
      <c r="L4751" s="26"/>
    </row>
    <row r="4752" spans="1:12">
      <c r="A4752" s="20" t="s">
        <v>683</v>
      </c>
      <c r="E4752" s="21">
        <f>IF(D4752="?OLD","!!!","")</f>
        <v/>
      </c>
      <c r="F4752" s="22" t="str">
        <f>IF(OR(E4752="",E4752="!!!"),"",IF(NOT(ISNA(VLOOKUP(E4752,E$1:E4751,1,FALSE()))),"OLD",IF(AND(E4752&lt;&gt;"",E4752&lt;&gt;"!!!"),"NEW","")))</f>
        <v> </v>
      </c>
      <c r="G4752" s="23" t="str">
        <f>IF(OR(E4752="",E4752="!!!"),"",IF(OR(J4752=0,AND(J4752=1,K4752=1),AND(J4752=1,I4752="SBJ"),AND(J4752=1,I4752=0)),"?IN_FOCUS",IF(J4752&lt;=2,"?ACTIVATED",IF(J4752&lt;&gt;"","?FAMILIAR",IF(F4752="NEW",IF(ISNA(VLOOKUP(E4752,#REF!,1,FALSE())),"?TYPE_IDENTIFIABLE","?REFERENTIAL"),"_")))))</f>
        <v> </v>
      </c>
      <c r="H4752" s="24" t="str">
        <f>IF(J4752&lt;&gt;1,"",IF(I4752="SBJ","CB","?"))</f>
        <v> </v>
      </c>
      <c r="I4752" s="25" t="str">
        <f>IF(OR(E4752="",E4752="!!!",F4752="NEW"),"",INDEX(B4751:B$2,-1+SUMPRODUCT(MAX(ROW(E4751:E$2)*(E4752=E4751:E$2)))))</f>
        <v> </v>
      </c>
      <c r="J4752" s="25" t="str">
        <f>IF(OR(E4752="",E4752="!!!",F4752="NEW"),"",COUNTBLANK(OFFSET(A$1,,,SUMPRODUCT(MAX(ROW(E$2:E4752)*(E4752=E$2:E4752)))))-COUNTBLANK(OFFSET(A$1,,,SUMPRODUCT(MAX(ROW(E$1:E4751)*(E2=E$1:E4751))))))</f>
        <v> </v>
      </c>
      <c r="K4752" s="25" t="str">
        <f>IF(OR(E4752="",E4752="!!!",F4752="NEW"),"",INDEX(J$1:J4751,SUMPRODUCT(MAX(ROW(E$1:E4751)*(E4752=E$1:E4751)))))</f>
        <v> </v>
      </c>
      <c r="L4752" s="26"/>
    </row>
    <row r="4753" spans="1:12">
      <c r="A4753" s="20" t="s">
        <v>2059</v>
      </c>
      <c r="E4753" s="21">
        <f>IF(D4753="?OLD","!!!","")</f>
        <v/>
      </c>
      <c r="F4753" s="22" t="str">
        <f>IF(OR(E4753="",E4753="!!!"),"",IF(NOT(ISNA(VLOOKUP(E4753,E$1:E4752,1,FALSE()))),"OLD",IF(AND(E4753&lt;&gt;"",E4753&lt;&gt;"!!!"),"NEW","")))</f>
        <v> </v>
      </c>
      <c r="G4753" s="23" t="str">
        <f>IF(OR(E4753="",E4753="!!!"),"",IF(OR(J4753=0,AND(J4753=1,K4753=1),AND(J4753=1,I4753="SBJ"),AND(J4753=1,I4753=0)),"?IN_FOCUS",IF(J4753&lt;=2,"?ACTIVATED",IF(J4753&lt;&gt;"","?FAMILIAR",IF(F4753="NEW",IF(ISNA(VLOOKUP(E4753,#REF!,1,FALSE())),"?TYPE_IDENTIFIABLE","?REFERENTIAL"),"_")))))</f>
        <v> </v>
      </c>
      <c r="H4753" s="24" t="str">
        <f>IF(J4753&lt;&gt;1,"",IF(I4753="SBJ","CB","?"))</f>
        <v> </v>
      </c>
      <c r="I4753" s="25" t="str">
        <f>IF(OR(E4753="",E4753="!!!",F4753="NEW"),"",INDEX(B4752:B$2,-1+SUMPRODUCT(MAX(ROW(E4752:E$2)*(E4753=E4752:E$2)))))</f>
        <v> </v>
      </c>
      <c r="J4753" s="25" t="str">
        <f>IF(OR(E4753="",E4753="!!!",F4753="NEW"),"",COUNTBLANK(OFFSET(A$1,,,SUMPRODUCT(MAX(ROW(E$2:E4753)*(E4753=E$2:E4753)))))-COUNTBLANK(OFFSET(A$1,,,SUMPRODUCT(MAX(ROW(E$1:E4752)*(E2=E$1:E4752))))))</f>
        <v> </v>
      </c>
      <c r="K4753" s="25" t="str">
        <f>IF(OR(E4753="",E4753="!!!",F4753="NEW"),"",INDEX(J$1:J4752,SUMPRODUCT(MAX(ROW(E$1:E4752)*(E4753=E$1:E4752)))))</f>
        <v> </v>
      </c>
      <c r="L4753" s="26"/>
    </row>
    <row r="4754" spans="1:12">
      <c r="A4754" s="20" t="s">
        <v>694</v>
      </c>
      <c r="E4754" s="21">
        <f>IF(D4754="?OLD","!!!","")</f>
        <v/>
      </c>
      <c r="F4754" s="22" t="str">
        <f>IF(OR(E4754="",E4754="!!!"),"",IF(NOT(ISNA(VLOOKUP(E4754,E$1:E4753,1,FALSE()))),"OLD",IF(AND(E4754&lt;&gt;"",E4754&lt;&gt;"!!!"),"NEW","")))</f>
        <v> </v>
      </c>
      <c r="G4754" s="23" t="str">
        <f>IF(OR(E4754="",E4754="!!!"),"",IF(OR(J4754=0,AND(J4754=1,K4754=1),AND(J4754=1,I4754="SBJ"),AND(J4754=1,I4754=0)),"?IN_FOCUS",IF(J4754&lt;=2,"?ACTIVATED",IF(J4754&lt;&gt;"","?FAMILIAR",IF(F4754="NEW",IF(ISNA(VLOOKUP(E4754,#REF!,1,FALSE())),"?TYPE_IDENTIFIABLE","?REFERENTIAL"),"_")))))</f>
        <v> </v>
      </c>
      <c r="H4754" s="24" t="str">
        <f>IF(J4754&lt;&gt;1,"",IF(I4754="SBJ","CB","?"))</f>
        <v> </v>
      </c>
      <c r="I4754" s="25" t="str">
        <f>IF(OR(E4754="",E4754="!!!",F4754="NEW"),"",INDEX(B4753:B$2,-1+SUMPRODUCT(MAX(ROW(E4753:E$2)*(E4754=E4753:E$2)))))</f>
        <v> </v>
      </c>
      <c r="J4754" s="25" t="str">
        <f>IF(OR(E4754="",E4754="!!!",F4754="NEW"),"",COUNTBLANK(OFFSET(A$1,,,SUMPRODUCT(MAX(ROW(E$2:E4754)*(E4754=E$2:E4754)))))-COUNTBLANK(OFFSET(A$1,,,SUMPRODUCT(MAX(ROW(E$1:E4753)*(E2=E$1:E4753))))))</f>
        <v> </v>
      </c>
      <c r="K4754" s="25" t="str">
        <f>IF(OR(E4754="",E4754="!!!",F4754="NEW"),"",INDEX(J$1:J4753,SUMPRODUCT(MAX(ROW(E$1:E4753)*(E4754=E$1:E4753)))))</f>
        <v> </v>
      </c>
      <c r="L4754" s="26"/>
    </row>
    <row r="4755" spans="1:12">
      <c r="A4755" s="20" t="s">
        <v>683</v>
      </c>
      <c r="E4755" s="21">
        <f>IF(D4755="?OLD","!!!","")</f>
        <v/>
      </c>
      <c r="F4755" s="22" t="str">
        <f>IF(OR(E4755="",E4755="!!!"),"",IF(NOT(ISNA(VLOOKUP(E4755,E$1:E4754,1,FALSE()))),"OLD",IF(AND(E4755&lt;&gt;"",E4755&lt;&gt;"!!!"),"NEW","")))</f>
        <v> </v>
      </c>
      <c r="G4755" s="23" t="str">
        <f>IF(OR(E4755="",E4755="!!!"),"",IF(OR(J4755=0,AND(J4755=1,K4755=1),AND(J4755=1,I4755="SBJ"),AND(J4755=1,I4755=0)),"?IN_FOCUS",IF(J4755&lt;=2,"?ACTIVATED",IF(J4755&lt;&gt;"","?FAMILIAR",IF(F4755="NEW",IF(ISNA(VLOOKUP(E4755,#REF!,1,FALSE())),"?TYPE_IDENTIFIABLE","?REFERENTIAL"),"_")))))</f>
        <v> </v>
      </c>
      <c r="H4755" s="24" t="str">
        <f>IF(J4755&lt;&gt;1,"",IF(I4755="SBJ","CB","?"))</f>
        <v> </v>
      </c>
      <c r="I4755" s="25" t="str">
        <f>IF(OR(E4755="",E4755="!!!",F4755="NEW"),"",INDEX(B4754:B$2,-1+SUMPRODUCT(MAX(ROW(E4754:E$2)*(E4755=E4754:E$2)))))</f>
        <v> </v>
      </c>
      <c r="J4755" s="25" t="str">
        <f>IF(OR(E4755="",E4755="!!!",F4755="NEW"),"",COUNTBLANK(OFFSET(A$1,,,SUMPRODUCT(MAX(ROW(E$2:E4755)*(E4755=E$2:E4755)))))-COUNTBLANK(OFFSET(A$1,,,SUMPRODUCT(MAX(ROW(E$1:E4754)*(E2=E$1:E4754))))))</f>
        <v> </v>
      </c>
      <c r="K4755" s="25" t="str">
        <f>IF(OR(E4755="",E4755="!!!",F4755="NEW"),"",INDEX(J$1:J4754,SUMPRODUCT(MAX(ROW(E$1:E4754)*(E4755=E$1:E4754)))))</f>
        <v> </v>
      </c>
      <c r="L4755" s="26"/>
    </row>
    <row r="4756" spans="1:12">
      <c r="A4756" s="20" t="s">
        <v>2060</v>
      </c>
      <c r="B4756" s="27" t="s">
        <v>843</v>
      </c>
      <c r="C4756" s="27" t="s">
        <v>686</v>
      </c>
      <c r="D4756" s="27" t="s">
        <v>687</v>
      </c>
      <c r="E4756" s="21">
        <f>IF(D4756="?OLD","!!!","")</f>
        <v/>
      </c>
      <c r="F4756" s="22" t="str">
        <f>IF(OR(E4756="",E4756="!!!"),"",IF(NOT(ISNA(VLOOKUP(E4756,E$1:E4755,1,FALSE()))),"OLD",IF(AND(E4756&lt;&gt;"",E4756&lt;&gt;"!!!"),"NEW","")))</f>
        <v> </v>
      </c>
      <c r="G4756" s="23" t="str">
        <f>IF(OR(E4756="",E4756="!!!"),"",IF(OR(J4756=0,AND(J4756=1,K4756=1),AND(J4756=1,I4756="SBJ"),AND(J4756=1,I4756=0)),"?IN_FOCUS",IF(J4756&lt;=2,"?ACTIVATED",IF(J4756&lt;&gt;"","?FAMILIAR",IF(F4756="NEW",IF(ISNA(VLOOKUP(E4756,#REF!,1,FALSE())),"?TYPE_IDENTIFIABLE","?REFERENTIAL"),"_")))))</f>
        <v> </v>
      </c>
      <c r="H4756" s="24" t="str">
        <f>IF(J4756&lt;&gt;1,"",IF(I4756="SBJ","CB","?"))</f>
        <v> </v>
      </c>
      <c r="I4756" s="25" t="str">
        <f>IF(OR(E4756="",E4756="!!!",F4756="NEW"),"",INDEX(B4755:B$2,-1+SUMPRODUCT(MAX(ROW(E4755:E$2)*(E4756=E4755:E$2)))))</f>
        <v> </v>
      </c>
      <c r="J4756" s="25" t="str">
        <f>IF(OR(E4756="",E4756="!!!",F4756="NEW"),"",COUNTBLANK(OFFSET(A$1,,,SUMPRODUCT(MAX(ROW(E$2:E4756)*(E4756=E$2:E4756)))))-COUNTBLANK(OFFSET(A$1,,,SUMPRODUCT(MAX(ROW(E$1:E4755)*(E2=E$1:E4755))))))</f>
        <v> </v>
      </c>
      <c r="K4756" s="25" t="str">
        <f>IF(OR(E4756="",E4756="!!!",F4756="NEW"),"",INDEX(J$1:J4755,SUMPRODUCT(MAX(ROW(E$1:E4755)*(E4756=E$1:E4755)))))</f>
        <v> </v>
      </c>
      <c r="L4756" s="26"/>
    </row>
    <row r="4757" spans="1:12">
      <c r="A4757" s="20" t="s">
        <v>682</v>
      </c>
      <c r="E4757" s="21">
        <f>IF(D4757="?OLD","!!!","")</f>
        <v/>
      </c>
      <c r="F4757" s="22" t="str">
        <f>IF(OR(E4757="",E4757="!!!"),"",IF(NOT(ISNA(VLOOKUP(E4757,E$1:E4756,1,FALSE()))),"OLD",IF(AND(E4757&lt;&gt;"",E4757&lt;&gt;"!!!"),"NEW","")))</f>
        <v> </v>
      </c>
      <c r="G4757" s="23" t="str">
        <f>IF(OR(E4757="",E4757="!!!"),"",IF(OR(J4757=0,AND(J4757=1,K4757=1),AND(J4757=1,I4757="SBJ"),AND(J4757=1,I4757=0)),"?IN_FOCUS",IF(J4757&lt;=2,"?ACTIVATED",IF(J4757&lt;&gt;"","?FAMILIAR",IF(F4757="NEW",IF(ISNA(VLOOKUP(E4757,#REF!,1,FALSE())),"?TYPE_IDENTIFIABLE","?REFERENTIAL"),"_")))))</f>
        <v> </v>
      </c>
      <c r="H4757" s="24" t="str">
        <f>IF(J4757&lt;&gt;1,"",IF(I4757="SBJ","CB","?"))</f>
        <v> </v>
      </c>
      <c r="I4757" s="25" t="str">
        <f>IF(OR(E4757="",E4757="!!!",F4757="NEW"),"",INDEX(B4756:B$2,-1+SUMPRODUCT(MAX(ROW(E4756:E$2)*(E4757=E4756:E$2)))))</f>
        <v> </v>
      </c>
      <c r="J4757" s="25" t="str">
        <f>IF(OR(E4757="",E4757="!!!",F4757="NEW"),"",COUNTBLANK(OFFSET(A$1,,,SUMPRODUCT(MAX(ROW(E$2:E4757)*(E4757=E$2:E4757)))))-COUNTBLANK(OFFSET(A$1,,,SUMPRODUCT(MAX(ROW(E$1:E4756)*(E2=E$1:E4756))))))</f>
        <v> </v>
      </c>
      <c r="K4757" s="25" t="str">
        <f>IF(OR(E4757="",E4757="!!!",F4757="NEW"),"",INDEX(J$1:J4756,SUMPRODUCT(MAX(ROW(E$1:E4756)*(E4757=E$1:E4756)))))</f>
        <v> </v>
      </c>
      <c r="L4757" s="26"/>
    </row>
    <row r="4758" spans="1:12">
      <c r="A4758" s="20" t="s">
        <v>1883</v>
      </c>
      <c r="E4758" s="21">
        <f>IF(D4758="?OLD","!!!","")</f>
        <v/>
      </c>
      <c r="F4758" s="22" t="str">
        <f>IF(OR(E4758="",E4758="!!!"),"",IF(NOT(ISNA(VLOOKUP(E4758,E$1:E4757,1,FALSE()))),"OLD",IF(AND(E4758&lt;&gt;"",E4758&lt;&gt;"!!!"),"NEW","")))</f>
        <v> </v>
      </c>
      <c r="G4758" s="23" t="str">
        <f>IF(OR(E4758="",E4758="!!!"),"",IF(OR(J4758=0,AND(J4758=1,K4758=1),AND(J4758=1,I4758="SBJ"),AND(J4758=1,I4758=0)),"?IN_FOCUS",IF(J4758&lt;=2,"?ACTIVATED",IF(J4758&lt;&gt;"","?FAMILIAR",IF(F4758="NEW",IF(ISNA(VLOOKUP(E4758,#REF!,1,FALSE())),"?TYPE_IDENTIFIABLE","?REFERENTIAL"),"_")))))</f>
        <v> </v>
      </c>
      <c r="H4758" s="24" t="str">
        <f>IF(J4758&lt;&gt;1,"",IF(I4758="SBJ","CB","?"))</f>
        <v> </v>
      </c>
      <c r="I4758" s="25" t="str">
        <f>IF(OR(E4758="",E4758="!!!",F4758="NEW"),"",INDEX(B4757:B$2,-1+SUMPRODUCT(MAX(ROW(E4757:E$2)*(E4758=E4757:E$2)))))</f>
        <v> </v>
      </c>
      <c r="J4758" s="25" t="str">
        <f>IF(OR(E4758="",E4758="!!!",F4758="NEW"),"",COUNTBLANK(OFFSET(A$1,,,SUMPRODUCT(MAX(ROW(E$2:E4758)*(E4758=E$2:E4758)))))-COUNTBLANK(OFFSET(A$1,,,SUMPRODUCT(MAX(ROW(E$1:E4757)*(E2=E$1:E4757))))))</f>
        <v> </v>
      </c>
      <c r="K4758" s="25" t="str">
        <f>IF(OR(E4758="",E4758="!!!",F4758="NEW"),"",INDEX(J$1:J4757,SUMPRODUCT(MAX(ROW(E$1:E4757)*(E4758=E$1:E4757)))))</f>
        <v> </v>
      </c>
      <c r="L4758" s="26"/>
    </row>
    <row r="4759" spans="1:12">
      <c r="A4759" s="20" t="s">
        <v>676</v>
      </c>
      <c r="E4759" s="21">
        <f>IF(D4759="?OLD","!!!","")</f>
        <v/>
      </c>
      <c r="F4759" s="22" t="str">
        <f>IF(OR(E4759="",E4759="!!!"),"",IF(NOT(ISNA(VLOOKUP(E4759,E$1:E4758,1,FALSE()))),"OLD",IF(AND(E4759&lt;&gt;"",E4759&lt;&gt;"!!!"),"NEW","")))</f>
        <v> </v>
      </c>
      <c r="G4759" s="23" t="str">
        <f>IF(OR(E4759="",E4759="!!!"),"",IF(OR(J4759=0,AND(J4759=1,K4759=1),AND(J4759=1,I4759="SBJ"),AND(J4759=1,I4759=0)),"?IN_FOCUS",IF(J4759&lt;=2,"?ACTIVATED",IF(J4759&lt;&gt;"","?FAMILIAR",IF(F4759="NEW",IF(ISNA(VLOOKUP(E4759,#REF!,1,FALSE())),"?TYPE_IDENTIFIABLE","?REFERENTIAL"),"_")))))</f>
        <v> </v>
      </c>
      <c r="H4759" s="24" t="str">
        <f>IF(J4759&lt;&gt;1,"",IF(I4759="SBJ","CB","?"))</f>
        <v> </v>
      </c>
      <c r="I4759" s="25" t="str">
        <f>IF(OR(E4759="",E4759="!!!",F4759="NEW"),"",INDEX(B4758:B$2,-1+SUMPRODUCT(MAX(ROW(E4758:E$2)*(E4759=E4758:E$2)))))</f>
        <v> </v>
      </c>
      <c r="J4759" s="25" t="str">
        <f>IF(OR(E4759="",E4759="!!!",F4759="NEW"),"",COUNTBLANK(OFFSET(A$1,,,SUMPRODUCT(MAX(ROW(E$2:E4759)*(E4759=E$2:E4759)))))-COUNTBLANK(OFFSET(A$1,,,SUMPRODUCT(MAX(ROW(E$1:E4758)*(E2=E$1:E4758))))))</f>
        <v> </v>
      </c>
      <c r="K4759" s="25" t="str">
        <f>IF(OR(E4759="",E4759="!!!",F4759="NEW"),"",INDEX(J$1:J4758,SUMPRODUCT(MAX(ROW(E$1:E4758)*(E4759=E$1:E4758)))))</f>
        <v> </v>
      </c>
      <c r="L4759" s="26"/>
    </row>
    <row r="4760" spans="1:12">
      <c r="A4760" s="20" t="s">
        <v>2061</v>
      </c>
      <c r="E4760" s="21">
        <f>IF(D4760="?OLD","!!!","")</f>
        <v/>
      </c>
      <c r="F4760" s="22" t="str">
        <f>IF(OR(E4760="",E4760="!!!"),"",IF(NOT(ISNA(VLOOKUP(E4760,E$1:E4759,1,FALSE()))),"OLD",IF(AND(E4760&lt;&gt;"",E4760&lt;&gt;"!!!"),"NEW","")))</f>
        <v> </v>
      </c>
      <c r="G4760" s="23" t="str">
        <f>IF(OR(E4760="",E4760="!!!"),"",IF(OR(J4760=0,AND(J4760=1,K4760=1),AND(J4760=1,I4760="SBJ"),AND(J4760=1,I4760=0)),"?IN_FOCUS",IF(J4760&lt;=2,"?ACTIVATED",IF(J4760&lt;&gt;"","?FAMILIAR",IF(F4760="NEW",IF(ISNA(VLOOKUP(E4760,#REF!,1,FALSE())),"?TYPE_IDENTIFIABLE","?REFERENTIAL"),"_")))))</f>
        <v> </v>
      </c>
      <c r="H4760" s="24" t="str">
        <f>IF(J4760&lt;&gt;1,"",IF(I4760="SBJ","CB","?"))</f>
        <v> </v>
      </c>
      <c r="I4760" s="25" t="str">
        <f>IF(OR(E4760="",E4760="!!!",F4760="NEW"),"",INDEX(B4759:B$2,-1+SUMPRODUCT(MAX(ROW(E4759:E$2)*(E4760=E4759:E$2)))))</f>
        <v> </v>
      </c>
      <c r="J4760" s="25" t="str">
        <f>IF(OR(E4760="",E4760="!!!",F4760="NEW"),"",COUNTBLANK(OFFSET(A$1,,,SUMPRODUCT(MAX(ROW(E$2:E4760)*(E4760=E$2:E4760)))))-COUNTBLANK(OFFSET(A$1,,,SUMPRODUCT(MAX(ROW(E$1:E4759)*(E2=E$1:E4759))))))</f>
        <v> </v>
      </c>
      <c r="K4760" s="25" t="str">
        <f>IF(OR(E4760="",E4760="!!!",F4760="NEW"),"",INDEX(J$1:J4759,SUMPRODUCT(MAX(ROW(E$1:E4759)*(E4760=E$1:E4759)))))</f>
        <v> </v>
      </c>
      <c r="L4760" s="26"/>
    </row>
    <row r="4761" spans="1:12">
      <c r="A4761" s="20" t="s">
        <v>1288</v>
      </c>
      <c r="B4761" s="27" t="s">
        <v>678</v>
      </c>
      <c r="C4761" s="27" t="s">
        <v>899</v>
      </c>
      <c r="D4761" s="27" t="s">
        <v>687</v>
      </c>
      <c r="E4761" s="21">
        <f>IF(D4761="?OLD","!!!","")</f>
        <v/>
      </c>
      <c r="F4761" s="22" t="str">
        <f>IF(OR(E4761="",E4761="!!!"),"",IF(NOT(ISNA(VLOOKUP(E4761,E$1:E4760,1,FALSE()))),"OLD",IF(AND(E4761&lt;&gt;"",E4761&lt;&gt;"!!!"),"NEW","")))</f>
        <v> </v>
      </c>
      <c r="G4761" s="23" t="str">
        <f>IF(OR(E4761="",E4761="!!!"),"",IF(OR(J4761=0,AND(J4761=1,K4761=1),AND(J4761=1,I4761="SBJ"),AND(J4761=1,I4761=0)),"?IN_FOCUS",IF(J4761&lt;=2,"?ACTIVATED",IF(J4761&lt;&gt;"","?FAMILIAR",IF(F4761="NEW",IF(ISNA(VLOOKUP(E4761,#REF!,1,FALSE())),"?TYPE_IDENTIFIABLE","?REFERENTIAL"),"_")))))</f>
        <v> </v>
      </c>
      <c r="H4761" s="24" t="str">
        <f>IF(J4761&lt;&gt;1,"",IF(I4761="SBJ","CB","?"))</f>
        <v> </v>
      </c>
      <c r="I4761" s="25" t="str">
        <f>IF(OR(E4761="",E4761="!!!",F4761="NEW"),"",INDEX(B4760:B$2,-1+SUMPRODUCT(MAX(ROW(E4760:E$2)*(E4761=E4760:E$2)))))</f>
        <v> </v>
      </c>
      <c r="J4761" s="25" t="str">
        <f>IF(OR(E4761="",E4761="!!!",F4761="NEW"),"",COUNTBLANK(OFFSET(A$1,,,SUMPRODUCT(MAX(ROW(E$2:E4761)*(E4761=E$2:E4761)))))-COUNTBLANK(OFFSET(A$1,,,SUMPRODUCT(MAX(ROW(E$1:E4760)*(E2=E$1:E4760))))))</f>
        <v> </v>
      </c>
      <c r="K4761" s="25" t="str">
        <f>IF(OR(E4761="",E4761="!!!",F4761="NEW"),"",INDEX(J$1:J4760,SUMPRODUCT(MAX(ROW(E$1:E4760)*(E4761=E$1:E4760)))))</f>
        <v> </v>
      </c>
      <c r="L4761" s="26"/>
    </row>
    <row r="4762" spans="1:12">
      <c r="A4762" s="20" t="s">
        <v>732</v>
      </c>
      <c r="E4762" s="21">
        <f>IF(D4762="?OLD","!!!","")</f>
        <v/>
      </c>
      <c r="F4762" s="22" t="str">
        <f>IF(OR(E4762="",E4762="!!!"),"",IF(NOT(ISNA(VLOOKUP(E4762,E$1:E4761,1,FALSE()))),"OLD",IF(AND(E4762&lt;&gt;"",E4762&lt;&gt;"!!!"),"NEW","")))</f>
        <v> </v>
      </c>
      <c r="G4762" s="23" t="str">
        <f>IF(OR(E4762="",E4762="!!!"),"",IF(OR(J4762=0,AND(J4762=1,K4762=1),AND(J4762=1,I4762="SBJ"),AND(J4762=1,I4762=0)),"?IN_FOCUS",IF(J4762&lt;=2,"?ACTIVATED",IF(J4762&lt;&gt;"","?FAMILIAR",IF(F4762="NEW",IF(ISNA(VLOOKUP(E4762,#REF!,1,FALSE())),"?TYPE_IDENTIFIABLE","?REFERENTIAL"),"_")))))</f>
        <v> </v>
      </c>
      <c r="H4762" s="24" t="str">
        <f>IF(J4762&lt;&gt;1,"",IF(I4762="SBJ","CB","?"))</f>
        <v> </v>
      </c>
      <c r="I4762" s="25" t="str">
        <f>IF(OR(E4762="",E4762="!!!",F4762="NEW"),"",INDEX(B4761:B$2,-1+SUMPRODUCT(MAX(ROW(E4761:E$2)*(E4762=E4761:E$2)))))</f>
        <v> </v>
      </c>
      <c r="J4762" s="25" t="str">
        <f>IF(OR(E4762="",E4762="!!!",F4762="NEW"),"",COUNTBLANK(OFFSET(A$1,,,SUMPRODUCT(MAX(ROW(E$2:E4762)*(E4762=E$2:E4762)))))-COUNTBLANK(OFFSET(A$1,,,SUMPRODUCT(MAX(ROW(E$1:E4761)*(E2=E$1:E4761))))))</f>
        <v> </v>
      </c>
      <c r="K4762" s="25" t="str">
        <f>IF(OR(E4762="",E4762="!!!",F4762="NEW"),"",INDEX(J$1:J4761,SUMPRODUCT(MAX(ROW(E$1:E4761)*(E4762=E$1:E4761)))))</f>
        <v> </v>
      </c>
      <c r="L4762" s="26"/>
    </row>
    <row r="4763" spans="1:12">
      <c r="A4763" s="20" t="s">
        <v>683</v>
      </c>
      <c r="E4763" s="21">
        <f>IF(D4763="?OLD","!!!","")</f>
        <v/>
      </c>
      <c r="F4763" s="22" t="str">
        <f>IF(OR(E4763="",E4763="!!!"),"",IF(NOT(ISNA(VLOOKUP(E4763,E$1:E4762,1,FALSE()))),"OLD",IF(AND(E4763&lt;&gt;"",E4763&lt;&gt;"!!!"),"NEW","")))</f>
        <v> </v>
      </c>
      <c r="G4763" s="23" t="str">
        <f>IF(OR(E4763="",E4763="!!!"),"",IF(OR(J4763=0,AND(J4763=1,K4763=1),AND(J4763=1,I4763="SBJ"),AND(J4763=1,I4763=0)),"?IN_FOCUS",IF(J4763&lt;=2,"?ACTIVATED",IF(J4763&lt;&gt;"","?FAMILIAR",IF(F4763="NEW",IF(ISNA(VLOOKUP(E4763,#REF!,1,FALSE())),"?TYPE_IDENTIFIABLE","?REFERENTIAL"),"_")))))</f>
        <v> </v>
      </c>
      <c r="H4763" s="24" t="str">
        <f>IF(J4763&lt;&gt;1,"",IF(I4763="SBJ","CB","?"))</f>
        <v> </v>
      </c>
      <c r="I4763" s="25" t="str">
        <f>IF(OR(E4763="",E4763="!!!",F4763="NEW"),"",INDEX(B4762:B$2,-1+SUMPRODUCT(MAX(ROW(E4762:E$2)*(E4763=E4762:E$2)))))</f>
        <v> </v>
      </c>
      <c r="J4763" s="25" t="str">
        <f>IF(OR(E4763="",E4763="!!!",F4763="NEW"),"",COUNTBLANK(OFFSET(A$1,,,SUMPRODUCT(MAX(ROW(E$2:E4763)*(E4763=E$2:E4763)))))-COUNTBLANK(OFFSET(A$1,,,SUMPRODUCT(MAX(ROW(E$1:E4762)*(E2=E$1:E4762))))))</f>
        <v> </v>
      </c>
      <c r="K4763" s="25" t="str">
        <f>IF(OR(E4763="",E4763="!!!",F4763="NEW"),"",INDEX(J$1:J4762,SUMPRODUCT(MAX(ROW(E$1:E4762)*(E4763=E$1:E4762)))))</f>
        <v> </v>
      </c>
      <c r="L4763" s="26"/>
    </row>
    <row r="4764" spans="1:12">
      <c r="A4764" s="20" t="s">
        <v>771</v>
      </c>
      <c r="B4764" s="27" t="s">
        <v>812</v>
      </c>
      <c r="C4764" s="27" t="s">
        <v>772</v>
      </c>
      <c r="D4764" s="27" t="s">
        <v>687</v>
      </c>
      <c r="E4764" s="21">
        <f>IF(D4764="?OLD","!!!","")</f>
        <v/>
      </c>
      <c r="F4764" s="22" t="str">
        <f>IF(OR(E4764="",E4764="!!!"),"",IF(NOT(ISNA(VLOOKUP(E4764,E$1:E4763,1,FALSE()))),"OLD",IF(AND(E4764&lt;&gt;"",E4764&lt;&gt;"!!!"),"NEW","")))</f>
        <v> </v>
      </c>
      <c r="G4764" s="23" t="str">
        <f>IF(OR(E4764="",E4764="!!!"),"",IF(OR(J4764=0,AND(J4764=1,K4764=1),AND(J4764=1,I4764="SBJ"),AND(J4764=1,I4764=0)),"?IN_FOCUS",IF(J4764&lt;=2,"?ACTIVATED",IF(J4764&lt;&gt;"","?FAMILIAR",IF(F4764="NEW",IF(ISNA(VLOOKUP(E4764,#REF!,1,FALSE())),"?TYPE_IDENTIFIABLE","?REFERENTIAL"),"_")))))</f>
        <v> </v>
      </c>
      <c r="H4764" s="24" t="str">
        <f>IF(J4764&lt;&gt;1,"",IF(I4764="SBJ","CB","?"))</f>
        <v> </v>
      </c>
      <c r="I4764" s="25" t="str">
        <f>IF(OR(E4764="",E4764="!!!",F4764="NEW"),"",INDEX(B4763:B$2,-1+SUMPRODUCT(MAX(ROW(E4763:E$2)*(E4764=E4763:E$2)))))</f>
        <v> </v>
      </c>
      <c r="J4764" s="25" t="str">
        <f>IF(OR(E4764="",E4764="!!!",F4764="NEW"),"",COUNTBLANK(OFFSET(A$1,,,SUMPRODUCT(MAX(ROW(E$2:E4764)*(E4764=E$2:E4764)))))-COUNTBLANK(OFFSET(A$1,,,SUMPRODUCT(MAX(ROW(E$1:E4763)*(E2=E$1:E4763))))))</f>
        <v> </v>
      </c>
      <c r="K4764" s="25" t="str">
        <f>IF(OR(E4764="",E4764="!!!",F4764="NEW"),"",INDEX(J$1:J4763,SUMPRODUCT(MAX(ROW(E$1:E4763)*(E4764=E$1:E4763)))))</f>
        <v> </v>
      </c>
      <c r="L4764" s="26"/>
    </row>
    <row r="4765" spans="1:12">
      <c r="A4765" s="20" t="s">
        <v>2062</v>
      </c>
      <c r="B4765" s="27" t="s">
        <v>807</v>
      </c>
      <c r="C4765" s="27" t="s">
        <v>686</v>
      </c>
      <c r="D4765" s="27" t="s">
        <v>687</v>
      </c>
      <c r="E4765" s="21">
        <f>IF(D4765="?OLD","!!!","")</f>
        <v/>
      </c>
      <c r="F4765" s="22" t="str">
        <f>IF(OR(E4765="",E4765="!!!"),"",IF(NOT(ISNA(VLOOKUP(E4765,E$1:E4764,1,FALSE()))),"OLD",IF(AND(E4765&lt;&gt;"",E4765&lt;&gt;"!!!"),"NEW","")))</f>
        <v> </v>
      </c>
      <c r="G4765" s="23" t="str">
        <f>IF(OR(E4765="",E4765="!!!"),"",IF(OR(J4765=0,AND(J4765=1,K4765=1),AND(J4765=1,I4765="SBJ"),AND(J4765=1,I4765=0)),"?IN_FOCUS",IF(J4765&lt;=2,"?ACTIVATED",IF(J4765&lt;&gt;"","?FAMILIAR",IF(F4765="NEW",IF(ISNA(VLOOKUP(E4765,#REF!,1,FALSE())),"?TYPE_IDENTIFIABLE","?REFERENTIAL"),"_")))))</f>
        <v> </v>
      </c>
      <c r="H4765" s="24" t="str">
        <f>IF(J4765&lt;&gt;1,"",IF(I4765="SBJ","CB","?"))</f>
        <v> </v>
      </c>
      <c r="I4765" s="25" t="str">
        <f>IF(OR(E4765="",E4765="!!!",F4765="NEW"),"",INDEX(B4764:B$2,-1+SUMPRODUCT(MAX(ROW(E4764:E$2)*(E4765=E4764:E$2)))))</f>
        <v> </v>
      </c>
      <c r="J4765" s="25" t="str">
        <f>IF(OR(E4765="",E4765="!!!",F4765="NEW"),"",COUNTBLANK(OFFSET(A$1,,,SUMPRODUCT(MAX(ROW(E$2:E4765)*(E4765=E$2:E4765)))))-COUNTBLANK(OFFSET(A$1,,,SUMPRODUCT(MAX(ROW(E$1:E4764)*(E2=E$1:E4764))))))</f>
        <v> </v>
      </c>
      <c r="K4765" s="25" t="str">
        <f>IF(OR(E4765="",E4765="!!!",F4765="NEW"),"",INDEX(J$1:J4764,SUMPRODUCT(MAX(ROW(E$1:E4764)*(E4765=E$1:E4764)))))</f>
        <v> </v>
      </c>
      <c r="L4765" s="26"/>
    </row>
    <row r="4766" spans="1:12">
      <c r="A4766" s="20" t="s">
        <v>830</v>
      </c>
      <c r="B4766" s="27" t="s">
        <v>810</v>
      </c>
      <c r="C4766" s="27" t="s">
        <v>749</v>
      </c>
      <c r="D4766" s="27" t="s">
        <v>687</v>
      </c>
      <c r="E4766" s="21">
        <f>IF(D4766="?OLD","!!!","")</f>
        <v/>
      </c>
      <c r="F4766" s="22" t="str">
        <f>IF(OR(E4766="",E4766="!!!"),"",IF(NOT(ISNA(VLOOKUP(E4766,E$1:E4765,1,FALSE()))),"OLD",IF(AND(E4766&lt;&gt;"",E4766&lt;&gt;"!!!"),"NEW","")))</f>
        <v> </v>
      </c>
      <c r="G4766" s="23" t="str">
        <f>IF(OR(E4766="",E4766="!!!"),"",IF(OR(J4766=0,AND(J4766=1,K4766=1),AND(J4766=1,I4766="SBJ"),AND(J4766=1,I4766=0)),"?IN_FOCUS",IF(J4766&lt;=2,"?ACTIVATED",IF(J4766&lt;&gt;"","?FAMILIAR",IF(F4766="NEW",IF(ISNA(VLOOKUP(E4766,#REF!,1,FALSE())),"?TYPE_IDENTIFIABLE","?REFERENTIAL"),"_")))))</f>
        <v> </v>
      </c>
      <c r="H4766" s="24" t="str">
        <f>IF(J4766&lt;&gt;1,"",IF(I4766="SBJ","CB","?"))</f>
        <v> </v>
      </c>
      <c r="I4766" s="25" t="str">
        <f>IF(OR(E4766="",E4766="!!!",F4766="NEW"),"",INDEX(B4765:B$2,-1+SUMPRODUCT(MAX(ROW(E4765:E$2)*(E4766=E4765:E$2)))))</f>
        <v> </v>
      </c>
      <c r="J4766" s="25" t="str">
        <f>IF(OR(E4766="",E4766="!!!",F4766="NEW"),"",COUNTBLANK(OFFSET(A$1,,,SUMPRODUCT(MAX(ROW(E$2:E4766)*(E4766=E$2:E4766)))))-COUNTBLANK(OFFSET(A$1,,,SUMPRODUCT(MAX(ROW(E$1:E4765)*(E2=E$1:E4765))))))</f>
        <v> </v>
      </c>
      <c r="K4766" s="25" t="str">
        <f>IF(OR(E4766="",E4766="!!!",F4766="NEW"),"",INDEX(J$1:J4765,SUMPRODUCT(MAX(ROW(E$1:E4765)*(E4766=E$1:E4765)))))</f>
        <v> </v>
      </c>
      <c r="L4766" s="26"/>
    </row>
    <row r="4767" spans="1:12">
      <c r="A4767" s="20" t="s">
        <v>750</v>
      </c>
      <c r="E4767" s="21">
        <f>IF(D4767="?OLD","!!!","")</f>
        <v/>
      </c>
      <c r="F4767" s="22" t="str">
        <f>IF(OR(E4767="",E4767="!!!"),"",IF(NOT(ISNA(VLOOKUP(E4767,E$1:E4766,1,FALSE()))),"OLD",IF(AND(E4767&lt;&gt;"",E4767&lt;&gt;"!!!"),"NEW","")))</f>
        <v> </v>
      </c>
      <c r="G4767" s="23" t="str">
        <f>IF(OR(E4767="",E4767="!!!"),"",IF(OR(J4767=0,AND(J4767=1,K4767=1),AND(J4767=1,I4767="SBJ"),AND(J4767=1,I4767=0)),"?IN_FOCUS",IF(J4767&lt;=2,"?ACTIVATED",IF(J4767&lt;&gt;"","?FAMILIAR",IF(F4767="NEW",IF(ISNA(VLOOKUP(E4767,#REF!,1,FALSE())),"?TYPE_IDENTIFIABLE","?REFERENTIAL"),"_")))))</f>
        <v> </v>
      </c>
      <c r="H4767" s="24" t="str">
        <f>IF(J4767&lt;&gt;1,"",IF(I4767="SBJ","CB","?"))</f>
        <v> </v>
      </c>
      <c r="I4767" s="25" t="str">
        <f>IF(OR(E4767="",E4767="!!!",F4767="NEW"),"",INDEX(B4766:B$2,-1+SUMPRODUCT(MAX(ROW(E4766:E$2)*(E4767=E4766:E$2)))))</f>
        <v> </v>
      </c>
      <c r="J4767" s="25" t="str">
        <f>IF(OR(E4767="",E4767="!!!",F4767="NEW"),"",COUNTBLANK(OFFSET(A$1,,,SUMPRODUCT(MAX(ROW(E$2:E4767)*(E4767=E$2:E4767)))))-COUNTBLANK(OFFSET(A$1,,,SUMPRODUCT(MAX(ROW(E$1:E4766)*(E2=E$1:E4766))))))</f>
        <v> </v>
      </c>
      <c r="K4767" s="25" t="str">
        <f>IF(OR(E4767="",E4767="!!!",F4767="NEW"),"",INDEX(J$1:J4766,SUMPRODUCT(MAX(ROW(E$1:E4766)*(E4767=E$1:E4766)))))</f>
        <v> </v>
      </c>
      <c r="L4767" s="26"/>
    </row>
    <row r="4768" spans="1:12">
      <c r="A4768" s="20" t="s">
        <v>2063</v>
      </c>
      <c r="E4768" s="21">
        <f>IF(D4768="?OLD","!!!","")</f>
        <v/>
      </c>
      <c r="F4768" s="22" t="str">
        <f>IF(OR(E4768="",E4768="!!!"),"",IF(NOT(ISNA(VLOOKUP(E4768,E$1:E4767,1,FALSE()))),"OLD",IF(AND(E4768&lt;&gt;"",E4768&lt;&gt;"!!!"),"NEW","")))</f>
        <v> </v>
      </c>
      <c r="G4768" s="23" t="str">
        <f>IF(OR(E4768="",E4768="!!!"),"",IF(OR(J4768=0,AND(J4768=1,K4768=1),AND(J4768=1,I4768="SBJ"),AND(J4768=1,I4768=0)),"?IN_FOCUS",IF(J4768&lt;=2,"?ACTIVATED",IF(J4768&lt;&gt;"","?FAMILIAR",IF(F4768="NEW",IF(ISNA(VLOOKUP(E4768,#REF!,1,FALSE())),"?TYPE_IDENTIFIABLE","?REFERENTIAL"),"_")))))</f>
        <v> </v>
      </c>
      <c r="H4768" s="24" t="str">
        <f>IF(J4768&lt;&gt;1,"",IF(I4768="SBJ","CB","?"))</f>
        <v> </v>
      </c>
      <c r="I4768" s="25" t="str">
        <f>IF(OR(E4768="",E4768="!!!",F4768="NEW"),"",INDEX(B4767:B$2,-1+SUMPRODUCT(MAX(ROW(E4767:E$2)*(E4768=E4767:E$2)))))</f>
        <v> </v>
      </c>
      <c r="J4768" s="25" t="str">
        <f>IF(OR(E4768="",E4768="!!!",F4768="NEW"),"",COUNTBLANK(OFFSET(A$1,,,SUMPRODUCT(MAX(ROW(E$2:E4768)*(E4768=E$2:E4768)))))-COUNTBLANK(OFFSET(A$1,,,SUMPRODUCT(MAX(ROW(E$1:E4767)*(E2=E$1:E4767))))))</f>
        <v> </v>
      </c>
      <c r="K4768" s="25" t="str">
        <f>IF(OR(E4768="",E4768="!!!",F4768="NEW"),"",INDEX(J$1:J4767,SUMPRODUCT(MAX(ROW(E$1:E4767)*(E4768=E$1:E4767)))))</f>
        <v> </v>
      </c>
      <c r="L4768" s="26"/>
    </row>
    <row r="4769" spans="1:12">
      <c r="A4769" s="20" t="s">
        <v>733</v>
      </c>
      <c r="E4769" s="21">
        <f>IF(D4769="?OLD","!!!","")</f>
        <v/>
      </c>
      <c r="F4769" s="22" t="str">
        <f>IF(OR(E4769="",E4769="!!!"),"",IF(NOT(ISNA(VLOOKUP(E4769,E$1:E4768,1,FALSE()))),"OLD",IF(AND(E4769&lt;&gt;"",E4769&lt;&gt;"!!!"),"NEW","")))</f>
        <v> </v>
      </c>
      <c r="G4769" s="23" t="str">
        <f>IF(OR(E4769="",E4769="!!!"),"",IF(OR(J4769=0,AND(J4769=1,K4769=1),AND(J4769=1,I4769="SBJ"),AND(J4769=1,I4769=0)),"?IN_FOCUS",IF(J4769&lt;=2,"?ACTIVATED",IF(J4769&lt;&gt;"","?FAMILIAR",IF(F4769="NEW",IF(ISNA(VLOOKUP(E4769,#REF!,1,FALSE())),"?TYPE_IDENTIFIABLE","?REFERENTIAL"),"_")))))</f>
        <v> </v>
      </c>
      <c r="H4769" s="24" t="str">
        <f>IF(J4769&lt;&gt;1,"",IF(I4769="SBJ","CB","?"))</f>
        <v> </v>
      </c>
      <c r="I4769" s="25" t="str">
        <f>IF(OR(E4769="",E4769="!!!",F4769="NEW"),"",INDEX(B4768:B$2,-1+SUMPRODUCT(MAX(ROW(E4768:E$2)*(E4769=E4768:E$2)))))</f>
        <v> </v>
      </c>
      <c r="J4769" s="25" t="str">
        <f>IF(OR(E4769="",E4769="!!!",F4769="NEW"),"",COUNTBLANK(OFFSET(A$1,,,SUMPRODUCT(MAX(ROW(E$2:E4769)*(E4769=E$2:E4769)))))-COUNTBLANK(OFFSET(A$1,,,SUMPRODUCT(MAX(ROW(E$1:E4768)*(E2=E$1:E4768))))))</f>
        <v> </v>
      </c>
      <c r="K4769" s="25" t="str">
        <f>IF(OR(E4769="",E4769="!!!",F4769="NEW"),"",INDEX(J$1:J4768,SUMPRODUCT(MAX(ROW(E$1:E4768)*(E4769=E$1:E4768)))))</f>
        <v> </v>
      </c>
      <c r="L4769" s="26"/>
    </row>
    <row r="4770" spans="1:12">
      <c r="A4770" s="20" t="s">
        <v>2064</v>
      </c>
      <c r="B4770" s="27" t="s">
        <v>810</v>
      </c>
      <c r="C4770" s="27" t="s">
        <v>736</v>
      </c>
      <c r="E4770" s="21">
        <f>IF(D4770="?OLD","!!!","")</f>
        <v/>
      </c>
      <c r="F4770" s="22" t="str">
        <f>IF(OR(E4770="",E4770="!!!"),"",IF(NOT(ISNA(VLOOKUP(E4770,E$1:E4769,1,FALSE()))),"OLD",IF(AND(E4770&lt;&gt;"",E4770&lt;&gt;"!!!"),"NEW","")))</f>
        <v> </v>
      </c>
      <c r="G4770" s="23" t="str">
        <f>IF(OR(E4770="",E4770="!!!"),"",IF(OR(J4770=0,AND(J4770=1,K4770=1),AND(J4770=1,I4770="SBJ"),AND(J4770=1,I4770=0)),"?IN_FOCUS",IF(J4770&lt;=2,"?ACTIVATED",IF(J4770&lt;&gt;"","?FAMILIAR",IF(F4770="NEW",IF(ISNA(VLOOKUP(E4770,#REF!,1,FALSE())),"?TYPE_IDENTIFIABLE","?REFERENTIAL"),"_")))))</f>
        <v> </v>
      </c>
      <c r="H4770" s="24" t="str">
        <f>IF(J4770&lt;&gt;1,"",IF(I4770="SBJ","CB","?"))</f>
        <v> </v>
      </c>
      <c r="I4770" s="25" t="str">
        <f>IF(OR(E4770="",E4770="!!!",F4770="NEW"),"",INDEX(B4769:B$2,-1+SUMPRODUCT(MAX(ROW(E4769:E$2)*(E4770=E4769:E$2)))))</f>
        <v> </v>
      </c>
      <c r="J4770" s="25" t="str">
        <f>IF(OR(E4770="",E4770="!!!",F4770="NEW"),"",COUNTBLANK(OFFSET(A$1,,,SUMPRODUCT(MAX(ROW(E$2:E4770)*(E4770=E$2:E4770)))))-COUNTBLANK(OFFSET(A$1,,,SUMPRODUCT(MAX(ROW(E$1:E4769)*(E2=E$1:E4769))))))</f>
        <v> </v>
      </c>
      <c r="K4770" s="25" t="str">
        <f>IF(OR(E4770="",E4770="!!!",F4770="NEW"),"",INDEX(J$1:J4769,SUMPRODUCT(MAX(ROW(E$1:E4769)*(E4770=E$1:E4769)))))</f>
        <v> </v>
      </c>
      <c r="L4770" s="26"/>
    </row>
    <row r="4771" spans="1:12">
      <c r="A4771" s="20" t="s">
        <v>703</v>
      </c>
      <c r="E4771" s="21">
        <f>IF(D4771="?OLD","!!!","")</f>
        <v/>
      </c>
      <c r="F4771" s="22" t="str">
        <f>IF(OR(E4771="",E4771="!!!"),"",IF(NOT(ISNA(VLOOKUP(E4771,E$1:E4770,1,FALSE()))),"OLD",IF(AND(E4771&lt;&gt;"",E4771&lt;&gt;"!!!"),"NEW","")))</f>
        <v> </v>
      </c>
      <c r="G4771" s="23" t="str">
        <f>IF(OR(E4771="",E4771="!!!"),"",IF(OR(J4771=0,AND(J4771=1,K4771=1),AND(J4771=1,I4771="SBJ"),AND(J4771=1,I4771=0)),"?IN_FOCUS",IF(J4771&lt;=2,"?ACTIVATED",IF(J4771&lt;&gt;"","?FAMILIAR",IF(F4771="NEW",IF(ISNA(VLOOKUP(E4771,#REF!,1,FALSE())),"?TYPE_IDENTIFIABLE","?REFERENTIAL"),"_")))))</f>
        <v> </v>
      </c>
      <c r="H4771" s="24" t="str">
        <f>IF(J4771&lt;&gt;1,"",IF(I4771="SBJ","CB","?"))</f>
        <v> </v>
      </c>
      <c r="I4771" s="25" t="str">
        <f>IF(OR(E4771="",E4771="!!!",F4771="NEW"),"",INDEX(B4770:B$2,-1+SUMPRODUCT(MAX(ROW(E4770:E$2)*(E4771=E4770:E$2)))))</f>
        <v> </v>
      </c>
      <c r="J4771" s="25" t="str">
        <f>IF(OR(E4771="",E4771="!!!",F4771="NEW"),"",COUNTBLANK(OFFSET(A$1,,,SUMPRODUCT(MAX(ROW(E$2:E4771)*(E4771=E$2:E4771)))))-COUNTBLANK(OFFSET(A$1,,,SUMPRODUCT(MAX(ROW(E$1:E4770)*(E2=E$1:E4770))))))</f>
        <v> </v>
      </c>
      <c r="K4771" s="25" t="str">
        <f>IF(OR(E4771="",E4771="!!!",F4771="NEW"),"",INDEX(J$1:J4770,SUMPRODUCT(MAX(ROW(E$1:E4770)*(E4771=E$1:E4770)))))</f>
        <v> </v>
      </c>
      <c r="L4771" s="26"/>
    </row>
    <row r="4772" spans="1:12">
      <c r="A4772" s="20" t="s">
        <v>732</v>
      </c>
      <c r="E4772" s="21">
        <f>IF(D4772="?OLD","!!!","")</f>
        <v/>
      </c>
      <c r="F4772" s="22" t="str">
        <f>IF(OR(E4772="",E4772="!!!"),"",IF(NOT(ISNA(VLOOKUP(E4772,E$1:E4771,1,FALSE()))),"OLD",IF(AND(E4772&lt;&gt;"",E4772&lt;&gt;"!!!"),"NEW","")))</f>
        <v> </v>
      </c>
      <c r="G4772" s="23" t="str">
        <f>IF(OR(E4772="",E4772="!!!"),"",IF(OR(J4772=0,AND(J4772=1,K4772=1),AND(J4772=1,I4772="SBJ"),AND(J4772=1,I4772=0)),"?IN_FOCUS",IF(J4772&lt;=2,"?ACTIVATED",IF(J4772&lt;&gt;"","?FAMILIAR",IF(F4772="NEW",IF(ISNA(VLOOKUP(E4772,#REF!,1,FALSE())),"?TYPE_IDENTIFIABLE","?REFERENTIAL"),"_")))))</f>
        <v> </v>
      </c>
      <c r="H4772" s="24" t="str">
        <f>IF(J4772&lt;&gt;1,"",IF(I4772="SBJ","CB","?"))</f>
        <v> </v>
      </c>
      <c r="I4772" s="25" t="str">
        <f>IF(OR(E4772="",E4772="!!!",F4772="NEW"),"",INDEX(B4771:B$2,-1+SUMPRODUCT(MAX(ROW(E4771:E$2)*(E4772=E4771:E$2)))))</f>
        <v> </v>
      </c>
      <c r="J4772" s="25" t="str">
        <f>IF(OR(E4772="",E4772="!!!",F4772="NEW"),"",COUNTBLANK(OFFSET(A$1,,,SUMPRODUCT(MAX(ROW(E$2:E4772)*(E4772=E$2:E4772)))))-COUNTBLANK(OFFSET(A$1,,,SUMPRODUCT(MAX(ROW(E$1:E4771)*(E2=E$1:E4771))))))</f>
        <v> </v>
      </c>
      <c r="K4772" s="25" t="str">
        <f>IF(OR(E4772="",E4772="!!!",F4772="NEW"),"",INDEX(J$1:J4771,SUMPRODUCT(MAX(ROW(E$1:E4771)*(E4772=E$1:E4771)))))</f>
        <v> </v>
      </c>
      <c r="L4772" s="26"/>
    </row>
    <row r="4773" spans="1:12">
      <c r="A4773" s="20" t="s">
        <v>747</v>
      </c>
      <c r="B4773" s="27" t="s">
        <v>863</v>
      </c>
      <c r="C4773" s="27" t="s">
        <v>749</v>
      </c>
      <c r="D4773" s="27" t="s">
        <v>687</v>
      </c>
      <c r="E4773" s="21">
        <f>IF(D4773="?OLD","!!!","")</f>
        <v/>
      </c>
      <c r="F4773" s="22" t="str">
        <f>IF(OR(E4773="",E4773="!!!"),"",IF(NOT(ISNA(VLOOKUP(E4773,E$1:E4772,1,FALSE()))),"OLD",IF(AND(E4773&lt;&gt;"",E4773&lt;&gt;"!!!"),"NEW","")))</f>
        <v> </v>
      </c>
      <c r="G4773" s="23" t="str">
        <f>IF(OR(E4773="",E4773="!!!"),"",IF(OR(J4773=0,AND(J4773=1,K4773=1),AND(J4773=1,I4773="SBJ"),AND(J4773=1,I4773=0)),"?IN_FOCUS",IF(J4773&lt;=2,"?ACTIVATED",IF(J4773&lt;&gt;"","?FAMILIAR",IF(F4773="NEW",IF(ISNA(VLOOKUP(E4773,#REF!,1,FALSE())),"?TYPE_IDENTIFIABLE","?REFERENTIAL"),"_")))))</f>
        <v> </v>
      </c>
      <c r="H4773" s="24" t="str">
        <f>IF(J4773&lt;&gt;1,"",IF(I4773="SBJ","CB","?"))</f>
        <v> </v>
      </c>
      <c r="I4773" s="25" t="str">
        <f>IF(OR(E4773="",E4773="!!!",F4773="NEW"),"",INDEX(B4772:B$2,-1+SUMPRODUCT(MAX(ROW(E4772:E$2)*(E4773=E4772:E$2)))))</f>
        <v> </v>
      </c>
      <c r="J4773" s="25" t="str">
        <f>IF(OR(E4773="",E4773="!!!",F4773="NEW"),"",COUNTBLANK(OFFSET(A$1,,,SUMPRODUCT(MAX(ROW(E$2:E4773)*(E4773=E$2:E4773)))))-COUNTBLANK(OFFSET(A$1,,,SUMPRODUCT(MAX(ROW(E$1:E4772)*(E2=E$1:E4772))))))</f>
        <v> </v>
      </c>
      <c r="K4773" s="25" t="str">
        <f>IF(OR(E4773="",E4773="!!!",F4773="NEW"),"",INDEX(J$1:J4772,SUMPRODUCT(MAX(ROW(E$1:E4772)*(E4773=E$1:E4772)))))</f>
        <v> </v>
      </c>
      <c r="L4773" s="26"/>
    </row>
    <row r="4774" spans="1:12">
      <c r="A4774" s="20" t="s">
        <v>1010</v>
      </c>
      <c r="E4774" s="21">
        <f>IF(D4774="?OLD","!!!","")</f>
        <v/>
      </c>
      <c r="F4774" s="22" t="str">
        <f>IF(OR(E4774="",E4774="!!!"),"",IF(NOT(ISNA(VLOOKUP(E4774,E$1:E4773,1,FALSE()))),"OLD",IF(AND(E4774&lt;&gt;"",E4774&lt;&gt;"!!!"),"NEW","")))</f>
        <v> </v>
      </c>
      <c r="G4774" s="23" t="str">
        <f>IF(OR(E4774="",E4774="!!!"),"",IF(OR(J4774=0,AND(J4774=1,K4774=1),AND(J4774=1,I4774="SBJ"),AND(J4774=1,I4774=0)),"?IN_FOCUS",IF(J4774&lt;=2,"?ACTIVATED",IF(J4774&lt;&gt;"","?FAMILIAR",IF(F4774="NEW",IF(ISNA(VLOOKUP(E4774,#REF!,1,FALSE())),"?TYPE_IDENTIFIABLE","?REFERENTIAL"),"_")))))</f>
        <v> </v>
      </c>
      <c r="H4774" s="24" t="str">
        <f>IF(J4774&lt;&gt;1,"",IF(I4774="SBJ","CB","?"))</f>
        <v> </v>
      </c>
      <c r="I4774" s="25" t="str">
        <f>IF(OR(E4774="",E4774="!!!",F4774="NEW"),"",INDEX(B4773:B$2,-1+SUMPRODUCT(MAX(ROW(E4773:E$2)*(E4774=E4773:E$2)))))</f>
        <v> </v>
      </c>
      <c r="J4774" s="25" t="str">
        <f>IF(OR(E4774="",E4774="!!!",F4774="NEW"),"",COUNTBLANK(OFFSET(A$1,,,SUMPRODUCT(MAX(ROW(E$2:E4774)*(E4774=E$2:E4774)))))-COUNTBLANK(OFFSET(A$1,,,SUMPRODUCT(MAX(ROW(E$1:E4773)*(E2=E$1:E4773))))))</f>
        <v> </v>
      </c>
      <c r="K4774" s="25" t="str">
        <f>IF(OR(E4774="",E4774="!!!",F4774="NEW"),"",INDEX(J$1:J4773,SUMPRODUCT(MAX(ROW(E$1:E4773)*(E4774=E$1:E4773)))))</f>
        <v> </v>
      </c>
      <c r="L4774" s="26"/>
    </row>
    <row r="4775" spans="1:12">
      <c r="A4775" s="20" t="s">
        <v>2065</v>
      </c>
      <c r="E4775" s="21">
        <f>IF(D4775="?OLD","!!!","")</f>
        <v/>
      </c>
      <c r="F4775" s="22" t="str">
        <f>IF(OR(E4775="",E4775="!!!"),"",IF(NOT(ISNA(VLOOKUP(E4775,E$1:E4774,1,FALSE()))),"OLD",IF(AND(E4775&lt;&gt;"",E4775&lt;&gt;"!!!"),"NEW","")))</f>
        <v> </v>
      </c>
      <c r="G4775" s="23" t="str">
        <f>IF(OR(E4775="",E4775="!!!"),"",IF(OR(J4775=0,AND(J4775=1,K4775=1),AND(J4775=1,I4775="SBJ"),AND(J4775=1,I4775=0)),"?IN_FOCUS",IF(J4775&lt;=2,"?ACTIVATED",IF(J4775&lt;&gt;"","?FAMILIAR",IF(F4775="NEW",IF(ISNA(VLOOKUP(E4775,#REF!,1,FALSE())),"?TYPE_IDENTIFIABLE","?REFERENTIAL"),"_")))))</f>
        <v> </v>
      </c>
      <c r="H4775" s="24" t="str">
        <f>IF(J4775&lt;&gt;1,"",IF(I4775="SBJ","CB","?"))</f>
        <v> </v>
      </c>
      <c r="I4775" s="25" t="str">
        <f>IF(OR(E4775="",E4775="!!!",F4775="NEW"),"",INDEX(B4774:B$2,-1+SUMPRODUCT(MAX(ROW(E4774:E$2)*(E4775=E4774:E$2)))))</f>
        <v> </v>
      </c>
      <c r="J4775" s="25" t="str">
        <f>IF(OR(E4775="",E4775="!!!",F4775="NEW"),"",COUNTBLANK(OFFSET(A$1,,,SUMPRODUCT(MAX(ROW(E$2:E4775)*(E4775=E$2:E4775)))))-COUNTBLANK(OFFSET(A$1,,,SUMPRODUCT(MAX(ROW(E$1:E4774)*(E2=E$1:E4774))))))</f>
        <v> </v>
      </c>
      <c r="K4775" s="25" t="str">
        <f>IF(OR(E4775="",E4775="!!!",F4775="NEW"),"",INDEX(J$1:J4774,SUMPRODUCT(MAX(ROW(E$1:E4774)*(E4775=E$1:E4774)))))</f>
        <v> </v>
      </c>
      <c r="L4775" s="26"/>
    </row>
    <row r="4776" spans="1:12">
      <c r="A4776" s="20" t="s">
        <v>708</v>
      </c>
      <c r="E4776" s="21">
        <f>IF(D4776="?OLD","!!!","")</f>
        <v/>
      </c>
      <c r="F4776" s="22" t="str">
        <f>IF(OR(E4776="",E4776="!!!"),"",IF(NOT(ISNA(VLOOKUP(E4776,E$1:E4775,1,FALSE()))),"OLD",IF(AND(E4776&lt;&gt;"",E4776&lt;&gt;"!!!"),"NEW","")))</f>
        <v> </v>
      </c>
      <c r="G4776" s="23" t="str">
        <f>IF(OR(E4776="",E4776="!!!"),"",IF(OR(J4776=0,AND(J4776=1,K4776=1),AND(J4776=1,I4776="SBJ"),AND(J4776=1,I4776=0)),"?IN_FOCUS",IF(J4776&lt;=2,"?ACTIVATED",IF(J4776&lt;&gt;"","?FAMILIAR",IF(F4776="NEW",IF(ISNA(VLOOKUP(E4776,#REF!,1,FALSE())),"?TYPE_IDENTIFIABLE","?REFERENTIAL"),"_")))))</f>
        <v> </v>
      </c>
      <c r="H4776" s="24" t="str">
        <f>IF(J4776&lt;&gt;1,"",IF(I4776="SBJ","CB","?"))</f>
        <v> </v>
      </c>
      <c r="I4776" s="25" t="str">
        <f>IF(OR(E4776="",E4776="!!!",F4776="NEW"),"",INDEX(B4775:B$2,-1+SUMPRODUCT(MAX(ROW(E4775:E$2)*(E4776=E4775:E$2)))))</f>
        <v> </v>
      </c>
      <c r="J4776" s="25" t="str">
        <f>IF(OR(E4776="",E4776="!!!",F4776="NEW"),"",COUNTBLANK(OFFSET(A$1,,,SUMPRODUCT(MAX(ROW(E$2:E4776)*(E4776=E$2:E4776)))))-COUNTBLANK(OFFSET(A$1,,,SUMPRODUCT(MAX(ROW(E$1:E4775)*(E2=E$1:E4775))))))</f>
        <v> </v>
      </c>
      <c r="K4776" s="25" t="str">
        <f>IF(OR(E4776="",E4776="!!!",F4776="NEW"),"",INDEX(J$1:J4775,SUMPRODUCT(MAX(ROW(E$1:E4775)*(E4776=E$1:E4775)))))</f>
        <v> </v>
      </c>
      <c r="L4776" s="26"/>
    </row>
    <row r="4777" spans="1:12">
      <c r="A4777" s="20" t="s">
        <v>830</v>
      </c>
      <c r="B4777" s="27" t="s">
        <v>874</v>
      </c>
      <c r="C4777" s="27" t="s">
        <v>749</v>
      </c>
      <c r="D4777" s="27" t="s">
        <v>687</v>
      </c>
      <c r="E4777" s="21">
        <f>IF(D4777="?OLD","!!!","")</f>
        <v/>
      </c>
      <c r="F4777" s="22" t="str">
        <f>IF(OR(E4777="",E4777="!!!"),"",IF(NOT(ISNA(VLOOKUP(E4777,E$1:E4776,1,FALSE()))),"OLD",IF(AND(E4777&lt;&gt;"",E4777&lt;&gt;"!!!"),"NEW","")))</f>
        <v> </v>
      </c>
      <c r="G4777" s="23" t="str">
        <f>IF(OR(E4777="",E4777="!!!"),"",IF(OR(J4777=0,AND(J4777=1,K4777=1),AND(J4777=1,I4777="SBJ"),AND(J4777=1,I4777=0)),"?IN_FOCUS",IF(J4777&lt;=2,"?ACTIVATED",IF(J4777&lt;&gt;"","?FAMILIAR",IF(F4777="NEW",IF(ISNA(VLOOKUP(E4777,#REF!,1,FALSE())),"?TYPE_IDENTIFIABLE","?REFERENTIAL"),"_")))))</f>
        <v> </v>
      </c>
      <c r="H4777" s="24" t="str">
        <f>IF(J4777&lt;&gt;1,"",IF(I4777="SBJ","CB","?"))</f>
        <v> </v>
      </c>
      <c r="I4777" s="25" t="str">
        <f>IF(OR(E4777="",E4777="!!!",F4777="NEW"),"",INDEX(B4776:B$2,-1+SUMPRODUCT(MAX(ROW(E4776:E$2)*(E4777=E4776:E$2)))))</f>
        <v> </v>
      </c>
      <c r="J4777" s="25" t="str">
        <f>IF(OR(E4777="",E4777="!!!",F4777="NEW"),"",COUNTBLANK(OFFSET(A$1,,,SUMPRODUCT(MAX(ROW(E$2:E4777)*(E4777=E$2:E4777)))))-COUNTBLANK(OFFSET(A$1,,,SUMPRODUCT(MAX(ROW(E$1:E4776)*(E2=E$1:E4776))))))</f>
        <v> </v>
      </c>
      <c r="K4777" s="25" t="str">
        <f>IF(OR(E4777="",E4777="!!!",F4777="NEW"),"",INDEX(J$1:J4776,SUMPRODUCT(MAX(ROW(E$1:E4776)*(E4777=E$1:E4776)))))</f>
        <v> </v>
      </c>
      <c r="L4777" s="26"/>
    </row>
    <row r="4778" spans="1:12">
      <c r="A4778" s="20" t="s">
        <v>1971</v>
      </c>
      <c r="E4778" s="21">
        <f>IF(D4778="?OLD","!!!","")</f>
        <v/>
      </c>
      <c r="F4778" s="22" t="str">
        <f>IF(OR(E4778="",E4778="!!!"),"",IF(NOT(ISNA(VLOOKUP(E4778,E$1:E4777,1,FALSE()))),"OLD",IF(AND(E4778&lt;&gt;"",E4778&lt;&gt;"!!!"),"NEW","")))</f>
        <v> </v>
      </c>
      <c r="G4778" s="23" t="str">
        <f>IF(OR(E4778="",E4778="!!!"),"",IF(OR(J4778=0,AND(J4778=1,K4778=1),AND(J4778=1,I4778="SBJ"),AND(J4778=1,I4778=0)),"?IN_FOCUS",IF(J4778&lt;=2,"?ACTIVATED",IF(J4778&lt;&gt;"","?FAMILIAR",IF(F4778="NEW",IF(ISNA(VLOOKUP(E4778,#REF!,1,FALSE())),"?TYPE_IDENTIFIABLE","?REFERENTIAL"),"_")))))</f>
        <v> </v>
      </c>
      <c r="H4778" s="24" t="str">
        <f>IF(J4778&lt;&gt;1,"",IF(I4778="SBJ","CB","?"))</f>
        <v> </v>
      </c>
      <c r="I4778" s="25" t="str">
        <f>IF(OR(E4778="",E4778="!!!",F4778="NEW"),"",INDEX(B4777:B$2,-1+SUMPRODUCT(MAX(ROW(E4777:E$2)*(E4778=E4777:E$2)))))</f>
        <v> </v>
      </c>
      <c r="J4778" s="25" t="str">
        <f>IF(OR(E4778="",E4778="!!!",F4778="NEW"),"",COUNTBLANK(OFFSET(A$1,,,SUMPRODUCT(MAX(ROW(E$2:E4778)*(E4778=E$2:E4778)))))-COUNTBLANK(OFFSET(A$1,,,SUMPRODUCT(MAX(ROW(E$1:E4777)*(E2=E$1:E4777))))))</f>
        <v> </v>
      </c>
      <c r="K4778" s="25" t="str">
        <f>IF(OR(E4778="",E4778="!!!",F4778="NEW"),"",INDEX(J$1:J4777,SUMPRODUCT(MAX(ROW(E$1:E4777)*(E4778=E$1:E4777)))))</f>
        <v> </v>
      </c>
      <c r="L4778" s="26"/>
    </row>
    <row r="4779" spans="1:12">
      <c r="A4779" s="20" t="s">
        <v>683</v>
      </c>
      <c r="E4779" s="21">
        <f>IF(D4779="?OLD","!!!","")</f>
        <v/>
      </c>
      <c r="F4779" s="22" t="str">
        <f>IF(OR(E4779="",E4779="!!!"),"",IF(NOT(ISNA(VLOOKUP(E4779,E$1:E4778,1,FALSE()))),"OLD",IF(AND(E4779&lt;&gt;"",E4779&lt;&gt;"!!!"),"NEW","")))</f>
        <v> </v>
      </c>
      <c r="G4779" s="23" t="str">
        <f>IF(OR(E4779="",E4779="!!!"),"",IF(OR(J4779=0,AND(J4779=1,K4779=1),AND(J4779=1,I4779="SBJ"),AND(J4779=1,I4779=0)),"?IN_FOCUS",IF(J4779&lt;=2,"?ACTIVATED",IF(J4779&lt;&gt;"","?FAMILIAR",IF(F4779="NEW",IF(ISNA(VLOOKUP(E4779,#REF!,1,FALSE())),"?TYPE_IDENTIFIABLE","?REFERENTIAL"),"_")))))</f>
        <v> </v>
      </c>
      <c r="H4779" s="24" t="str">
        <f>IF(J4779&lt;&gt;1,"",IF(I4779="SBJ","CB","?"))</f>
        <v> </v>
      </c>
      <c r="I4779" s="25" t="str">
        <f>IF(OR(E4779="",E4779="!!!",F4779="NEW"),"",INDEX(B4778:B$2,-1+SUMPRODUCT(MAX(ROW(E4778:E$2)*(E4779=E4778:E$2)))))</f>
        <v> </v>
      </c>
      <c r="J4779" s="25" t="str">
        <f>IF(OR(E4779="",E4779="!!!",F4779="NEW"),"",COUNTBLANK(OFFSET(A$1,,,SUMPRODUCT(MAX(ROW(E$2:E4779)*(E4779=E$2:E4779)))))-COUNTBLANK(OFFSET(A$1,,,SUMPRODUCT(MAX(ROW(E$1:E4778)*(E2=E$1:E4778))))))</f>
        <v> </v>
      </c>
      <c r="K4779" s="25" t="str">
        <f>IF(OR(E4779="",E4779="!!!",F4779="NEW"),"",INDEX(J$1:J4778,SUMPRODUCT(MAX(ROW(E$1:E4778)*(E4779=E$1:E4778)))))</f>
        <v> </v>
      </c>
      <c r="L4779" s="26"/>
    </row>
    <row r="4780" spans="1:12">
      <c r="A4780" s="20" t="s">
        <v>1061</v>
      </c>
      <c r="B4780" s="27" t="s">
        <v>874</v>
      </c>
      <c r="C4780" s="27" t="s">
        <v>749</v>
      </c>
      <c r="D4780" s="27" t="s">
        <v>687</v>
      </c>
      <c r="E4780" s="21">
        <f>IF(D4780="?OLD","!!!","")</f>
        <v/>
      </c>
      <c r="F4780" s="22" t="str">
        <f>IF(OR(E4780="",E4780="!!!"),"",IF(NOT(ISNA(VLOOKUP(E4780,E$1:E4779,1,FALSE()))),"OLD",IF(AND(E4780&lt;&gt;"",E4780&lt;&gt;"!!!"),"NEW","")))</f>
        <v> </v>
      </c>
      <c r="G4780" s="23" t="str">
        <f>IF(OR(E4780="",E4780="!!!"),"",IF(OR(J4780=0,AND(J4780=1,K4780=1),AND(J4780=1,I4780="SBJ"),AND(J4780=1,I4780=0)),"?IN_FOCUS",IF(J4780&lt;=2,"?ACTIVATED",IF(J4780&lt;&gt;"","?FAMILIAR",IF(F4780="NEW",IF(ISNA(VLOOKUP(E4780,#REF!,1,FALSE())),"?TYPE_IDENTIFIABLE","?REFERENTIAL"),"_")))))</f>
        <v> </v>
      </c>
      <c r="H4780" s="24" t="str">
        <f>IF(J4780&lt;&gt;1,"",IF(I4780="SBJ","CB","?"))</f>
        <v> </v>
      </c>
      <c r="I4780" s="25" t="str">
        <f>IF(OR(E4780="",E4780="!!!",F4780="NEW"),"",INDEX(B4779:B$2,-1+SUMPRODUCT(MAX(ROW(E4779:E$2)*(E4780=E4779:E$2)))))</f>
        <v> </v>
      </c>
      <c r="J4780" s="25" t="str">
        <f>IF(OR(E4780="",E4780="!!!",F4780="NEW"),"",COUNTBLANK(OFFSET(A$1,,,SUMPRODUCT(MAX(ROW(E$2:E4780)*(E4780=E$2:E4780)))))-COUNTBLANK(OFFSET(A$1,,,SUMPRODUCT(MAX(ROW(E$1:E4779)*(E2=E$1:E4779))))))</f>
        <v> </v>
      </c>
      <c r="K4780" s="25" t="str">
        <f>IF(OR(E4780="",E4780="!!!",F4780="NEW"),"",INDEX(J$1:J4779,SUMPRODUCT(MAX(ROW(E$1:E4779)*(E4780=E$1:E4779)))))</f>
        <v> </v>
      </c>
      <c r="L4780" s="26"/>
    </row>
    <row r="4781" spans="1:12">
      <c r="A4781" s="20" t="s">
        <v>676</v>
      </c>
      <c r="E4781" s="21">
        <f>IF(D4781="?OLD","!!!","")</f>
        <v/>
      </c>
      <c r="F4781" s="22" t="str">
        <f>IF(OR(E4781="",E4781="!!!"),"",IF(NOT(ISNA(VLOOKUP(E4781,E$1:E4780,1,FALSE()))),"OLD",IF(AND(E4781&lt;&gt;"",E4781&lt;&gt;"!!!"),"NEW","")))</f>
        <v> </v>
      </c>
      <c r="G4781" s="23" t="str">
        <f>IF(OR(E4781="",E4781="!!!"),"",IF(OR(J4781=0,AND(J4781=1,K4781=1),AND(J4781=1,I4781="SBJ"),AND(J4781=1,I4781=0)),"?IN_FOCUS",IF(J4781&lt;=2,"?ACTIVATED",IF(J4781&lt;&gt;"","?FAMILIAR",IF(F4781="NEW",IF(ISNA(VLOOKUP(E4781,#REF!,1,FALSE())),"?TYPE_IDENTIFIABLE","?REFERENTIAL"),"_")))))</f>
        <v> </v>
      </c>
      <c r="H4781" s="24" t="str">
        <f>IF(J4781&lt;&gt;1,"",IF(I4781="SBJ","CB","?"))</f>
        <v> </v>
      </c>
      <c r="I4781" s="25" t="str">
        <f>IF(OR(E4781="",E4781="!!!",F4781="NEW"),"",INDEX(B4780:B$2,-1+SUMPRODUCT(MAX(ROW(E4780:E$2)*(E4781=E4780:E$2)))))</f>
        <v> </v>
      </c>
      <c r="J4781" s="25" t="str">
        <f>IF(OR(E4781="",E4781="!!!",F4781="NEW"),"",COUNTBLANK(OFFSET(A$1,,,SUMPRODUCT(MAX(ROW(E$2:E4781)*(E4781=E$2:E4781)))))-COUNTBLANK(OFFSET(A$1,,,SUMPRODUCT(MAX(ROW(E$1:E4780)*(E2=E$1:E4780))))))</f>
        <v> </v>
      </c>
      <c r="K4781" s="25" t="str">
        <f>IF(OR(E4781="",E4781="!!!",F4781="NEW"),"",INDEX(J$1:J4780,SUMPRODUCT(MAX(ROW(E$1:E4780)*(E4781=E$1:E4780)))))</f>
        <v> </v>
      </c>
      <c r="L4781" s="26"/>
    </row>
    <row r="4782" spans="1:12">
      <c r="A4782" s="20" t="s">
        <v>306</v>
      </c>
      <c r="E4782" s="21">
        <f>IF(D4782="?OLD","!!!","")</f>
        <v/>
      </c>
      <c r="F4782" s="22" t="str">
        <f>IF(OR(E4782="",E4782="!!!"),"",IF(NOT(ISNA(VLOOKUP(E4782,E$1:E4781,1,FALSE()))),"OLD",IF(AND(E4782&lt;&gt;"",E4782&lt;&gt;"!!!"),"NEW","")))</f>
        <v> </v>
      </c>
      <c r="G4782" s="23" t="str">
        <f>IF(OR(E4782="",E4782="!!!"),"",IF(OR(J4782=0,AND(J4782=1,K4782=1),AND(J4782=1,I4782="SBJ"),AND(J4782=1,I4782=0)),"?IN_FOCUS",IF(J4782&lt;=2,"?ACTIVATED",IF(J4782&lt;&gt;"","?FAMILIAR",IF(F4782="NEW",IF(ISNA(VLOOKUP(E4782,#REF!,1,FALSE())),"?TYPE_IDENTIFIABLE","?REFERENTIAL"),"_")))))</f>
        <v> </v>
      </c>
      <c r="H4782" s="24" t="str">
        <f>IF(J4782&lt;&gt;1,"",IF(I4782="SBJ","CB","?"))</f>
        <v> </v>
      </c>
      <c r="I4782" s="25" t="str">
        <f>IF(OR(E4782="",E4782="!!!",F4782="NEW"),"",INDEX(B4781:B$2,-1+SUMPRODUCT(MAX(ROW(E4781:E$2)*(E4782=E4781:E$2)))))</f>
        <v> </v>
      </c>
      <c r="J4782" s="25" t="str">
        <f>IF(OR(E4782="",E4782="!!!",F4782="NEW"),"",COUNTBLANK(OFFSET(A$1,,,SUMPRODUCT(MAX(ROW(E$2:E4782)*(E4782=E$2:E4782)))))-COUNTBLANK(OFFSET(A$1,,,SUMPRODUCT(MAX(ROW(E$1:E4781)*(E2=E$1:E4781))))))</f>
        <v> </v>
      </c>
      <c r="K4782" s="25" t="str">
        <f>IF(OR(E4782="",E4782="!!!",F4782="NEW"),"",INDEX(J$1:J4781,SUMPRODUCT(MAX(ROW(E$1:E4781)*(E4782=E$1:E4781)))))</f>
        <v> </v>
      </c>
      <c r="L4782" s="26"/>
    </row>
    <row r="4783" spans="1:12">
      <c r="A4783" s="20" t="s">
        <v>1281</v>
      </c>
      <c r="B4783" s="27" t="s">
        <v>744</v>
      </c>
      <c r="C4783" s="27" t="s">
        <v>772</v>
      </c>
      <c r="D4783" s="27" t="s">
        <v>687</v>
      </c>
      <c r="E4783" s="21">
        <f>IF(D4783="?OLD","!!!","")</f>
        <v/>
      </c>
      <c r="F4783" s="22" t="str">
        <f>IF(OR(E4783="",E4783="!!!"),"",IF(NOT(ISNA(VLOOKUP(E4783,E$1:E4782,1,FALSE()))),"OLD",IF(AND(E4783&lt;&gt;"",E4783&lt;&gt;"!!!"),"NEW","")))</f>
        <v> </v>
      </c>
      <c r="G4783" s="23" t="str">
        <f>IF(OR(E4783="",E4783="!!!"),"",IF(OR(J4783=0,AND(J4783=1,K4783=1),AND(J4783=1,I4783="SBJ"),AND(J4783=1,I4783=0)),"?IN_FOCUS",IF(J4783&lt;=2,"?ACTIVATED",IF(J4783&lt;&gt;"","?FAMILIAR",IF(F4783="NEW",IF(ISNA(VLOOKUP(E4783,#REF!,1,FALSE())),"?TYPE_IDENTIFIABLE","?REFERENTIAL"),"_")))))</f>
        <v> </v>
      </c>
      <c r="H4783" s="24" t="str">
        <f>IF(J4783&lt;&gt;1,"",IF(I4783="SBJ","CB","?"))</f>
        <v> </v>
      </c>
      <c r="I4783" s="25" t="str">
        <f>IF(OR(E4783="",E4783="!!!",F4783="NEW"),"",INDEX(B4782:B$2,-1+SUMPRODUCT(MAX(ROW(E4782:E$2)*(E4783=E4782:E$2)))))</f>
        <v> </v>
      </c>
      <c r="J4783" s="25" t="str">
        <f>IF(OR(E4783="",E4783="!!!",F4783="NEW"),"",COUNTBLANK(OFFSET(A$1,,,SUMPRODUCT(MAX(ROW(E$2:E4783)*(E4783=E$2:E4783)))))-COUNTBLANK(OFFSET(A$1,,,SUMPRODUCT(MAX(ROW(E$1:E4782)*(E2=E$1:E4782))))))</f>
        <v> </v>
      </c>
      <c r="K4783" s="25" t="str">
        <f>IF(OR(E4783="",E4783="!!!",F4783="NEW"),"",INDEX(J$1:J4782,SUMPRODUCT(MAX(ROW(E$1:E4782)*(E4783=E$1:E4782)))))</f>
        <v> </v>
      </c>
      <c r="L4783" s="26"/>
    </row>
    <row r="4784" spans="1:12">
      <c r="A4784" s="20" t="s">
        <v>2066</v>
      </c>
      <c r="B4784" s="27" t="s">
        <v>728</v>
      </c>
      <c r="C4784" s="27" t="s">
        <v>686</v>
      </c>
      <c r="D4784" s="27" t="s">
        <v>687</v>
      </c>
      <c r="E4784" s="21">
        <f>IF(D4784="?OLD","!!!","")</f>
        <v/>
      </c>
      <c r="F4784" s="22" t="str">
        <f>IF(OR(E4784="",E4784="!!!"),"",IF(NOT(ISNA(VLOOKUP(E4784,E$1:E4783,1,FALSE()))),"OLD",IF(AND(E4784&lt;&gt;"",E4784&lt;&gt;"!!!"),"NEW","")))</f>
        <v> </v>
      </c>
      <c r="G4784" s="23" t="str">
        <f>IF(OR(E4784="",E4784="!!!"),"",IF(OR(J4784=0,AND(J4784=1,K4784=1),AND(J4784=1,I4784="SBJ"),AND(J4784=1,I4784=0)),"?IN_FOCUS",IF(J4784&lt;=2,"?ACTIVATED",IF(J4784&lt;&gt;"","?FAMILIAR",IF(F4784="NEW",IF(ISNA(VLOOKUP(E4784,#REF!,1,FALSE())),"?TYPE_IDENTIFIABLE","?REFERENTIAL"),"_")))))</f>
        <v> </v>
      </c>
      <c r="H4784" s="24" t="str">
        <f>IF(J4784&lt;&gt;1,"",IF(I4784="SBJ","CB","?"))</f>
        <v> </v>
      </c>
      <c r="I4784" s="25" t="str">
        <f>IF(OR(E4784="",E4784="!!!",F4784="NEW"),"",INDEX(B4783:B$2,-1+SUMPRODUCT(MAX(ROW(E4783:E$2)*(E4784=E4783:E$2)))))</f>
        <v> </v>
      </c>
      <c r="J4784" s="25" t="str">
        <f>IF(OR(E4784="",E4784="!!!",F4784="NEW"),"",COUNTBLANK(OFFSET(A$1,,,SUMPRODUCT(MAX(ROW(E$2:E4784)*(E4784=E$2:E4784)))))-COUNTBLANK(OFFSET(A$1,,,SUMPRODUCT(MAX(ROW(E$1:E4783)*(E2=E$1:E4783))))))</f>
        <v> </v>
      </c>
      <c r="K4784" s="25" t="str">
        <f>IF(OR(E4784="",E4784="!!!",F4784="NEW"),"",INDEX(J$1:J4783,SUMPRODUCT(MAX(ROW(E$1:E4783)*(E4784=E$1:E4783)))))</f>
        <v> </v>
      </c>
      <c r="L4784" s="26"/>
    </row>
    <row r="4785" spans="1:12">
      <c r="A4785" s="20" t="s">
        <v>698</v>
      </c>
      <c r="E4785" s="21">
        <f>IF(D4785="?OLD","!!!","")</f>
        <v/>
      </c>
      <c r="F4785" s="22" t="str">
        <f>IF(OR(E4785="",E4785="!!!"),"",IF(NOT(ISNA(VLOOKUP(E4785,E$1:E4784,1,FALSE()))),"OLD",IF(AND(E4785&lt;&gt;"",E4785&lt;&gt;"!!!"),"NEW","")))</f>
        <v> </v>
      </c>
      <c r="G4785" s="23" t="str">
        <f>IF(OR(E4785="",E4785="!!!"),"",IF(OR(J4785=0,AND(J4785=1,K4785=1),AND(J4785=1,I4785="SBJ"),AND(J4785=1,I4785=0)),"?IN_FOCUS",IF(J4785&lt;=2,"?ACTIVATED",IF(J4785&lt;&gt;"","?FAMILIAR",IF(F4785="NEW",IF(ISNA(VLOOKUP(E4785,#REF!,1,FALSE())),"?TYPE_IDENTIFIABLE","?REFERENTIAL"),"_")))))</f>
        <v> </v>
      </c>
      <c r="H4785" s="24" t="str">
        <f>IF(J4785&lt;&gt;1,"",IF(I4785="SBJ","CB","?"))</f>
        <v> </v>
      </c>
      <c r="I4785" s="25" t="str">
        <f>IF(OR(E4785="",E4785="!!!",F4785="NEW"),"",INDEX(B4784:B$2,-1+SUMPRODUCT(MAX(ROW(E4784:E$2)*(E4785=E4784:E$2)))))</f>
        <v> </v>
      </c>
      <c r="J4785" s="25" t="str">
        <f>IF(OR(E4785="",E4785="!!!",F4785="NEW"),"",COUNTBLANK(OFFSET(A$1,,,SUMPRODUCT(MAX(ROW(E$2:E4785)*(E4785=E$2:E4785)))))-COUNTBLANK(OFFSET(A$1,,,SUMPRODUCT(MAX(ROW(E$1:E4784)*(E2=E$1:E4784))))))</f>
        <v> </v>
      </c>
      <c r="K4785" s="25" t="str">
        <f>IF(OR(E4785="",E4785="!!!",F4785="NEW"),"",INDEX(J$1:J4784,SUMPRODUCT(MAX(ROW(E$1:E4784)*(E4785=E$1:E4784)))))</f>
        <v> </v>
      </c>
      <c r="L4785" s="26"/>
    </row>
    <row r="4786" spans="1:12">
      <c r="A4786" s="20"/>
    </row>
    <row r="4787" spans="1:12">
      <c r="A4787" s="20" t="s">
        <v>2067</v>
      </c>
    </row>
    <row r="4788" spans="1:12">
      <c r="A4788" s="20" t="s">
        <v>2068</v>
      </c>
      <c r="E4788" s="21">
        <f>IF(D4788="?OLD","!!!","")</f>
        <v/>
      </c>
      <c r="F4788" s="22" t="str">
        <f>IF(OR(E4788="",E4788="!!!"),"",IF(NOT(ISNA(VLOOKUP(E4788,E$1:E4787,1,FALSE()))),"OLD",IF(AND(E4788&lt;&gt;"",E4788&lt;&gt;"!!!"),"NEW","")))</f>
        <v> </v>
      </c>
      <c r="G4788" s="23" t="str">
        <f>IF(OR(E4788="",E4788="!!!"),"",IF(OR(J4788=0,AND(J4788=1,K4788=1),AND(J4788=1,I4788="SBJ"),AND(J4788=1,I4788=0)),"?IN_FOCUS",IF(J4788&lt;=2,"?ACTIVATED",IF(J4788&lt;&gt;"","?FAMILIAR",IF(F4788="NEW",IF(ISNA(VLOOKUP(E4788,#REF!,1,FALSE())),"?TYPE_IDENTIFIABLE","?REFERENTIAL"),"_")))))</f>
        <v> </v>
      </c>
      <c r="H4788" s="24" t="str">
        <f>IF(J4788&lt;&gt;1,"",IF(I4788="SBJ","CB","?"))</f>
        <v> </v>
      </c>
      <c r="I4788" s="25" t="str">
        <f>IF(OR(E4788="",E4788="!!!",F4788="NEW"),"",INDEX(B4787:B$2,-1+SUMPRODUCT(MAX(ROW(E4787:E$2)*(E4788=E4787:E$2)))))</f>
        <v> </v>
      </c>
      <c r="J4788" s="25" t="str">
        <f>IF(OR(E4788="",E4788="!!!",F4788="NEW"),"",COUNTBLANK(OFFSET(A$1,,,SUMPRODUCT(MAX(ROW(E$2:E4788)*(E4788=E$2:E4788)))))-COUNTBLANK(OFFSET(A$1,,,SUMPRODUCT(MAX(ROW(E$1:E4787)*(E2=E$1:E4787))))))</f>
        <v> </v>
      </c>
      <c r="K4788" s="25" t="str">
        <f>IF(OR(E4788="",E4788="!!!",F4788="NEW"),"",INDEX(J$1:J4787,SUMPRODUCT(MAX(ROW(E$1:E4787)*(E4788=E$1:E4787)))))</f>
        <v> </v>
      </c>
      <c r="L4788" s="26"/>
    </row>
    <row r="4789" spans="1:12">
      <c r="A4789" s="20" t="s">
        <v>698</v>
      </c>
      <c r="E4789" s="21">
        <f>IF(D4789="?OLD","!!!","")</f>
        <v/>
      </c>
      <c r="F4789" s="22" t="str">
        <f>IF(OR(E4789="",E4789="!!!"),"",IF(NOT(ISNA(VLOOKUP(E4789,E$1:E4788,1,FALSE()))),"OLD",IF(AND(E4789&lt;&gt;"",E4789&lt;&gt;"!!!"),"NEW","")))</f>
        <v> </v>
      </c>
      <c r="G4789" s="23" t="str">
        <f>IF(OR(E4789="",E4789="!!!"),"",IF(OR(J4789=0,AND(J4789=1,K4789=1),AND(J4789=1,I4789="SBJ"),AND(J4789=1,I4789=0)),"?IN_FOCUS",IF(J4789&lt;=2,"?ACTIVATED",IF(J4789&lt;&gt;"","?FAMILIAR",IF(F4789="NEW",IF(ISNA(VLOOKUP(E4789,#REF!,1,FALSE())),"?TYPE_IDENTIFIABLE","?REFERENTIAL"),"_")))))</f>
        <v> </v>
      </c>
      <c r="H4789" s="24" t="str">
        <f>IF(J4789&lt;&gt;1,"",IF(I4789="SBJ","CB","?"))</f>
        <v> </v>
      </c>
      <c r="I4789" s="25" t="str">
        <f>IF(OR(E4789="",E4789="!!!",F4789="NEW"),"",INDEX(B4788:B$2,-1+SUMPRODUCT(MAX(ROW(E4788:E$2)*(E4789=E4788:E$2)))))</f>
        <v> </v>
      </c>
      <c r="J4789" s="25" t="str">
        <f>IF(OR(E4789="",E4789="!!!",F4789="NEW"),"",COUNTBLANK(OFFSET(A$1,,,SUMPRODUCT(MAX(ROW(E$2:E4789)*(E4789=E$2:E4789)))))-COUNTBLANK(OFFSET(A$1,,,SUMPRODUCT(MAX(ROW(E$1:E4788)*(E2=E$1:E4788))))))</f>
        <v> </v>
      </c>
      <c r="K4789" s="25" t="str">
        <f>IF(OR(E4789="",E4789="!!!",F4789="NEW"),"",INDEX(J$1:J4788,SUMPRODUCT(MAX(ROW(E$1:E4788)*(E4789=E$1:E4788)))))</f>
        <v> </v>
      </c>
      <c r="L4789" s="26"/>
    </row>
    <row r="4790" spans="1:12">
      <c r="A479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2024-12-05T18:02:14Z</dcterms:created>
  <dcterms:modified xsi:type="dcterms:W3CDTF">2024-12-05T18:02:14Z</dcterms:modified>
</cp:coreProperties>
</file>